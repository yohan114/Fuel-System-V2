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-2026" sheetId="1" r:id="rId5"/>
  </sheets>
  <definedNames/>
  <calcPr/>
</workbook>
</file>

<file path=xl/sharedStrings.xml><?xml version="1.0" encoding="utf-8"?>
<sst xmlns="http://schemas.openxmlformats.org/spreadsheetml/2006/main" count="480" uniqueCount="222">
  <si>
    <t>Edward and Christie (Pvt) Ltd</t>
  </si>
  <si>
    <t xml:space="preserve">                                                           Monthly Fuel Consumption Report (Daily/ Average)</t>
  </si>
  <si>
    <t>Location/ Project:</t>
  </si>
  <si>
    <t>Badalgama-Plant/Work Shop</t>
  </si>
  <si>
    <t xml:space="preserve">                                                             Year and Month:</t>
  </si>
  <si>
    <t xml:space="preserve"> </t>
  </si>
  <si>
    <t>S. No.</t>
  </si>
  <si>
    <t>Vehicle Reg. No.</t>
  </si>
  <si>
    <t>Company Code</t>
  </si>
  <si>
    <t>Type of Vehicle/ Machine</t>
  </si>
  <si>
    <t>Fuel Type</t>
  </si>
  <si>
    <t xml:space="preserve">Total ℓ from Site Tank </t>
  </si>
  <si>
    <t>Total ℓ from Outside</t>
  </si>
  <si>
    <t>Total Fuel ℓ (A)</t>
  </si>
  <si>
    <t>Fuel Rate Rs. (C)</t>
  </si>
  <si>
    <t xml:space="preserve">Fuel Cost Rs. (A*C) </t>
  </si>
  <si>
    <t>PA-4193</t>
  </si>
  <si>
    <t>Double Cab</t>
  </si>
  <si>
    <t>Diesel</t>
  </si>
  <si>
    <t>LO-7855</t>
  </si>
  <si>
    <t>Boom Truck</t>
  </si>
  <si>
    <t>57-3062</t>
  </si>
  <si>
    <t>HU-5097</t>
  </si>
  <si>
    <t>PJ-6376</t>
  </si>
  <si>
    <t>Crew Cab</t>
  </si>
  <si>
    <t>28-4314</t>
  </si>
  <si>
    <t>PH-0765</t>
  </si>
  <si>
    <t>LO-9810</t>
  </si>
  <si>
    <t>Service Cab</t>
  </si>
  <si>
    <t>LN-8278</t>
  </si>
  <si>
    <t>ZA-8395</t>
  </si>
  <si>
    <t>Crain</t>
  </si>
  <si>
    <t>ZA-9716</t>
  </si>
  <si>
    <t>LY-4524</t>
  </si>
  <si>
    <t>Bed</t>
  </si>
  <si>
    <t>LL-1782</t>
  </si>
  <si>
    <t>325-5120</t>
  </si>
  <si>
    <t>GL-0019</t>
  </si>
  <si>
    <t>LY-1614</t>
  </si>
  <si>
    <t>48-4849</t>
  </si>
  <si>
    <t>LK-5041</t>
  </si>
  <si>
    <t>LC-0434</t>
  </si>
  <si>
    <t>LN-8277</t>
  </si>
  <si>
    <t>59-5421</t>
  </si>
  <si>
    <t>DAH-2230</t>
  </si>
  <si>
    <t>Single Cab</t>
  </si>
  <si>
    <t>PA-6399</t>
  </si>
  <si>
    <t xml:space="preserve">Crew Cab </t>
  </si>
  <si>
    <t>PD-6917</t>
  </si>
  <si>
    <t>LK-4061</t>
  </si>
  <si>
    <t>Concrete Truck</t>
  </si>
  <si>
    <t>325-3448</t>
  </si>
  <si>
    <t>LP-1567</t>
  </si>
  <si>
    <t>Dump Truck</t>
  </si>
  <si>
    <t>LJ-8055</t>
  </si>
  <si>
    <t>LO-4824</t>
  </si>
  <si>
    <t>3Cube Tripper</t>
  </si>
  <si>
    <t>ZA-9719</t>
  </si>
  <si>
    <t>PQ-8773</t>
  </si>
  <si>
    <t>LO-4925</t>
  </si>
  <si>
    <t>LO-4823</t>
  </si>
  <si>
    <t>LK-2276</t>
  </si>
  <si>
    <t>1Cube Tripper</t>
  </si>
  <si>
    <t>PD-7049</t>
  </si>
  <si>
    <t>LP-1712</t>
  </si>
  <si>
    <t>LP-1569</t>
  </si>
  <si>
    <t>LO-8348</t>
  </si>
  <si>
    <t>PC-7812</t>
  </si>
  <si>
    <t>LO-7183</t>
  </si>
  <si>
    <t>LL-0623</t>
  </si>
  <si>
    <t>RC-9894</t>
  </si>
  <si>
    <t>Tractor</t>
  </si>
  <si>
    <t>LO-5981</t>
  </si>
  <si>
    <t>PH-3945</t>
  </si>
  <si>
    <t>LK-5048</t>
  </si>
  <si>
    <t>LP-1577</t>
  </si>
  <si>
    <t>LK-6738</t>
  </si>
  <si>
    <t>ZB-1548</t>
  </si>
  <si>
    <t>49-5294</t>
  </si>
  <si>
    <t>LP-1571</t>
  </si>
  <si>
    <t>LP-1713</t>
  </si>
  <si>
    <t>RD-3536</t>
  </si>
  <si>
    <t>ZA-8511</t>
  </si>
  <si>
    <t>LP-1576</t>
  </si>
  <si>
    <t>PA-4879</t>
  </si>
  <si>
    <t>LP-1566</t>
  </si>
  <si>
    <t>LO-8350</t>
  </si>
  <si>
    <t>LO-5983</t>
  </si>
  <si>
    <t>LP-1578</t>
  </si>
  <si>
    <t>LP-1574</t>
  </si>
  <si>
    <t>LP-1720</t>
  </si>
  <si>
    <t>PT-1569</t>
  </si>
  <si>
    <t>LP-1709</t>
  </si>
  <si>
    <t>LP-1573</t>
  </si>
  <si>
    <t>LP-1582</t>
  </si>
  <si>
    <t>ZA-8033</t>
  </si>
  <si>
    <t>LP-1572</t>
  </si>
  <si>
    <t>51-7158</t>
  </si>
  <si>
    <t>Van</t>
  </si>
  <si>
    <t>PV-6889</t>
  </si>
  <si>
    <t>Diesel Bowser</t>
  </si>
  <si>
    <t>LP-1710</t>
  </si>
  <si>
    <t>LO-7181</t>
  </si>
  <si>
    <t>LP-1568</t>
  </si>
  <si>
    <t>LO-5985</t>
  </si>
  <si>
    <t>Total issue for the vehicle (ℓ)</t>
  </si>
  <si>
    <t>FL-02</t>
  </si>
  <si>
    <t>Fork Lift</t>
  </si>
  <si>
    <t>MG-17</t>
  </si>
  <si>
    <t>Moter Grader</t>
  </si>
  <si>
    <t>LD-05</t>
  </si>
  <si>
    <t>Loader</t>
  </si>
  <si>
    <t>SR-14</t>
  </si>
  <si>
    <t>10 Ton Roller</t>
  </si>
  <si>
    <t>HEX-23</t>
  </si>
  <si>
    <t>Excavator</t>
  </si>
  <si>
    <t>Filter Filling</t>
  </si>
  <si>
    <t>Filter Service</t>
  </si>
  <si>
    <t>AC-44</t>
  </si>
  <si>
    <t>Compressor</t>
  </si>
  <si>
    <t>AC-38</t>
  </si>
  <si>
    <t>ACS-2</t>
  </si>
  <si>
    <t>SR-12</t>
  </si>
  <si>
    <t>10TonRoller</t>
  </si>
  <si>
    <t>GE-Service Vehicle</t>
  </si>
  <si>
    <t>Generator</t>
  </si>
  <si>
    <t>GE-64</t>
  </si>
  <si>
    <t>FL-03</t>
  </si>
  <si>
    <t>FL-01</t>
  </si>
  <si>
    <t>AC-01</t>
  </si>
  <si>
    <t>LD-06</t>
  </si>
  <si>
    <t>LD-08</t>
  </si>
  <si>
    <t>Head Office</t>
  </si>
  <si>
    <t>H/O</t>
  </si>
  <si>
    <t xml:space="preserve">Mallawagedara </t>
  </si>
  <si>
    <t>Bridge</t>
  </si>
  <si>
    <t>Dyrel Asp</t>
  </si>
  <si>
    <t>Axphalt Work</t>
  </si>
  <si>
    <t>Heat Burner</t>
  </si>
  <si>
    <t>ASP Clean</t>
  </si>
  <si>
    <t>ASP Work</t>
  </si>
  <si>
    <t>Marawila Site</t>
  </si>
  <si>
    <t>Marawila Road</t>
  </si>
  <si>
    <t>ECTO</t>
  </si>
  <si>
    <t>Engineering</t>
  </si>
  <si>
    <t>GE-05</t>
  </si>
  <si>
    <t>Axphalt Plant</t>
  </si>
  <si>
    <t>ACS-02</t>
  </si>
  <si>
    <t>WG-08</t>
  </si>
  <si>
    <t>Welding Gene</t>
  </si>
  <si>
    <t>LB-23</t>
  </si>
  <si>
    <t>JCB</t>
  </si>
  <si>
    <t>HEX-18</t>
  </si>
  <si>
    <t>AC-27</t>
  </si>
  <si>
    <t>GE-08</t>
  </si>
  <si>
    <t>Generator(Service)</t>
  </si>
  <si>
    <t>WG-10</t>
  </si>
  <si>
    <t>VR-53</t>
  </si>
  <si>
    <t>6 Ton Roller</t>
  </si>
  <si>
    <t>VR-44</t>
  </si>
  <si>
    <t>5 Ton Roller</t>
  </si>
  <si>
    <t>Wadakada</t>
  </si>
  <si>
    <t>CEP-3/E</t>
  </si>
  <si>
    <t>SL-15</t>
  </si>
  <si>
    <t>Skid Stear</t>
  </si>
  <si>
    <t>MG-10</t>
  </si>
  <si>
    <t>ZA-7092</t>
  </si>
  <si>
    <t>LBS-01</t>
  </si>
  <si>
    <t>PTR-06</t>
  </si>
  <si>
    <t>Piemutic T/Rol</t>
  </si>
  <si>
    <t>PTR-010</t>
  </si>
  <si>
    <t>ASP Paver</t>
  </si>
  <si>
    <t>(AP-9)</t>
  </si>
  <si>
    <t>Axphalt Paver</t>
  </si>
  <si>
    <t>SL-11</t>
  </si>
  <si>
    <t>SL-06</t>
  </si>
  <si>
    <t>Water Pump</t>
  </si>
  <si>
    <t>water pump</t>
  </si>
  <si>
    <t>GE-147</t>
  </si>
  <si>
    <t>Genarator</t>
  </si>
  <si>
    <t>GE-126</t>
  </si>
  <si>
    <t>SR-06</t>
  </si>
  <si>
    <t>10Ton Roller</t>
  </si>
  <si>
    <t>ZA-2609LB-01</t>
  </si>
  <si>
    <t>CM-33</t>
  </si>
  <si>
    <t>Work Shop Vehicle Start</t>
  </si>
  <si>
    <t>ZA-8445</t>
  </si>
  <si>
    <t>SL-09</t>
  </si>
  <si>
    <t>Mundalam Estate</t>
  </si>
  <si>
    <t>GE-(Service Team)</t>
  </si>
  <si>
    <t>ASP /GE06</t>
  </si>
  <si>
    <t>E-05</t>
  </si>
  <si>
    <t>PC-40</t>
  </si>
  <si>
    <t>HEX-37</t>
  </si>
  <si>
    <t>HEX-45</t>
  </si>
  <si>
    <t>SR-19</t>
  </si>
  <si>
    <t>8 Ton Roller</t>
  </si>
  <si>
    <t>Badalgama W/S</t>
  </si>
  <si>
    <t>W/S</t>
  </si>
  <si>
    <t>LT-19</t>
  </si>
  <si>
    <t>Light Plant</t>
  </si>
  <si>
    <t>Error Correction</t>
  </si>
  <si>
    <t>WG-13</t>
  </si>
  <si>
    <t>Mr.Thilinas</t>
  </si>
  <si>
    <t xml:space="preserve">Total issue for the machinery (ℓ) 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</si>
  <si>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</si>
  <si>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</si>
  <si>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</si>
  <si>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</si>
  <si>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</si>
  <si>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Monthly Purchasing (ℓ)</t>
  </si>
  <si>
    <t xml:space="preserve">   </t>
  </si>
  <si>
    <t xml:space="preserve">  </t>
  </si>
  <si>
    <t>Monthly Closing Balance (ℓ)</t>
  </si>
  <si>
    <t>Monthly Consumption (ℓ)</t>
  </si>
  <si>
    <t>….............................................................</t>
  </si>
  <si>
    <t>…..........................................................</t>
  </si>
  <si>
    <t>Prepared by</t>
  </si>
  <si>
    <t xml:space="preserve">Fuel stock book cross checked by    </t>
  </si>
  <si>
    <t>Mr Chamila</t>
  </si>
  <si>
    <t>Navodya Diwyanjali</t>
  </si>
  <si>
    <t>Accounts assistant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</si>
</sst>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mmm-yyyy"/>
  </numFmts>
  <fonts count="9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 readingOrder="0"/>
    </xf>
    <xf borderId="0" fillId="0" fontId="2" numFmtId="17" xfId="0" applyAlignment="1" applyFont="1" applyNumberFormat="1">
      <alignment horizontal="center"/>
    </xf>
    <xf borderId="0" fillId="0" fontId="2" numFmtId="17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5" fillId="0" fontId="2" numFmtId="0" xfId="0" applyBorder="1" applyFont="1"/>
    <xf borderId="1" fillId="0" fontId="2" numFmtId="0" xfId="0" applyBorder="1" applyFont="1"/>
    <xf borderId="5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left"/>
    </xf>
    <xf borderId="7" fillId="0" fontId="2" numFmtId="0" xfId="0" applyAlignment="1" applyBorder="1" applyFont="1">
      <alignment horizontal="center"/>
    </xf>
    <xf borderId="5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right"/>
    </xf>
    <xf borderId="8" fillId="2" fontId="2" numFmtId="0" xfId="0" applyAlignment="1" applyBorder="1" applyFill="1" applyFont="1">
      <alignment horizontal="center"/>
    </xf>
    <xf borderId="5" fillId="2" fontId="2" numFmtId="0" xfId="0" applyAlignment="1" applyBorder="1" applyFont="1">
      <alignment readingOrder="0"/>
    </xf>
    <xf borderId="5" fillId="2" fontId="2" numFmtId="0" xfId="0" applyBorder="1" applyFont="1"/>
    <xf borderId="8" fillId="0" fontId="2" numFmtId="0" xfId="0" applyAlignment="1" applyBorder="1" applyFont="1">
      <alignment horizontal="left" readingOrder="0" vertical="top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0" fontId="2" numFmtId="0" xfId="0" applyAlignment="1" applyBorder="1" applyFont="1">
      <alignment horizontal="center"/>
    </xf>
    <xf borderId="14" fillId="0" fontId="2" numFmtId="164" xfId="0" applyAlignment="1" applyBorder="1" applyFont="1" applyNumberFormat="1">
      <alignment horizontal="left"/>
    </xf>
    <xf borderId="15" fillId="0" fontId="2" numFmtId="0" xfId="0" applyBorder="1" applyFont="1"/>
    <xf borderId="7" fillId="0" fontId="2" numFmtId="0" xfId="0" applyAlignment="1" applyBorder="1" applyFont="1">
      <alignment horizontal="center" readingOrder="0"/>
    </xf>
    <xf borderId="7" fillId="0" fontId="2" numFmtId="164" xfId="0" applyAlignment="1" applyBorder="1" applyFont="1" applyNumberFormat="1">
      <alignment horizontal="left"/>
    </xf>
    <xf borderId="5" fillId="0" fontId="2" numFmtId="164" xfId="0" applyAlignment="1" applyBorder="1" applyFont="1" applyNumberFormat="1">
      <alignment readingOrder="0"/>
    </xf>
    <xf borderId="5" fillId="0" fontId="2" numFmtId="164" xfId="0" applyAlignment="1" applyBorder="1" applyFont="1" applyNumberFormat="1">
      <alignment horizontal="left"/>
    </xf>
    <xf borderId="5" fillId="0" fontId="4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6" fillId="0" fontId="2" numFmtId="0" xfId="0" applyBorder="1" applyFont="1"/>
    <xf borderId="6" fillId="0" fontId="2" numFmtId="0" xfId="0" applyBorder="1" applyFont="1"/>
    <xf borderId="16" fillId="0" fontId="2" numFmtId="164" xfId="0" applyAlignment="1" applyBorder="1" applyFont="1" applyNumberFormat="1">
      <alignment horizontal="left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17" fillId="0" fontId="2" numFmtId="0" xfId="0" applyAlignment="1" applyBorder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18" fillId="3" fontId="2" numFmtId="0" xfId="0" applyAlignment="1" applyBorder="1" applyFill="1" applyFont="1">
      <alignment vertical="bottom"/>
    </xf>
    <xf borderId="18" fillId="3" fontId="6" numFmtId="0" xfId="0" applyAlignment="1" applyBorder="1" applyFont="1">
      <alignment vertical="bottom"/>
    </xf>
    <xf borderId="18" fillId="3" fontId="7" numFmtId="0" xfId="0" applyBorder="1" applyFont="1"/>
    <xf borderId="18" fillId="3" fontId="6" numFmtId="0" xfId="0" applyAlignment="1" applyBorder="1" applyFont="1">
      <alignment vertical="top"/>
    </xf>
    <xf borderId="18" fillId="3" fontId="8" numFmtId="0" xfId="0" applyAlignment="1" applyBorder="1" applyFont="1">
      <alignment vertical="bottom"/>
    </xf>
    <xf borderId="18" fillId="3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75"/>
    <col customWidth="1" min="2" max="2" width="8.13"/>
    <col customWidth="1" min="3" max="3" width="5.0"/>
    <col customWidth="1" min="4" max="4" width="10.75"/>
    <col customWidth="1" min="5" max="5" width="6.0"/>
    <col customWidth="1" min="6" max="6" width="6.38"/>
    <col customWidth="1" min="7" max="7" width="6.88"/>
    <col customWidth="1" min="8" max="8" width="6.63"/>
    <col customWidth="1" min="9" max="9" width="7.0"/>
    <col customWidth="1" min="10" max="10" width="6.38"/>
    <col customWidth="1" min="11" max="11" width="7.13"/>
    <col customWidth="1" min="12" max="12" width="7.0"/>
    <col customWidth="1" min="13" max="13" width="6.63"/>
    <col customWidth="1" min="14" max="14" width="6.25"/>
    <col customWidth="1" min="15" max="15" width="6.38"/>
    <col customWidth="1" min="16" max="16" width="6.13"/>
    <col customWidth="1" min="17" max="17" width="7.38"/>
    <col customWidth="1" min="18" max="18" width="6.88"/>
    <col customWidth="1" min="19" max="19" width="6.38"/>
    <col customWidth="1" min="20" max="20" width="7.25"/>
    <col customWidth="1" min="21" max="21" width="6.63"/>
    <col customWidth="1" min="22" max="22" width="6.88"/>
    <col customWidth="1" min="23" max="23" width="8.13"/>
    <col customWidth="1" min="24" max="24" width="7.88"/>
    <col customWidth="1" min="25" max="25" width="7.38"/>
    <col customWidth="1" min="26" max="32" width="6.63"/>
    <col customWidth="1" min="33" max="36" width="7.13"/>
    <col customWidth="1" min="37" max="40" width="7.63"/>
    <col customWidth="1" min="41" max="41" width="11.25"/>
    <col customWidth="1" min="42" max="43" width="7.63"/>
  </cols>
  <sheetData>
    <row r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6"/>
      <c r="AO1" s="7"/>
      <c r="AP1" s="2"/>
      <c r="AQ1" s="2"/>
    </row>
    <row r="2">
      <c r="A2" s="1"/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7"/>
      <c r="AP2" s="2"/>
      <c r="AQ2" s="2"/>
    </row>
    <row r="3">
      <c r="A3" s="1" t="s">
        <v>0</v>
      </c>
      <c r="B3" s="2"/>
      <c r="C3" s="2"/>
      <c r="D3" s="2"/>
      <c r="E3" s="3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7"/>
      <c r="AP3" s="2"/>
      <c r="AQ3" s="2"/>
    </row>
    <row r="4">
      <c r="A4" s="1" t="s">
        <v>2</v>
      </c>
      <c r="B4" s="2"/>
      <c r="C4" s="2" t="s">
        <v>3</v>
      </c>
      <c r="D4" s="2"/>
      <c r="E4" s="3" t="s">
        <v>4</v>
      </c>
      <c r="F4" s="4"/>
      <c r="G4" s="4"/>
      <c r="H4" s="4"/>
      <c r="I4" s="4"/>
      <c r="J4" s="4"/>
      <c r="K4" s="8">
        <v>46113.0</v>
      </c>
      <c r="L4" s="4"/>
      <c r="M4" s="4"/>
      <c r="N4" s="4"/>
      <c r="O4" s="9"/>
      <c r="P4" s="10">
        <v>46138.0</v>
      </c>
      <c r="Q4" s="4"/>
      <c r="R4" s="5"/>
      <c r="S4" s="4"/>
      <c r="T4" s="4" t="s">
        <v>5</v>
      </c>
      <c r="U4" s="4"/>
      <c r="V4" s="4"/>
      <c r="W4" s="4"/>
      <c r="X4" s="4"/>
      <c r="Y4" s="4"/>
      <c r="Z4" s="4"/>
      <c r="AA4" s="4"/>
      <c r="AB4" s="10">
        <v>46113.0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7"/>
      <c r="AP4" s="2"/>
      <c r="AQ4" s="2"/>
    </row>
    <row r="5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4"/>
      <c r="AH5" s="15"/>
      <c r="AI5" s="15"/>
      <c r="AJ5" s="15"/>
      <c r="AK5" s="11" t="s">
        <v>11</v>
      </c>
      <c r="AL5" s="11" t="s">
        <v>12</v>
      </c>
      <c r="AM5" s="11" t="s">
        <v>13</v>
      </c>
      <c r="AN5" s="16" t="s">
        <v>14</v>
      </c>
      <c r="AO5" s="17" t="s">
        <v>15</v>
      </c>
      <c r="AP5" s="2"/>
      <c r="AQ5" s="2"/>
    </row>
    <row r="6">
      <c r="A6" s="18"/>
      <c r="B6" s="18"/>
      <c r="C6" s="18"/>
      <c r="D6" s="18"/>
      <c r="E6" s="18"/>
      <c r="F6" s="19">
        <v>1.0</v>
      </c>
      <c r="G6" s="19">
        <v>2.0</v>
      </c>
      <c r="H6" s="19">
        <v>3.0</v>
      </c>
      <c r="I6" s="19">
        <v>4.0</v>
      </c>
      <c r="J6" s="19">
        <v>5.0</v>
      </c>
      <c r="K6" s="19">
        <v>6.0</v>
      </c>
      <c r="L6" s="19">
        <v>7.0</v>
      </c>
      <c r="M6" s="19">
        <v>8.0</v>
      </c>
      <c r="N6" s="19">
        <v>9.0</v>
      </c>
      <c r="O6" s="19">
        <v>10.0</v>
      </c>
      <c r="P6" s="19">
        <v>11.0</v>
      </c>
      <c r="Q6" s="19">
        <v>12.0</v>
      </c>
      <c r="R6" s="19">
        <v>13.0</v>
      </c>
      <c r="S6" s="19">
        <v>14.0</v>
      </c>
      <c r="T6" s="19">
        <v>15.0</v>
      </c>
      <c r="U6" s="19">
        <v>16.0</v>
      </c>
      <c r="V6" s="19">
        <v>17.0</v>
      </c>
      <c r="W6" s="19">
        <v>18.0</v>
      </c>
      <c r="X6" s="19">
        <v>19.0</v>
      </c>
      <c r="Y6" s="19">
        <v>20.0</v>
      </c>
      <c r="Z6" s="19">
        <v>21.0</v>
      </c>
      <c r="AA6" s="19">
        <v>22.0</v>
      </c>
      <c r="AB6" s="19">
        <v>23.0</v>
      </c>
      <c r="AC6" s="19">
        <v>24.0</v>
      </c>
      <c r="AD6" s="19">
        <v>25.0</v>
      </c>
      <c r="AE6" s="20">
        <v>26.0</v>
      </c>
      <c r="AF6" s="19">
        <v>27.0</v>
      </c>
      <c r="AG6" s="19">
        <v>28.0</v>
      </c>
      <c r="AH6" s="20">
        <v>29.0</v>
      </c>
      <c r="AI6" s="20">
        <v>30.0</v>
      </c>
      <c r="AJ6" s="20">
        <v>31.0</v>
      </c>
      <c r="AK6" s="18"/>
      <c r="AL6" s="18"/>
      <c r="AM6" s="18"/>
      <c r="AN6" s="18"/>
      <c r="AO6" s="18"/>
      <c r="AP6" s="21"/>
      <c r="AQ6" s="21"/>
    </row>
    <row r="7">
      <c r="A7" s="22">
        <v>1.0</v>
      </c>
      <c r="B7" s="23" t="s">
        <v>16</v>
      </c>
      <c r="C7" s="23"/>
      <c r="D7" s="23" t="s">
        <v>17</v>
      </c>
      <c r="E7" s="24" t="s">
        <v>18</v>
      </c>
      <c r="F7" s="25">
        <v>0.0</v>
      </c>
      <c r="G7" s="25">
        <v>0.0</v>
      </c>
      <c r="H7" s="25">
        <v>20.0</v>
      </c>
      <c r="I7" s="25">
        <v>0.0</v>
      </c>
      <c r="J7" s="25">
        <v>0.0</v>
      </c>
      <c r="K7" s="25">
        <v>0.0</v>
      </c>
      <c r="L7" s="25">
        <v>0.0</v>
      </c>
      <c r="M7" s="25">
        <v>20.0</v>
      </c>
      <c r="N7" s="25">
        <v>0.0</v>
      </c>
      <c r="O7" s="25">
        <v>0.0</v>
      </c>
      <c r="P7" s="25"/>
      <c r="Q7" s="25"/>
      <c r="R7" s="25"/>
      <c r="S7" s="25"/>
      <c r="T7" s="25"/>
      <c r="U7" s="25"/>
      <c r="V7" s="25"/>
      <c r="W7" s="25"/>
      <c r="X7" s="25"/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/>
      <c r="AK7" s="15">
        <f t="shared" ref="AK7:AK87" si="1">sum(F7:AJ7)</f>
        <v>40</v>
      </c>
      <c r="AL7" s="15"/>
      <c r="AM7" s="15">
        <f t="shared" ref="AM7:AM86" si="2">AL7+AK7</f>
        <v>40</v>
      </c>
      <c r="AN7" s="26">
        <v>277.0</v>
      </c>
      <c r="AO7" s="27">
        <f t="shared" ref="AO7:AO86" si="3">AN7*AM7</f>
        <v>11080</v>
      </c>
      <c r="AP7" s="2"/>
      <c r="AQ7" s="2"/>
    </row>
    <row r="8">
      <c r="A8" s="28">
        <v>2.0</v>
      </c>
      <c r="B8" s="29" t="s">
        <v>19</v>
      </c>
      <c r="C8" s="23"/>
      <c r="D8" s="29" t="s">
        <v>20</v>
      </c>
      <c r="E8" s="24" t="s">
        <v>18</v>
      </c>
      <c r="F8" s="25">
        <v>0.0</v>
      </c>
      <c r="G8" s="25">
        <v>0.0</v>
      </c>
      <c r="H8" s="25">
        <v>0.0</v>
      </c>
      <c r="I8" s="25">
        <v>0.0</v>
      </c>
      <c r="J8" s="25">
        <v>0.0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/>
      <c r="Q8" s="25"/>
      <c r="R8" s="25"/>
      <c r="S8" s="25"/>
      <c r="T8" s="25"/>
      <c r="U8" s="25"/>
      <c r="V8" s="25"/>
      <c r="W8" s="25"/>
      <c r="X8" s="25"/>
      <c r="Y8" s="25">
        <v>30.0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/>
      <c r="AK8" s="15">
        <f t="shared" si="1"/>
        <v>30</v>
      </c>
      <c r="AL8" s="15"/>
      <c r="AM8" s="15">
        <f t="shared" si="2"/>
        <v>30</v>
      </c>
      <c r="AN8" s="26">
        <v>277.0</v>
      </c>
      <c r="AO8" s="27">
        <f t="shared" si="3"/>
        <v>8310</v>
      </c>
      <c r="AP8" s="2"/>
      <c r="AQ8" s="2"/>
    </row>
    <row r="9">
      <c r="A9" s="28">
        <v>3.0</v>
      </c>
      <c r="B9" s="23" t="s">
        <v>21</v>
      </c>
      <c r="C9" s="23"/>
      <c r="D9" s="23" t="s">
        <v>17</v>
      </c>
      <c r="E9" s="24" t="s">
        <v>18</v>
      </c>
      <c r="F9" s="25">
        <v>25.0</v>
      </c>
      <c r="G9" s="25">
        <v>0.0</v>
      </c>
      <c r="H9" s="25">
        <v>0.0</v>
      </c>
      <c r="I9" s="25">
        <v>40.0</v>
      </c>
      <c r="J9" s="25">
        <v>0.0</v>
      </c>
      <c r="K9" s="25">
        <v>15.0</v>
      </c>
      <c r="L9" s="25">
        <v>25.0</v>
      </c>
      <c r="M9" s="25">
        <v>25.0</v>
      </c>
      <c r="N9" s="25">
        <v>25.0</v>
      </c>
      <c r="O9" s="25">
        <v>82.54</v>
      </c>
      <c r="P9" s="25"/>
      <c r="Q9" s="25"/>
      <c r="R9" s="25"/>
      <c r="S9" s="25"/>
      <c r="T9" s="25"/>
      <c r="U9" s="25"/>
      <c r="V9" s="25"/>
      <c r="W9" s="25"/>
      <c r="X9" s="25"/>
      <c r="Y9" s="25">
        <v>25.0</v>
      </c>
      <c r="Z9" s="25">
        <v>25.0</v>
      </c>
      <c r="AA9" s="25">
        <v>25.0</v>
      </c>
      <c r="AB9" s="25">
        <v>25.0</v>
      </c>
      <c r="AC9" s="25">
        <v>25.0</v>
      </c>
      <c r="AD9" s="25">
        <v>0.0</v>
      </c>
      <c r="AE9" s="25">
        <v>0.0</v>
      </c>
      <c r="AF9" s="25">
        <v>25.0</v>
      </c>
      <c r="AG9" s="25">
        <v>25.0</v>
      </c>
      <c r="AH9" s="25">
        <v>25.0</v>
      </c>
      <c r="AI9" s="25">
        <v>25.0</v>
      </c>
      <c r="AJ9" s="25"/>
      <c r="AK9" s="15">
        <f t="shared" si="1"/>
        <v>462.54</v>
      </c>
      <c r="AL9" s="15"/>
      <c r="AM9" s="15">
        <f t="shared" si="2"/>
        <v>462.54</v>
      </c>
      <c r="AN9" s="26">
        <v>277.0</v>
      </c>
      <c r="AO9" s="27">
        <f t="shared" si="3"/>
        <v>128123.58</v>
      </c>
      <c r="AP9" s="2"/>
      <c r="AQ9" s="2"/>
    </row>
    <row r="10">
      <c r="A10" s="28">
        <v>4.0</v>
      </c>
      <c r="B10" s="23" t="s">
        <v>22</v>
      </c>
      <c r="C10" s="23"/>
      <c r="D10" s="23" t="s">
        <v>17</v>
      </c>
      <c r="E10" s="24" t="s">
        <v>18</v>
      </c>
      <c r="F10" s="25">
        <v>0.0</v>
      </c>
      <c r="G10" s="25">
        <v>0.0</v>
      </c>
      <c r="H10" s="25">
        <v>0.0</v>
      </c>
      <c r="I10" s="25">
        <v>0.0</v>
      </c>
      <c r="J10" s="25">
        <v>0.0</v>
      </c>
      <c r="K10" s="25">
        <v>0.0</v>
      </c>
      <c r="L10" s="25">
        <v>0.0</v>
      </c>
      <c r="M10" s="25">
        <v>0.0</v>
      </c>
      <c r="N10" s="25">
        <v>0.0</v>
      </c>
      <c r="O10" s="25">
        <v>27.0</v>
      </c>
      <c r="P10" s="25"/>
      <c r="Q10" s="25"/>
      <c r="R10" s="25"/>
      <c r="S10" s="25"/>
      <c r="T10" s="25"/>
      <c r="U10" s="25"/>
      <c r="V10" s="25"/>
      <c r="W10" s="25"/>
      <c r="X10" s="25"/>
      <c r="Y10" s="25">
        <v>0.0</v>
      </c>
      <c r="Z10" s="25">
        <v>0.0</v>
      </c>
      <c r="AA10" s="25">
        <v>40.0</v>
      </c>
      <c r="AB10" s="25">
        <v>0.0</v>
      </c>
      <c r="AC10" s="25">
        <v>0.0</v>
      </c>
      <c r="AD10" s="25">
        <v>0.0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/>
      <c r="AK10" s="15">
        <f t="shared" si="1"/>
        <v>67</v>
      </c>
      <c r="AL10" s="15"/>
      <c r="AM10" s="15">
        <f t="shared" si="2"/>
        <v>67</v>
      </c>
      <c r="AN10" s="26">
        <v>277.0</v>
      </c>
      <c r="AO10" s="27">
        <f t="shared" si="3"/>
        <v>18559</v>
      </c>
      <c r="AP10" s="2"/>
      <c r="AQ10" s="2"/>
    </row>
    <row r="11">
      <c r="A11" s="30">
        <v>5.0</v>
      </c>
      <c r="B11" s="23" t="s">
        <v>23</v>
      </c>
      <c r="C11" s="23"/>
      <c r="D11" s="23" t="s">
        <v>24</v>
      </c>
      <c r="E11" s="24" t="s">
        <v>18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/>
      <c r="Q11" s="25"/>
      <c r="R11" s="25"/>
      <c r="S11" s="25"/>
      <c r="T11" s="25"/>
      <c r="U11" s="25"/>
      <c r="V11" s="25"/>
      <c r="W11" s="25"/>
      <c r="X11" s="25"/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/>
      <c r="AK11" s="15">
        <f t="shared" si="1"/>
        <v>0</v>
      </c>
      <c r="AL11" s="15"/>
      <c r="AM11" s="15">
        <f t="shared" si="2"/>
        <v>0</v>
      </c>
      <c r="AN11" s="26">
        <v>277.0</v>
      </c>
      <c r="AO11" s="27">
        <f t="shared" si="3"/>
        <v>0</v>
      </c>
      <c r="AP11" s="2"/>
      <c r="AQ11" s="2"/>
    </row>
    <row r="12">
      <c r="A12" s="30">
        <v>6.0</v>
      </c>
      <c r="B12" s="23" t="s">
        <v>25</v>
      </c>
      <c r="C12" s="23"/>
      <c r="D12" s="23" t="s">
        <v>17</v>
      </c>
      <c r="E12" s="24" t="s">
        <v>18</v>
      </c>
      <c r="F12" s="25">
        <v>0.0</v>
      </c>
      <c r="G12" s="25">
        <v>0.0</v>
      </c>
      <c r="H12" s="25">
        <v>0.0</v>
      </c>
      <c r="I12" s="25">
        <v>0.0</v>
      </c>
      <c r="J12" s="25">
        <v>0.0</v>
      </c>
      <c r="K12" s="25">
        <v>0.0</v>
      </c>
      <c r="L12" s="25">
        <v>10.0</v>
      </c>
      <c r="M12" s="25">
        <v>0.0</v>
      </c>
      <c r="N12" s="25">
        <v>10.0</v>
      </c>
      <c r="O12" s="25">
        <v>0.0</v>
      </c>
      <c r="P12" s="25"/>
      <c r="Q12" s="25"/>
      <c r="R12" s="25"/>
      <c r="S12" s="25"/>
      <c r="T12" s="25"/>
      <c r="U12" s="25"/>
      <c r="V12" s="25"/>
      <c r="W12" s="25"/>
      <c r="X12" s="25"/>
      <c r="Y12" s="25">
        <v>0.0</v>
      </c>
      <c r="Z12" s="25">
        <v>10.0</v>
      </c>
      <c r="AA12" s="25">
        <v>10.0</v>
      </c>
      <c r="AB12" s="25">
        <v>15.0</v>
      </c>
      <c r="AC12" s="25">
        <v>0.0</v>
      </c>
      <c r="AD12" s="25">
        <v>10.0</v>
      </c>
      <c r="AE12" s="25">
        <v>0.0</v>
      </c>
      <c r="AF12" s="25">
        <v>10.0</v>
      </c>
      <c r="AG12" s="25">
        <v>10.0</v>
      </c>
      <c r="AH12" s="25">
        <v>10.0</v>
      </c>
      <c r="AI12" s="25">
        <v>0.0</v>
      </c>
      <c r="AJ12" s="25"/>
      <c r="AK12" s="15">
        <f t="shared" si="1"/>
        <v>95</v>
      </c>
      <c r="AL12" s="15"/>
      <c r="AM12" s="15">
        <f t="shared" si="2"/>
        <v>95</v>
      </c>
      <c r="AN12" s="26">
        <v>277.0</v>
      </c>
      <c r="AO12" s="27">
        <f t="shared" si="3"/>
        <v>26315</v>
      </c>
      <c r="AP12" s="2"/>
      <c r="AQ12" s="2"/>
    </row>
    <row r="13">
      <c r="A13" s="30">
        <v>7.0</v>
      </c>
      <c r="B13" s="29" t="s">
        <v>26</v>
      </c>
      <c r="C13" s="23"/>
      <c r="D13" s="23" t="s">
        <v>17</v>
      </c>
      <c r="E13" s="24" t="s">
        <v>18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/>
      <c r="Q13" s="25"/>
      <c r="R13" s="25"/>
      <c r="S13" s="25"/>
      <c r="T13" s="25"/>
      <c r="U13" s="25"/>
      <c r="V13" s="25"/>
      <c r="W13" s="25"/>
      <c r="X13" s="25"/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10.0</v>
      </c>
      <c r="AJ13" s="25"/>
      <c r="AK13" s="15">
        <f t="shared" si="1"/>
        <v>10</v>
      </c>
      <c r="AL13" s="15"/>
      <c r="AM13" s="15">
        <f t="shared" si="2"/>
        <v>10</v>
      </c>
      <c r="AN13" s="26">
        <v>277.0</v>
      </c>
      <c r="AO13" s="27">
        <f t="shared" si="3"/>
        <v>2770</v>
      </c>
      <c r="AP13" s="2"/>
      <c r="AQ13" s="2"/>
    </row>
    <row r="14">
      <c r="A14" s="30">
        <v>8.0</v>
      </c>
      <c r="B14" s="23" t="s">
        <v>27</v>
      </c>
      <c r="C14" s="23"/>
      <c r="D14" s="23" t="s">
        <v>28</v>
      </c>
      <c r="E14" s="24" t="s">
        <v>18</v>
      </c>
      <c r="F14" s="25">
        <v>0.0</v>
      </c>
      <c r="G14" s="25">
        <v>0.0</v>
      </c>
      <c r="H14" s="25">
        <v>0.0</v>
      </c>
      <c r="I14" s="25">
        <v>30.0</v>
      </c>
      <c r="J14" s="25">
        <v>0.0</v>
      </c>
      <c r="K14" s="25">
        <v>0.0</v>
      </c>
      <c r="L14" s="25">
        <v>0.0</v>
      </c>
      <c r="M14" s="25">
        <v>0.0</v>
      </c>
      <c r="N14" s="25">
        <v>30.0</v>
      </c>
      <c r="O14" s="25">
        <v>0.0</v>
      </c>
      <c r="P14" s="25"/>
      <c r="Q14" s="25"/>
      <c r="R14" s="25"/>
      <c r="S14" s="25"/>
      <c r="T14" s="25"/>
      <c r="U14" s="25"/>
      <c r="V14" s="25"/>
      <c r="W14" s="25"/>
      <c r="X14" s="25"/>
      <c r="Y14" s="25">
        <v>0.0</v>
      </c>
      <c r="Z14" s="25">
        <v>0.0</v>
      </c>
      <c r="AA14" s="25">
        <v>30.0</v>
      </c>
      <c r="AB14" s="25">
        <v>0.0</v>
      </c>
      <c r="AC14" s="25">
        <v>0.0</v>
      </c>
      <c r="AD14" s="25">
        <v>0.0</v>
      </c>
      <c r="AE14" s="25">
        <v>0.0</v>
      </c>
      <c r="AF14" s="25">
        <v>0.0</v>
      </c>
      <c r="AG14" s="25">
        <v>0.0</v>
      </c>
      <c r="AH14" s="25">
        <v>10.0</v>
      </c>
      <c r="AI14" s="25">
        <v>0.0</v>
      </c>
      <c r="AJ14" s="25"/>
      <c r="AK14" s="15">
        <f t="shared" si="1"/>
        <v>100</v>
      </c>
      <c r="AL14" s="15"/>
      <c r="AM14" s="15">
        <f t="shared" si="2"/>
        <v>100</v>
      </c>
      <c r="AN14" s="26">
        <v>277.0</v>
      </c>
      <c r="AO14" s="27">
        <f t="shared" si="3"/>
        <v>27700</v>
      </c>
      <c r="AP14" s="31"/>
      <c r="AQ14" s="2"/>
    </row>
    <row r="15">
      <c r="A15" s="30">
        <v>9.0</v>
      </c>
      <c r="B15" s="23" t="s">
        <v>29</v>
      </c>
      <c r="C15" s="23"/>
      <c r="D15" s="23" t="s">
        <v>20</v>
      </c>
      <c r="E15" s="24" t="s">
        <v>18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/>
      <c r="Q15" s="25"/>
      <c r="R15" s="25"/>
      <c r="S15" s="25"/>
      <c r="T15" s="25"/>
      <c r="U15" s="25"/>
      <c r="V15" s="25"/>
      <c r="W15" s="25"/>
      <c r="X15" s="25"/>
      <c r="Y15" s="25">
        <v>0.0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20.0</v>
      </c>
      <c r="AH15" s="25">
        <v>0.0</v>
      </c>
      <c r="AI15" s="25">
        <v>0.0</v>
      </c>
      <c r="AJ15" s="25"/>
      <c r="AK15" s="15">
        <f t="shared" si="1"/>
        <v>20</v>
      </c>
      <c r="AL15" s="15"/>
      <c r="AM15" s="15">
        <f t="shared" si="2"/>
        <v>20</v>
      </c>
      <c r="AN15" s="26">
        <v>277.0</v>
      </c>
      <c r="AO15" s="27">
        <f t="shared" si="3"/>
        <v>5540</v>
      </c>
      <c r="AP15" s="2"/>
      <c r="AQ15" s="2"/>
    </row>
    <row r="16">
      <c r="A16" s="30">
        <v>10.0</v>
      </c>
      <c r="B16" s="29" t="s">
        <v>30</v>
      </c>
      <c r="C16" s="23"/>
      <c r="D16" s="29" t="s">
        <v>31</v>
      </c>
      <c r="E16" s="24" t="s">
        <v>18</v>
      </c>
      <c r="F16" s="25">
        <v>0.0</v>
      </c>
      <c r="G16" s="25">
        <v>0.0</v>
      </c>
      <c r="H16" s="25">
        <v>0.0</v>
      </c>
      <c r="I16" s="25">
        <v>0.0</v>
      </c>
      <c r="J16" s="25">
        <v>0.0</v>
      </c>
      <c r="K16" s="25">
        <v>0.0</v>
      </c>
      <c r="L16" s="25">
        <v>0.0</v>
      </c>
      <c r="M16" s="25">
        <v>0.0</v>
      </c>
      <c r="N16" s="25">
        <v>0.0</v>
      </c>
      <c r="O16" s="25">
        <v>0.0</v>
      </c>
      <c r="P16" s="25"/>
      <c r="Q16" s="25"/>
      <c r="R16" s="25"/>
      <c r="S16" s="25"/>
      <c r="T16" s="25"/>
      <c r="U16" s="25"/>
      <c r="V16" s="25"/>
      <c r="W16" s="25"/>
      <c r="X16" s="25"/>
      <c r="Y16" s="25">
        <v>0.0</v>
      </c>
      <c r="Z16" s="25">
        <v>0.0</v>
      </c>
      <c r="AA16" s="25">
        <v>0.0</v>
      </c>
      <c r="AB16" s="25">
        <v>40.0</v>
      </c>
      <c r="AC16" s="25">
        <v>0.0</v>
      </c>
      <c r="AD16" s="25">
        <v>0.0</v>
      </c>
      <c r="AE16" s="25">
        <v>0.0</v>
      </c>
      <c r="AF16" s="25">
        <v>0.0</v>
      </c>
      <c r="AG16" s="25">
        <v>0.0</v>
      </c>
      <c r="AH16" s="25">
        <v>0.0</v>
      </c>
      <c r="AI16" s="25">
        <v>0.0</v>
      </c>
      <c r="AJ16" s="25"/>
      <c r="AK16" s="15">
        <f t="shared" si="1"/>
        <v>40</v>
      </c>
      <c r="AL16" s="15"/>
      <c r="AM16" s="15">
        <f t="shared" si="2"/>
        <v>40</v>
      </c>
      <c r="AN16" s="26">
        <v>277.0</v>
      </c>
      <c r="AO16" s="27">
        <f t="shared" si="3"/>
        <v>11080</v>
      </c>
      <c r="AP16" s="2"/>
      <c r="AQ16" s="2"/>
    </row>
    <row r="17">
      <c r="A17" s="30">
        <v>11.0</v>
      </c>
      <c r="B17" s="29" t="s">
        <v>32</v>
      </c>
      <c r="C17" s="23"/>
      <c r="D17" s="29" t="s">
        <v>31</v>
      </c>
      <c r="E17" s="24" t="s">
        <v>18</v>
      </c>
      <c r="F17" s="25">
        <v>50.0</v>
      </c>
      <c r="G17" s="25">
        <v>0.0</v>
      </c>
      <c r="H17" s="25">
        <v>0.0</v>
      </c>
      <c r="I17" s="25">
        <v>0.0</v>
      </c>
      <c r="J17" s="25">
        <v>0.0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/>
      <c r="Q17" s="25"/>
      <c r="R17" s="25"/>
      <c r="S17" s="25"/>
      <c r="T17" s="25"/>
      <c r="U17" s="25"/>
      <c r="V17" s="25"/>
      <c r="W17" s="25"/>
      <c r="X17" s="25"/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/>
      <c r="AK17" s="15">
        <f t="shared" si="1"/>
        <v>50</v>
      </c>
      <c r="AL17" s="15"/>
      <c r="AM17" s="15">
        <f t="shared" si="2"/>
        <v>50</v>
      </c>
      <c r="AN17" s="26">
        <v>277.0</v>
      </c>
      <c r="AO17" s="27">
        <f t="shared" si="3"/>
        <v>13850</v>
      </c>
      <c r="AP17" s="2"/>
      <c r="AQ17" s="2"/>
    </row>
    <row r="18">
      <c r="A18" s="30">
        <v>12.0</v>
      </c>
      <c r="B18" s="23" t="s">
        <v>33</v>
      </c>
      <c r="C18" s="23"/>
      <c r="D18" s="23" t="s">
        <v>34</v>
      </c>
      <c r="E18" s="24" t="s">
        <v>18</v>
      </c>
      <c r="F18" s="25">
        <v>0.0</v>
      </c>
      <c r="G18" s="25">
        <v>0.0</v>
      </c>
      <c r="H18" s="25">
        <v>60.0</v>
      </c>
      <c r="I18" s="25">
        <v>0.0</v>
      </c>
      <c r="J18" s="25">
        <v>0.0</v>
      </c>
      <c r="K18" s="25">
        <v>0.0</v>
      </c>
      <c r="L18" s="25">
        <v>280.0</v>
      </c>
      <c r="M18" s="25">
        <v>0.0</v>
      </c>
      <c r="N18" s="25">
        <v>0.0</v>
      </c>
      <c r="O18" s="25">
        <v>0.0</v>
      </c>
      <c r="P18" s="25"/>
      <c r="Q18" s="25"/>
      <c r="R18" s="25"/>
      <c r="S18" s="25"/>
      <c r="T18" s="25"/>
      <c r="U18" s="25"/>
      <c r="V18" s="25"/>
      <c r="W18" s="25"/>
      <c r="X18" s="25"/>
      <c r="Y18" s="25">
        <v>0.0</v>
      </c>
      <c r="Z18" s="25">
        <v>70.0</v>
      </c>
      <c r="AA18" s="25">
        <v>80.0</v>
      </c>
      <c r="AB18" s="25">
        <v>60.0</v>
      </c>
      <c r="AC18" s="25">
        <v>370.0</v>
      </c>
      <c r="AD18" s="25">
        <v>0.0</v>
      </c>
      <c r="AE18" s="25">
        <v>350.0</v>
      </c>
      <c r="AF18" s="25">
        <v>0.0</v>
      </c>
      <c r="AG18" s="25">
        <v>0.0</v>
      </c>
      <c r="AH18" s="25">
        <v>0.0</v>
      </c>
      <c r="AI18" s="25">
        <v>80.0</v>
      </c>
      <c r="AJ18" s="25"/>
      <c r="AK18" s="15">
        <f t="shared" si="1"/>
        <v>1350</v>
      </c>
      <c r="AL18" s="15"/>
      <c r="AM18" s="15">
        <f t="shared" si="2"/>
        <v>1350</v>
      </c>
      <c r="AN18" s="26">
        <v>277.0</v>
      </c>
      <c r="AO18" s="27">
        <f t="shared" si="3"/>
        <v>373950</v>
      </c>
      <c r="AP18" s="2"/>
      <c r="AQ18" s="2"/>
    </row>
    <row r="19">
      <c r="A19" s="30">
        <v>13.0</v>
      </c>
      <c r="B19" s="23" t="s">
        <v>35</v>
      </c>
      <c r="C19" s="23"/>
      <c r="D19" s="23" t="s">
        <v>34</v>
      </c>
      <c r="E19" s="24" t="s">
        <v>18</v>
      </c>
      <c r="F19" s="25">
        <v>60.0</v>
      </c>
      <c r="G19" s="25">
        <v>0.0</v>
      </c>
      <c r="H19" s="25">
        <v>0.0</v>
      </c>
      <c r="I19" s="25">
        <v>0.0</v>
      </c>
      <c r="J19" s="25">
        <v>0.0</v>
      </c>
      <c r="K19" s="25">
        <v>225.0</v>
      </c>
      <c r="L19" s="25">
        <v>0.0</v>
      </c>
      <c r="M19" s="25">
        <v>0.0</v>
      </c>
      <c r="N19" s="25">
        <v>220.0</v>
      </c>
      <c r="O19" s="25">
        <v>0.0</v>
      </c>
      <c r="P19" s="25"/>
      <c r="Q19" s="25"/>
      <c r="R19" s="25"/>
      <c r="S19" s="25"/>
      <c r="T19" s="25"/>
      <c r="U19" s="25"/>
      <c r="V19" s="25"/>
      <c r="W19" s="25"/>
      <c r="X19" s="25"/>
      <c r="Y19" s="25">
        <v>0.0</v>
      </c>
      <c r="Z19" s="25">
        <v>0.0</v>
      </c>
      <c r="AA19" s="25">
        <v>0.0</v>
      </c>
      <c r="AB19" s="25">
        <v>0.0</v>
      </c>
      <c r="AC19" s="25">
        <v>0.0</v>
      </c>
      <c r="AD19" s="25">
        <v>20.0</v>
      </c>
      <c r="AE19" s="25">
        <v>0.0</v>
      </c>
      <c r="AF19" s="25">
        <v>80.0</v>
      </c>
      <c r="AG19" s="25">
        <v>0.0</v>
      </c>
      <c r="AH19" s="25">
        <v>0.0</v>
      </c>
      <c r="AI19" s="25">
        <v>265.0</v>
      </c>
      <c r="AJ19" s="25"/>
      <c r="AK19" s="15">
        <f t="shared" si="1"/>
        <v>870</v>
      </c>
      <c r="AL19" s="15"/>
      <c r="AM19" s="15">
        <f t="shared" si="2"/>
        <v>870</v>
      </c>
      <c r="AN19" s="26">
        <v>277.0</v>
      </c>
      <c r="AO19" s="27">
        <f t="shared" si="3"/>
        <v>240990</v>
      </c>
      <c r="AP19" s="2"/>
      <c r="AQ19" s="2"/>
    </row>
    <row r="20">
      <c r="A20" s="30">
        <v>14.0</v>
      </c>
      <c r="B20" s="23" t="s">
        <v>36</v>
      </c>
      <c r="C20" s="23"/>
      <c r="D20" s="23" t="s">
        <v>34</v>
      </c>
      <c r="E20" s="24" t="s">
        <v>18</v>
      </c>
      <c r="F20" s="25">
        <v>80.0</v>
      </c>
      <c r="G20" s="25">
        <v>0.0</v>
      </c>
      <c r="H20" s="25">
        <v>0.0</v>
      </c>
      <c r="I20" s="25">
        <v>0.0</v>
      </c>
      <c r="J20" s="25">
        <v>0.0</v>
      </c>
      <c r="K20" s="25">
        <v>0.0</v>
      </c>
      <c r="L20" s="25">
        <v>0.0</v>
      </c>
      <c r="M20" s="25">
        <v>0.0</v>
      </c>
      <c r="N20" s="25">
        <v>0.0</v>
      </c>
      <c r="O20" s="25">
        <v>0.0</v>
      </c>
      <c r="P20" s="25"/>
      <c r="Q20" s="25"/>
      <c r="R20" s="25"/>
      <c r="S20" s="25"/>
      <c r="T20" s="25"/>
      <c r="U20" s="25"/>
      <c r="V20" s="25"/>
      <c r="W20" s="25"/>
      <c r="X20" s="25"/>
      <c r="Y20" s="25">
        <v>0.0</v>
      </c>
      <c r="Z20" s="25">
        <v>0.0</v>
      </c>
      <c r="AA20" s="25">
        <v>20.0</v>
      </c>
      <c r="AB20" s="25">
        <v>40.0</v>
      </c>
      <c r="AC20" s="25">
        <v>60.0</v>
      </c>
      <c r="AD20" s="25">
        <v>75.0</v>
      </c>
      <c r="AE20" s="25">
        <v>0.0</v>
      </c>
      <c r="AF20" s="25">
        <v>40.0</v>
      </c>
      <c r="AG20" s="25">
        <v>0.0</v>
      </c>
      <c r="AH20" s="25">
        <v>60.0</v>
      </c>
      <c r="AI20" s="25">
        <v>60.0</v>
      </c>
      <c r="AJ20" s="25"/>
      <c r="AK20" s="15">
        <f t="shared" si="1"/>
        <v>435</v>
      </c>
      <c r="AL20" s="15"/>
      <c r="AM20" s="15">
        <f t="shared" si="2"/>
        <v>435</v>
      </c>
      <c r="AN20" s="26">
        <v>277.0</v>
      </c>
      <c r="AO20" s="27">
        <f t="shared" si="3"/>
        <v>120495</v>
      </c>
      <c r="AP20" s="2"/>
      <c r="AQ20" s="2"/>
    </row>
    <row r="21">
      <c r="A21" s="30">
        <v>15.0</v>
      </c>
      <c r="B21" s="23" t="s">
        <v>37</v>
      </c>
      <c r="C21" s="23"/>
      <c r="D21" s="23" t="s">
        <v>34</v>
      </c>
      <c r="E21" s="24" t="s">
        <v>18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v>0.0</v>
      </c>
      <c r="L21" s="25">
        <v>0.0</v>
      </c>
      <c r="M21" s="25">
        <v>0.0</v>
      </c>
      <c r="N21" s="25">
        <v>0.0</v>
      </c>
      <c r="O21" s="25">
        <v>0.0</v>
      </c>
      <c r="P21" s="25"/>
      <c r="Q21" s="25"/>
      <c r="R21" s="25"/>
      <c r="S21" s="25"/>
      <c r="T21" s="25"/>
      <c r="U21" s="25"/>
      <c r="V21" s="25"/>
      <c r="W21" s="25"/>
      <c r="X21" s="25"/>
      <c r="Y21" s="25">
        <v>0.0</v>
      </c>
      <c r="Z21" s="25">
        <v>0.0</v>
      </c>
      <c r="AA21" s="25">
        <v>0.0</v>
      </c>
      <c r="AB21" s="25">
        <v>0.0</v>
      </c>
      <c r="AC21" s="25">
        <v>0.0</v>
      </c>
      <c r="AD21" s="25">
        <v>0.0</v>
      </c>
      <c r="AE21" s="25">
        <v>0.0</v>
      </c>
      <c r="AF21" s="25">
        <v>0.0</v>
      </c>
      <c r="AG21" s="25">
        <v>0.0</v>
      </c>
      <c r="AH21" s="25">
        <v>0.0</v>
      </c>
      <c r="AI21" s="25">
        <v>0.0</v>
      </c>
      <c r="AJ21" s="25"/>
      <c r="AK21" s="15">
        <f t="shared" si="1"/>
        <v>0</v>
      </c>
      <c r="AL21" s="15"/>
      <c r="AM21" s="15">
        <f t="shared" si="2"/>
        <v>0</v>
      </c>
      <c r="AN21" s="26">
        <v>277.0</v>
      </c>
      <c r="AO21" s="27">
        <f t="shared" si="3"/>
        <v>0</v>
      </c>
      <c r="AP21" s="2"/>
      <c r="AQ21" s="2"/>
    </row>
    <row r="22">
      <c r="A22" s="30">
        <v>16.0</v>
      </c>
      <c r="B22" s="23" t="s">
        <v>38</v>
      </c>
      <c r="C22" s="23"/>
      <c r="D22" s="23" t="s">
        <v>34</v>
      </c>
      <c r="E22" s="23" t="s">
        <v>18</v>
      </c>
      <c r="F22" s="25">
        <v>0.0</v>
      </c>
      <c r="G22" s="25">
        <v>110.0</v>
      </c>
      <c r="H22" s="25">
        <v>0.0</v>
      </c>
      <c r="I22" s="25">
        <v>0.0</v>
      </c>
      <c r="J22" s="25">
        <v>0.0</v>
      </c>
      <c r="K22" s="25">
        <v>0.0</v>
      </c>
      <c r="L22" s="25">
        <v>0.0</v>
      </c>
      <c r="M22" s="25">
        <v>0.0</v>
      </c>
      <c r="N22" s="25">
        <v>0.0</v>
      </c>
      <c r="O22" s="25">
        <v>0.0</v>
      </c>
      <c r="P22" s="25"/>
      <c r="Q22" s="25"/>
      <c r="R22" s="25"/>
      <c r="S22" s="25"/>
      <c r="T22" s="25"/>
      <c r="U22" s="25"/>
      <c r="V22" s="25"/>
      <c r="W22" s="25"/>
      <c r="X22" s="25"/>
      <c r="Y22" s="25">
        <v>0.0</v>
      </c>
      <c r="Z22" s="25">
        <v>0.0</v>
      </c>
      <c r="AA22" s="25">
        <v>0.0</v>
      </c>
      <c r="AB22" s="25">
        <v>0.0</v>
      </c>
      <c r="AC22" s="25">
        <v>90.0</v>
      </c>
      <c r="AD22" s="25">
        <v>0.0</v>
      </c>
      <c r="AE22" s="25">
        <v>0.0</v>
      </c>
      <c r="AF22" s="25">
        <v>0.0</v>
      </c>
      <c r="AG22" s="25">
        <v>60.0</v>
      </c>
      <c r="AH22" s="25">
        <v>0.0</v>
      </c>
      <c r="AI22" s="25">
        <v>0.0</v>
      </c>
      <c r="AJ22" s="25"/>
      <c r="AK22" s="15">
        <f t="shared" si="1"/>
        <v>260</v>
      </c>
      <c r="AL22" s="15"/>
      <c r="AM22" s="15">
        <f t="shared" si="2"/>
        <v>260</v>
      </c>
      <c r="AN22" s="26">
        <v>277.0</v>
      </c>
      <c r="AO22" s="27">
        <f t="shared" si="3"/>
        <v>72020</v>
      </c>
      <c r="AP22" s="2"/>
      <c r="AQ22" s="2"/>
    </row>
    <row r="23">
      <c r="A23" s="30">
        <v>17.0</v>
      </c>
      <c r="B23" s="23" t="s">
        <v>39</v>
      </c>
      <c r="C23" s="23"/>
      <c r="D23" s="23" t="s">
        <v>20</v>
      </c>
      <c r="E23" s="23" t="s">
        <v>18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v>0.0</v>
      </c>
      <c r="L23" s="25">
        <v>0.0</v>
      </c>
      <c r="M23" s="25">
        <v>0.0</v>
      </c>
      <c r="N23" s="25">
        <v>0.0</v>
      </c>
      <c r="O23" s="25">
        <v>40.0</v>
      </c>
      <c r="P23" s="25"/>
      <c r="Q23" s="25"/>
      <c r="R23" s="25"/>
      <c r="S23" s="25"/>
      <c r="T23" s="25"/>
      <c r="U23" s="25"/>
      <c r="V23" s="25"/>
      <c r="W23" s="25"/>
      <c r="X23" s="25"/>
      <c r="Y23" s="25">
        <v>0.0</v>
      </c>
      <c r="Z23" s="25">
        <v>0.0</v>
      </c>
      <c r="AA23" s="25">
        <v>60.0</v>
      </c>
      <c r="AB23" s="25">
        <v>45.0</v>
      </c>
      <c r="AC23" s="25">
        <v>0.0</v>
      </c>
      <c r="AD23" s="25">
        <v>50.0</v>
      </c>
      <c r="AE23" s="25">
        <v>202.0</v>
      </c>
      <c r="AF23" s="25">
        <v>0.0</v>
      </c>
      <c r="AG23" s="25">
        <v>50.0</v>
      </c>
      <c r="AH23" s="25">
        <v>20.0</v>
      </c>
      <c r="AI23" s="25">
        <v>0.0</v>
      </c>
      <c r="AJ23" s="25"/>
      <c r="AK23" s="15">
        <f t="shared" si="1"/>
        <v>467</v>
      </c>
      <c r="AL23" s="15"/>
      <c r="AM23" s="15">
        <f t="shared" si="2"/>
        <v>467</v>
      </c>
      <c r="AN23" s="26">
        <v>277.0</v>
      </c>
      <c r="AO23" s="27">
        <f t="shared" si="3"/>
        <v>129359</v>
      </c>
      <c r="AP23" s="2"/>
      <c r="AQ23" s="2"/>
    </row>
    <row r="24">
      <c r="A24" s="30">
        <v>18.0</v>
      </c>
      <c r="B24" s="23" t="s">
        <v>40</v>
      </c>
      <c r="C24" s="23"/>
      <c r="D24" s="23" t="s">
        <v>20</v>
      </c>
      <c r="E24" s="23" t="s">
        <v>18</v>
      </c>
      <c r="F24" s="25">
        <v>0.0</v>
      </c>
      <c r="G24" s="25">
        <v>0.0</v>
      </c>
      <c r="H24" s="25">
        <v>0.0</v>
      </c>
      <c r="I24" s="25">
        <v>0.0</v>
      </c>
      <c r="J24" s="25">
        <v>0.0</v>
      </c>
      <c r="K24" s="25">
        <v>0.0</v>
      </c>
      <c r="L24" s="25">
        <v>70.0</v>
      </c>
      <c r="M24" s="25">
        <v>80.0</v>
      </c>
      <c r="N24" s="25">
        <v>70.0</v>
      </c>
      <c r="O24" s="25">
        <v>0.0</v>
      </c>
      <c r="P24" s="25"/>
      <c r="Q24" s="25"/>
      <c r="R24" s="25"/>
      <c r="S24" s="25"/>
      <c r="T24" s="25"/>
      <c r="U24" s="25"/>
      <c r="V24" s="25"/>
      <c r="W24" s="25"/>
      <c r="X24" s="25"/>
      <c r="Y24" s="25">
        <v>181.0</v>
      </c>
      <c r="Z24" s="25">
        <v>0.0</v>
      </c>
      <c r="AA24" s="25">
        <v>0.0</v>
      </c>
      <c r="AB24" s="25">
        <v>65.0</v>
      </c>
      <c r="AC24" s="25">
        <v>140.0</v>
      </c>
      <c r="AD24" s="25">
        <v>0.0</v>
      </c>
      <c r="AE24" s="25">
        <v>0.0</v>
      </c>
      <c r="AF24" s="25">
        <v>0.0</v>
      </c>
      <c r="AG24" s="25">
        <v>120.0</v>
      </c>
      <c r="AH24" s="25">
        <v>0.0</v>
      </c>
      <c r="AI24" s="25">
        <v>80.0</v>
      </c>
      <c r="AJ24" s="25"/>
      <c r="AK24" s="15">
        <f t="shared" si="1"/>
        <v>806</v>
      </c>
      <c r="AL24" s="15"/>
      <c r="AM24" s="15">
        <f t="shared" si="2"/>
        <v>806</v>
      </c>
      <c r="AN24" s="26">
        <v>277.0</v>
      </c>
      <c r="AO24" s="27">
        <f t="shared" si="3"/>
        <v>223262</v>
      </c>
      <c r="AP24" s="2"/>
      <c r="AQ24" s="2"/>
    </row>
    <row r="25">
      <c r="A25" s="30">
        <v>19.0</v>
      </c>
      <c r="B25" s="23" t="s">
        <v>41</v>
      </c>
      <c r="C25" s="23"/>
      <c r="D25" s="23" t="s">
        <v>34</v>
      </c>
      <c r="E25" s="23" t="s">
        <v>18</v>
      </c>
      <c r="F25" s="25">
        <v>166.0</v>
      </c>
      <c r="G25" s="25">
        <v>0.0</v>
      </c>
      <c r="H25" s="25">
        <v>0.0</v>
      </c>
      <c r="I25" s="25">
        <v>0.0</v>
      </c>
      <c r="J25" s="25">
        <v>0.0</v>
      </c>
      <c r="K25" s="25">
        <v>120.0</v>
      </c>
      <c r="L25" s="25">
        <v>148.0</v>
      </c>
      <c r="M25" s="25">
        <v>0.0</v>
      </c>
      <c r="N25" s="25">
        <v>0.0</v>
      </c>
      <c r="O25" s="25">
        <v>0.0</v>
      </c>
      <c r="P25" s="25"/>
      <c r="Q25" s="25"/>
      <c r="R25" s="25"/>
      <c r="S25" s="25"/>
      <c r="T25" s="25"/>
      <c r="U25" s="25"/>
      <c r="V25" s="25"/>
      <c r="W25" s="25"/>
      <c r="X25" s="25"/>
      <c r="Y25" s="25">
        <v>0.0</v>
      </c>
      <c r="Z25" s="25">
        <v>0.0</v>
      </c>
      <c r="AA25" s="25">
        <v>70.0</v>
      </c>
      <c r="AB25" s="25">
        <v>0.0</v>
      </c>
      <c r="AC25" s="25">
        <v>0.0</v>
      </c>
      <c r="AD25" s="25">
        <v>0.0</v>
      </c>
      <c r="AE25" s="25">
        <v>0.0</v>
      </c>
      <c r="AF25" s="25">
        <v>0.0</v>
      </c>
      <c r="AG25" s="25">
        <v>250.61</v>
      </c>
      <c r="AH25" s="25">
        <v>0.0</v>
      </c>
      <c r="AI25" s="25">
        <v>0.0</v>
      </c>
      <c r="AJ25" s="25"/>
      <c r="AK25" s="15">
        <f t="shared" si="1"/>
        <v>754.61</v>
      </c>
      <c r="AL25" s="15"/>
      <c r="AM25" s="15">
        <f t="shared" si="2"/>
        <v>754.61</v>
      </c>
      <c r="AN25" s="26">
        <v>277.0</v>
      </c>
      <c r="AO25" s="27">
        <f t="shared" si="3"/>
        <v>209026.97</v>
      </c>
      <c r="AP25" s="2"/>
      <c r="AQ25" s="2"/>
    </row>
    <row r="26">
      <c r="A26" s="30">
        <v>20.0</v>
      </c>
      <c r="B26" s="23" t="s">
        <v>42</v>
      </c>
      <c r="C26" s="23"/>
      <c r="D26" s="23" t="s">
        <v>20</v>
      </c>
      <c r="E26" s="23" t="s">
        <v>18</v>
      </c>
      <c r="F26" s="25">
        <v>0.0</v>
      </c>
      <c r="G26" s="25">
        <v>0.0</v>
      </c>
      <c r="H26" s="25">
        <v>0.0</v>
      </c>
      <c r="I26" s="25">
        <v>0.0</v>
      </c>
      <c r="J26" s="25">
        <v>0.0</v>
      </c>
      <c r="K26" s="25">
        <v>0.0</v>
      </c>
      <c r="L26" s="25">
        <v>0.0</v>
      </c>
      <c r="M26" s="25">
        <v>0.0</v>
      </c>
      <c r="N26" s="25">
        <v>0.0</v>
      </c>
      <c r="O26" s="25">
        <v>0.0</v>
      </c>
      <c r="P26" s="25"/>
      <c r="Q26" s="25"/>
      <c r="R26" s="25"/>
      <c r="S26" s="25"/>
      <c r="T26" s="25"/>
      <c r="U26" s="25"/>
      <c r="V26" s="25"/>
      <c r="W26" s="25"/>
      <c r="X26" s="25"/>
      <c r="Y26" s="25">
        <v>0.0</v>
      </c>
      <c r="Z26" s="25">
        <v>0.0</v>
      </c>
      <c r="AA26" s="25">
        <v>0.0</v>
      </c>
      <c r="AB26" s="25">
        <v>0.0</v>
      </c>
      <c r="AC26" s="25">
        <v>0.0</v>
      </c>
      <c r="AD26" s="25">
        <v>0.0</v>
      </c>
      <c r="AE26" s="25">
        <v>0.0</v>
      </c>
      <c r="AF26" s="25">
        <v>0.0</v>
      </c>
      <c r="AG26" s="25">
        <v>0.0</v>
      </c>
      <c r="AH26" s="25">
        <v>0.0</v>
      </c>
      <c r="AI26" s="25">
        <v>0.0</v>
      </c>
      <c r="AJ26" s="25"/>
      <c r="AK26" s="15">
        <f t="shared" si="1"/>
        <v>0</v>
      </c>
      <c r="AL26" s="15"/>
      <c r="AM26" s="15">
        <f t="shared" si="2"/>
        <v>0</v>
      </c>
      <c r="AN26" s="26">
        <v>277.0</v>
      </c>
      <c r="AO26" s="27">
        <f t="shared" si="3"/>
        <v>0</v>
      </c>
      <c r="AP26" s="2"/>
      <c r="AQ26" s="2"/>
    </row>
    <row r="27">
      <c r="A27" s="32">
        <v>21.0</v>
      </c>
      <c r="B27" s="33" t="s">
        <v>43</v>
      </c>
      <c r="C27" s="34"/>
      <c r="D27" s="33" t="s">
        <v>17</v>
      </c>
      <c r="E27" s="34" t="s">
        <v>18</v>
      </c>
      <c r="F27" s="25">
        <v>0.0</v>
      </c>
      <c r="G27" s="25">
        <v>0.0</v>
      </c>
      <c r="H27" s="25">
        <v>0.0</v>
      </c>
      <c r="I27" s="25">
        <v>15.0</v>
      </c>
      <c r="J27" s="25">
        <v>0.0</v>
      </c>
      <c r="K27" s="25">
        <v>10.0</v>
      </c>
      <c r="L27" s="25">
        <v>0.0</v>
      </c>
      <c r="M27" s="25">
        <v>0.0</v>
      </c>
      <c r="N27" s="25">
        <v>0.0</v>
      </c>
      <c r="O27" s="25">
        <v>0.0</v>
      </c>
      <c r="P27" s="25"/>
      <c r="Q27" s="25"/>
      <c r="R27" s="25"/>
      <c r="S27" s="25"/>
      <c r="T27" s="25"/>
      <c r="U27" s="25"/>
      <c r="V27" s="25"/>
      <c r="W27" s="25"/>
      <c r="X27" s="25"/>
      <c r="Y27" s="25">
        <v>0.0</v>
      </c>
      <c r="Z27" s="25">
        <v>0.0</v>
      </c>
      <c r="AA27" s="25">
        <v>0.0</v>
      </c>
      <c r="AB27" s="25">
        <v>0.0</v>
      </c>
      <c r="AC27" s="25">
        <v>0.0</v>
      </c>
      <c r="AD27" s="25">
        <v>0.0</v>
      </c>
      <c r="AE27" s="25">
        <v>0.0</v>
      </c>
      <c r="AF27" s="25">
        <v>0.0</v>
      </c>
      <c r="AG27" s="25">
        <v>0.0</v>
      </c>
      <c r="AH27" s="25">
        <v>0.0</v>
      </c>
      <c r="AI27" s="25">
        <v>0.0</v>
      </c>
      <c r="AJ27" s="25"/>
      <c r="AK27" s="15">
        <f t="shared" si="1"/>
        <v>25</v>
      </c>
      <c r="AL27" s="15"/>
      <c r="AM27" s="15">
        <f t="shared" si="2"/>
        <v>25</v>
      </c>
      <c r="AN27" s="26">
        <v>277.0</v>
      </c>
      <c r="AO27" s="27">
        <f t="shared" si="3"/>
        <v>6925</v>
      </c>
      <c r="AP27" s="2"/>
      <c r="AQ27" s="2"/>
    </row>
    <row r="28">
      <c r="A28" s="30">
        <v>22.0</v>
      </c>
      <c r="B28" s="23" t="s">
        <v>44</v>
      </c>
      <c r="C28" s="23"/>
      <c r="D28" s="23" t="s">
        <v>45</v>
      </c>
      <c r="E28" s="23" t="s">
        <v>18</v>
      </c>
      <c r="F28" s="25">
        <v>0.0</v>
      </c>
      <c r="G28" s="25">
        <v>24.37</v>
      </c>
      <c r="H28" s="25">
        <v>0.0</v>
      </c>
      <c r="I28" s="25">
        <v>10.0</v>
      </c>
      <c r="J28" s="25">
        <v>10.0</v>
      </c>
      <c r="K28" s="25">
        <v>0.0</v>
      </c>
      <c r="L28" s="25">
        <v>10.0</v>
      </c>
      <c r="M28" s="25">
        <v>0.0</v>
      </c>
      <c r="N28" s="25">
        <v>0.0</v>
      </c>
      <c r="O28" s="25">
        <v>0.0</v>
      </c>
      <c r="P28" s="25"/>
      <c r="Q28" s="25"/>
      <c r="R28" s="25"/>
      <c r="S28" s="25"/>
      <c r="T28" s="25"/>
      <c r="U28" s="25"/>
      <c r="V28" s="25"/>
      <c r="W28" s="25"/>
      <c r="X28" s="25"/>
      <c r="Y28" s="25">
        <v>20.0</v>
      </c>
      <c r="Z28" s="25">
        <v>0.0</v>
      </c>
      <c r="AA28" s="25">
        <v>0.0</v>
      </c>
      <c r="AB28" s="25">
        <v>0.0</v>
      </c>
      <c r="AC28" s="25">
        <v>0.0</v>
      </c>
      <c r="AD28" s="25">
        <v>0.0</v>
      </c>
      <c r="AE28" s="25">
        <v>0.0</v>
      </c>
      <c r="AF28" s="25">
        <v>0.0</v>
      </c>
      <c r="AG28" s="25">
        <v>0.0</v>
      </c>
      <c r="AH28" s="25">
        <v>0.0</v>
      </c>
      <c r="AI28" s="25">
        <v>0.0</v>
      </c>
      <c r="AJ28" s="25"/>
      <c r="AK28" s="15">
        <f t="shared" si="1"/>
        <v>74.37</v>
      </c>
      <c r="AL28" s="15"/>
      <c r="AM28" s="15">
        <f t="shared" si="2"/>
        <v>74.37</v>
      </c>
      <c r="AN28" s="26">
        <v>277.0</v>
      </c>
      <c r="AO28" s="27">
        <f t="shared" si="3"/>
        <v>20600.49</v>
      </c>
      <c r="AP28" s="2"/>
      <c r="AQ28" s="2"/>
    </row>
    <row r="29">
      <c r="A29" s="30">
        <v>23.0</v>
      </c>
      <c r="B29" s="23" t="s">
        <v>46</v>
      </c>
      <c r="C29" s="23"/>
      <c r="D29" s="23" t="s">
        <v>47</v>
      </c>
      <c r="E29" s="23" t="s">
        <v>18</v>
      </c>
      <c r="F29" s="25">
        <v>0.0</v>
      </c>
      <c r="G29" s="25">
        <v>0.0</v>
      </c>
      <c r="H29" s="25">
        <v>0.0</v>
      </c>
      <c r="I29" s="25">
        <v>0.0</v>
      </c>
      <c r="J29" s="25">
        <v>0.0</v>
      </c>
      <c r="K29" s="25">
        <v>0.0</v>
      </c>
      <c r="L29" s="25">
        <v>0.0</v>
      </c>
      <c r="M29" s="25">
        <v>0.0</v>
      </c>
      <c r="N29" s="25">
        <v>0.0</v>
      </c>
      <c r="O29" s="25">
        <v>0.0</v>
      </c>
      <c r="P29" s="25"/>
      <c r="Q29" s="25"/>
      <c r="R29" s="25"/>
      <c r="S29" s="25"/>
      <c r="T29" s="25"/>
      <c r="U29" s="25"/>
      <c r="V29" s="25"/>
      <c r="W29" s="25"/>
      <c r="X29" s="25"/>
      <c r="Y29" s="25">
        <v>0.0</v>
      </c>
      <c r="Z29" s="25">
        <v>0.0</v>
      </c>
      <c r="AA29" s="25">
        <v>0.0</v>
      </c>
      <c r="AB29" s="25">
        <v>0.0</v>
      </c>
      <c r="AC29" s="25">
        <v>0.0</v>
      </c>
      <c r="AD29" s="25">
        <v>0.0</v>
      </c>
      <c r="AE29" s="25">
        <v>0.0</v>
      </c>
      <c r="AF29" s="25">
        <v>0.0</v>
      </c>
      <c r="AG29" s="25">
        <v>0.0</v>
      </c>
      <c r="AH29" s="25">
        <v>0.0</v>
      </c>
      <c r="AI29" s="25">
        <v>0.0</v>
      </c>
      <c r="AJ29" s="25"/>
      <c r="AK29" s="15">
        <f t="shared" si="1"/>
        <v>0</v>
      </c>
      <c r="AL29" s="15"/>
      <c r="AM29" s="15">
        <f t="shared" si="2"/>
        <v>0</v>
      </c>
      <c r="AN29" s="26">
        <v>277.0</v>
      </c>
      <c r="AO29" s="27">
        <f t="shared" si="3"/>
        <v>0</v>
      </c>
      <c r="AP29" s="2"/>
      <c r="AQ29" s="2"/>
    </row>
    <row r="30">
      <c r="A30" s="30">
        <v>24.0</v>
      </c>
      <c r="B30" s="29" t="s">
        <v>48</v>
      </c>
      <c r="C30" s="23"/>
      <c r="D30" s="29" t="s">
        <v>17</v>
      </c>
      <c r="E30" s="23" t="s">
        <v>18</v>
      </c>
      <c r="F30" s="25">
        <v>0.0</v>
      </c>
      <c r="G30" s="25">
        <v>0.0</v>
      </c>
      <c r="H30" s="25">
        <v>0.0</v>
      </c>
      <c r="I30" s="25">
        <v>0.0</v>
      </c>
      <c r="J30" s="25">
        <v>0.0</v>
      </c>
      <c r="K30" s="25">
        <v>0.0</v>
      </c>
      <c r="L30" s="25">
        <v>0.0</v>
      </c>
      <c r="M30" s="25">
        <v>0.0</v>
      </c>
      <c r="N30" s="25">
        <v>0.0</v>
      </c>
      <c r="O30" s="25">
        <v>0.0</v>
      </c>
      <c r="P30" s="25"/>
      <c r="Q30" s="25"/>
      <c r="R30" s="25"/>
      <c r="S30" s="25"/>
      <c r="T30" s="25"/>
      <c r="U30" s="25"/>
      <c r="V30" s="25"/>
      <c r="W30" s="25"/>
      <c r="X30" s="25"/>
      <c r="Y30" s="25">
        <v>0.0</v>
      </c>
      <c r="Z30" s="25">
        <v>0.0</v>
      </c>
      <c r="AA30" s="25">
        <v>0.0</v>
      </c>
      <c r="AB30" s="25">
        <v>0.0</v>
      </c>
      <c r="AC30" s="25">
        <v>0.0</v>
      </c>
      <c r="AD30" s="25">
        <v>0.0</v>
      </c>
      <c r="AE30" s="25">
        <v>0.0</v>
      </c>
      <c r="AF30" s="25">
        <v>0.0</v>
      </c>
      <c r="AG30" s="25">
        <v>0.0</v>
      </c>
      <c r="AH30" s="25">
        <v>0.0</v>
      </c>
      <c r="AI30" s="25">
        <v>0.0</v>
      </c>
      <c r="AJ30" s="25"/>
      <c r="AK30" s="15">
        <f t="shared" si="1"/>
        <v>0</v>
      </c>
      <c r="AL30" s="15"/>
      <c r="AM30" s="15">
        <f t="shared" si="2"/>
        <v>0</v>
      </c>
      <c r="AN30" s="26">
        <v>277.0</v>
      </c>
      <c r="AO30" s="27">
        <f t="shared" si="3"/>
        <v>0</v>
      </c>
      <c r="AP30" s="2"/>
      <c r="AQ30" s="2"/>
    </row>
    <row r="31">
      <c r="A31" s="30">
        <v>25.0</v>
      </c>
      <c r="B31" s="23" t="s">
        <v>49</v>
      </c>
      <c r="C31" s="23"/>
      <c r="D31" s="23" t="s">
        <v>50</v>
      </c>
      <c r="E31" s="23" t="s">
        <v>18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5">
        <v>0.0</v>
      </c>
      <c r="L31" s="25">
        <v>0.0</v>
      </c>
      <c r="M31" s="25">
        <v>0.0</v>
      </c>
      <c r="N31" s="25">
        <v>0.0</v>
      </c>
      <c r="O31" s="25">
        <v>0.0</v>
      </c>
      <c r="P31" s="25"/>
      <c r="Q31" s="25"/>
      <c r="R31" s="25"/>
      <c r="S31" s="25"/>
      <c r="T31" s="25"/>
      <c r="U31" s="25"/>
      <c r="V31" s="25"/>
      <c r="W31" s="25"/>
      <c r="X31" s="25"/>
      <c r="Y31" s="25">
        <v>0.0</v>
      </c>
      <c r="Z31" s="25">
        <v>0.0</v>
      </c>
      <c r="AA31" s="25">
        <v>0.0</v>
      </c>
      <c r="AB31" s="25">
        <v>0.0</v>
      </c>
      <c r="AC31" s="25">
        <v>0.0</v>
      </c>
      <c r="AD31" s="25">
        <v>0.0</v>
      </c>
      <c r="AE31" s="25">
        <v>0.0</v>
      </c>
      <c r="AF31" s="25">
        <v>0.0</v>
      </c>
      <c r="AG31" s="25">
        <v>0.0</v>
      </c>
      <c r="AH31" s="25">
        <v>0.0</v>
      </c>
      <c r="AI31" s="25">
        <v>0.0</v>
      </c>
      <c r="AJ31" s="25"/>
      <c r="AK31" s="15">
        <f t="shared" si="1"/>
        <v>0</v>
      </c>
      <c r="AL31" s="15"/>
      <c r="AM31" s="15">
        <f t="shared" si="2"/>
        <v>0</v>
      </c>
      <c r="AN31" s="26">
        <v>277.0</v>
      </c>
      <c r="AO31" s="27">
        <f t="shared" si="3"/>
        <v>0</v>
      </c>
      <c r="AP31" s="2"/>
      <c r="AQ31" s="2"/>
    </row>
    <row r="32">
      <c r="A32" s="30">
        <v>26.0</v>
      </c>
      <c r="B32" s="23" t="s">
        <v>51</v>
      </c>
      <c r="C32" s="23"/>
      <c r="D32" s="23" t="s">
        <v>24</v>
      </c>
      <c r="E32" s="23" t="s">
        <v>18</v>
      </c>
      <c r="F32" s="25">
        <v>0.0</v>
      </c>
      <c r="G32" s="25">
        <v>0.0</v>
      </c>
      <c r="H32" s="25">
        <v>0.0</v>
      </c>
      <c r="I32" s="25">
        <v>0.0</v>
      </c>
      <c r="J32" s="25">
        <v>0.0</v>
      </c>
      <c r="K32" s="25">
        <v>0.0</v>
      </c>
      <c r="L32" s="25">
        <v>0.0</v>
      </c>
      <c r="M32" s="25">
        <v>0.0</v>
      </c>
      <c r="N32" s="25">
        <v>0.0</v>
      </c>
      <c r="O32" s="25">
        <v>0.0</v>
      </c>
      <c r="P32" s="25"/>
      <c r="Q32" s="25"/>
      <c r="R32" s="25"/>
      <c r="S32" s="25"/>
      <c r="T32" s="25"/>
      <c r="U32" s="25"/>
      <c r="V32" s="25"/>
      <c r="W32" s="25"/>
      <c r="X32" s="25"/>
      <c r="Y32" s="25">
        <v>0.0</v>
      </c>
      <c r="Z32" s="25">
        <v>0.0</v>
      </c>
      <c r="AA32" s="25">
        <v>0.0</v>
      </c>
      <c r="AB32" s="25">
        <v>0.0</v>
      </c>
      <c r="AC32" s="25">
        <v>0.0</v>
      </c>
      <c r="AD32" s="25">
        <v>0.0</v>
      </c>
      <c r="AE32" s="25">
        <v>0.0</v>
      </c>
      <c r="AF32" s="25">
        <v>0.0</v>
      </c>
      <c r="AG32" s="25">
        <v>0.0</v>
      </c>
      <c r="AH32" s="25">
        <v>0.0</v>
      </c>
      <c r="AI32" s="25">
        <v>0.0</v>
      </c>
      <c r="AJ32" s="25"/>
      <c r="AK32" s="15">
        <f t="shared" si="1"/>
        <v>0</v>
      </c>
      <c r="AL32" s="15"/>
      <c r="AM32" s="15">
        <f t="shared" si="2"/>
        <v>0</v>
      </c>
      <c r="AN32" s="26">
        <v>277.0</v>
      </c>
      <c r="AO32" s="27">
        <f t="shared" si="3"/>
        <v>0</v>
      </c>
      <c r="AP32" s="2"/>
      <c r="AQ32" s="2"/>
    </row>
    <row r="33">
      <c r="A33" s="30">
        <v>27.0</v>
      </c>
      <c r="B33" s="23" t="s">
        <v>52</v>
      </c>
      <c r="C33" s="23"/>
      <c r="D33" s="23" t="s">
        <v>53</v>
      </c>
      <c r="E33" s="23" t="s">
        <v>18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5">
        <v>0.0</v>
      </c>
      <c r="L33" s="25">
        <v>0.0</v>
      </c>
      <c r="M33" s="25">
        <v>0.0</v>
      </c>
      <c r="N33" s="25">
        <v>0.0</v>
      </c>
      <c r="O33" s="25">
        <v>0.0</v>
      </c>
      <c r="P33" s="25"/>
      <c r="Q33" s="25"/>
      <c r="R33" s="25"/>
      <c r="S33" s="25"/>
      <c r="T33" s="25"/>
      <c r="U33" s="25"/>
      <c r="V33" s="25"/>
      <c r="W33" s="25"/>
      <c r="X33" s="25"/>
      <c r="Y33" s="25">
        <v>0.0</v>
      </c>
      <c r="Z33" s="25">
        <v>0.0</v>
      </c>
      <c r="AA33" s="25">
        <v>0.0</v>
      </c>
      <c r="AB33" s="25">
        <v>0.0</v>
      </c>
      <c r="AC33" s="25">
        <v>35.0</v>
      </c>
      <c r="AD33" s="25">
        <v>30.0</v>
      </c>
      <c r="AE33" s="25">
        <v>0.0</v>
      </c>
      <c r="AF33" s="25">
        <v>0.0</v>
      </c>
      <c r="AG33" s="25">
        <v>35.0</v>
      </c>
      <c r="AH33" s="25">
        <v>0.0</v>
      </c>
      <c r="AI33" s="25">
        <v>0.0</v>
      </c>
      <c r="AJ33" s="25"/>
      <c r="AK33" s="15">
        <f t="shared" si="1"/>
        <v>100</v>
      </c>
      <c r="AL33" s="15"/>
      <c r="AM33" s="15">
        <f t="shared" si="2"/>
        <v>100</v>
      </c>
      <c r="AN33" s="26">
        <v>277.0</v>
      </c>
      <c r="AO33" s="27">
        <f t="shared" si="3"/>
        <v>27700</v>
      </c>
      <c r="AP33" s="2"/>
      <c r="AQ33" s="2"/>
    </row>
    <row r="34">
      <c r="A34" s="30">
        <v>28.0</v>
      </c>
      <c r="B34" s="23" t="s">
        <v>54</v>
      </c>
      <c r="C34" s="23"/>
      <c r="D34" s="23" t="s">
        <v>50</v>
      </c>
      <c r="E34" s="23" t="s">
        <v>18</v>
      </c>
      <c r="F34" s="25">
        <v>0.0</v>
      </c>
      <c r="G34" s="25">
        <v>0.0</v>
      </c>
      <c r="H34" s="25">
        <v>0.0</v>
      </c>
      <c r="I34" s="25">
        <v>0.0</v>
      </c>
      <c r="J34" s="25">
        <v>0.0</v>
      </c>
      <c r="K34" s="25">
        <v>0.0</v>
      </c>
      <c r="L34" s="25">
        <v>0.0</v>
      </c>
      <c r="M34" s="25">
        <v>0.0</v>
      </c>
      <c r="N34" s="25">
        <v>0.0</v>
      </c>
      <c r="O34" s="25">
        <v>0.0</v>
      </c>
      <c r="P34" s="25"/>
      <c r="Q34" s="25"/>
      <c r="R34" s="25"/>
      <c r="S34" s="25"/>
      <c r="T34" s="25"/>
      <c r="U34" s="25"/>
      <c r="V34" s="25"/>
      <c r="W34" s="25"/>
      <c r="X34" s="25"/>
      <c r="Y34" s="25">
        <v>0.0</v>
      </c>
      <c r="Z34" s="25">
        <v>0.0</v>
      </c>
      <c r="AA34" s="25">
        <v>0.0</v>
      </c>
      <c r="AB34" s="25">
        <v>0.0</v>
      </c>
      <c r="AC34" s="25">
        <v>0.0</v>
      </c>
      <c r="AD34" s="25">
        <v>0.0</v>
      </c>
      <c r="AE34" s="25">
        <v>0.0</v>
      </c>
      <c r="AF34" s="25">
        <v>0.0</v>
      </c>
      <c r="AG34" s="25">
        <v>0.0</v>
      </c>
      <c r="AH34" s="25">
        <v>0.0</v>
      </c>
      <c r="AI34" s="25">
        <v>0.0</v>
      </c>
      <c r="AJ34" s="25"/>
      <c r="AK34" s="15">
        <f t="shared" si="1"/>
        <v>0</v>
      </c>
      <c r="AL34" s="15"/>
      <c r="AM34" s="15">
        <f t="shared" si="2"/>
        <v>0</v>
      </c>
      <c r="AN34" s="26">
        <v>277.0</v>
      </c>
      <c r="AO34" s="27">
        <f t="shared" si="3"/>
        <v>0</v>
      </c>
      <c r="AP34" s="2"/>
      <c r="AQ34" s="2"/>
    </row>
    <row r="35">
      <c r="A35" s="30">
        <v>29.0</v>
      </c>
      <c r="B35" s="23" t="s">
        <v>55</v>
      </c>
      <c r="C35" s="23"/>
      <c r="D35" s="23" t="s">
        <v>56</v>
      </c>
      <c r="E35" s="23" t="s">
        <v>18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5">
        <v>0.0</v>
      </c>
      <c r="L35" s="25">
        <v>70.0</v>
      </c>
      <c r="M35" s="25">
        <v>0.0</v>
      </c>
      <c r="N35" s="25">
        <v>40.0</v>
      </c>
      <c r="O35" s="25">
        <v>0.0</v>
      </c>
      <c r="P35" s="25"/>
      <c r="Q35" s="25"/>
      <c r="R35" s="25"/>
      <c r="S35" s="25"/>
      <c r="T35" s="25"/>
      <c r="U35" s="25"/>
      <c r="V35" s="25"/>
      <c r="W35" s="25"/>
      <c r="X35" s="25"/>
      <c r="Y35" s="25">
        <v>0.0</v>
      </c>
      <c r="Z35" s="25">
        <v>0.0</v>
      </c>
      <c r="AA35" s="25">
        <v>0.0</v>
      </c>
      <c r="AB35" s="25">
        <v>0.0</v>
      </c>
      <c r="AC35" s="25">
        <v>0.0</v>
      </c>
      <c r="AD35" s="25">
        <v>0.0</v>
      </c>
      <c r="AE35" s="25">
        <v>0.0</v>
      </c>
      <c r="AF35" s="25">
        <v>0.0</v>
      </c>
      <c r="AG35" s="25">
        <v>0.0</v>
      </c>
      <c r="AH35" s="25">
        <v>0.0</v>
      </c>
      <c r="AI35" s="25">
        <v>0.0</v>
      </c>
      <c r="AJ35" s="25"/>
      <c r="AK35" s="15">
        <f t="shared" si="1"/>
        <v>110</v>
      </c>
      <c r="AL35" s="15"/>
      <c r="AM35" s="15">
        <f t="shared" si="2"/>
        <v>110</v>
      </c>
      <c r="AN35" s="26">
        <v>277.0</v>
      </c>
      <c r="AO35" s="27">
        <f t="shared" si="3"/>
        <v>30470</v>
      </c>
      <c r="AP35" s="2"/>
      <c r="AQ35" s="2"/>
    </row>
    <row r="36">
      <c r="A36" s="30">
        <v>30.0</v>
      </c>
      <c r="B36" s="29" t="s">
        <v>57</v>
      </c>
      <c r="C36" s="23"/>
      <c r="D36" s="29" t="s">
        <v>31</v>
      </c>
      <c r="E36" s="23" t="s">
        <v>18</v>
      </c>
      <c r="F36" s="25">
        <v>0.0</v>
      </c>
      <c r="G36" s="25">
        <v>0.0</v>
      </c>
      <c r="H36" s="25">
        <v>0.0</v>
      </c>
      <c r="I36" s="25">
        <v>100.0</v>
      </c>
      <c r="J36" s="25">
        <v>0.0</v>
      </c>
      <c r="K36" s="25">
        <v>0.0</v>
      </c>
      <c r="L36" s="25">
        <v>0.0</v>
      </c>
      <c r="M36" s="25">
        <v>0.0</v>
      </c>
      <c r="N36" s="25">
        <v>0.0</v>
      </c>
      <c r="O36" s="25">
        <v>0.0</v>
      </c>
      <c r="P36" s="25"/>
      <c r="Q36" s="25"/>
      <c r="R36" s="25"/>
      <c r="S36" s="25"/>
      <c r="T36" s="25"/>
      <c r="U36" s="25"/>
      <c r="V36" s="25"/>
      <c r="W36" s="25"/>
      <c r="X36" s="25"/>
      <c r="Y36" s="25">
        <v>0.0</v>
      </c>
      <c r="Z36" s="25">
        <v>0.0</v>
      </c>
      <c r="AA36" s="25">
        <v>0.0</v>
      </c>
      <c r="AB36" s="25">
        <v>0.0</v>
      </c>
      <c r="AC36" s="25">
        <v>0.0</v>
      </c>
      <c r="AD36" s="25">
        <v>0.0</v>
      </c>
      <c r="AE36" s="25">
        <v>0.0</v>
      </c>
      <c r="AF36" s="25">
        <v>0.0</v>
      </c>
      <c r="AG36" s="25">
        <v>0.0</v>
      </c>
      <c r="AH36" s="25">
        <v>0.0</v>
      </c>
      <c r="AI36" s="25">
        <v>0.0</v>
      </c>
      <c r="AJ36" s="25"/>
      <c r="AK36" s="15">
        <f t="shared" si="1"/>
        <v>100</v>
      </c>
      <c r="AL36" s="15"/>
      <c r="AM36" s="15">
        <f t="shared" si="2"/>
        <v>100</v>
      </c>
      <c r="AN36" s="26">
        <v>277.0</v>
      </c>
      <c r="AO36" s="27">
        <f t="shared" si="3"/>
        <v>27700</v>
      </c>
      <c r="AP36" s="2"/>
      <c r="AQ36" s="2"/>
    </row>
    <row r="37">
      <c r="A37" s="30">
        <v>31.0</v>
      </c>
      <c r="B37" s="23" t="s">
        <v>58</v>
      </c>
      <c r="C37" s="23"/>
      <c r="D37" s="23" t="s">
        <v>45</v>
      </c>
      <c r="E37" s="23" t="s">
        <v>18</v>
      </c>
      <c r="F37" s="25">
        <v>0.0</v>
      </c>
      <c r="G37" s="25">
        <v>0.0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  <c r="N37" s="25">
        <v>0.0</v>
      </c>
      <c r="O37" s="25">
        <v>0.0</v>
      </c>
      <c r="P37" s="25"/>
      <c r="Q37" s="25"/>
      <c r="R37" s="25"/>
      <c r="S37" s="25"/>
      <c r="T37" s="25"/>
      <c r="U37" s="25"/>
      <c r="V37" s="25"/>
      <c r="W37" s="25"/>
      <c r="X37" s="25"/>
      <c r="Y37" s="25">
        <v>0.0</v>
      </c>
      <c r="Z37" s="25">
        <v>0.0</v>
      </c>
      <c r="AA37" s="25">
        <v>0.0</v>
      </c>
      <c r="AB37" s="25">
        <v>0.0</v>
      </c>
      <c r="AC37" s="25">
        <v>0.0</v>
      </c>
      <c r="AD37" s="25">
        <v>0.0</v>
      </c>
      <c r="AE37" s="25">
        <v>0.0</v>
      </c>
      <c r="AF37" s="25">
        <v>0.0</v>
      </c>
      <c r="AG37" s="25">
        <v>0.0</v>
      </c>
      <c r="AH37" s="25">
        <v>0.0</v>
      </c>
      <c r="AI37" s="25">
        <v>0.0</v>
      </c>
      <c r="AJ37" s="25"/>
      <c r="AK37" s="15">
        <f t="shared" si="1"/>
        <v>0</v>
      </c>
      <c r="AL37" s="15"/>
      <c r="AM37" s="15">
        <f t="shared" si="2"/>
        <v>0</v>
      </c>
      <c r="AN37" s="26">
        <v>277.0</v>
      </c>
      <c r="AO37" s="27">
        <f t="shared" si="3"/>
        <v>0</v>
      </c>
      <c r="AP37" s="2"/>
      <c r="AQ37" s="2"/>
    </row>
    <row r="38">
      <c r="A38" s="30">
        <v>32.0</v>
      </c>
      <c r="B38" s="23" t="s">
        <v>59</v>
      </c>
      <c r="C38" s="23"/>
      <c r="D38" s="23" t="s">
        <v>53</v>
      </c>
      <c r="E38" s="23" t="s">
        <v>18</v>
      </c>
      <c r="F38" s="25">
        <v>0.0</v>
      </c>
      <c r="G38" s="25">
        <v>0.0</v>
      </c>
      <c r="H38" s="25">
        <v>0.0</v>
      </c>
      <c r="I38" s="25">
        <v>0.0</v>
      </c>
      <c r="J38" s="25">
        <v>0.0</v>
      </c>
      <c r="K38" s="25">
        <v>0.0</v>
      </c>
      <c r="L38" s="25">
        <v>0.0</v>
      </c>
      <c r="M38" s="25">
        <v>0.0</v>
      </c>
      <c r="N38" s="25">
        <v>0.0</v>
      </c>
      <c r="O38" s="25">
        <v>0.0</v>
      </c>
      <c r="P38" s="25"/>
      <c r="Q38" s="25"/>
      <c r="R38" s="25"/>
      <c r="S38" s="25"/>
      <c r="T38" s="25"/>
      <c r="U38" s="25"/>
      <c r="V38" s="25"/>
      <c r="W38" s="25"/>
      <c r="X38" s="25"/>
      <c r="Y38" s="25">
        <v>0.0</v>
      </c>
      <c r="Z38" s="25">
        <v>0.0</v>
      </c>
      <c r="AA38" s="25">
        <v>0.0</v>
      </c>
      <c r="AB38" s="25">
        <v>0.0</v>
      </c>
      <c r="AC38" s="25">
        <v>0.0</v>
      </c>
      <c r="AD38" s="25">
        <v>0.0</v>
      </c>
      <c r="AE38" s="25">
        <v>0.0</v>
      </c>
      <c r="AF38" s="25">
        <v>0.0</v>
      </c>
      <c r="AG38" s="25">
        <v>0.0</v>
      </c>
      <c r="AH38" s="25">
        <v>0.0</v>
      </c>
      <c r="AI38" s="25">
        <v>0.0</v>
      </c>
      <c r="AJ38" s="25"/>
      <c r="AK38" s="15">
        <f t="shared" si="1"/>
        <v>0</v>
      </c>
      <c r="AL38" s="15"/>
      <c r="AM38" s="15">
        <f t="shared" si="2"/>
        <v>0</v>
      </c>
      <c r="AN38" s="26">
        <v>277.0</v>
      </c>
      <c r="AO38" s="27">
        <f t="shared" si="3"/>
        <v>0</v>
      </c>
      <c r="AP38" s="2"/>
      <c r="AQ38" s="2"/>
    </row>
    <row r="39">
      <c r="A39" s="30">
        <v>33.0</v>
      </c>
      <c r="B39" s="23" t="s">
        <v>60</v>
      </c>
      <c r="C39" s="23"/>
      <c r="D39" s="23" t="s">
        <v>53</v>
      </c>
      <c r="E39" s="23" t="s">
        <v>18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  <c r="N39" s="25">
        <v>0.0</v>
      </c>
      <c r="O39" s="25">
        <v>0.0</v>
      </c>
      <c r="P39" s="25"/>
      <c r="Q39" s="25"/>
      <c r="R39" s="25"/>
      <c r="S39" s="25"/>
      <c r="T39" s="25"/>
      <c r="U39" s="25"/>
      <c r="V39" s="25"/>
      <c r="W39" s="25"/>
      <c r="X39" s="25"/>
      <c r="Y39" s="25">
        <v>0.0</v>
      </c>
      <c r="Z39" s="25">
        <v>0.0</v>
      </c>
      <c r="AA39" s="25">
        <v>0.0</v>
      </c>
      <c r="AB39" s="25">
        <v>0.0</v>
      </c>
      <c r="AC39" s="25">
        <v>0.0</v>
      </c>
      <c r="AD39" s="25">
        <v>0.0</v>
      </c>
      <c r="AE39" s="25">
        <v>0.0</v>
      </c>
      <c r="AF39" s="25">
        <v>0.0</v>
      </c>
      <c r="AG39" s="25">
        <v>0.0</v>
      </c>
      <c r="AH39" s="25">
        <v>0.0</v>
      </c>
      <c r="AI39" s="25">
        <v>0.0</v>
      </c>
      <c r="AJ39" s="25"/>
      <c r="AK39" s="15">
        <f t="shared" si="1"/>
        <v>0</v>
      </c>
      <c r="AL39" s="15"/>
      <c r="AM39" s="15">
        <f t="shared" si="2"/>
        <v>0</v>
      </c>
      <c r="AN39" s="26">
        <v>277.0</v>
      </c>
      <c r="AO39" s="27">
        <f t="shared" si="3"/>
        <v>0</v>
      </c>
      <c r="AP39" s="2"/>
      <c r="AQ39" s="2"/>
    </row>
    <row r="40">
      <c r="A40" s="30">
        <v>34.0</v>
      </c>
      <c r="B40" s="29" t="s">
        <v>61</v>
      </c>
      <c r="C40" s="23"/>
      <c r="D40" s="29" t="s">
        <v>62</v>
      </c>
      <c r="E40" s="23" t="s">
        <v>18</v>
      </c>
      <c r="F40" s="25">
        <v>0.0</v>
      </c>
      <c r="G40" s="25">
        <v>0.0</v>
      </c>
      <c r="H40" s="25">
        <v>0.0</v>
      </c>
      <c r="I40" s="25">
        <v>0.0</v>
      </c>
      <c r="J40" s="25">
        <v>0.0</v>
      </c>
      <c r="K40" s="25">
        <v>0.0</v>
      </c>
      <c r="L40" s="25">
        <v>0.0</v>
      </c>
      <c r="M40" s="25">
        <v>0.0</v>
      </c>
      <c r="N40" s="25">
        <v>0.0</v>
      </c>
      <c r="O40" s="25">
        <v>0.0</v>
      </c>
      <c r="P40" s="25"/>
      <c r="Q40" s="25"/>
      <c r="R40" s="25"/>
      <c r="S40" s="25"/>
      <c r="T40" s="25"/>
      <c r="U40" s="25"/>
      <c r="V40" s="25"/>
      <c r="W40" s="25"/>
      <c r="X40" s="25"/>
      <c r="Y40" s="25">
        <v>0.0</v>
      </c>
      <c r="Z40" s="25">
        <v>0.0</v>
      </c>
      <c r="AA40" s="25">
        <v>0.0</v>
      </c>
      <c r="AB40" s="25">
        <v>0.0</v>
      </c>
      <c r="AC40" s="25">
        <v>10.0</v>
      </c>
      <c r="AD40" s="25">
        <v>0.0</v>
      </c>
      <c r="AE40" s="25">
        <v>0.0</v>
      </c>
      <c r="AF40" s="25">
        <v>15.0</v>
      </c>
      <c r="AG40" s="25">
        <v>0.0</v>
      </c>
      <c r="AH40" s="25">
        <v>0.0</v>
      </c>
      <c r="AI40" s="25">
        <v>0.0</v>
      </c>
      <c r="AJ40" s="25"/>
      <c r="AK40" s="15">
        <f t="shared" si="1"/>
        <v>25</v>
      </c>
      <c r="AL40" s="15"/>
      <c r="AM40" s="15">
        <f t="shared" si="2"/>
        <v>25</v>
      </c>
      <c r="AN40" s="26">
        <v>277.0</v>
      </c>
      <c r="AO40" s="27">
        <f t="shared" si="3"/>
        <v>6925</v>
      </c>
      <c r="AP40" s="2"/>
      <c r="AQ40" s="2"/>
    </row>
    <row r="41">
      <c r="A41" s="30">
        <v>35.0</v>
      </c>
      <c r="B41" s="29" t="s">
        <v>63</v>
      </c>
      <c r="C41" s="23"/>
      <c r="D41" s="29" t="s">
        <v>17</v>
      </c>
      <c r="E41" s="23" t="s">
        <v>18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0.0</v>
      </c>
      <c r="L41" s="25">
        <v>0.0</v>
      </c>
      <c r="M41" s="25">
        <v>0.0</v>
      </c>
      <c r="N41" s="25">
        <v>0.0</v>
      </c>
      <c r="O41" s="25">
        <v>0.0</v>
      </c>
      <c r="P41" s="25"/>
      <c r="Q41" s="25"/>
      <c r="R41" s="25"/>
      <c r="S41" s="25"/>
      <c r="T41" s="25"/>
      <c r="U41" s="25"/>
      <c r="V41" s="25"/>
      <c r="W41" s="25"/>
      <c r="X41" s="25"/>
      <c r="Y41" s="25">
        <v>0.0</v>
      </c>
      <c r="Z41" s="25">
        <v>0.0</v>
      </c>
      <c r="AA41" s="25">
        <v>0.0</v>
      </c>
      <c r="AB41" s="25">
        <v>0.0</v>
      </c>
      <c r="AC41" s="25">
        <v>0.0</v>
      </c>
      <c r="AD41" s="25">
        <v>0.0</v>
      </c>
      <c r="AE41" s="25">
        <v>0.0</v>
      </c>
      <c r="AF41" s="25">
        <v>0.0</v>
      </c>
      <c r="AG41" s="25">
        <v>10.0</v>
      </c>
      <c r="AH41" s="25">
        <v>0.0</v>
      </c>
      <c r="AI41" s="25">
        <v>0.0</v>
      </c>
      <c r="AJ41" s="25"/>
      <c r="AK41" s="15">
        <f t="shared" si="1"/>
        <v>10</v>
      </c>
      <c r="AL41" s="15"/>
      <c r="AM41" s="15">
        <f t="shared" si="2"/>
        <v>10</v>
      </c>
      <c r="AN41" s="26">
        <v>277.0</v>
      </c>
      <c r="AO41" s="27">
        <f t="shared" si="3"/>
        <v>2770</v>
      </c>
      <c r="AP41" s="2"/>
      <c r="AQ41" s="2"/>
    </row>
    <row r="42">
      <c r="A42" s="30">
        <v>36.0</v>
      </c>
      <c r="B42" s="23" t="s">
        <v>64</v>
      </c>
      <c r="C42" s="23"/>
      <c r="D42" s="23" t="s">
        <v>53</v>
      </c>
      <c r="E42" s="23" t="s">
        <v>18</v>
      </c>
      <c r="F42" s="25">
        <v>0.0</v>
      </c>
      <c r="G42" s="25">
        <v>0.0</v>
      </c>
      <c r="H42" s="25">
        <v>0.0</v>
      </c>
      <c r="I42" s="25">
        <v>0.0</v>
      </c>
      <c r="J42" s="25">
        <v>0.0</v>
      </c>
      <c r="K42" s="25">
        <v>0.0</v>
      </c>
      <c r="L42" s="25">
        <v>70.0</v>
      </c>
      <c r="M42" s="25">
        <v>0.0</v>
      </c>
      <c r="N42" s="25">
        <v>0.0</v>
      </c>
      <c r="O42" s="25">
        <v>0.0</v>
      </c>
      <c r="P42" s="25"/>
      <c r="Q42" s="25"/>
      <c r="R42" s="25"/>
      <c r="S42" s="25"/>
      <c r="T42" s="25"/>
      <c r="U42" s="25"/>
      <c r="V42" s="25"/>
      <c r="W42" s="25"/>
      <c r="X42" s="25"/>
      <c r="Y42" s="25">
        <v>0.0</v>
      </c>
      <c r="Z42" s="25">
        <v>0.0</v>
      </c>
      <c r="AA42" s="25">
        <v>0.0</v>
      </c>
      <c r="AB42" s="25">
        <v>0.0</v>
      </c>
      <c r="AC42" s="25">
        <v>35.0</v>
      </c>
      <c r="AD42" s="25">
        <v>30.0</v>
      </c>
      <c r="AE42" s="25">
        <v>30.0</v>
      </c>
      <c r="AF42" s="25">
        <v>0.0</v>
      </c>
      <c r="AG42" s="25">
        <v>0.0</v>
      </c>
      <c r="AH42" s="25">
        <v>30.0</v>
      </c>
      <c r="AI42" s="25">
        <v>0.0</v>
      </c>
      <c r="AJ42" s="25"/>
      <c r="AK42" s="15">
        <f t="shared" si="1"/>
        <v>195</v>
      </c>
      <c r="AL42" s="15"/>
      <c r="AM42" s="15">
        <f t="shared" si="2"/>
        <v>195</v>
      </c>
      <c r="AN42" s="26">
        <v>277.0</v>
      </c>
      <c r="AO42" s="27">
        <f t="shared" si="3"/>
        <v>54015</v>
      </c>
      <c r="AP42" s="2"/>
      <c r="AQ42" s="2"/>
    </row>
    <row r="43">
      <c r="A43" s="30">
        <v>37.0</v>
      </c>
      <c r="B43" s="35" t="s">
        <v>30</v>
      </c>
      <c r="C43" s="23"/>
      <c r="D43" s="29" t="s">
        <v>31</v>
      </c>
      <c r="E43" s="23" t="s">
        <v>18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>
        <v>50.0</v>
      </c>
      <c r="O43" s="25">
        <v>0.0</v>
      </c>
      <c r="P43" s="25"/>
      <c r="Q43" s="25"/>
      <c r="R43" s="25"/>
      <c r="S43" s="25"/>
      <c r="T43" s="25"/>
      <c r="U43" s="25"/>
      <c r="V43" s="25"/>
      <c r="W43" s="25"/>
      <c r="X43" s="25"/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25">
        <v>0.0</v>
      </c>
      <c r="AE43" s="25">
        <v>0.0</v>
      </c>
      <c r="AF43" s="25">
        <v>0.0</v>
      </c>
      <c r="AG43" s="25">
        <v>0.0</v>
      </c>
      <c r="AH43" s="25">
        <v>0.0</v>
      </c>
      <c r="AI43" s="25">
        <v>0.0</v>
      </c>
      <c r="AJ43" s="25"/>
      <c r="AK43" s="15">
        <f t="shared" si="1"/>
        <v>50</v>
      </c>
      <c r="AL43" s="15"/>
      <c r="AM43" s="15">
        <f t="shared" si="2"/>
        <v>50</v>
      </c>
      <c r="AN43" s="26">
        <v>277.0</v>
      </c>
      <c r="AO43" s="27">
        <f t="shared" si="3"/>
        <v>13850</v>
      </c>
      <c r="AP43" s="2"/>
      <c r="AQ43" s="2"/>
    </row>
    <row r="44">
      <c r="A44" s="30">
        <v>38.0</v>
      </c>
      <c r="B44" s="23" t="s">
        <v>65</v>
      </c>
      <c r="C44" s="23"/>
      <c r="D44" s="23" t="s">
        <v>53</v>
      </c>
      <c r="E44" s="23" t="s">
        <v>18</v>
      </c>
      <c r="F44" s="25">
        <v>0.0</v>
      </c>
      <c r="G44" s="25">
        <v>0.0</v>
      </c>
      <c r="H44" s="25">
        <v>0.0</v>
      </c>
      <c r="I44" s="25">
        <v>0.0</v>
      </c>
      <c r="J44" s="25">
        <v>0.0</v>
      </c>
      <c r="K44" s="25">
        <v>0.0</v>
      </c>
      <c r="L44" s="25">
        <v>0.0</v>
      </c>
      <c r="M44" s="25">
        <v>0.0</v>
      </c>
      <c r="N44" s="25">
        <v>0.0</v>
      </c>
      <c r="O44" s="25">
        <v>0.0</v>
      </c>
      <c r="P44" s="25"/>
      <c r="Q44" s="25"/>
      <c r="R44" s="25"/>
      <c r="S44" s="25"/>
      <c r="T44" s="25"/>
      <c r="U44" s="25"/>
      <c r="V44" s="25"/>
      <c r="W44" s="25"/>
      <c r="X44" s="25"/>
      <c r="Y44" s="25">
        <v>0.0</v>
      </c>
      <c r="Z44" s="25">
        <v>0.0</v>
      </c>
      <c r="AA44" s="25">
        <v>0.0</v>
      </c>
      <c r="AB44" s="25">
        <v>0.0</v>
      </c>
      <c r="AC44" s="25">
        <v>0.0</v>
      </c>
      <c r="AD44" s="25">
        <v>0.0</v>
      </c>
      <c r="AE44" s="25">
        <v>0.0</v>
      </c>
      <c r="AF44" s="25">
        <v>0.0</v>
      </c>
      <c r="AG44" s="25">
        <v>0.0</v>
      </c>
      <c r="AH44" s="25">
        <v>0.0</v>
      </c>
      <c r="AI44" s="25">
        <v>0.0</v>
      </c>
      <c r="AJ44" s="25"/>
      <c r="AK44" s="15">
        <f t="shared" si="1"/>
        <v>0</v>
      </c>
      <c r="AL44" s="15"/>
      <c r="AM44" s="15">
        <f t="shared" si="2"/>
        <v>0</v>
      </c>
      <c r="AN44" s="26">
        <v>277.0</v>
      </c>
      <c r="AO44" s="27">
        <f t="shared" si="3"/>
        <v>0</v>
      </c>
      <c r="AP44" s="2"/>
      <c r="AQ44" s="2"/>
    </row>
    <row r="45">
      <c r="A45" s="30">
        <v>39.0</v>
      </c>
      <c r="B45" s="23" t="s">
        <v>66</v>
      </c>
      <c r="C45" s="23"/>
      <c r="D45" s="23" t="s">
        <v>53</v>
      </c>
      <c r="E45" s="23" t="s">
        <v>18</v>
      </c>
      <c r="F45" s="25">
        <v>0.0</v>
      </c>
      <c r="G45" s="25">
        <v>0.0</v>
      </c>
      <c r="H45" s="25">
        <v>0.0</v>
      </c>
      <c r="I45" s="25">
        <v>0.0</v>
      </c>
      <c r="J45" s="25">
        <v>0.0</v>
      </c>
      <c r="K45" s="25">
        <v>0.0</v>
      </c>
      <c r="L45" s="25">
        <v>0.0</v>
      </c>
      <c r="M45" s="25">
        <v>0.0</v>
      </c>
      <c r="N45" s="25">
        <v>0.0</v>
      </c>
      <c r="O45" s="25">
        <v>0.0</v>
      </c>
      <c r="P45" s="25"/>
      <c r="Q45" s="25"/>
      <c r="R45" s="25"/>
      <c r="S45" s="25"/>
      <c r="T45" s="25"/>
      <c r="U45" s="25"/>
      <c r="V45" s="25"/>
      <c r="W45" s="25"/>
      <c r="X45" s="25"/>
      <c r="Y45" s="25">
        <v>0.0</v>
      </c>
      <c r="Z45" s="25">
        <v>0.0</v>
      </c>
      <c r="AA45" s="25">
        <v>0.0</v>
      </c>
      <c r="AB45" s="25">
        <v>0.0</v>
      </c>
      <c r="AC45" s="25">
        <v>0.0</v>
      </c>
      <c r="AD45" s="25">
        <v>0.0</v>
      </c>
      <c r="AE45" s="25">
        <v>0.0</v>
      </c>
      <c r="AF45" s="25">
        <v>0.0</v>
      </c>
      <c r="AG45" s="25">
        <v>0.0</v>
      </c>
      <c r="AH45" s="25">
        <v>0.0</v>
      </c>
      <c r="AI45" s="25">
        <v>0.0</v>
      </c>
      <c r="AJ45" s="25"/>
      <c r="AK45" s="15">
        <f t="shared" si="1"/>
        <v>0</v>
      </c>
      <c r="AL45" s="15"/>
      <c r="AM45" s="15">
        <f t="shared" si="2"/>
        <v>0</v>
      </c>
      <c r="AN45" s="26">
        <v>277.0</v>
      </c>
      <c r="AO45" s="27">
        <f t="shared" si="3"/>
        <v>0</v>
      </c>
      <c r="AP45" s="2"/>
      <c r="AQ45" s="2"/>
    </row>
    <row r="46">
      <c r="A46" s="30">
        <v>40.0</v>
      </c>
      <c r="B46" s="23" t="s">
        <v>67</v>
      </c>
      <c r="C46" s="23"/>
      <c r="D46" s="23" t="s">
        <v>17</v>
      </c>
      <c r="E46" s="23" t="s">
        <v>18</v>
      </c>
      <c r="F46" s="25">
        <v>0.0</v>
      </c>
      <c r="G46" s="25">
        <v>0.0</v>
      </c>
      <c r="H46" s="25">
        <v>40.0</v>
      </c>
      <c r="I46" s="25">
        <v>0.0</v>
      </c>
      <c r="J46" s="25">
        <v>0.0</v>
      </c>
      <c r="K46" s="25">
        <v>0.0</v>
      </c>
      <c r="L46" s="25">
        <v>0.0</v>
      </c>
      <c r="M46" s="25">
        <v>0.0</v>
      </c>
      <c r="N46" s="25">
        <v>0.0</v>
      </c>
      <c r="O46" s="25">
        <v>0.0</v>
      </c>
      <c r="P46" s="25"/>
      <c r="Q46" s="25"/>
      <c r="R46" s="25"/>
      <c r="S46" s="25"/>
      <c r="T46" s="25"/>
      <c r="U46" s="25"/>
      <c r="V46" s="25"/>
      <c r="W46" s="25"/>
      <c r="X46" s="25"/>
      <c r="Y46" s="25">
        <v>0.0</v>
      </c>
      <c r="Z46" s="25">
        <v>0.0</v>
      </c>
      <c r="AA46" s="25">
        <v>0.0</v>
      </c>
      <c r="AB46" s="25">
        <v>0.0</v>
      </c>
      <c r="AC46" s="25">
        <v>0.0</v>
      </c>
      <c r="AD46" s="25">
        <v>0.0</v>
      </c>
      <c r="AE46" s="25">
        <v>0.0</v>
      </c>
      <c r="AF46" s="25">
        <v>0.0</v>
      </c>
      <c r="AG46" s="25">
        <v>0.0</v>
      </c>
      <c r="AH46" s="25">
        <v>0.0</v>
      </c>
      <c r="AI46" s="25">
        <v>0.0</v>
      </c>
      <c r="AJ46" s="25"/>
      <c r="AK46" s="15">
        <f t="shared" si="1"/>
        <v>40</v>
      </c>
      <c r="AL46" s="15"/>
      <c r="AM46" s="15">
        <f t="shared" si="2"/>
        <v>40</v>
      </c>
      <c r="AN46" s="26">
        <v>277.0</v>
      </c>
      <c r="AO46" s="27">
        <f t="shared" si="3"/>
        <v>11080</v>
      </c>
      <c r="AP46" s="2"/>
      <c r="AQ46" s="2"/>
    </row>
    <row r="47">
      <c r="A47" s="30">
        <v>41.0</v>
      </c>
      <c r="B47" s="23" t="s">
        <v>68</v>
      </c>
      <c r="C47" s="23"/>
      <c r="D47" s="23" t="s">
        <v>53</v>
      </c>
      <c r="E47" s="23" t="s">
        <v>18</v>
      </c>
      <c r="F47" s="25">
        <v>0.0</v>
      </c>
      <c r="G47" s="25">
        <v>0.0</v>
      </c>
      <c r="H47" s="25">
        <v>0.0</v>
      </c>
      <c r="I47" s="25">
        <v>0.0</v>
      </c>
      <c r="J47" s="25">
        <v>0.0</v>
      </c>
      <c r="K47" s="25">
        <v>0.0</v>
      </c>
      <c r="L47" s="25">
        <v>0.0</v>
      </c>
      <c r="M47" s="25">
        <v>0.0</v>
      </c>
      <c r="N47" s="25">
        <v>0.0</v>
      </c>
      <c r="O47" s="25">
        <v>0.0</v>
      </c>
      <c r="P47" s="25"/>
      <c r="Q47" s="25"/>
      <c r="R47" s="25"/>
      <c r="S47" s="25"/>
      <c r="T47" s="25"/>
      <c r="U47" s="25"/>
      <c r="V47" s="25"/>
      <c r="W47" s="25"/>
      <c r="X47" s="25"/>
      <c r="Y47" s="25">
        <v>0.0</v>
      </c>
      <c r="Z47" s="25">
        <v>0.0</v>
      </c>
      <c r="AA47" s="25">
        <v>0.0</v>
      </c>
      <c r="AB47" s="25">
        <v>0.0</v>
      </c>
      <c r="AC47" s="25">
        <v>0.0</v>
      </c>
      <c r="AD47" s="25">
        <v>0.0</v>
      </c>
      <c r="AE47" s="25">
        <v>0.0</v>
      </c>
      <c r="AF47" s="25">
        <v>0.0</v>
      </c>
      <c r="AG47" s="25">
        <v>0.0</v>
      </c>
      <c r="AH47" s="25">
        <v>0.0</v>
      </c>
      <c r="AI47" s="25">
        <v>0.0</v>
      </c>
      <c r="AJ47" s="25"/>
      <c r="AK47" s="15">
        <f t="shared" si="1"/>
        <v>0</v>
      </c>
      <c r="AL47" s="15"/>
      <c r="AM47" s="15">
        <f t="shared" si="2"/>
        <v>0</v>
      </c>
      <c r="AN47" s="26">
        <v>277.0</v>
      </c>
      <c r="AO47" s="27">
        <f t="shared" si="3"/>
        <v>0</v>
      </c>
      <c r="AP47" s="2"/>
      <c r="AQ47" s="2"/>
    </row>
    <row r="48">
      <c r="A48" s="30">
        <v>42.0</v>
      </c>
      <c r="B48" s="23" t="s">
        <v>69</v>
      </c>
      <c r="C48" s="23"/>
      <c r="D48" s="23" t="s">
        <v>53</v>
      </c>
      <c r="E48" s="23" t="s">
        <v>18</v>
      </c>
      <c r="F48" s="25">
        <v>0.0</v>
      </c>
      <c r="G48" s="25">
        <v>0.0</v>
      </c>
      <c r="H48" s="25">
        <v>0.0</v>
      </c>
      <c r="I48" s="25">
        <v>0.0</v>
      </c>
      <c r="J48" s="25">
        <v>0.0</v>
      </c>
      <c r="K48" s="25">
        <v>0.0</v>
      </c>
      <c r="L48" s="25">
        <v>0.0</v>
      </c>
      <c r="M48" s="25">
        <v>0.0</v>
      </c>
      <c r="N48" s="25">
        <v>0.0</v>
      </c>
      <c r="O48" s="25">
        <v>0.0</v>
      </c>
      <c r="P48" s="25"/>
      <c r="Q48" s="25"/>
      <c r="R48" s="25"/>
      <c r="S48" s="25"/>
      <c r="T48" s="25"/>
      <c r="U48" s="25"/>
      <c r="V48" s="25"/>
      <c r="W48" s="25"/>
      <c r="X48" s="25"/>
      <c r="Y48" s="25">
        <v>0.0</v>
      </c>
      <c r="Z48" s="25">
        <v>0.0</v>
      </c>
      <c r="AA48" s="25">
        <v>0.0</v>
      </c>
      <c r="AB48" s="25">
        <v>0.0</v>
      </c>
      <c r="AC48" s="25">
        <v>0.0</v>
      </c>
      <c r="AD48" s="25">
        <v>0.0</v>
      </c>
      <c r="AE48" s="25">
        <v>0.0</v>
      </c>
      <c r="AF48" s="25">
        <v>0.0</v>
      </c>
      <c r="AG48" s="25">
        <v>0.0</v>
      </c>
      <c r="AH48" s="25">
        <v>0.0</v>
      </c>
      <c r="AI48" s="25">
        <v>0.0</v>
      </c>
      <c r="AJ48" s="25"/>
      <c r="AK48" s="15">
        <f t="shared" si="1"/>
        <v>0</v>
      </c>
      <c r="AL48" s="15"/>
      <c r="AM48" s="15">
        <f t="shared" si="2"/>
        <v>0</v>
      </c>
      <c r="AN48" s="26">
        <v>277.0</v>
      </c>
      <c r="AO48" s="27">
        <f t="shared" si="3"/>
        <v>0</v>
      </c>
      <c r="AP48" s="2"/>
      <c r="AQ48" s="2"/>
    </row>
    <row r="49">
      <c r="A49" s="30">
        <v>43.0</v>
      </c>
      <c r="B49" s="29" t="s">
        <v>70</v>
      </c>
      <c r="C49" s="23"/>
      <c r="D49" s="29" t="s">
        <v>71</v>
      </c>
      <c r="E49" s="23" t="s">
        <v>18</v>
      </c>
      <c r="F49" s="25">
        <v>0.0</v>
      </c>
      <c r="G49" s="25">
        <v>0.0</v>
      </c>
      <c r="H49" s="25">
        <v>0.0</v>
      </c>
      <c r="I49" s="25">
        <v>0.0</v>
      </c>
      <c r="J49" s="25">
        <v>0.0</v>
      </c>
      <c r="K49" s="25">
        <v>0.0</v>
      </c>
      <c r="L49" s="25">
        <v>0.0</v>
      </c>
      <c r="M49" s="25">
        <v>0.0</v>
      </c>
      <c r="N49" s="25">
        <v>0.0</v>
      </c>
      <c r="O49" s="25">
        <v>0.0</v>
      </c>
      <c r="P49" s="25"/>
      <c r="Q49" s="25"/>
      <c r="R49" s="25"/>
      <c r="S49" s="25"/>
      <c r="T49" s="25"/>
      <c r="U49" s="25"/>
      <c r="V49" s="25"/>
      <c r="W49" s="25"/>
      <c r="X49" s="25"/>
      <c r="Y49" s="25">
        <v>0.0</v>
      </c>
      <c r="Z49" s="25">
        <v>0.0</v>
      </c>
      <c r="AA49" s="25">
        <v>0.0</v>
      </c>
      <c r="AB49" s="25">
        <v>0.0</v>
      </c>
      <c r="AC49" s="25">
        <v>0.0</v>
      </c>
      <c r="AD49" s="25">
        <v>0.0</v>
      </c>
      <c r="AE49" s="25">
        <v>0.0</v>
      </c>
      <c r="AF49" s="25">
        <v>0.0</v>
      </c>
      <c r="AG49" s="25">
        <v>0.0</v>
      </c>
      <c r="AH49" s="25">
        <v>0.0</v>
      </c>
      <c r="AI49" s="25">
        <v>0.0</v>
      </c>
      <c r="AJ49" s="25"/>
      <c r="AK49" s="15">
        <f t="shared" si="1"/>
        <v>0</v>
      </c>
      <c r="AL49" s="15"/>
      <c r="AM49" s="15">
        <f t="shared" si="2"/>
        <v>0</v>
      </c>
      <c r="AN49" s="26">
        <v>277.0</v>
      </c>
      <c r="AO49" s="27">
        <f t="shared" si="3"/>
        <v>0</v>
      </c>
      <c r="AP49" s="2"/>
      <c r="AQ49" s="2"/>
    </row>
    <row r="50">
      <c r="A50" s="30">
        <v>44.0</v>
      </c>
      <c r="B50" s="23" t="s">
        <v>72</v>
      </c>
      <c r="C50" s="23"/>
      <c r="D50" s="23" t="s">
        <v>53</v>
      </c>
      <c r="E50" s="23" t="s">
        <v>18</v>
      </c>
      <c r="F50" s="25">
        <v>0.0</v>
      </c>
      <c r="G50" s="25">
        <v>0.0</v>
      </c>
      <c r="H50" s="25">
        <v>0.0</v>
      </c>
      <c r="I50" s="25">
        <v>0.0</v>
      </c>
      <c r="J50" s="25">
        <v>0.0</v>
      </c>
      <c r="K50" s="25">
        <v>0.0</v>
      </c>
      <c r="L50" s="25">
        <v>0.0</v>
      </c>
      <c r="M50" s="25">
        <v>0.0</v>
      </c>
      <c r="N50" s="25">
        <v>0.0</v>
      </c>
      <c r="O50" s="25">
        <v>0.0</v>
      </c>
      <c r="P50" s="25"/>
      <c r="Q50" s="25"/>
      <c r="R50" s="25"/>
      <c r="S50" s="25"/>
      <c r="T50" s="25"/>
      <c r="U50" s="25"/>
      <c r="V50" s="25"/>
      <c r="W50" s="25"/>
      <c r="X50" s="25"/>
      <c r="Y50" s="25">
        <v>0.0</v>
      </c>
      <c r="Z50" s="25">
        <v>0.0</v>
      </c>
      <c r="AA50" s="25">
        <v>0.0</v>
      </c>
      <c r="AB50" s="25">
        <v>0.0</v>
      </c>
      <c r="AC50" s="25">
        <v>0.0</v>
      </c>
      <c r="AD50" s="25">
        <v>0.0</v>
      </c>
      <c r="AE50" s="25">
        <v>0.0</v>
      </c>
      <c r="AF50" s="25">
        <v>0.0</v>
      </c>
      <c r="AG50" s="25">
        <v>0.0</v>
      </c>
      <c r="AH50" s="25">
        <v>0.0</v>
      </c>
      <c r="AI50" s="25">
        <v>0.0</v>
      </c>
      <c r="AJ50" s="25"/>
      <c r="AK50" s="15">
        <f t="shared" si="1"/>
        <v>0</v>
      </c>
      <c r="AL50" s="15"/>
      <c r="AM50" s="15">
        <f t="shared" si="2"/>
        <v>0</v>
      </c>
      <c r="AN50" s="26">
        <v>277.0</v>
      </c>
      <c r="AO50" s="27">
        <f t="shared" si="3"/>
        <v>0</v>
      </c>
      <c r="AP50" s="2"/>
      <c r="AQ50" s="2"/>
    </row>
    <row r="51">
      <c r="A51" s="30">
        <v>45.0</v>
      </c>
      <c r="B51" s="23" t="s">
        <v>73</v>
      </c>
      <c r="C51" s="23"/>
      <c r="D51" s="23" t="s">
        <v>53</v>
      </c>
      <c r="E51" s="23" t="s">
        <v>18</v>
      </c>
      <c r="F51" s="25">
        <v>0.0</v>
      </c>
      <c r="G51" s="25">
        <v>0.0</v>
      </c>
      <c r="H51" s="25">
        <v>0.0</v>
      </c>
      <c r="I51" s="25">
        <v>0.0</v>
      </c>
      <c r="J51" s="25">
        <v>0.0</v>
      </c>
      <c r="K51" s="25">
        <v>0.0</v>
      </c>
      <c r="L51" s="25">
        <v>0.0</v>
      </c>
      <c r="M51" s="25">
        <v>0.0</v>
      </c>
      <c r="N51" s="25">
        <v>0.0</v>
      </c>
      <c r="O51" s="25">
        <v>0.0</v>
      </c>
      <c r="P51" s="25"/>
      <c r="Q51" s="25"/>
      <c r="R51" s="25"/>
      <c r="S51" s="25"/>
      <c r="T51" s="25"/>
      <c r="U51" s="25"/>
      <c r="V51" s="25"/>
      <c r="W51" s="25"/>
      <c r="X51" s="25"/>
      <c r="Y51" s="25">
        <v>0.0</v>
      </c>
      <c r="Z51" s="25">
        <v>0.0</v>
      </c>
      <c r="AA51" s="25">
        <v>0.0</v>
      </c>
      <c r="AB51" s="25">
        <v>0.0</v>
      </c>
      <c r="AC51" s="25">
        <v>0.0</v>
      </c>
      <c r="AD51" s="25">
        <v>0.0</v>
      </c>
      <c r="AE51" s="25">
        <v>20.0</v>
      </c>
      <c r="AF51" s="25">
        <v>0.0</v>
      </c>
      <c r="AG51" s="25">
        <v>0.0</v>
      </c>
      <c r="AH51" s="25">
        <v>0.0</v>
      </c>
      <c r="AI51" s="25">
        <v>0.0</v>
      </c>
      <c r="AJ51" s="25"/>
      <c r="AK51" s="15">
        <f t="shared" si="1"/>
        <v>20</v>
      </c>
      <c r="AL51" s="15"/>
      <c r="AM51" s="15">
        <f t="shared" si="2"/>
        <v>20</v>
      </c>
      <c r="AN51" s="26">
        <v>277.0</v>
      </c>
      <c r="AO51" s="27">
        <f t="shared" si="3"/>
        <v>5540</v>
      </c>
      <c r="AP51" s="2"/>
      <c r="AQ51" s="2"/>
    </row>
    <row r="52">
      <c r="A52" s="30">
        <v>46.0</v>
      </c>
      <c r="B52" s="23" t="s">
        <v>74</v>
      </c>
      <c r="C52" s="23"/>
      <c r="D52" s="23" t="s">
        <v>50</v>
      </c>
      <c r="E52" s="23" t="s">
        <v>18</v>
      </c>
      <c r="F52" s="25">
        <v>0.0</v>
      </c>
      <c r="G52" s="25">
        <v>0.0</v>
      </c>
      <c r="H52" s="25">
        <v>0.0</v>
      </c>
      <c r="I52" s="25">
        <v>0.0</v>
      </c>
      <c r="J52" s="25">
        <v>0.0</v>
      </c>
      <c r="K52" s="25">
        <v>0.0</v>
      </c>
      <c r="L52" s="25">
        <v>0.0</v>
      </c>
      <c r="M52" s="25">
        <v>0.0</v>
      </c>
      <c r="N52" s="25">
        <v>0.0</v>
      </c>
      <c r="O52" s="25">
        <v>0.0</v>
      </c>
      <c r="P52" s="25"/>
      <c r="Q52" s="25"/>
      <c r="R52" s="25"/>
      <c r="S52" s="25"/>
      <c r="T52" s="25"/>
      <c r="U52" s="25"/>
      <c r="V52" s="25"/>
      <c r="W52" s="25"/>
      <c r="X52" s="25"/>
      <c r="Y52" s="25">
        <v>0.0</v>
      </c>
      <c r="Z52" s="25">
        <v>0.0</v>
      </c>
      <c r="AA52" s="25">
        <v>0.0</v>
      </c>
      <c r="AB52" s="25">
        <v>0.0</v>
      </c>
      <c r="AC52" s="25">
        <v>0.0</v>
      </c>
      <c r="AD52" s="25">
        <v>0.0</v>
      </c>
      <c r="AE52" s="25">
        <v>0.0</v>
      </c>
      <c r="AF52" s="25">
        <v>0.0</v>
      </c>
      <c r="AG52" s="25">
        <v>0.0</v>
      </c>
      <c r="AH52" s="25">
        <v>0.0</v>
      </c>
      <c r="AI52" s="25">
        <v>0.0</v>
      </c>
      <c r="AJ52" s="25"/>
      <c r="AK52" s="15">
        <f t="shared" si="1"/>
        <v>0</v>
      </c>
      <c r="AL52" s="15"/>
      <c r="AM52" s="15">
        <f t="shared" si="2"/>
        <v>0</v>
      </c>
      <c r="AN52" s="26">
        <v>277.0</v>
      </c>
      <c r="AO52" s="27">
        <f t="shared" si="3"/>
        <v>0</v>
      </c>
      <c r="AP52" s="2"/>
      <c r="AQ52" s="2"/>
    </row>
    <row r="53">
      <c r="A53" s="30">
        <v>47.0</v>
      </c>
      <c r="B53" s="23" t="s">
        <v>70</v>
      </c>
      <c r="C53" s="23"/>
      <c r="D53" s="23" t="s">
        <v>71</v>
      </c>
      <c r="E53" s="23" t="s">
        <v>18</v>
      </c>
      <c r="F53" s="25">
        <v>0.0</v>
      </c>
      <c r="G53" s="25">
        <v>0.0</v>
      </c>
      <c r="H53" s="25">
        <v>0.0</v>
      </c>
      <c r="I53" s="25">
        <v>0.0</v>
      </c>
      <c r="J53" s="25">
        <v>0.0</v>
      </c>
      <c r="K53" s="25">
        <v>0.0</v>
      </c>
      <c r="L53" s="25">
        <v>0.0</v>
      </c>
      <c r="M53" s="25">
        <v>0.0</v>
      </c>
      <c r="N53" s="25">
        <v>0.0</v>
      </c>
      <c r="O53" s="25">
        <v>0.0</v>
      </c>
      <c r="P53" s="25"/>
      <c r="Q53" s="25"/>
      <c r="R53" s="25"/>
      <c r="S53" s="25"/>
      <c r="T53" s="25"/>
      <c r="U53" s="25"/>
      <c r="V53" s="25"/>
      <c r="W53" s="25"/>
      <c r="X53" s="25"/>
      <c r="Y53" s="25">
        <v>0.0</v>
      </c>
      <c r="Z53" s="25">
        <v>0.0</v>
      </c>
      <c r="AA53" s="25">
        <v>0.0</v>
      </c>
      <c r="AB53" s="25">
        <v>0.0</v>
      </c>
      <c r="AC53" s="25">
        <v>0.0</v>
      </c>
      <c r="AD53" s="25">
        <v>0.0</v>
      </c>
      <c r="AE53" s="25">
        <v>0.0</v>
      </c>
      <c r="AF53" s="25">
        <v>20.0</v>
      </c>
      <c r="AG53" s="25">
        <v>0.0</v>
      </c>
      <c r="AH53" s="25">
        <v>0.0</v>
      </c>
      <c r="AI53" s="25">
        <v>0.0</v>
      </c>
      <c r="AJ53" s="25"/>
      <c r="AK53" s="15">
        <f t="shared" si="1"/>
        <v>20</v>
      </c>
      <c r="AL53" s="15"/>
      <c r="AM53" s="15">
        <f t="shared" si="2"/>
        <v>20</v>
      </c>
      <c r="AN53" s="26">
        <v>277.0</v>
      </c>
      <c r="AO53" s="27">
        <f t="shared" si="3"/>
        <v>5540</v>
      </c>
      <c r="AP53" s="2"/>
      <c r="AQ53" s="2"/>
    </row>
    <row r="54">
      <c r="A54" s="30">
        <v>48.0</v>
      </c>
      <c r="B54" s="23" t="s">
        <v>75</v>
      </c>
      <c r="C54" s="23"/>
      <c r="D54" s="23" t="s">
        <v>53</v>
      </c>
      <c r="E54" s="23" t="s">
        <v>18</v>
      </c>
      <c r="F54" s="25">
        <v>0.0</v>
      </c>
      <c r="G54" s="25">
        <v>0.0</v>
      </c>
      <c r="H54" s="25">
        <v>0.0</v>
      </c>
      <c r="I54" s="25">
        <v>0.0</v>
      </c>
      <c r="J54" s="25">
        <v>0.0</v>
      </c>
      <c r="K54" s="25">
        <v>0.0</v>
      </c>
      <c r="L54" s="25">
        <v>0.0</v>
      </c>
      <c r="M54" s="25">
        <v>0.0</v>
      </c>
      <c r="N54" s="25">
        <v>0.0</v>
      </c>
      <c r="O54" s="25">
        <v>0.0</v>
      </c>
      <c r="P54" s="25"/>
      <c r="Q54" s="25"/>
      <c r="R54" s="25"/>
      <c r="S54" s="25"/>
      <c r="T54" s="25"/>
      <c r="U54" s="25"/>
      <c r="V54" s="25"/>
      <c r="W54" s="25"/>
      <c r="X54" s="25"/>
      <c r="Y54" s="25">
        <v>0.0</v>
      </c>
      <c r="Z54" s="25">
        <v>0.0</v>
      </c>
      <c r="AA54" s="25">
        <v>0.0</v>
      </c>
      <c r="AB54" s="25">
        <v>0.0</v>
      </c>
      <c r="AC54" s="25">
        <v>0.0</v>
      </c>
      <c r="AD54" s="25">
        <v>0.0</v>
      </c>
      <c r="AE54" s="25">
        <v>0.0</v>
      </c>
      <c r="AF54" s="25">
        <v>0.0</v>
      </c>
      <c r="AG54" s="25">
        <v>0.0</v>
      </c>
      <c r="AH54" s="25">
        <v>0.0</v>
      </c>
      <c r="AI54" s="25">
        <v>0.0</v>
      </c>
      <c r="AJ54" s="25"/>
      <c r="AK54" s="15">
        <f t="shared" si="1"/>
        <v>0</v>
      </c>
      <c r="AL54" s="15"/>
      <c r="AM54" s="15">
        <f t="shared" si="2"/>
        <v>0</v>
      </c>
      <c r="AN54" s="26">
        <v>277.0</v>
      </c>
      <c r="AO54" s="27">
        <f t="shared" si="3"/>
        <v>0</v>
      </c>
      <c r="AP54" s="2"/>
      <c r="AQ54" s="2"/>
    </row>
    <row r="55">
      <c r="A55" s="30">
        <v>49.0</v>
      </c>
      <c r="B55" s="29" t="s">
        <v>76</v>
      </c>
      <c r="C55" s="23"/>
      <c r="D55" s="29" t="s">
        <v>62</v>
      </c>
      <c r="E55" s="23" t="s">
        <v>18</v>
      </c>
      <c r="F55" s="25">
        <v>0.0</v>
      </c>
      <c r="G55" s="25">
        <v>0.0</v>
      </c>
      <c r="H55" s="25">
        <v>0.0</v>
      </c>
      <c r="I55" s="25">
        <v>0.0</v>
      </c>
      <c r="J55" s="25">
        <v>0.0</v>
      </c>
      <c r="K55" s="25">
        <v>0.0</v>
      </c>
      <c r="L55" s="25">
        <v>0.0</v>
      </c>
      <c r="M55" s="25">
        <v>0.0</v>
      </c>
      <c r="N55" s="25">
        <v>0.0</v>
      </c>
      <c r="O55" s="25">
        <v>0.0</v>
      </c>
      <c r="P55" s="25"/>
      <c r="Q55" s="25"/>
      <c r="R55" s="25"/>
      <c r="S55" s="25"/>
      <c r="T55" s="25"/>
      <c r="U55" s="25"/>
      <c r="V55" s="25"/>
      <c r="W55" s="25"/>
      <c r="X55" s="25"/>
      <c r="Y55" s="25">
        <v>0.0</v>
      </c>
      <c r="Z55" s="25">
        <v>0.0</v>
      </c>
      <c r="AA55" s="25">
        <v>10.0</v>
      </c>
      <c r="AB55" s="25">
        <v>0.0</v>
      </c>
      <c r="AC55" s="25">
        <v>0.0</v>
      </c>
      <c r="AD55" s="25">
        <v>0.0</v>
      </c>
      <c r="AE55" s="25">
        <v>0.0</v>
      </c>
      <c r="AF55" s="25">
        <v>0.0</v>
      </c>
      <c r="AG55" s="25">
        <v>0.0</v>
      </c>
      <c r="AH55" s="25">
        <v>0.0</v>
      </c>
      <c r="AI55" s="25">
        <v>0.0</v>
      </c>
      <c r="AJ55" s="25"/>
      <c r="AK55" s="15">
        <f t="shared" si="1"/>
        <v>10</v>
      </c>
      <c r="AL55" s="15"/>
      <c r="AM55" s="15">
        <f t="shared" si="2"/>
        <v>10</v>
      </c>
      <c r="AN55" s="26">
        <v>277.0</v>
      </c>
      <c r="AO55" s="27">
        <f t="shared" si="3"/>
        <v>2770</v>
      </c>
      <c r="AP55" s="2"/>
      <c r="AQ55" s="2"/>
    </row>
    <row r="56">
      <c r="A56" s="30">
        <v>50.0</v>
      </c>
      <c r="B56" s="29" t="s">
        <v>77</v>
      </c>
      <c r="C56" s="23"/>
      <c r="D56" s="23" t="s">
        <v>50</v>
      </c>
      <c r="E56" s="23" t="s">
        <v>18</v>
      </c>
      <c r="F56" s="25">
        <v>0.0</v>
      </c>
      <c r="G56" s="25">
        <v>30.0</v>
      </c>
      <c r="H56" s="25">
        <v>0.0</v>
      </c>
      <c r="I56" s="25">
        <v>0.0</v>
      </c>
      <c r="J56" s="25">
        <v>0.0</v>
      </c>
      <c r="K56" s="25">
        <v>0.0</v>
      </c>
      <c r="L56" s="25">
        <v>0.0</v>
      </c>
      <c r="M56" s="25">
        <v>0.0</v>
      </c>
      <c r="N56" s="25">
        <v>0.0</v>
      </c>
      <c r="O56" s="25">
        <v>0.0</v>
      </c>
      <c r="P56" s="25"/>
      <c r="Q56" s="25"/>
      <c r="R56" s="25"/>
      <c r="S56" s="25"/>
      <c r="T56" s="25"/>
      <c r="U56" s="25"/>
      <c r="V56" s="25"/>
      <c r="W56" s="25"/>
      <c r="X56" s="25"/>
      <c r="Y56" s="25">
        <v>0.0</v>
      </c>
      <c r="Z56" s="25">
        <v>0.0</v>
      </c>
      <c r="AA56" s="25">
        <v>0.0</v>
      </c>
      <c r="AB56" s="25">
        <v>0.0</v>
      </c>
      <c r="AC56" s="25">
        <v>5.0</v>
      </c>
      <c r="AD56" s="25">
        <v>0.0</v>
      </c>
      <c r="AE56" s="25">
        <v>0.0</v>
      </c>
      <c r="AF56" s="25">
        <v>0.0</v>
      </c>
      <c r="AG56" s="25">
        <v>0.0</v>
      </c>
      <c r="AH56" s="25">
        <v>0.0</v>
      </c>
      <c r="AI56" s="25">
        <v>0.0</v>
      </c>
      <c r="AJ56" s="25"/>
      <c r="AK56" s="15">
        <f t="shared" si="1"/>
        <v>35</v>
      </c>
      <c r="AL56" s="15"/>
      <c r="AM56" s="15">
        <f t="shared" si="2"/>
        <v>35</v>
      </c>
      <c r="AN56" s="26">
        <v>277.0</v>
      </c>
      <c r="AO56" s="27">
        <f t="shared" si="3"/>
        <v>9695</v>
      </c>
      <c r="AP56" s="2"/>
      <c r="AQ56" s="2"/>
    </row>
    <row r="57">
      <c r="A57" s="30">
        <v>51.0</v>
      </c>
      <c r="B57" s="23" t="s">
        <v>78</v>
      </c>
      <c r="C57" s="23"/>
      <c r="D57" s="23" t="s">
        <v>71</v>
      </c>
      <c r="E57" s="23" t="s">
        <v>18</v>
      </c>
      <c r="F57" s="25">
        <v>0.0</v>
      </c>
      <c r="G57" s="25">
        <v>0.0</v>
      </c>
      <c r="H57" s="25">
        <v>0.0</v>
      </c>
      <c r="I57" s="25">
        <v>0.0</v>
      </c>
      <c r="J57" s="25">
        <v>0.0</v>
      </c>
      <c r="K57" s="25">
        <v>0.0</v>
      </c>
      <c r="L57" s="25">
        <v>0.0</v>
      </c>
      <c r="M57" s="25">
        <v>0.0</v>
      </c>
      <c r="N57" s="25">
        <v>0.0</v>
      </c>
      <c r="O57" s="25">
        <v>0.0</v>
      </c>
      <c r="P57" s="25"/>
      <c r="Q57" s="25"/>
      <c r="R57" s="25"/>
      <c r="S57" s="25"/>
      <c r="T57" s="25"/>
      <c r="U57" s="25"/>
      <c r="V57" s="25"/>
      <c r="W57" s="25"/>
      <c r="X57" s="25"/>
      <c r="Y57" s="25">
        <v>0.0</v>
      </c>
      <c r="Z57" s="25">
        <v>0.0</v>
      </c>
      <c r="AA57" s="25">
        <v>0.0</v>
      </c>
      <c r="AB57" s="25">
        <v>0.0</v>
      </c>
      <c r="AC57" s="25">
        <v>0.0</v>
      </c>
      <c r="AD57" s="25">
        <v>0.0</v>
      </c>
      <c r="AE57" s="25">
        <v>0.0</v>
      </c>
      <c r="AF57" s="25">
        <v>0.0</v>
      </c>
      <c r="AG57" s="25">
        <v>0.0</v>
      </c>
      <c r="AH57" s="25">
        <v>0.0</v>
      </c>
      <c r="AI57" s="25">
        <v>0.0</v>
      </c>
      <c r="AJ57" s="25"/>
      <c r="AK57" s="15">
        <f t="shared" si="1"/>
        <v>0</v>
      </c>
      <c r="AL57" s="15"/>
      <c r="AM57" s="15">
        <f t="shared" si="2"/>
        <v>0</v>
      </c>
      <c r="AN57" s="26">
        <v>277.0</v>
      </c>
      <c r="AO57" s="27">
        <f t="shared" si="3"/>
        <v>0</v>
      </c>
      <c r="AP57" s="2"/>
      <c r="AQ57" s="2"/>
    </row>
    <row r="58">
      <c r="A58" s="30">
        <v>52.0</v>
      </c>
      <c r="B58" s="23" t="s">
        <v>79</v>
      </c>
      <c r="C58" s="23"/>
      <c r="D58" s="23" t="s">
        <v>53</v>
      </c>
      <c r="E58" s="23" t="s">
        <v>18</v>
      </c>
      <c r="F58" s="25">
        <v>0.0</v>
      </c>
      <c r="G58" s="25">
        <v>0.0</v>
      </c>
      <c r="H58" s="25">
        <v>0.0</v>
      </c>
      <c r="I58" s="25">
        <v>0.0</v>
      </c>
      <c r="J58" s="25">
        <v>0.0</v>
      </c>
      <c r="K58" s="25">
        <v>0.0</v>
      </c>
      <c r="L58" s="25">
        <v>0.0</v>
      </c>
      <c r="M58" s="25">
        <v>0.0</v>
      </c>
      <c r="N58" s="25">
        <v>0.0</v>
      </c>
      <c r="O58" s="25">
        <v>0.0</v>
      </c>
      <c r="P58" s="25"/>
      <c r="Q58" s="25"/>
      <c r="R58" s="25"/>
      <c r="S58" s="25"/>
      <c r="T58" s="25"/>
      <c r="U58" s="25"/>
      <c r="V58" s="25"/>
      <c r="W58" s="25"/>
      <c r="X58" s="25"/>
      <c r="Y58" s="25">
        <v>0.0</v>
      </c>
      <c r="Z58" s="25">
        <v>15.0</v>
      </c>
      <c r="AA58" s="25">
        <v>0.0</v>
      </c>
      <c r="AB58" s="25">
        <v>0.0</v>
      </c>
      <c r="AC58" s="25">
        <v>0.0</v>
      </c>
      <c r="AD58" s="25">
        <v>0.0</v>
      </c>
      <c r="AE58" s="25">
        <v>0.0</v>
      </c>
      <c r="AF58" s="25">
        <v>0.0</v>
      </c>
      <c r="AG58" s="25">
        <v>0.0</v>
      </c>
      <c r="AH58" s="25">
        <v>0.0</v>
      </c>
      <c r="AI58" s="25">
        <v>0.0</v>
      </c>
      <c r="AJ58" s="25"/>
      <c r="AK58" s="15">
        <f t="shared" si="1"/>
        <v>15</v>
      </c>
      <c r="AL58" s="15"/>
      <c r="AM58" s="15">
        <f t="shared" si="2"/>
        <v>15</v>
      </c>
      <c r="AN58" s="26">
        <v>277.0</v>
      </c>
      <c r="AO58" s="27">
        <f t="shared" si="3"/>
        <v>4155</v>
      </c>
      <c r="AP58" s="2"/>
      <c r="AQ58" s="2"/>
    </row>
    <row r="59">
      <c r="A59" s="30">
        <v>53.0</v>
      </c>
      <c r="B59" s="23" t="s">
        <v>80</v>
      </c>
      <c r="C59" s="23"/>
      <c r="D59" s="23" t="s">
        <v>53</v>
      </c>
      <c r="E59" s="23" t="s">
        <v>18</v>
      </c>
      <c r="F59" s="25">
        <v>0.0</v>
      </c>
      <c r="G59" s="25">
        <v>0.0</v>
      </c>
      <c r="H59" s="25">
        <v>0.0</v>
      </c>
      <c r="I59" s="25">
        <v>0.0</v>
      </c>
      <c r="J59" s="25">
        <v>0.0</v>
      </c>
      <c r="K59" s="25">
        <v>0.0</v>
      </c>
      <c r="L59" s="25">
        <v>0.0</v>
      </c>
      <c r="M59" s="25">
        <v>0.0</v>
      </c>
      <c r="N59" s="25">
        <v>0.0</v>
      </c>
      <c r="O59" s="25">
        <v>0.0</v>
      </c>
      <c r="P59" s="25"/>
      <c r="Q59" s="25"/>
      <c r="R59" s="25"/>
      <c r="S59" s="25"/>
      <c r="T59" s="25"/>
      <c r="U59" s="25"/>
      <c r="V59" s="25"/>
      <c r="W59" s="25"/>
      <c r="X59" s="25"/>
      <c r="Y59" s="25">
        <v>0.0</v>
      </c>
      <c r="Z59" s="25">
        <v>0.0</v>
      </c>
      <c r="AA59" s="25">
        <v>0.0</v>
      </c>
      <c r="AB59" s="25">
        <v>0.0</v>
      </c>
      <c r="AC59" s="25">
        <v>0.0</v>
      </c>
      <c r="AD59" s="25">
        <v>0.0</v>
      </c>
      <c r="AE59" s="25">
        <v>0.0</v>
      </c>
      <c r="AF59" s="25">
        <v>0.0</v>
      </c>
      <c r="AG59" s="25">
        <v>0.0</v>
      </c>
      <c r="AH59" s="25">
        <v>0.0</v>
      </c>
      <c r="AI59" s="25">
        <v>0.0</v>
      </c>
      <c r="AJ59" s="25"/>
      <c r="AK59" s="15">
        <f t="shared" si="1"/>
        <v>0</v>
      </c>
      <c r="AL59" s="15"/>
      <c r="AM59" s="15">
        <f t="shared" si="2"/>
        <v>0</v>
      </c>
      <c r="AN59" s="26">
        <v>277.0</v>
      </c>
      <c r="AO59" s="27">
        <f t="shared" si="3"/>
        <v>0</v>
      </c>
      <c r="AP59" s="2"/>
      <c r="AQ59" s="2"/>
    </row>
    <row r="60">
      <c r="A60" s="30">
        <v>54.0</v>
      </c>
      <c r="B60" s="29" t="s">
        <v>66</v>
      </c>
      <c r="C60" s="23"/>
      <c r="D60" s="23" t="s">
        <v>53</v>
      </c>
      <c r="E60" s="23" t="s">
        <v>18</v>
      </c>
      <c r="F60" s="25">
        <v>0.0</v>
      </c>
      <c r="G60" s="25">
        <v>0.0</v>
      </c>
      <c r="H60" s="25">
        <v>0.0</v>
      </c>
      <c r="I60" s="25">
        <v>0.0</v>
      </c>
      <c r="J60" s="25">
        <v>0.0</v>
      </c>
      <c r="K60" s="25">
        <v>0.0</v>
      </c>
      <c r="L60" s="25">
        <v>0.0</v>
      </c>
      <c r="M60" s="25">
        <v>0.0</v>
      </c>
      <c r="N60" s="25">
        <v>0.0</v>
      </c>
      <c r="O60" s="25">
        <v>0.0</v>
      </c>
      <c r="P60" s="25"/>
      <c r="Q60" s="25"/>
      <c r="R60" s="25"/>
      <c r="S60" s="25"/>
      <c r="T60" s="25"/>
      <c r="U60" s="25"/>
      <c r="V60" s="25"/>
      <c r="W60" s="25"/>
      <c r="X60" s="25"/>
      <c r="Y60" s="25">
        <v>0.0</v>
      </c>
      <c r="Z60" s="25">
        <v>0.0</v>
      </c>
      <c r="AA60" s="25">
        <v>0.0</v>
      </c>
      <c r="AB60" s="25">
        <v>0.0</v>
      </c>
      <c r="AC60" s="25">
        <v>0.0</v>
      </c>
      <c r="AD60" s="25">
        <v>15.0</v>
      </c>
      <c r="AE60" s="25">
        <v>0.0</v>
      </c>
      <c r="AF60" s="25">
        <v>0.0</v>
      </c>
      <c r="AG60" s="25">
        <v>0.0</v>
      </c>
      <c r="AH60" s="25">
        <v>0.0</v>
      </c>
      <c r="AI60" s="25">
        <v>0.0</v>
      </c>
      <c r="AJ60" s="25"/>
      <c r="AK60" s="15">
        <f t="shared" si="1"/>
        <v>15</v>
      </c>
      <c r="AL60" s="15"/>
      <c r="AM60" s="15">
        <f t="shared" si="2"/>
        <v>15</v>
      </c>
      <c r="AN60" s="26">
        <v>277.0</v>
      </c>
      <c r="AO60" s="27">
        <f t="shared" si="3"/>
        <v>4155</v>
      </c>
      <c r="AP60" s="2"/>
      <c r="AQ60" s="2"/>
    </row>
    <row r="61">
      <c r="A61" s="30">
        <v>55.0</v>
      </c>
      <c r="B61" s="29" t="s">
        <v>81</v>
      </c>
      <c r="C61" s="23"/>
      <c r="D61" s="29" t="s">
        <v>71</v>
      </c>
      <c r="E61" s="23" t="s">
        <v>18</v>
      </c>
      <c r="F61" s="25">
        <v>0.0</v>
      </c>
      <c r="G61" s="25">
        <v>0.0</v>
      </c>
      <c r="H61" s="25">
        <v>0.0</v>
      </c>
      <c r="I61" s="25">
        <v>0.0</v>
      </c>
      <c r="J61" s="25">
        <v>0.0</v>
      </c>
      <c r="K61" s="25">
        <v>0.0</v>
      </c>
      <c r="L61" s="25">
        <v>0.0</v>
      </c>
      <c r="M61" s="25">
        <v>0.0</v>
      </c>
      <c r="N61" s="25">
        <v>0.0</v>
      </c>
      <c r="O61" s="25">
        <v>0.0</v>
      </c>
      <c r="P61" s="25"/>
      <c r="Q61" s="25"/>
      <c r="R61" s="25"/>
      <c r="S61" s="25"/>
      <c r="T61" s="25"/>
      <c r="U61" s="25"/>
      <c r="V61" s="25"/>
      <c r="W61" s="25"/>
      <c r="X61" s="25"/>
      <c r="Y61" s="25">
        <v>0.0</v>
      </c>
      <c r="Z61" s="25">
        <v>0.0</v>
      </c>
      <c r="AA61" s="25">
        <v>0.0</v>
      </c>
      <c r="AB61" s="25">
        <v>0.0</v>
      </c>
      <c r="AC61" s="25">
        <v>0.0</v>
      </c>
      <c r="AD61" s="25">
        <v>0.0</v>
      </c>
      <c r="AE61" s="25">
        <v>5.0</v>
      </c>
      <c r="AF61" s="25">
        <v>0.0</v>
      </c>
      <c r="AG61" s="25">
        <v>0.0</v>
      </c>
      <c r="AH61" s="25">
        <v>0.0</v>
      </c>
      <c r="AI61" s="25">
        <v>0.0</v>
      </c>
      <c r="AJ61" s="25"/>
      <c r="AK61" s="15">
        <f t="shared" si="1"/>
        <v>5</v>
      </c>
      <c r="AL61" s="15"/>
      <c r="AM61" s="15">
        <f t="shared" si="2"/>
        <v>5</v>
      </c>
      <c r="AN61" s="26">
        <v>277.0</v>
      </c>
      <c r="AO61" s="27">
        <f t="shared" si="3"/>
        <v>1385</v>
      </c>
      <c r="AP61" s="2"/>
      <c r="AQ61" s="2"/>
    </row>
    <row r="62">
      <c r="A62" s="30">
        <v>56.0</v>
      </c>
      <c r="B62" s="29" t="s">
        <v>82</v>
      </c>
      <c r="C62" s="23"/>
      <c r="D62" s="29" t="s">
        <v>50</v>
      </c>
      <c r="E62" s="23" t="s">
        <v>18</v>
      </c>
      <c r="F62" s="25">
        <v>0.0</v>
      </c>
      <c r="G62" s="25">
        <v>15.0</v>
      </c>
      <c r="H62" s="25">
        <v>0.0</v>
      </c>
      <c r="I62" s="25">
        <v>0.0</v>
      </c>
      <c r="J62" s="25">
        <v>0.0</v>
      </c>
      <c r="K62" s="25">
        <v>0.0</v>
      </c>
      <c r="L62" s="25">
        <v>0.0</v>
      </c>
      <c r="M62" s="25">
        <v>0.0</v>
      </c>
      <c r="N62" s="25">
        <v>0.0</v>
      </c>
      <c r="O62" s="25">
        <v>0.0</v>
      </c>
      <c r="P62" s="25"/>
      <c r="Q62" s="25"/>
      <c r="R62" s="25"/>
      <c r="S62" s="25"/>
      <c r="T62" s="25"/>
      <c r="U62" s="25"/>
      <c r="V62" s="25"/>
      <c r="W62" s="25"/>
      <c r="X62" s="25"/>
      <c r="Y62" s="25">
        <v>0.0</v>
      </c>
      <c r="Z62" s="25">
        <v>0.0</v>
      </c>
      <c r="AA62" s="25">
        <v>0.0</v>
      </c>
      <c r="AB62" s="25">
        <v>0.0</v>
      </c>
      <c r="AC62" s="25">
        <v>0.0</v>
      </c>
      <c r="AD62" s="25">
        <v>0.0</v>
      </c>
      <c r="AE62" s="25">
        <v>0.0</v>
      </c>
      <c r="AF62" s="25">
        <v>0.0</v>
      </c>
      <c r="AG62" s="25">
        <v>0.0</v>
      </c>
      <c r="AH62" s="25">
        <v>0.0</v>
      </c>
      <c r="AI62" s="25">
        <v>0.0</v>
      </c>
      <c r="AJ62" s="25"/>
      <c r="AK62" s="15">
        <f t="shared" si="1"/>
        <v>15</v>
      </c>
      <c r="AL62" s="15"/>
      <c r="AM62" s="15">
        <f t="shared" si="2"/>
        <v>15</v>
      </c>
      <c r="AN62" s="26">
        <v>277.0</v>
      </c>
      <c r="AO62" s="27">
        <f t="shared" si="3"/>
        <v>4155</v>
      </c>
      <c r="AP62" s="2"/>
      <c r="AQ62" s="2"/>
    </row>
    <row r="63">
      <c r="A63" s="30">
        <v>57.0</v>
      </c>
      <c r="B63" s="23" t="s">
        <v>83</v>
      </c>
      <c r="C63" s="23"/>
      <c r="D63" s="23" t="s">
        <v>53</v>
      </c>
      <c r="E63" s="23" t="s">
        <v>18</v>
      </c>
      <c r="F63" s="25">
        <v>0.0</v>
      </c>
      <c r="G63" s="25">
        <v>0.0</v>
      </c>
      <c r="H63" s="25">
        <v>0.0</v>
      </c>
      <c r="I63" s="25">
        <v>0.0</v>
      </c>
      <c r="J63" s="25">
        <v>0.0</v>
      </c>
      <c r="K63" s="25">
        <v>0.0</v>
      </c>
      <c r="L63" s="25">
        <v>0.0</v>
      </c>
      <c r="M63" s="25">
        <v>0.0</v>
      </c>
      <c r="N63" s="25">
        <v>0.0</v>
      </c>
      <c r="O63" s="25">
        <v>0.0</v>
      </c>
      <c r="P63" s="25"/>
      <c r="Q63" s="25"/>
      <c r="R63" s="25"/>
      <c r="S63" s="25"/>
      <c r="T63" s="25"/>
      <c r="U63" s="25"/>
      <c r="V63" s="25"/>
      <c r="W63" s="25"/>
      <c r="X63" s="25"/>
      <c r="Y63" s="25">
        <v>0.0</v>
      </c>
      <c r="Z63" s="25">
        <v>0.0</v>
      </c>
      <c r="AA63" s="25">
        <v>0.0</v>
      </c>
      <c r="AB63" s="25">
        <v>0.0</v>
      </c>
      <c r="AC63" s="25">
        <v>0.0</v>
      </c>
      <c r="AD63" s="25">
        <v>0.0</v>
      </c>
      <c r="AE63" s="25">
        <v>0.0</v>
      </c>
      <c r="AF63" s="25">
        <v>0.0</v>
      </c>
      <c r="AG63" s="25">
        <v>0.0</v>
      </c>
      <c r="AH63" s="25">
        <v>0.0</v>
      </c>
      <c r="AI63" s="25">
        <v>0.0</v>
      </c>
      <c r="AJ63" s="25"/>
      <c r="AK63" s="15">
        <f t="shared" si="1"/>
        <v>0</v>
      </c>
      <c r="AL63" s="15"/>
      <c r="AM63" s="15">
        <f t="shared" si="2"/>
        <v>0</v>
      </c>
      <c r="AN63" s="26">
        <v>277.0</v>
      </c>
      <c r="AO63" s="27">
        <f t="shared" si="3"/>
        <v>0</v>
      </c>
      <c r="AP63" s="2"/>
      <c r="AQ63" s="2"/>
    </row>
    <row r="64">
      <c r="A64" s="30">
        <v>58.0</v>
      </c>
      <c r="B64" s="23" t="s">
        <v>84</v>
      </c>
      <c r="C64" s="23"/>
      <c r="D64" s="23" t="s">
        <v>24</v>
      </c>
      <c r="E64" s="23" t="s">
        <v>18</v>
      </c>
      <c r="F64" s="25">
        <v>0.0</v>
      </c>
      <c r="G64" s="25">
        <v>0.0</v>
      </c>
      <c r="H64" s="25">
        <v>0.0</v>
      </c>
      <c r="I64" s="25">
        <v>0.0</v>
      </c>
      <c r="J64" s="25">
        <v>0.0</v>
      </c>
      <c r="K64" s="25">
        <v>0.0</v>
      </c>
      <c r="L64" s="25">
        <v>0.0</v>
      </c>
      <c r="M64" s="25">
        <v>0.0</v>
      </c>
      <c r="N64" s="25">
        <v>0.0</v>
      </c>
      <c r="O64" s="25">
        <v>0.0</v>
      </c>
      <c r="P64" s="25"/>
      <c r="Q64" s="25"/>
      <c r="R64" s="25"/>
      <c r="S64" s="25"/>
      <c r="T64" s="25"/>
      <c r="U64" s="25"/>
      <c r="V64" s="25"/>
      <c r="W64" s="25"/>
      <c r="X64" s="25"/>
      <c r="Y64" s="25">
        <v>10.0</v>
      </c>
      <c r="Z64" s="25">
        <v>10.0</v>
      </c>
      <c r="AA64" s="25">
        <v>10.0</v>
      </c>
      <c r="AB64" s="25">
        <v>15.0</v>
      </c>
      <c r="AC64" s="25">
        <v>10.0</v>
      </c>
      <c r="AD64" s="25">
        <v>0.0</v>
      </c>
      <c r="AE64" s="25">
        <v>0.0</v>
      </c>
      <c r="AF64" s="25">
        <v>10.0</v>
      </c>
      <c r="AG64" s="25">
        <v>10.0</v>
      </c>
      <c r="AH64" s="25">
        <v>0.0</v>
      </c>
      <c r="AI64" s="25">
        <v>20.0</v>
      </c>
      <c r="AJ64" s="25"/>
      <c r="AK64" s="15">
        <f t="shared" si="1"/>
        <v>95</v>
      </c>
      <c r="AL64" s="15"/>
      <c r="AM64" s="15">
        <f t="shared" si="2"/>
        <v>95</v>
      </c>
      <c r="AN64" s="26">
        <v>277.0</v>
      </c>
      <c r="AO64" s="27">
        <f t="shared" si="3"/>
        <v>26315</v>
      </c>
      <c r="AP64" s="2"/>
      <c r="AQ64" s="2"/>
    </row>
    <row r="65">
      <c r="A65" s="30">
        <v>59.0</v>
      </c>
      <c r="B65" s="23" t="s">
        <v>85</v>
      </c>
      <c r="C65" s="23"/>
      <c r="D65" s="23" t="s">
        <v>53</v>
      </c>
      <c r="E65" s="23" t="s">
        <v>18</v>
      </c>
      <c r="F65" s="25">
        <v>0.0</v>
      </c>
      <c r="G65" s="25">
        <v>0.0</v>
      </c>
      <c r="H65" s="25">
        <v>0.0</v>
      </c>
      <c r="I65" s="25">
        <v>0.0</v>
      </c>
      <c r="J65" s="25">
        <v>0.0</v>
      </c>
      <c r="K65" s="25">
        <v>0.0</v>
      </c>
      <c r="L65" s="25">
        <v>0.0</v>
      </c>
      <c r="M65" s="25">
        <v>0.0</v>
      </c>
      <c r="N65" s="25">
        <v>0.0</v>
      </c>
      <c r="O65" s="25">
        <v>0.0</v>
      </c>
      <c r="P65" s="25"/>
      <c r="Q65" s="25"/>
      <c r="R65" s="25"/>
      <c r="S65" s="25"/>
      <c r="T65" s="25"/>
      <c r="U65" s="25"/>
      <c r="V65" s="25"/>
      <c r="W65" s="25"/>
      <c r="X65" s="25"/>
      <c r="Y65" s="25">
        <v>0.0</v>
      </c>
      <c r="Z65" s="25">
        <v>0.0</v>
      </c>
      <c r="AA65" s="25">
        <v>0.0</v>
      </c>
      <c r="AB65" s="25">
        <v>0.0</v>
      </c>
      <c r="AC65" s="25">
        <v>0.0</v>
      </c>
      <c r="AD65" s="25">
        <v>0.0</v>
      </c>
      <c r="AE65" s="25">
        <v>0.0</v>
      </c>
      <c r="AF65" s="25">
        <v>0.0</v>
      </c>
      <c r="AG65" s="25">
        <v>0.0</v>
      </c>
      <c r="AH65" s="25">
        <v>0.0</v>
      </c>
      <c r="AI65" s="25">
        <v>0.0</v>
      </c>
      <c r="AJ65" s="25"/>
      <c r="AK65" s="15">
        <f t="shared" si="1"/>
        <v>0</v>
      </c>
      <c r="AL65" s="15"/>
      <c r="AM65" s="15">
        <f t="shared" si="2"/>
        <v>0</v>
      </c>
      <c r="AN65" s="26">
        <v>277.0</v>
      </c>
      <c r="AO65" s="27">
        <f t="shared" si="3"/>
        <v>0</v>
      </c>
      <c r="AP65" s="2"/>
      <c r="AQ65" s="2"/>
    </row>
    <row r="66">
      <c r="A66" s="30">
        <v>60.0</v>
      </c>
      <c r="B66" s="23" t="s">
        <v>86</v>
      </c>
      <c r="C66" s="23"/>
      <c r="D66" s="23" t="s">
        <v>53</v>
      </c>
      <c r="E66" s="23" t="s">
        <v>18</v>
      </c>
      <c r="F66" s="25">
        <v>0.0</v>
      </c>
      <c r="G66" s="25">
        <v>0.0</v>
      </c>
      <c r="H66" s="25">
        <v>0.0</v>
      </c>
      <c r="I66" s="25">
        <v>0.0</v>
      </c>
      <c r="J66" s="25">
        <v>0.0</v>
      </c>
      <c r="K66" s="25">
        <v>0.0</v>
      </c>
      <c r="L66" s="25">
        <v>0.0</v>
      </c>
      <c r="M66" s="25">
        <v>0.0</v>
      </c>
      <c r="N66" s="25">
        <v>0.0</v>
      </c>
      <c r="O66" s="25">
        <v>0.0</v>
      </c>
      <c r="P66" s="25"/>
      <c r="Q66" s="25"/>
      <c r="R66" s="25"/>
      <c r="S66" s="25"/>
      <c r="T66" s="25"/>
      <c r="U66" s="25"/>
      <c r="V66" s="25"/>
      <c r="W66" s="25"/>
      <c r="X66" s="25"/>
      <c r="Y66" s="25">
        <v>0.0</v>
      </c>
      <c r="Z66" s="25">
        <v>0.0</v>
      </c>
      <c r="AA66" s="25">
        <v>15.0</v>
      </c>
      <c r="AB66" s="25">
        <v>0.0</v>
      </c>
      <c r="AC66" s="25">
        <v>0.0</v>
      </c>
      <c r="AD66" s="25">
        <v>0.0</v>
      </c>
      <c r="AE66" s="25">
        <v>0.0</v>
      </c>
      <c r="AF66" s="25">
        <v>0.0</v>
      </c>
      <c r="AG66" s="25">
        <v>0.0</v>
      </c>
      <c r="AH66" s="25">
        <v>0.0</v>
      </c>
      <c r="AI66" s="25">
        <v>0.0</v>
      </c>
      <c r="AJ66" s="25"/>
      <c r="AK66" s="15">
        <f t="shared" si="1"/>
        <v>15</v>
      </c>
      <c r="AL66" s="15"/>
      <c r="AM66" s="15">
        <f t="shared" si="2"/>
        <v>15</v>
      </c>
      <c r="AN66" s="26">
        <v>277.0</v>
      </c>
      <c r="AO66" s="27">
        <f t="shared" si="3"/>
        <v>4155</v>
      </c>
      <c r="AP66" s="2"/>
      <c r="AQ66" s="2"/>
    </row>
    <row r="67">
      <c r="A67" s="30">
        <v>61.0</v>
      </c>
      <c r="B67" s="23" t="s">
        <v>87</v>
      </c>
      <c r="C67" s="23"/>
      <c r="D67" s="23" t="s">
        <v>53</v>
      </c>
      <c r="E67" s="23" t="s">
        <v>18</v>
      </c>
      <c r="F67" s="25">
        <v>0.0</v>
      </c>
      <c r="G67" s="25">
        <v>0.0</v>
      </c>
      <c r="H67" s="25">
        <v>0.0</v>
      </c>
      <c r="I67" s="25">
        <v>0.0</v>
      </c>
      <c r="J67" s="25">
        <v>0.0</v>
      </c>
      <c r="K67" s="25">
        <v>0.0</v>
      </c>
      <c r="L67" s="25">
        <v>0.0</v>
      </c>
      <c r="M67" s="25">
        <v>0.0</v>
      </c>
      <c r="N67" s="25">
        <v>0.0</v>
      </c>
      <c r="O67" s="25">
        <v>0.0</v>
      </c>
      <c r="P67" s="25"/>
      <c r="Q67" s="25"/>
      <c r="R67" s="25"/>
      <c r="S67" s="25"/>
      <c r="T67" s="25"/>
      <c r="U67" s="25"/>
      <c r="V67" s="25"/>
      <c r="W67" s="25"/>
      <c r="X67" s="25"/>
      <c r="Y67" s="25">
        <v>0.0</v>
      </c>
      <c r="Z67" s="25">
        <v>0.0</v>
      </c>
      <c r="AA67" s="25">
        <v>0.0</v>
      </c>
      <c r="AB67" s="25">
        <v>0.0</v>
      </c>
      <c r="AC67" s="25">
        <v>0.0</v>
      </c>
      <c r="AD67" s="25">
        <v>0.0</v>
      </c>
      <c r="AE67" s="25">
        <v>0.0</v>
      </c>
      <c r="AF67" s="25">
        <v>0.0</v>
      </c>
      <c r="AG67" s="25">
        <v>0.0</v>
      </c>
      <c r="AH67" s="25">
        <v>0.0</v>
      </c>
      <c r="AI67" s="25">
        <v>0.0</v>
      </c>
      <c r="AJ67" s="25"/>
      <c r="AK67" s="15">
        <f t="shared" si="1"/>
        <v>0</v>
      </c>
      <c r="AL67" s="15"/>
      <c r="AM67" s="15">
        <f t="shared" si="2"/>
        <v>0</v>
      </c>
      <c r="AN67" s="26">
        <v>277.0</v>
      </c>
      <c r="AO67" s="27">
        <f t="shared" si="3"/>
        <v>0</v>
      </c>
      <c r="AP67" s="2"/>
      <c r="AQ67" s="2"/>
    </row>
    <row r="68">
      <c r="A68" s="30">
        <v>62.0</v>
      </c>
      <c r="B68" s="23" t="s">
        <v>72</v>
      </c>
      <c r="C68" s="23"/>
      <c r="D68" s="23" t="s">
        <v>53</v>
      </c>
      <c r="E68" s="23" t="s">
        <v>18</v>
      </c>
      <c r="F68" s="25">
        <v>0.0</v>
      </c>
      <c r="G68" s="25">
        <v>0.0</v>
      </c>
      <c r="H68" s="25">
        <v>0.0</v>
      </c>
      <c r="I68" s="25">
        <v>0.0</v>
      </c>
      <c r="J68" s="25">
        <v>0.0</v>
      </c>
      <c r="K68" s="25">
        <v>0.0</v>
      </c>
      <c r="L68" s="25">
        <v>0.0</v>
      </c>
      <c r="M68" s="25">
        <v>0.0</v>
      </c>
      <c r="N68" s="25">
        <v>0.0</v>
      </c>
      <c r="O68" s="25">
        <v>0.0</v>
      </c>
      <c r="P68" s="25"/>
      <c r="Q68" s="25"/>
      <c r="R68" s="25"/>
      <c r="S68" s="25"/>
      <c r="T68" s="25"/>
      <c r="U68" s="25"/>
      <c r="V68" s="25"/>
      <c r="W68" s="25"/>
      <c r="X68" s="25"/>
      <c r="Y68" s="25">
        <v>0.0</v>
      </c>
      <c r="Z68" s="25">
        <v>0.0</v>
      </c>
      <c r="AA68" s="25">
        <v>0.0</v>
      </c>
      <c r="AB68" s="25">
        <v>0.0</v>
      </c>
      <c r="AC68" s="25">
        <v>0.0</v>
      </c>
      <c r="AD68" s="25">
        <v>0.0</v>
      </c>
      <c r="AE68" s="25">
        <v>0.0</v>
      </c>
      <c r="AF68" s="25">
        <v>0.0</v>
      </c>
      <c r="AG68" s="25">
        <v>0.0</v>
      </c>
      <c r="AH68" s="25">
        <v>0.0</v>
      </c>
      <c r="AI68" s="25">
        <v>0.0</v>
      </c>
      <c r="AJ68" s="25"/>
      <c r="AK68" s="15">
        <f t="shared" si="1"/>
        <v>0</v>
      </c>
      <c r="AL68" s="15"/>
      <c r="AM68" s="15">
        <f t="shared" si="2"/>
        <v>0</v>
      </c>
      <c r="AN68" s="26">
        <v>277.0</v>
      </c>
      <c r="AO68" s="27">
        <f t="shared" si="3"/>
        <v>0</v>
      </c>
      <c r="AP68" s="2"/>
      <c r="AQ68" s="2"/>
    </row>
    <row r="69">
      <c r="A69" s="30">
        <v>63.0</v>
      </c>
      <c r="B69" s="23" t="s">
        <v>88</v>
      </c>
      <c r="C69" s="23"/>
      <c r="D69" s="23" t="s">
        <v>53</v>
      </c>
      <c r="E69" s="23" t="s">
        <v>18</v>
      </c>
      <c r="F69" s="25">
        <v>0.0</v>
      </c>
      <c r="G69" s="25">
        <v>0.0</v>
      </c>
      <c r="H69" s="25">
        <v>0.0</v>
      </c>
      <c r="I69" s="25">
        <v>30.0</v>
      </c>
      <c r="J69" s="25">
        <v>0.0</v>
      </c>
      <c r="K69" s="25">
        <v>0.0</v>
      </c>
      <c r="L69" s="25">
        <v>0.0</v>
      </c>
      <c r="M69" s="25">
        <v>0.0</v>
      </c>
      <c r="N69" s="25">
        <v>0.0</v>
      </c>
      <c r="O69" s="25">
        <v>0.0</v>
      </c>
      <c r="P69" s="25"/>
      <c r="Q69" s="25"/>
      <c r="R69" s="25"/>
      <c r="S69" s="25"/>
      <c r="T69" s="25"/>
      <c r="U69" s="25"/>
      <c r="V69" s="25"/>
      <c r="W69" s="25"/>
      <c r="X69" s="25"/>
      <c r="Y69" s="25">
        <v>0.0</v>
      </c>
      <c r="Z69" s="25">
        <v>0.0</v>
      </c>
      <c r="AA69" s="25">
        <v>0.0</v>
      </c>
      <c r="AB69" s="25">
        <v>0.0</v>
      </c>
      <c r="AC69" s="25">
        <v>0.0</v>
      </c>
      <c r="AD69" s="25">
        <v>0.0</v>
      </c>
      <c r="AE69" s="25">
        <v>0.0</v>
      </c>
      <c r="AF69" s="25">
        <v>0.0</v>
      </c>
      <c r="AG69" s="25">
        <v>0.0</v>
      </c>
      <c r="AH69" s="25">
        <v>0.0</v>
      </c>
      <c r="AI69" s="25">
        <v>0.0</v>
      </c>
      <c r="AJ69" s="25"/>
      <c r="AK69" s="15">
        <f t="shared" si="1"/>
        <v>30</v>
      </c>
      <c r="AL69" s="15"/>
      <c r="AM69" s="15">
        <f t="shared" si="2"/>
        <v>30</v>
      </c>
      <c r="AN69" s="26">
        <v>277.0</v>
      </c>
      <c r="AO69" s="27">
        <f t="shared" si="3"/>
        <v>8310</v>
      </c>
      <c r="AP69" s="2"/>
      <c r="AQ69" s="2"/>
    </row>
    <row r="70">
      <c r="A70" s="30">
        <v>64.0</v>
      </c>
      <c r="B70" s="23" t="s">
        <v>89</v>
      </c>
      <c r="C70" s="23"/>
      <c r="D70" s="23" t="s">
        <v>53</v>
      </c>
      <c r="E70" s="23" t="s">
        <v>18</v>
      </c>
      <c r="F70" s="25">
        <v>0.0</v>
      </c>
      <c r="G70" s="25">
        <v>0.0</v>
      </c>
      <c r="H70" s="25">
        <v>0.0</v>
      </c>
      <c r="I70" s="25">
        <v>0.0</v>
      </c>
      <c r="J70" s="25">
        <v>0.0</v>
      </c>
      <c r="K70" s="25">
        <v>0.0</v>
      </c>
      <c r="L70" s="25">
        <v>0.0</v>
      </c>
      <c r="M70" s="25">
        <v>0.0</v>
      </c>
      <c r="N70" s="25">
        <v>0.0</v>
      </c>
      <c r="O70" s="25">
        <v>0.0</v>
      </c>
      <c r="P70" s="25"/>
      <c r="Q70" s="25"/>
      <c r="R70" s="25"/>
      <c r="S70" s="25"/>
      <c r="T70" s="25"/>
      <c r="U70" s="25"/>
      <c r="V70" s="25"/>
      <c r="W70" s="25"/>
      <c r="X70" s="25"/>
      <c r="Y70" s="25">
        <v>0.0</v>
      </c>
      <c r="Z70" s="25">
        <v>0.0</v>
      </c>
      <c r="AA70" s="25">
        <v>0.0</v>
      </c>
      <c r="AB70" s="25">
        <v>0.0</v>
      </c>
      <c r="AC70" s="25">
        <v>0.0</v>
      </c>
      <c r="AD70" s="25">
        <v>0.0</v>
      </c>
      <c r="AE70" s="25">
        <v>0.0</v>
      </c>
      <c r="AF70" s="25">
        <v>0.0</v>
      </c>
      <c r="AG70" s="25">
        <v>0.0</v>
      </c>
      <c r="AH70" s="25">
        <v>0.0</v>
      </c>
      <c r="AI70" s="25">
        <v>0.0</v>
      </c>
      <c r="AJ70" s="25"/>
      <c r="AK70" s="15">
        <f t="shared" si="1"/>
        <v>0</v>
      </c>
      <c r="AL70" s="15"/>
      <c r="AM70" s="15">
        <f t="shared" si="2"/>
        <v>0</v>
      </c>
      <c r="AN70" s="26">
        <v>277.0</v>
      </c>
      <c r="AO70" s="27">
        <f t="shared" si="3"/>
        <v>0</v>
      </c>
      <c r="AP70" s="2"/>
      <c r="AQ70" s="2"/>
    </row>
    <row r="71">
      <c r="A71" s="30">
        <v>65.0</v>
      </c>
      <c r="B71" s="23" t="s">
        <v>90</v>
      </c>
      <c r="C71" s="23"/>
      <c r="D71" s="23" t="s">
        <v>53</v>
      </c>
      <c r="E71" s="23" t="s">
        <v>18</v>
      </c>
      <c r="F71" s="25">
        <v>0.0</v>
      </c>
      <c r="G71" s="25">
        <v>0.0</v>
      </c>
      <c r="H71" s="25">
        <v>0.0</v>
      </c>
      <c r="I71" s="25">
        <v>0.0</v>
      </c>
      <c r="J71" s="25">
        <v>0.0</v>
      </c>
      <c r="K71" s="25">
        <v>0.0</v>
      </c>
      <c r="L71" s="25">
        <v>0.0</v>
      </c>
      <c r="M71" s="25">
        <v>0.0</v>
      </c>
      <c r="N71" s="25">
        <v>0.0</v>
      </c>
      <c r="O71" s="25">
        <v>0.0</v>
      </c>
      <c r="P71" s="25"/>
      <c r="Q71" s="25"/>
      <c r="R71" s="25"/>
      <c r="S71" s="25"/>
      <c r="T71" s="25"/>
      <c r="U71" s="25"/>
      <c r="V71" s="25"/>
      <c r="W71" s="25"/>
      <c r="X71" s="25"/>
      <c r="Y71" s="25">
        <v>0.0</v>
      </c>
      <c r="Z71" s="25">
        <v>0.0</v>
      </c>
      <c r="AA71" s="25">
        <v>0.0</v>
      </c>
      <c r="AB71" s="25">
        <v>0.0</v>
      </c>
      <c r="AC71" s="25">
        <v>0.0</v>
      </c>
      <c r="AD71" s="25">
        <v>0.0</v>
      </c>
      <c r="AE71" s="25">
        <v>0.0</v>
      </c>
      <c r="AF71" s="25">
        <v>0.0</v>
      </c>
      <c r="AG71" s="25">
        <v>0.0</v>
      </c>
      <c r="AH71" s="25">
        <v>0.0</v>
      </c>
      <c r="AI71" s="25">
        <v>0.0</v>
      </c>
      <c r="AJ71" s="25"/>
      <c r="AK71" s="15">
        <f t="shared" si="1"/>
        <v>0</v>
      </c>
      <c r="AL71" s="15"/>
      <c r="AM71" s="15">
        <f t="shared" si="2"/>
        <v>0</v>
      </c>
      <c r="AN71" s="26">
        <v>277.0</v>
      </c>
      <c r="AO71" s="27">
        <f t="shared" si="3"/>
        <v>0</v>
      </c>
      <c r="AP71" s="2"/>
      <c r="AQ71" s="2"/>
    </row>
    <row r="72">
      <c r="A72" s="30">
        <v>66.0</v>
      </c>
      <c r="B72" s="23" t="s">
        <v>91</v>
      </c>
      <c r="C72" s="23"/>
      <c r="D72" s="23" t="s">
        <v>45</v>
      </c>
      <c r="E72" s="23" t="s">
        <v>18</v>
      </c>
      <c r="F72" s="25">
        <v>0.0</v>
      </c>
      <c r="G72" s="25">
        <v>0.0</v>
      </c>
      <c r="H72" s="25">
        <v>0.0</v>
      </c>
      <c r="I72" s="25">
        <v>0.0</v>
      </c>
      <c r="J72" s="25">
        <v>0.0</v>
      </c>
      <c r="K72" s="25">
        <v>0.0</v>
      </c>
      <c r="L72" s="25">
        <v>0.0</v>
      </c>
      <c r="M72" s="25">
        <v>0.0</v>
      </c>
      <c r="N72" s="25">
        <v>0.0</v>
      </c>
      <c r="O72" s="25">
        <v>0.0</v>
      </c>
      <c r="P72" s="25"/>
      <c r="Q72" s="25"/>
      <c r="R72" s="25"/>
      <c r="S72" s="25"/>
      <c r="T72" s="25"/>
      <c r="U72" s="25"/>
      <c r="V72" s="25"/>
      <c r="W72" s="25"/>
      <c r="X72" s="25"/>
      <c r="Y72" s="25">
        <v>0.0</v>
      </c>
      <c r="Z72" s="25">
        <v>0.0</v>
      </c>
      <c r="AA72" s="25">
        <v>0.0</v>
      </c>
      <c r="AB72" s="25">
        <v>0.0</v>
      </c>
      <c r="AC72" s="25">
        <v>0.0</v>
      </c>
      <c r="AD72" s="25">
        <v>0.0</v>
      </c>
      <c r="AE72" s="25">
        <v>0.0</v>
      </c>
      <c r="AF72" s="25">
        <v>0.0</v>
      </c>
      <c r="AG72" s="25">
        <v>0.0</v>
      </c>
      <c r="AH72" s="25">
        <v>0.0</v>
      </c>
      <c r="AI72" s="25">
        <v>0.0</v>
      </c>
      <c r="AJ72" s="25"/>
      <c r="AK72" s="15">
        <f t="shared" si="1"/>
        <v>0</v>
      </c>
      <c r="AL72" s="15"/>
      <c r="AM72" s="15">
        <f t="shared" si="2"/>
        <v>0</v>
      </c>
      <c r="AN72" s="26">
        <v>277.0</v>
      </c>
      <c r="AO72" s="27">
        <f t="shared" si="3"/>
        <v>0</v>
      </c>
      <c r="AP72" s="2"/>
      <c r="AQ72" s="2"/>
    </row>
    <row r="73">
      <c r="A73" s="30">
        <v>67.0</v>
      </c>
      <c r="B73" s="23" t="s">
        <v>92</v>
      </c>
      <c r="C73" s="23"/>
      <c r="D73" s="23" t="s">
        <v>53</v>
      </c>
      <c r="E73" s="23" t="s">
        <v>18</v>
      </c>
      <c r="F73" s="25">
        <v>0.0</v>
      </c>
      <c r="G73" s="25">
        <v>0.0</v>
      </c>
      <c r="H73" s="25">
        <v>0.0</v>
      </c>
      <c r="I73" s="25">
        <v>0.0</v>
      </c>
      <c r="J73" s="25">
        <v>0.0</v>
      </c>
      <c r="K73" s="25">
        <v>0.0</v>
      </c>
      <c r="L73" s="25">
        <v>0.0</v>
      </c>
      <c r="M73" s="25">
        <v>0.0</v>
      </c>
      <c r="N73" s="25">
        <v>0.0</v>
      </c>
      <c r="O73" s="25">
        <v>0.0</v>
      </c>
      <c r="P73" s="25"/>
      <c r="Q73" s="25"/>
      <c r="R73" s="25"/>
      <c r="S73" s="25"/>
      <c r="T73" s="25"/>
      <c r="U73" s="25"/>
      <c r="V73" s="25"/>
      <c r="W73" s="25"/>
      <c r="X73" s="25"/>
      <c r="Y73" s="25">
        <v>0.0</v>
      </c>
      <c r="Z73" s="25">
        <v>0.0</v>
      </c>
      <c r="AA73" s="25">
        <v>0.0</v>
      </c>
      <c r="AB73" s="25">
        <v>0.0</v>
      </c>
      <c r="AC73" s="25">
        <v>0.0</v>
      </c>
      <c r="AD73" s="25">
        <v>0.0</v>
      </c>
      <c r="AE73" s="25">
        <v>0.0</v>
      </c>
      <c r="AF73" s="25">
        <v>0.0</v>
      </c>
      <c r="AG73" s="25">
        <v>0.0</v>
      </c>
      <c r="AH73" s="25">
        <v>0.0</v>
      </c>
      <c r="AI73" s="25">
        <v>0.0</v>
      </c>
      <c r="AJ73" s="25"/>
      <c r="AK73" s="15">
        <f t="shared" si="1"/>
        <v>0</v>
      </c>
      <c r="AL73" s="15"/>
      <c r="AM73" s="15">
        <f t="shared" si="2"/>
        <v>0</v>
      </c>
      <c r="AN73" s="26">
        <v>277.0</v>
      </c>
      <c r="AO73" s="27">
        <f t="shared" si="3"/>
        <v>0</v>
      </c>
      <c r="AP73" s="2"/>
      <c r="AQ73" s="2"/>
    </row>
    <row r="74">
      <c r="A74" s="30">
        <v>68.0</v>
      </c>
      <c r="B74" s="23" t="s">
        <v>93</v>
      </c>
      <c r="C74" s="23"/>
      <c r="D74" s="23" t="s">
        <v>53</v>
      </c>
      <c r="E74" s="23" t="s">
        <v>18</v>
      </c>
      <c r="F74" s="25">
        <v>0.0</v>
      </c>
      <c r="G74" s="25">
        <v>0.0</v>
      </c>
      <c r="H74" s="25">
        <v>0.0</v>
      </c>
      <c r="I74" s="25">
        <v>0.0</v>
      </c>
      <c r="J74" s="25">
        <v>0.0</v>
      </c>
      <c r="K74" s="25">
        <v>0.0</v>
      </c>
      <c r="L74" s="25">
        <v>0.0</v>
      </c>
      <c r="M74" s="25">
        <v>0.0</v>
      </c>
      <c r="N74" s="25">
        <v>0.0</v>
      </c>
      <c r="O74" s="25">
        <v>0.0</v>
      </c>
      <c r="P74" s="25"/>
      <c r="Q74" s="25"/>
      <c r="R74" s="25"/>
      <c r="S74" s="25"/>
      <c r="T74" s="25"/>
      <c r="U74" s="25"/>
      <c r="V74" s="25"/>
      <c r="W74" s="25"/>
      <c r="X74" s="25"/>
      <c r="Y74" s="25">
        <v>0.0</v>
      </c>
      <c r="Z74" s="25">
        <v>0.0</v>
      </c>
      <c r="AA74" s="25">
        <v>0.0</v>
      </c>
      <c r="AB74" s="25">
        <v>0.0</v>
      </c>
      <c r="AC74" s="25">
        <v>0.0</v>
      </c>
      <c r="AD74" s="25">
        <v>0.0</v>
      </c>
      <c r="AE74" s="25">
        <v>0.0</v>
      </c>
      <c r="AF74" s="25">
        <v>0.0</v>
      </c>
      <c r="AG74" s="25">
        <v>0.0</v>
      </c>
      <c r="AH74" s="25">
        <v>0.0</v>
      </c>
      <c r="AI74" s="25">
        <v>0.0</v>
      </c>
      <c r="AJ74" s="25"/>
      <c r="AK74" s="15">
        <f t="shared" si="1"/>
        <v>0</v>
      </c>
      <c r="AL74" s="15"/>
      <c r="AM74" s="15">
        <f t="shared" si="2"/>
        <v>0</v>
      </c>
      <c r="AN74" s="26">
        <v>277.0</v>
      </c>
      <c r="AO74" s="27">
        <f t="shared" si="3"/>
        <v>0</v>
      </c>
      <c r="AP74" s="2"/>
      <c r="AQ74" s="2"/>
    </row>
    <row r="75">
      <c r="A75" s="30">
        <v>69.0</v>
      </c>
      <c r="B75" s="29" t="s">
        <v>94</v>
      </c>
      <c r="C75" s="23"/>
      <c r="D75" s="23" t="s">
        <v>53</v>
      </c>
      <c r="E75" s="23" t="s">
        <v>18</v>
      </c>
      <c r="F75" s="25">
        <v>0.0</v>
      </c>
      <c r="G75" s="25">
        <v>0.0</v>
      </c>
      <c r="H75" s="25">
        <v>0.0</v>
      </c>
      <c r="I75" s="25">
        <v>0.0</v>
      </c>
      <c r="J75" s="25">
        <v>0.0</v>
      </c>
      <c r="K75" s="25">
        <v>0.0</v>
      </c>
      <c r="L75" s="25">
        <v>0.0</v>
      </c>
      <c r="M75" s="25">
        <v>0.0</v>
      </c>
      <c r="N75" s="25">
        <v>0.0</v>
      </c>
      <c r="O75" s="25">
        <v>0.0</v>
      </c>
      <c r="P75" s="25"/>
      <c r="Q75" s="25"/>
      <c r="R75" s="25"/>
      <c r="S75" s="25"/>
      <c r="T75" s="25"/>
      <c r="U75" s="25"/>
      <c r="V75" s="25"/>
      <c r="W75" s="25"/>
      <c r="X75" s="25"/>
      <c r="Y75" s="25">
        <v>0.0</v>
      </c>
      <c r="Z75" s="25">
        <v>0.0</v>
      </c>
      <c r="AA75" s="25">
        <v>0.0</v>
      </c>
      <c r="AB75" s="25">
        <v>0.0</v>
      </c>
      <c r="AC75" s="25">
        <v>0.0</v>
      </c>
      <c r="AD75" s="25">
        <v>0.0</v>
      </c>
      <c r="AE75" s="25">
        <v>0.0</v>
      </c>
      <c r="AF75" s="25">
        <v>0.0</v>
      </c>
      <c r="AG75" s="25">
        <v>0.0</v>
      </c>
      <c r="AH75" s="25">
        <v>0.0</v>
      </c>
      <c r="AI75" s="25">
        <v>0.0</v>
      </c>
      <c r="AJ75" s="25"/>
      <c r="AK75" s="15">
        <f t="shared" si="1"/>
        <v>0</v>
      </c>
      <c r="AL75" s="15"/>
      <c r="AM75" s="15">
        <f t="shared" si="2"/>
        <v>0</v>
      </c>
      <c r="AN75" s="26">
        <v>277.0</v>
      </c>
      <c r="AO75" s="27">
        <f t="shared" si="3"/>
        <v>0</v>
      </c>
      <c r="AP75" s="2"/>
      <c r="AQ75" s="2"/>
    </row>
    <row r="76">
      <c r="A76" s="30">
        <v>70.0</v>
      </c>
      <c r="B76" s="29" t="s">
        <v>54</v>
      </c>
      <c r="C76" s="23"/>
      <c r="D76" s="29" t="s">
        <v>53</v>
      </c>
      <c r="E76" s="23" t="s">
        <v>18</v>
      </c>
      <c r="F76" s="25">
        <v>0.0</v>
      </c>
      <c r="G76" s="25">
        <v>10.0</v>
      </c>
      <c r="H76" s="25">
        <v>0.0</v>
      </c>
      <c r="I76" s="25">
        <v>0.0</v>
      </c>
      <c r="J76" s="25">
        <v>0.0</v>
      </c>
      <c r="K76" s="25">
        <v>0.0</v>
      </c>
      <c r="L76" s="25">
        <v>0.0</v>
      </c>
      <c r="M76" s="25">
        <v>0.0</v>
      </c>
      <c r="N76" s="25">
        <v>0.0</v>
      </c>
      <c r="O76" s="25">
        <v>0.0</v>
      </c>
      <c r="P76" s="25"/>
      <c r="Q76" s="25"/>
      <c r="R76" s="25"/>
      <c r="S76" s="25"/>
      <c r="T76" s="25"/>
      <c r="U76" s="25"/>
      <c r="V76" s="25"/>
      <c r="W76" s="25"/>
      <c r="X76" s="25"/>
      <c r="Y76" s="25">
        <v>0.0</v>
      </c>
      <c r="Z76" s="25">
        <v>0.0</v>
      </c>
      <c r="AA76" s="25">
        <v>0.0</v>
      </c>
      <c r="AB76" s="25">
        <v>0.0</v>
      </c>
      <c r="AC76" s="25">
        <v>0.0</v>
      </c>
      <c r="AD76" s="25">
        <v>0.0</v>
      </c>
      <c r="AE76" s="25">
        <v>0.0</v>
      </c>
      <c r="AF76" s="25">
        <v>0.0</v>
      </c>
      <c r="AG76" s="25">
        <v>0.0</v>
      </c>
      <c r="AH76" s="25">
        <v>0.0</v>
      </c>
      <c r="AI76" s="25">
        <v>0.0</v>
      </c>
      <c r="AJ76" s="25"/>
      <c r="AK76" s="15">
        <f t="shared" si="1"/>
        <v>10</v>
      </c>
      <c r="AL76" s="15"/>
      <c r="AM76" s="15">
        <f t="shared" si="2"/>
        <v>10</v>
      </c>
      <c r="AN76" s="26">
        <v>277.0</v>
      </c>
      <c r="AO76" s="27">
        <f t="shared" si="3"/>
        <v>2770</v>
      </c>
      <c r="AP76" s="2"/>
      <c r="AQ76" s="2"/>
    </row>
    <row r="77">
      <c r="A77" s="30">
        <v>71.0</v>
      </c>
      <c r="B77" s="23" t="s">
        <v>95</v>
      </c>
      <c r="C77" s="23"/>
      <c r="D77" s="23" t="s">
        <v>50</v>
      </c>
      <c r="E77" s="23" t="s">
        <v>18</v>
      </c>
      <c r="F77" s="25">
        <v>0.0</v>
      </c>
      <c r="G77" s="25">
        <v>0.0</v>
      </c>
      <c r="H77" s="25">
        <v>0.0</v>
      </c>
      <c r="I77" s="25">
        <v>0.0</v>
      </c>
      <c r="J77" s="25">
        <v>0.0</v>
      </c>
      <c r="K77" s="25">
        <v>0.0</v>
      </c>
      <c r="L77" s="25">
        <v>0.0</v>
      </c>
      <c r="M77" s="25">
        <v>0.0</v>
      </c>
      <c r="N77" s="25">
        <v>0.0</v>
      </c>
      <c r="O77" s="25">
        <v>0.0</v>
      </c>
      <c r="P77" s="25"/>
      <c r="Q77" s="25"/>
      <c r="R77" s="25"/>
      <c r="S77" s="25"/>
      <c r="T77" s="25"/>
      <c r="U77" s="25"/>
      <c r="V77" s="25"/>
      <c r="W77" s="25"/>
      <c r="X77" s="25"/>
      <c r="Y77" s="25">
        <v>0.0</v>
      </c>
      <c r="Z77" s="25">
        <v>0.0</v>
      </c>
      <c r="AA77" s="25">
        <v>0.0</v>
      </c>
      <c r="AB77" s="25">
        <v>0.0</v>
      </c>
      <c r="AC77" s="25">
        <v>0.0</v>
      </c>
      <c r="AD77" s="25">
        <v>0.0</v>
      </c>
      <c r="AE77" s="25">
        <v>0.0</v>
      </c>
      <c r="AF77" s="25">
        <v>0.0</v>
      </c>
      <c r="AG77" s="25">
        <v>0.0</v>
      </c>
      <c r="AH77" s="25">
        <v>0.0</v>
      </c>
      <c r="AI77" s="25">
        <v>0.0</v>
      </c>
      <c r="AJ77" s="25"/>
      <c r="AK77" s="15">
        <f t="shared" si="1"/>
        <v>0</v>
      </c>
      <c r="AL77" s="15"/>
      <c r="AM77" s="15">
        <f t="shared" si="2"/>
        <v>0</v>
      </c>
      <c r="AN77" s="26">
        <v>277.0</v>
      </c>
      <c r="AO77" s="27">
        <f t="shared" si="3"/>
        <v>0</v>
      </c>
      <c r="AP77" s="2"/>
      <c r="AQ77" s="2"/>
    </row>
    <row r="78">
      <c r="A78" s="30">
        <v>72.0</v>
      </c>
      <c r="B78" s="29" t="s">
        <v>67</v>
      </c>
      <c r="C78" s="23"/>
      <c r="D78" s="29" t="s">
        <v>17</v>
      </c>
      <c r="E78" s="23" t="s">
        <v>18</v>
      </c>
      <c r="F78" s="25">
        <v>0.0</v>
      </c>
      <c r="G78" s="25">
        <v>20.0</v>
      </c>
      <c r="H78" s="25">
        <v>0.0</v>
      </c>
      <c r="I78" s="25">
        <v>0.0</v>
      </c>
      <c r="J78" s="25">
        <v>0.0</v>
      </c>
      <c r="K78" s="25">
        <v>0.0</v>
      </c>
      <c r="L78" s="25">
        <v>0.0</v>
      </c>
      <c r="M78" s="25">
        <v>0.0</v>
      </c>
      <c r="N78" s="25">
        <v>0.0</v>
      </c>
      <c r="O78" s="25">
        <v>0.0</v>
      </c>
      <c r="P78" s="25"/>
      <c r="Q78" s="25"/>
      <c r="R78" s="25"/>
      <c r="S78" s="25"/>
      <c r="T78" s="25"/>
      <c r="U78" s="25"/>
      <c r="V78" s="25"/>
      <c r="W78" s="25"/>
      <c r="X78" s="25"/>
      <c r="Y78" s="25">
        <v>0.0</v>
      </c>
      <c r="Z78" s="25">
        <v>0.0</v>
      </c>
      <c r="AA78" s="25">
        <v>0.0</v>
      </c>
      <c r="AB78" s="25">
        <v>0.0</v>
      </c>
      <c r="AC78" s="25">
        <v>0.0</v>
      </c>
      <c r="AD78" s="25">
        <v>0.0</v>
      </c>
      <c r="AE78" s="25">
        <v>0.0</v>
      </c>
      <c r="AF78" s="25">
        <v>0.0</v>
      </c>
      <c r="AG78" s="25">
        <v>0.0</v>
      </c>
      <c r="AH78" s="25">
        <v>0.0</v>
      </c>
      <c r="AI78" s="25">
        <v>0.0</v>
      </c>
      <c r="AJ78" s="25"/>
      <c r="AK78" s="15">
        <f t="shared" si="1"/>
        <v>20</v>
      </c>
      <c r="AL78" s="15"/>
      <c r="AM78" s="15">
        <f t="shared" si="2"/>
        <v>20</v>
      </c>
      <c r="AN78" s="26">
        <v>277.0</v>
      </c>
      <c r="AO78" s="27">
        <f t="shared" si="3"/>
        <v>5540</v>
      </c>
      <c r="AP78" s="2"/>
      <c r="AQ78" s="2"/>
    </row>
    <row r="79">
      <c r="A79" s="30">
        <v>73.0</v>
      </c>
      <c r="B79" s="23" t="s">
        <v>96</v>
      </c>
      <c r="C79" s="23"/>
      <c r="D79" s="23" t="s">
        <v>53</v>
      </c>
      <c r="E79" s="23" t="s">
        <v>18</v>
      </c>
      <c r="F79" s="25">
        <v>0.0</v>
      </c>
      <c r="G79" s="25">
        <v>0.0</v>
      </c>
      <c r="H79" s="25">
        <v>0.0</v>
      </c>
      <c r="I79" s="25">
        <v>0.0</v>
      </c>
      <c r="J79" s="25">
        <v>0.0</v>
      </c>
      <c r="K79" s="25">
        <v>0.0</v>
      </c>
      <c r="L79" s="25">
        <v>0.0</v>
      </c>
      <c r="M79" s="25">
        <v>0.0</v>
      </c>
      <c r="N79" s="25">
        <v>0.0</v>
      </c>
      <c r="O79" s="25">
        <v>0.0</v>
      </c>
      <c r="P79" s="25"/>
      <c r="Q79" s="25"/>
      <c r="R79" s="25"/>
      <c r="S79" s="25"/>
      <c r="T79" s="25"/>
      <c r="U79" s="25"/>
      <c r="V79" s="25"/>
      <c r="W79" s="25"/>
      <c r="X79" s="25"/>
      <c r="Y79" s="25">
        <v>0.0</v>
      </c>
      <c r="Z79" s="25">
        <v>0.0</v>
      </c>
      <c r="AA79" s="25">
        <v>0.0</v>
      </c>
      <c r="AB79" s="25">
        <v>0.0</v>
      </c>
      <c r="AC79" s="25">
        <v>0.0</v>
      </c>
      <c r="AD79" s="25">
        <v>0.0</v>
      </c>
      <c r="AE79" s="25">
        <v>0.0</v>
      </c>
      <c r="AF79" s="25">
        <v>0.0</v>
      </c>
      <c r="AG79" s="25">
        <v>0.0</v>
      </c>
      <c r="AH79" s="25">
        <v>0.0</v>
      </c>
      <c r="AI79" s="25">
        <v>0.0</v>
      </c>
      <c r="AJ79" s="25"/>
      <c r="AK79" s="15">
        <f t="shared" si="1"/>
        <v>0</v>
      </c>
      <c r="AL79" s="15"/>
      <c r="AM79" s="15">
        <f t="shared" si="2"/>
        <v>0</v>
      </c>
      <c r="AN79" s="26">
        <v>277.0</v>
      </c>
      <c r="AO79" s="27">
        <f t="shared" si="3"/>
        <v>0</v>
      </c>
      <c r="AP79" s="2"/>
      <c r="AQ79" s="2"/>
    </row>
    <row r="80">
      <c r="A80" s="30">
        <v>74.0</v>
      </c>
      <c r="B80" s="23" t="s">
        <v>97</v>
      </c>
      <c r="C80" s="23"/>
      <c r="D80" s="23" t="s">
        <v>98</v>
      </c>
      <c r="E80" s="23" t="s">
        <v>18</v>
      </c>
      <c r="F80" s="25">
        <v>0.0</v>
      </c>
      <c r="G80" s="25">
        <v>10.0</v>
      </c>
      <c r="H80" s="25">
        <v>10.0</v>
      </c>
      <c r="I80" s="25">
        <v>0.0</v>
      </c>
      <c r="J80" s="25">
        <v>0.0</v>
      </c>
      <c r="K80" s="25">
        <v>10.0</v>
      </c>
      <c r="L80" s="25">
        <v>0.0</v>
      </c>
      <c r="M80" s="25">
        <v>10.0</v>
      </c>
      <c r="N80" s="25">
        <v>10.0</v>
      </c>
      <c r="O80" s="25">
        <v>10.0</v>
      </c>
      <c r="P80" s="25"/>
      <c r="Q80" s="25"/>
      <c r="R80" s="25"/>
      <c r="S80" s="25"/>
      <c r="T80" s="25"/>
      <c r="U80" s="25"/>
      <c r="V80" s="25"/>
      <c r="W80" s="25"/>
      <c r="X80" s="25"/>
      <c r="Y80" s="25">
        <v>0.0</v>
      </c>
      <c r="Z80" s="25">
        <v>0.0</v>
      </c>
      <c r="AA80" s="25">
        <v>0.0</v>
      </c>
      <c r="AB80" s="25">
        <v>10.0</v>
      </c>
      <c r="AC80" s="25">
        <v>0.0</v>
      </c>
      <c r="AD80" s="25">
        <v>20.0</v>
      </c>
      <c r="AE80" s="25">
        <v>0.0</v>
      </c>
      <c r="AF80" s="25">
        <v>10.0</v>
      </c>
      <c r="AG80" s="25">
        <v>0.0</v>
      </c>
      <c r="AH80" s="25">
        <v>10.0</v>
      </c>
      <c r="AI80" s="25">
        <v>20.0</v>
      </c>
      <c r="AJ80" s="25"/>
      <c r="AK80" s="15">
        <f t="shared" si="1"/>
        <v>130</v>
      </c>
      <c r="AL80" s="15"/>
      <c r="AM80" s="15">
        <f t="shared" si="2"/>
        <v>130</v>
      </c>
      <c r="AN80" s="26">
        <v>277.0</v>
      </c>
      <c r="AO80" s="27">
        <f t="shared" si="3"/>
        <v>36010</v>
      </c>
      <c r="AP80" s="2"/>
      <c r="AQ80" s="2"/>
    </row>
    <row r="81">
      <c r="A81" s="30">
        <v>75.0</v>
      </c>
      <c r="B81" s="29" t="s">
        <v>99</v>
      </c>
      <c r="C81" s="23"/>
      <c r="D81" s="23" t="s">
        <v>100</v>
      </c>
      <c r="E81" s="23" t="s">
        <v>18</v>
      </c>
      <c r="F81" s="25">
        <v>0.0</v>
      </c>
      <c r="G81" s="25">
        <v>0.0</v>
      </c>
      <c r="H81" s="25">
        <v>0.0</v>
      </c>
      <c r="I81" s="25">
        <v>0.0</v>
      </c>
      <c r="J81" s="25">
        <v>0.0</v>
      </c>
      <c r="K81" s="25">
        <v>0.0</v>
      </c>
      <c r="L81" s="25">
        <v>0.0</v>
      </c>
      <c r="M81" s="25">
        <v>0.0</v>
      </c>
      <c r="N81" s="25">
        <v>0.0</v>
      </c>
      <c r="O81" s="25">
        <v>0.0</v>
      </c>
      <c r="P81" s="25"/>
      <c r="Q81" s="25"/>
      <c r="R81" s="25"/>
      <c r="S81" s="25"/>
      <c r="T81" s="25"/>
      <c r="U81" s="25"/>
      <c r="V81" s="25"/>
      <c r="W81" s="25"/>
      <c r="X81" s="25"/>
      <c r="Y81" s="25">
        <v>10.0</v>
      </c>
      <c r="Z81" s="25">
        <v>0.0</v>
      </c>
      <c r="AA81" s="25">
        <v>0.0</v>
      </c>
      <c r="AB81" s="25">
        <v>0.0</v>
      </c>
      <c r="AC81" s="25">
        <v>0.0</v>
      </c>
      <c r="AD81" s="25">
        <v>0.0</v>
      </c>
      <c r="AE81" s="25">
        <v>0.0</v>
      </c>
      <c r="AF81" s="25">
        <v>0.0</v>
      </c>
      <c r="AG81" s="25">
        <v>0.0</v>
      </c>
      <c r="AH81" s="25">
        <v>0.0</v>
      </c>
      <c r="AI81" s="25">
        <v>0.0</v>
      </c>
      <c r="AJ81" s="25"/>
      <c r="AK81" s="15">
        <f t="shared" si="1"/>
        <v>10</v>
      </c>
      <c r="AL81" s="15"/>
      <c r="AM81" s="15">
        <f t="shared" si="2"/>
        <v>10</v>
      </c>
      <c r="AN81" s="26">
        <v>277.0</v>
      </c>
      <c r="AO81" s="27">
        <f t="shared" si="3"/>
        <v>2770</v>
      </c>
      <c r="AP81" s="2"/>
      <c r="AQ81" s="2"/>
    </row>
    <row r="82">
      <c r="A82" s="30">
        <v>76.0</v>
      </c>
      <c r="B82" s="23" t="s">
        <v>101</v>
      </c>
      <c r="C82" s="23"/>
      <c r="D82" s="23" t="s">
        <v>53</v>
      </c>
      <c r="E82" s="23" t="s">
        <v>18</v>
      </c>
      <c r="F82" s="25">
        <v>0.0</v>
      </c>
      <c r="G82" s="25">
        <v>0.0</v>
      </c>
      <c r="H82" s="25">
        <v>0.0</v>
      </c>
      <c r="I82" s="25">
        <v>0.0</v>
      </c>
      <c r="J82" s="25">
        <v>0.0</v>
      </c>
      <c r="K82" s="25">
        <v>0.0</v>
      </c>
      <c r="L82" s="25">
        <v>0.0</v>
      </c>
      <c r="M82" s="25">
        <v>0.0</v>
      </c>
      <c r="N82" s="25">
        <v>0.0</v>
      </c>
      <c r="O82" s="25">
        <v>0.0</v>
      </c>
      <c r="P82" s="25"/>
      <c r="Q82" s="25"/>
      <c r="R82" s="25"/>
      <c r="S82" s="25"/>
      <c r="T82" s="25"/>
      <c r="U82" s="25"/>
      <c r="V82" s="25"/>
      <c r="W82" s="25"/>
      <c r="X82" s="25"/>
      <c r="Y82" s="25">
        <v>0.0</v>
      </c>
      <c r="Z82" s="25">
        <v>0.0</v>
      </c>
      <c r="AA82" s="25">
        <v>0.0</v>
      </c>
      <c r="AB82" s="25">
        <v>0.0</v>
      </c>
      <c r="AC82" s="25">
        <v>0.0</v>
      </c>
      <c r="AD82" s="25">
        <v>0.0</v>
      </c>
      <c r="AE82" s="25">
        <v>0.0</v>
      </c>
      <c r="AF82" s="25">
        <v>0.0</v>
      </c>
      <c r="AG82" s="25">
        <v>0.0</v>
      </c>
      <c r="AH82" s="25">
        <v>0.0</v>
      </c>
      <c r="AI82" s="25">
        <v>0.0</v>
      </c>
      <c r="AJ82" s="25"/>
      <c r="AK82" s="15">
        <f t="shared" si="1"/>
        <v>0</v>
      </c>
      <c r="AL82" s="15"/>
      <c r="AM82" s="15">
        <f t="shared" si="2"/>
        <v>0</v>
      </c>
      <c r="AN82" s="26">
        <v>277.0</v>
      </c>
      <c r="AO82" s="27">
        <f t="shared" si="3"/>
        <v>0</v>
      </c>
      <c r="AP82" s="2"/>
      <c r="AQ82" s="2"/>
    </row>
    <row r="83">
      <c r="A83" s="30">
        <v>77.0</v>
      </c>
      <c r="B83" s="23" t="s">
        <v>102</v>
      </c>
      <c r="C83" s="23"/>
      <c r="D83" s="23" t="s">
        <v>53</v>
      </c>
      <c r="E83" s="23" t="s">
        <v>18</v>
      </c>
      <c r="F83" s="25">
        <v>0.0</v>
      </c>
      <c r="G83" s="25">
        <v>0.0</v>
      </c>
      <c r="H83" s="25">
        <v>0.0</v>
      </c>
      <c r="I83" s="25">
        <v>0.0</v>
      </c>
      <c r="J83" s="25">
        <v>0.0</v>
      </c>
      <c r="K83" s="25">
        <v>0.0</v>
      </c>
      <c r="L83" s="25">
        <v>0.0</v>
      </c>
      <c r="M83" s="25">
        <v>0.0</v>
      </c>
      <c r="N83" s="25">
        <v>0.0</v>
      </c>
      <c r="O83" s="25">
        <v>0.0</v>
      </c>
      <c r="P83" s="25"/>
      <c r="Q83" s="25"/>
      <c r="R83" s="25"/>
      <c r="S83" s="25"/>
      <c r="T83" s="25"/>
      <c r="U83" s="25"/>
      <c r="V83" s="25"/>
      <c r="W83" s="25"/>
      <c r="X83" s="25"/>
      <c r="Y83" s="25">
        <v>0.0</v>
      </c>
      <c r="Z83" s="25">
        <v>0.0</v>
      </c>
      <c r="AA83" s="25">
        <v>0.0</v>
      </c>
      <c r="AB83" s="25">
        <v>0.0</v>
      </c>
      <c r="AC83" s="25">
        <v>0.0</v>
      </c>
      <c r="AD83" s="25">
        <v>0.0</v>
      </c>
      <c r="AE83" s="25">
        <v>0.0</v>
      </c>
      <c r="AF83" s="25">
        <v>0.0</v>
      </c>
      <c r="AG83" s="25">
        <v>0.0</v>
      </c>
      <c r="AH83" s="25">
        <v>0.0</v>
      </c>
      <c r="AI83" s="25">
        <v>0.0</v>
      </c>
      <c r="AJ83" s="25"/>
      <c r="AK83" s="15">
        <f t="shared" si="1"/>
        <v>0</v>
      </c>
      <c r="AL83" s="15"/>
      <c r="AM83" s="15">
        <f t="shared" si="2"/>
        <v>0</v>
      </c>
      <c r="AN83" s="26">
        <v>277.0</v>
      </c>
      <c r="AO83" s="27">
        <f t="shared" si="3"/>
        <v>0</v>
      </c>
      <c r="AP83" s="2"/>
      <c r="AQ83" s="2"/>
    </row>
    <row r="84">
      <c r="A84" s="30">
        <v>78.0</v>
      </c>
      <c r="B84" s="29" t="s">
        <v>30</v>
      </c>
      <c r="C84" s="23"/>
      <c r="D84" s="29" t="s">
        <v>31</v>
      </c>
      <c r="E84" s="23" t="s">
        <v>18</v>
      </c>
      <c r="F84" s="25">
        <v>0.0</v>
      </c>
      <c r="G84" s="25">
        <v>0.0</v>
      </c>
      <c r="H84" s="25">
        <v>0.0</v>
      </c>
      <c r="I84" s="25">
        <v>100.0</v>
      </c>
      <c r="J84" s="25">
        <v>0.0</v>
      </c>
      <c r="K84" s="25">
        <v>0.0</v>
      </c>
      <c r="L84" s="25">
        <v>0.0</v>
      </c>
      <c r="M84" s="25">
        <v>0.0</v>
      </c>
      <c r="N84" s="25">
        <v>0.0</v>
      </c>
      <c r="O84" s="25">
        <v>0.0</v>
      </c>
      <c r="P84" s="25"/>
      <c r="Q84" s="25"/>
      <c r="R84" s="25"/>
      <c r="S84" s="25"/>
      <c r="T84" s="25"/>
      <c r="U84" s="25"/>
      <c r="V84" s="25"/>
      <c r="W84" s="25"/>
      <c r="X84" s="25"/>
      <c r="Y84" s="25">
        <v>0.0</v>
      </c>
      <c r="Z84" s="25">
        <v>0.0</v>
      </c>
      <c r="AA84" s="25">
        <v>0.0</v>
      </c>
      <c r="AB84" s="25">
        <v>0.0</v>
      </c>
      <c r="AC84" s="25">
        <v>0.0</v>
      </c>
      <c r="AD84" s="25">
        <v>0.0</v>
      </c>
      <c r="AE84" s="25">
        <v>0.0</v>
      </c>
      <c r="AF84" s="25">
        <v>0.0</v>
      </c>
      <c r="AG84" s="25">
        <v>0.0</v>
      </c>
      <c r="AH84" s="25">
        <v>0.0</v>
      </c>
      <c r="AI84" s="25">
        <v>0.0</v>
      </c>
      <c r="AJ84" s="25"/>
      <c r="AK84" s="15">
        <f t="shared" si="1"/>
        <v>100</v>
      </c>
      <c r="AL84" s="15"/>
      <c r="AM84" s="15">
        <f t="shared" si="2"/>
        <v>100</v>
      </c>
      <c r="AN84" s="26">
        <v>277.0</v>
      </c>
      <c r="AO84" s="27">
        <f t="shared" si="3"/>
        <v>27700</v>
      </c>
      <c r="AP84" s="2"/>
      <c r="AQ84" s="2"/>
    </row>
    <row r="85">
      <c r="A85" s="30">
        <v>79.0</v>
      </c>
      <c r="B85" s="23" t="s">
        <v>103</v>
      </c>
      <c r="C85" s="23"/>
      <c r="D85" s="23" t="s">
        <v>53</v>
      </c>
      <c r="E85" s="23" t="s">
        <v>18</v>
      </c>
      <c r="F85" s="25">
        <v>0.0</v>
      </c>
      <c r="G85" s="25">
        <v>0.0</v>
      </c>
      <c r="H85" s="25">
        <v>0.0</v>
      </c>
      <c r="I85" s="25">
        <v>0.0</v>
      </c>
      <c r="J85" s="25">
        <v>0.0</v>
      </c>
      <c r="K85" s="25">
        <v>0.0</v>
      </c>
      <c r="L85" s="25">
        <v>0.0</v>
      </c>
      <c r="M85" s="25">
        <v>0.0</v>
      </c>
      <c r="N85" s="25">
        <v>0.0</v>
      </c>
      <c r="O85" s="25">
        <v>0.0</v>
      </c>
      <c r="P85" s="25"/>
      <c r="Q85" s="25"/>
      <c r="R85" s="25"/>
      <c r="S85" s="25"/>
      <c r="T85" s="25"/>
      <c r="U85" s="25"/>
      <c r="V85" s="25"/>
      <c r="W85" s="25"/>
      <c r="X85" s="25"/>
      <c r="Y85" s="25">
        <v>0.0</v>
      </c>
      <c r="Z85" s="25">
        <v>0.0</v>
      </c>
      <c r="AA85" s="25">
        <v>0.0</v>
      </c>
      <c r="AB85" s="25">
        <v>0.0</v>
      </c>
      <c r="AC85" s="25">
        <v>0.0</v>
      </c>
      <c r="AD85" s="25">
        <v>0.0</v>
      </c>
      <c r="AE85" s="25">
        <v>0.0</v>
      </c>
      <c r="AF85" s="25">
        <v>0.0</v>
      </c>
      <c r="AG85" s="25">
        <v>0.0</v>
      </c>
      <c r="AH85" s="25">
        <v>0.0</v>
      </c>
      <c r="AI85" s="25">
        <v>0.0</v>
      </c>
      <c r="AJ85" s="25"/>
      <c r="AK85" s="15">
        <f t="shared" si="1"/>
        <v>0</v>
      </c>
      <c r="AL85" s="15"/>
      <c r="AM85" s="15">
        <f t="shared" si="2"/>
        <v>0</v>
      </c>
      <c r="AN85" s="26">
        <v>277.0</v>
      </c>
      <c r="AO85" s="27">
        <f t="shared" si="3"/>
        <v>0</v>
      </c>
      <c r="AP85" s="2"/>
      <c r="AQ85" s="2"/>
    </row>
    <row r="86">
      <c r="A86" s="30">
        <v>80.0</v>
      </c>
      <c r="B86" s="36" t="s">
        <v>104</v>
      </c>
      <c r="C86" s="2"/>
      <c r="D86" s="2" t="s">
        <v>53</v>
      </c>
      <c r="E86" s="37" t="s">
        <v>18</v>
      </c>
      <c r="F86" s="25">
        <v>0.0</v>
      </c>
      <c r="G86" s="25">
        <v>0.0</v>
      </c>
      <c r="H86" s="25">
        <v>0.0</v>
      </c>
      <c r="I86" s="25">
        <v>0.0</v>
      </c>
      <c r="J86" s="25">
        <v>0.0</v>
      </c>
      <c r="K86" s="25">
        <v>0.0</v>
      </c>
      <c r="L86" s="25">
        <v>0.0</v>
      </c>
      <c r="M86" s="25">
        <v>0.0</v>
      </c>
      <c r="N86" s="25">
        <v>0.0</v>
      </c>
      <c r="O86" s="25">
        <v>0.0</v>
      </c>
      <c r="P86" s="25"/>
      <c r="Q86" s="25"/>
      <c r="R86" s="25"/>
      <c r="S86" s="25"/>
      <c r="T86" s="25"/>
      <c r="U86" s="25"/>
      <c r="V86" s="25"/>
      <c r="W86" s="25"/>
      <c r="X86" s="25"/>
      <c r="Y86" s="25">
        <v>0.0</v>
      </c>
      <c r="Z86" s="25">
        <v>0.0</v>
      </c>
      <c r="AA86" s="25">
        <v>0.0</v>
      </c>
      <c r="AB86" s="25">
        <v>0.0</v>
      </c>
      <c r="AC86" s="25">
        <v>0.0</v>
      </c>
      <c r="AD86" s="25">
        <v>0.0</v>
      </c>
      <c r="AE86" s="25">
        <v>0.0</v>
      </c>
      <c r="AF86" s="25">
        <v>0.0</v>
      </c>
      <c r="AG86" s="25">
        <v>20.0</v>
      </c>
      <c r="AH86" s="25">
        <v>40.0</v>
      </c>
      <c r="AI86" s="25">
        <v>30.0</v>
      </c>
      <c r="AJ86" s="25"/>
      <c r="AK86" s="15">
        <f t="shared" si="1"/>
        <v>90</v>
      </c>
      <c r="AL86" s="15"/>
      <c r="AM86" s="15">
        <f t="shared" si="2"/>
        <v>90</v>
      </c>
      <c r="AN86" s="26">
        <v>277.0</v>
      </c>
      <c r="AO86" s="27">
        <f t="shared" si="3"/>
        <v>24930</v>
      </c>
      <c r="AP86" s="2"/>
      <c r="AQ86" s="2"/>
    </row>
    <row r="87">
      <c r="A87" s="30">
        <v>81.0</v>
      </c>
      <c r="B87" s="38" t="s">
        <v>105</v>
      </c>
      <c r="C87" s="39"/>
      <c r="D87" s="39"/>
      <c r="E87" s="40"/>
      <c r="F87" s="41">
        <f t="shared" ref="F87:AE87" si="4">SUM(F7:F86)</f>
        <v>381</v>
      </c>
      <c r="G87" s="41">
        <f t="shared" si="4"/>
        <v>219.37</v>
      </c>
      <c r="H87" s="41">
        <f t="shared" si="4"/>
        <v>130</v>
      </c>
      <c r="I87" s="15">
        <f t="shared" si="4"/>
        <v>325</v>
      </c>
      <c r="J87" s="15">
        <f t="shared" si="4"/>
        <v>10</v>
      </c>
      <c r="K87" s="41">
        <f t="shared" si="4"/>
        <v>380</v>
      </c>
      <c r="L87" s="41">
        <f t="shared" si="4"/>
        <v>683</v>
      </c>
      <c r="M87" s="41">
        <f t="shared" si="4"/>
        <v>135</v>
      </c>
      <c r="N87" s="41">
        <f t="shared" si="4"/>
        <v>455</v>
      </c>
      <c r="O87" s="41">
        <f t="shared" si="4"/>
        <v>159.54</v>
      </c>
      <c r="P87" s="41">
        <f t="shared" si="4"/>
        <v>0</v>
      </c>
      <c r="Q87" s="41">
        <f t="shared" si="4"/>
        <v>0</v>
      </c>
      <c r="R87" s="41">
        <f t="shared" si="4"/>
        <v>0</v>
      </c>
      <c r="S87" s="41">
        <f t="shared" si="4"/>
        <v>0</v>
      </c>
      <c r="T87" s="41">
        <f t="shared" si="4"/>
        <v>0</v>
      </c>
      <c r="U87" s="41">
        <f t="shared" si="4"/>
        <v>0</v>
      </c>
      <c r="V87" s="41">
        <f t="shared" si="4"/>
        <v>0</v>
      </c>
      <c r="W87" s="41">
        <f t="shared" si="4"/>
        <v>0</v>
      </c>
      <c r="X87" s="41">
        <f t="shared" si="4"/>
        <v>0</v>
      </c>
      <c r="Y87" s="41">
        <f t="shared" si="4"/>
        <v>276</v>
      </c>
      <c r="Z87" s="41">
        <f t="shared" si="4"/>
        <v>130</v>
      </c>
      <c r="AA87" s="41">
        <f t="shared" si="4"/>
        <v>370</v>
      </c>
      <c r="AB87" s="41">
        <f t="shared" si="4"/>
        <v>315</v>
      </c>
      <c r="AC87" s="41">
        <f t="shared" si="4"/>
        <v>780</v>
      </c>
      <c r="AD87" s="41">
        <f t="shared" si="4"/>
        <v>250</v>
      </c>
      <c r="AE87" s="41">
        <f t="shared" si="4"/>
        <v>607</v>
      </c>
      <c r="AF87" s="41">
        <f>SUM(AF7:AF85)</f>
        <v>210</v>
      </c>
      <c r="AG87" s="41">
        <f t="shared" ref="AG87:AI87" si="5">SUM(AG7:AG86)</f>
        <v>610.61</v>
      </c>
      <c r="AH87" s="41">
        <f t="shared" si="5"/>
        <v>205</v>
      </c>
      <c r="AI87" s="41">
        <f t="shared" si="5"/>
        <v>590</v>
      </c>
      <c r="AJ87" s="41">
        <f>SUM(AJ7:AJ85)</f>
        <v>0</v>
      </c>
      <c r="AK87" s="41">
        <f t="shared" si="1"/>
        <v>7221.52</v>
      </c>
      <c r="AL87" s="41"/>
      <c r="AM87" s="41">
        <f>SUM(AM7:AM85)</f>
        <v>7131.52</v>
      </c>
      <c r="AN87" s="26">
        <v>277.0</v>
      </c>
      <c r="AO87" s="42">
        <f>SUM(AO7:AO85)</f>
        <v>1975431.04</v>
      </c>
      <c r="AP87" s="2"/>
      <c r="AQ87" s="2"/>
    </row>
    <row r="88">
      <c r="A88" s="30"/>
      <c r="B88" s="43"/>
      <c r="C88" s="43"/>
      <c r="D88" s="43"/>
      <c r="E88" s="43"/>
      <c r="F88" s="28"/>
      <c r="G88" s="28"/>
      <c r="H88" s="28"/>
      <c r="I88" s="15"/>
      <c r="J88" s="15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44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15"/>
      <c r="AL88" s="28"/>
      <c r="AM88" s="28"/>
      <c r="AN88" s="26">
        <v>277.0</v>
      </c>
      <c r="AO88" s="45"/>
      <c r="AP88" s="2"/>
      <c r="AQ88" s="2"/>
    </row>
    <row r="89">
      <c r="A89" s="30">
        <v>82.0</v>
      </c>
      <c r="B89" s="23" t="s">
        <v>106</v>
      </c>
      <c r="C89" s="23"/>
      <c r="D89" s="23" t="s">
        <v>107</v>
      </c>
      <c r="E89" s="23" t="s">
        <v>18</v>
      </c>
      <c r="F89" s="25">
        <v>0.0</v>
      </c>
      <c r="G89" s="25">
        <v>0.0</v>
      </c>
      <c r="H89" s="25">
        <v>0.0</v>
      </c>
      <c r="I89" s="25">
        <v>0.0</v>
      </c>
      <c r="J89" s="25">
        <v>0.0</v>
      </c>
      <c r="K89" s="25">
        <v>0.0</v>
      </c>
      <c r="L89" s="25">
        <v>0.0</v>
      </c>
      <c r="M89" s="25">
        <v>0.0</v>
      </c>
      <c r="N89" s="25">
        <v>0.0</v>
      </c>
      <c r="O89" s="25">
        <v>0.0</v>
      </c>
      <c r="P89" s="25"/>
      <c r="Q89" s="25"/>
      <c r="R89" s="25"/>
      <c r="S89" s="25"/>
      <c r="T89" s="25"/>
      <c r="U89" s="25"/>
      <c r="V89" s="25"/>
      <c r="W89" s="25"/>
      <c r="X89" s="25"/>
      <c r="Y89" s="25">
        <v>0.0</v>
      </c>
      <c r="Z89" s="25">
        <v>0.0</v>
      </c>
      <c r="AA89" s="25">
        <v>0.0</v>
      </c>
      <c r="AB89" s="25">
        <v>0.0</v>
      </c>
      <c r="AC89" s="25">
        <v>97.0</v>
      </c>
      <c r="AD89" s="25">
        <v>0.0</v>
      </c>
      <c r="AE89" s="25">
        <v>0.0</v>
      </c>
      <c r="AF89" s="25">
        <v>0.0</v>
      </c>
      <c r="AG89" s="25">
        <v>0.0</v>
      </c>
      <c r="AH89" s="25">
        <v>0.0</v>
      </c>
      <c r="AI89" s="25">
        <v>0.0</v>
      </c>
      <c r="AJ89" s="25"/>
      <c r="AK89" s="15">
        <f t="shared" ref="AK89:AK154" si="6">sum(F89:AJ89)</f>
        <v>97</v>
      </c>
      <c r="AL89" s="15"/>
      <c r="AM89" s="15">
        <f t="shared" ref="AM89:AM154" si="7">AL89+AK89</f>
        <v>97</v>
      </c>
      <c r="AN89" s="46">
        <v>277.0</v>
      </c>
      <c r="AO89" s="47">
        <f t="shared" ref="AO89:AO154" si="8">AN89*AM89</f>
        <v>26869</v>
      </c>
      <c r="AP89" s="2"/>
      <c r="AQ89" s="2"/>
    </row>
    <row r="90">
      <c r="A90" s="30">
        <v>83.0</v>
      </c>
      <c r="B90" s="23" t="s">
        <v>108</v>
      </c>
      <c r="C90" s="23"/>
      <c r="D90" s="23" t="s">
        <v>109</v>
      </c>
      <c r="E90" s="23" t="s">
        <v>18</v>
      </c>
      <c r="F90" s="25">
        <v>0.0</v>
      </c>
      <c r="G90" s="25">
        <v>0.0</v>
      </c>
      <c r="H90" s="25">
        <v>0.0</v>
      </c>
      <c r="I90" s="25">
        <v>20.0</v>
      </c>
      <c r="J90" s="25">
        <v>0.0</v>
      </c>
      <c r="K90" s="25">
        <v>0.0</v>
      </c>
      <c r="L90" s="25">
        <v>0.0</v>
      </c>
      <c r="M90" s="25">
        <v>0.0</v>
      </c>
      <c r="N90" s="25">
        <v>0.0</v>
      </c>
      <c r="O90" s="25">
        <v>0.0</v>
      </c>
      <c r="P90" s="25"/>
      <c r="Q90" s="25"/>
      <c r="R90" s="25"/>
      <c r="S90" s="25"/>
      <c r="T90" s="25"/>
      <c r="U90" s="25"/>
      <c r="V90" s="25"/>
      <c r="W90" s="25"/>
      <c r="X90" s="25"/>
      <c r="Y90" s="25">
        <v>0.0</v>
      </c>
      <c r="Z90" s="25">
        <v>0.0</v>
      </c>
      <c r="AA90" s="25">
        <v>0.0</v>
      </c>
      <c r="AB90" s="25">
        <v>0.0</v>
      </c>
      <c r="AC90" s="25">
        <v>0.0</v>
      </c>
      <c r="AD90" s="25">
        <v>0.0</v>
      </c>
      <c r="AE90" s="25">
        <v>0.0</v>
      </c>
      <c r="AF90" s="25">
        <v>0.0</v>
      </c>
      <c r="AG90" s="25">
        <v>0.0</v>
      </c>
      <c r="AH90" s="25">
        <v>0.0</v>
      </c>
      <c r="AI90" s="25">
        <v>0.0</v>
      </c>
      <c r="AJ90" s="25"/>
      <c r="AK90" s="15">
        <f t="shared" si="6"/>
        <v>20</v>
      </c>
      <c r="AL90" s="15"/>
      <c r="AM90" s="15">
        <f t="shared" si="7"/>
        <v>20</v>
      </c>
      <c r="AN90" s="46">
        <v>277.0</v>
      </c>
      <c r="AO90" s="47">
        <f t="shared" si="8"/>
        <v>5540</v>
      </c>
      <c r="AP90" s="2"/>
      <c r="AQ90" s="2"/>
    </row>
    <row r="91">
      <c r="A91" s="30">
        <v>84.0</v>
      </c>
      <c r="B91" s="23" t="s">
        <v>110</v>
      </c>
      <c r="C91" s="23"/>
      <c r="D91" s="23" t="s">
        <v>111</v>
      </c>
      <c r="E91" s="23" t="s">
        <v>18</v>
      </c>
      <c r="F91" s="25">
        <v>0.0</v>
      </c>
      <c r="G91" s="25">
        <v>0.0</v>
      </c>
      <c r="H91" s="25">
        <v>0.0</v>
      </c>
      <c r="I91" s="25">
        <v>0.0</v>
      </c>
      <c r="J91" s="25">
        <v>0.0</v>
      </c>
      <c r="K91" s="25">
        <v>0.0</v>
      </c>
      <c r="L91" s="25">
        <v>0.0</v>
      </c>
      <c r="M91" s="25">
        <v>0.0</v>
      </c>
      <c r="N91" s="25">
        <v>20.0</v>
      </c>
      <c r="O91" s="25">
        <v>0.0</v>
      </c>
      <c r="P91" s="25"/>
      <c r="Q91" s="25"/>
      <c r="R91" s="25"/>
      <c r="S91" s="25"/>
      <c r="T91" s="25"/>
      <c r="U91" s="25"/>
      <c r="V91" s="25"/>
      <c r="W91" s="25"/>
      <c r="X91" s="25"/>
      <c r="Y91" s="25">
        <v>0.0</v>
      </c>
      <c r="Z91" s="25">
        <v>0.0</v>
      </c>
      <c r="AA91" s="25">
        <v>0.0</v>
      </c>
      <c r="AB91" s="25">
        <v>20.0</v>
      </c>
      <c r="AC91" s="25">
        <v>0.0</v>
      </c>
      <c r="AD91" s="25">
        <v>0.0</v>
      </c>
      <c r="AE91" s="25">
        <v>0.0</v>
      </c>
      <c r="AF91" s="25">
        <v>0.0</v>
      </c>
      <c r="AG91" s="25">
        <v>0.0</v>
      </c>
      <c r="AH91" s="25">
        <v>0.0</v>
      </c>
      <c r="AI91" s="25">
        <v>0.0</v>
      </c>
      <c r="AJ91" s="25"/>
      <c r="AK91" s="15">
        <f t="shared" si="6"/>
        <v>40</v>
      </c>
      <c r="AL91" s="15"/>
      <c r="AM91" s="15">
        <f t="shared" si="7"/>
        <v>40</v>
      </c>
      <c r="AN91" s="46">
        <v>277.0</v>
      </c>
      <c r="AO91" s="47">
        <f t="shared" si="8"/>
        <v>11080</v>
      </c>
      <c r="AP91" s="2"/>
      <c r="AQ91" s="2"/>
    </row>
    <row r="92">
      <c r="A92" s="30">
        <v>85.0</v>
      </c>
      <c r="B92" s="29" t="s">
        <v>112</v>
      </c>
      <c r="C92" s="23"/>
      <c r="D92" s="23" t="s">
        <v>113</v>
      </c>
      <c r="E92" s="23" t="s">
        <v>18</v>
      </c>
      <c r="F92" s="25">
        <v>0.0</v>
      </c>
      <c r="G92" s="25">
        <v>0.0</v>
      </c>
      <c r="H92" s="25">
        <v>0.0</v>
      </c>
      <c r="I92" s="25">
        <v>0.0</v>
      </c>
      <c r="J92" s="25">
        <v>0.0</v>
      </c>
      <c r="K92" s="25">
        <v>0.0</v>
      </c>
      <c r="L92" s="25">
        <v>0.0</v>
      </c>
      <c r="M92" s="25">
        <v>0.0</v>
      </c>
      <c r="N92" s="25">
        <v>0.0</v>
      </c>
      <c r="O92" s="25">
        <v>0.0</v>
      </c>
      <c r="P92" s="25"/>
      <c r="Q92" s="25"/>
      <c r="R92" s="25"/>
      <c r="S92" s="25"/>
      <c r="T92" s="25"/>
      <c r="U92" s="25"/>
      <c r="V92" s="25"/>
      <c r="W92" s="25"/>
      <c r="X92" s="25"/>
      <c r="Y92" s="25">
        <v>0.0</v>
      </c>
      <c r="Z92" s="25">
        <v>0.0</v>
      </c>
      <c r="AA92" s="25">
        <v>0.0</v>
      </c>
      <c r="AB92" s="25">
        <v>0.0</v>
      </c>
      <c r="AC92" s="25">
        <v>0.0</v>
      </c>
      <c r="AD92" s="25">
        <v>0.0</v>
      </c>
      <c r="AE92" s="25">
        <v>0.0</v>
      </c>
      <c r="AF92" s="25">
        <v>0.0</v>
      </c>
      <c r="AG92" s="25">
        <v>0.0</v>
      </c>
      <c r="AH92" s="25">
        <v>0.0</v>
      </c>
      <c r="AI92" s="25">
        <v>0.0</v>
      </c>
      <c r="AJ92" s="25"/>
      <c r="AK92" s="15">
        <f t="shared" si="6"/>
        <v>0</v>
      </c>
      <c r="AL92" s="15"/>
      <c r="AM92" s="15">
        <f t="shared" si="7"/>
        <v>0</v>
      </c>
      <c r="AN92" s="46">
        <v>277.0</v>
      </c>
      <c r="AO92" s="47">
        <f t="shared" si="8"/>
        <v>0</v>
      </c>
      <c r="AP92" s="2"/>
      <c r="AQ92" s="2"/>
    </row>
    <row r="93">
      <c r="A93" s="30">
        <v>86.0</v>
      </c>
      <c r="B93" s="29" t="s">
        <v>114</v>
      </c>
      <c r="C93" s="23"/>
      <c r="D93" s="23" t="s">
        <v>115</v>
      </c>
      <c r="E93" s="23" t="s">
        <v>18</v>
      </c>
      <c r="F93" s="25">
        <v>0.0</v>
      </c>
      <c r="G93" s="25">
        <v>50.0</v>
      </c>
      <c r="H93" s="25">
        <v>0.0</v>
      </c>
      <c r="I93" s="25">
        <v>0.0</v>
      </c>
      <c r="J93" s="25">
        <v>0.0</v>
      </c>
      <c r="K93" s="25">
        <v>0.0</v>
      </c>
      <c r="L93" s="25">
        <v>0.0</v>
      </c>
      <c r="M93" s="25">
        <v>0.0</v>
      </c>
      <c r="N93" s="25">
        <v>0.0</v>
      </c>
      <c r="O93" s="25">
        <v>0.0</v>
      </c>
      <c r="P93" s="25"/>
      <c r="Q93" s="25"/>
      <c r="R93" s="25"/>
      <c r="S93" s="25"/>
      <c r="T93" s="25"/>
      <c r="U93" s="25"/>
      <c r="V93" s="25"/>
      <c r="W93" s="25"/>
      <c r="X93" s="25"/>
      <c r="Y93" s="25">
        <v>0.0</v>
      </c>
      <c r="Z93" s="25">
        <v>0.0</v>
      </c>
      <c r="AA93" s="25">
        <v>0.0</v>
      </c>
      <c r="AB93" s="25">
        <v>0.0</v>
      </c>
      <c r="AC93" s="25">
        <v>0.0</v>
      </c>
      <c r="AD93" s="25">
        <v>0.0</v>
      </c>
      <c r="AE93" s="25">
        <v>0.0</v>
      </c>
      <c r="AF93" s="25">
        <v>0.0</v>
      </c>
      <c r="AG93" s="25">
        <v>0.0</v>
      </c>
      <c r="AH93" s="25">
        <v>0.0</v>
      </c>
      <c r="AI93" s="25">
        <v>0.0</v>
      </c>
      <c r="AJ93" s="25"/>
      <c r="AK93" s="15">
        <f t="shared" si="6"/>
        <v>50</v>
      </c>
      <c r="AL93" s="15"/>
      <c r="AM93" s="15">
        <f t="shared" si="7"/>
        <v>50</v>
      </c>
      <c r="AN93" s="46">
        <v>277.0</v>
      </c>
      <c r="AO93" s="47">
        <f t="shared" si="8"/>
        <v>13850</v>
      </c>
      <c r="AP93" s="2"/>
      <c r="AQ93" s="2"/>
    </row>
    <row r="94">
      <c r="A94" s="30">
        <v>87.0</v>
      </c>
      <c r="B94" s="23" t="s">
        <v>116</v>
      </c>
      <c r="C94" s="23"/>
      <c r="D94" s="23" t="s">
        <v>117</v>
      </c>
      <c r="E94" s="23" t="s">
        <v>18</v>
      </c>
      <c r="F94" s="25">
        <v>0.0</v>
      </c>
      <c r="G94" s="25">
        <v>0.0</v>
      </c>
      <c r="H94" s="25">
        <v>0.0</v>
      </c>
      <c r="I94" s="25">
        <v>0.0</v>
      </c>
      <c r="J94" s="25">
        <v>0.0</v>
      </c>
      <c r="K94" s="25">
        <v>0.0</v>
      </c>
      <c r="L94" s="25">
        <v>0.0</v>
      </c>
      <c r="M94" s="25">
        <v>0.0</v>
      </c>
      <c r="N94" s="25">
        <v>0.0</v>
      </c>
      <c r="O94" s="25">
        <v>0.0</v>
      </c>
      <c r="P94" s="25"/>
      <c r="Q94" s="25"/>
      <c r="R94" s="25"/>
      <c r="S94" s="25"/>
      <c r="T94" s="25"/>
      <c r="U94" s="25"/>
      <c r="V94" s="25"/>
      <c r="W94" s="25"/>
      <c r="X94" s="25"/>
      <c r="Y94" s="25">
        <v>0.0</v>
      </c>
      <c r="Z94" s="25">
        <v>0.0</v>
      </c>
      <c r="AA94" s="25">
        <v>0.0</v>
      </c>
      <c r="AB94" s="25">
        <v>0.0</v>
      </c>
      <c r="AC94" s="25">
        <v>0.0</v>
      </c>
      <c r="AD94" s="25">
        <v>0.0</v>
      </c>
      <c r="AE94" s="25">
        <v>0.0</v>
      </c>
      <c r="AF94" s="25">
        <v>0.0</v>
      </c>
      <c r="AG94" s="25">
        <v>0.0</v>
      </c>
      <c r="AH94" s="25">
        <v>0.0</v>
      </c>
      <c r="AI94" s="25">
        <v>0.0</v>
      </c>
      <c r="AJ94" s="25"/>
      <c r="AK94" s="15">
        <f t="shared" si="6"/>
        <v>0</v>
      </c>
      <c r="AL94" s="15"/>
      <c r="AM94" s="15">
        <f t="shared" si="7"/>
        <v>0</v>
      </c>
      <c r="AN94" s="46">
        <v>277.0</v>
      </c>
      <c r="AO94" s="47">
        <f t="shared" si="8"/>
        <v>0</v>
      </c>
      <c r="AP94" s="2"/>
      <c r="AQ94" s="2"/>
    </row>
    <row r="95">
      <c r="A95" s="30">
        <v>88.0</v>
      </c>
      <c r="B95" s="23" t="s">
        <v>118</v>
      </c>
      <c r="C95" s="23"/>
      <c r="D95" s="23" t="s">
        <v>119</v>
      </c>
      <c r="E95" s="23" t="s">
        <v>18</v>
      </c>
      <c r="F95" s="25">
        <v>0.0</v>
      </c>
      <c r="G95" s="25">
        <v>0.0</v>
      </c>
      <c r="H95" s="25">
        <v>0.0</v>
      </c>
      <c r="I95" s="25">
        <v>0.0</v>
      </c>
      <c r="J95" s="25">
        <v>0.0</v>
      </c>
      <c r="K95" s="25">
        <v>0.0</v>
      </c>
      <c r="L95" s="25">
        <v>0.0</v>
      </c>
      <c r="M95" s="25">
        <v>0.0</v>
      </c>
      <c r="N95" s="25">
        <v>0.0</v>
      </c>
      <c r="O95" s="25">
        <v>0.0</v>
      </c>
      <c r="P95" s="25"/>
      <c r="Q95" s="25"/>
      <c r="R95" s="25"/>
      <c r="S95" s="25"/>
      <c r="T95" s="25"/>
      <c r="U95" s="25"/>
      <c r="V95" s="25"/>
      <c r="W95" s="25"/>
      <c r="X95" s="25"/>
      <c r="Y95" s="25">
        <v>0.0</v>
      </c>
      <c r="Z95" s="25">
        <v>0.0</v>
      </c>
      <c r="AA95" s="25">
        <v>0.0</v>
      </c>
      <c r="AB95" s="25">
        <v>0.0</v>
      </c>
      <c r="AC95" s="25">
        <v>0.0</v>
      </c>
      <c r="AD95" s="25">
        <v>0.0</v>
      </c>
      <c r="AE95" s="25">
        <v>0.0</v>
      </c>
      <c r="AF95" s="25">
        <v>0.0</v>
      </c>
      <c r="AG95" s="25">
        <v>0.0</v>
      </c>
      <c r="AH95" s="25">
        <v>0.0</v>
      </c>
      <c r="AI95" s="25">
        <v>0.0</v>
      </c>
      <c r="AJ95" s="25"/>
      <c r="AK95" s="15">
        <f t="shared" si="6"/>
        <v>0</v>
      </c>
      <c r="AL95" s="15"/>
      <c r="AM95" s="15">
        <f t="shared" si="7"/>
        <v>0</v>
      </c>
      <c r="AN95" s="46">
        <v>277.0</v>
      </c>
      <c r="AO95" s="47">
        <f t="shared" si="8"/>
        <v>0</v>
      </c>
      <c r="AP95" s="2"/>
      <c r="AQ95" s="2"/>
    </row>
    <row r="96">
      <c r="A96" s="30">
        <v>89.0</v>
      </c>
      <c r="B96" s="23" t="s">
        <v>120</v>
      </c>
      <c r="C96" s="23"/>
      <c r="D96" s="23" t="s">
        <v>119</v>
      </c>
      <c r="E96" s="23" t="s">
        <v>18</v>
      </c>
      <c r="F96" s="25">
        <v>0.0</v>
      </c>
      <c r="G96" s="25">
        <v>0.0</v>
      </c>
      <c r="H96" s="25">
        <v>0.0</v>
      </c>
      <c r="I96" s="25">
        <v>0.0</v>
      </c>
      <c r="J96" s="25">
        <v>0.0</v>
      </c>
      <c r="K96" s="25">
        <v>0.0</v>
      </c>
      <c r="L96" s="25">
        <v>0.0</v>
      </c>
      <c r="M96" s="25">
        <v>0.0</v>
      </c>
      <c r="N96" s="25">
        <v>0.0</v>
      </c>
      <c r="O96" s="25">
        <v>0.0</v>
      </c>
      <c r="P96" s="25"/>
      <c r="Q96" s="25"/>
      <c r="R96" s="25"/>
      <c r="S96" s="25"/>
      <c r="T96" s="25"/>
      <c r="U96" s="25"/>
      <c r="V96" s="25"/>
      <c r="W96" s="25"/>
      <c r="X96" s="25"/>
      <c r="Y96" s="25">
        <v>0.0</v>
      </c>
      <c r="Z96" s="25">
        <v>0.0</v>
      </c>
      <c r="AA96" s="25">
        <v>0.0</v>
      </c>
      <c r="AB96" s="25">
        <v>0.0</v>
      </c>
      <c r="AC96" s="25">
        <v>0.0</v>
      </c>
      <c r="AD96" s="25">
        <v>0.0</v>
      </c>
      <c r="AE96" s="25">
        <v>0.0</v>
      </c>
      <c r="AF96" s="25">
        <v>0.0</v>
      </c>
      <c r="AG96" s="25">
        <v>0.0</v>
      </c>
      <c r="AH96" s="25">
        <v>0.0</v>
      </c>
      <c r="AI96" s="25">
        <v>0.0</v>
      </c>
      <c r="AJ96" s="25"/>
      <c r="AK96" s="15">
        <f t="shared" si="6"/>
        <v>0</v>
      </c>
      <c r="AL96" s="15"/>
      <c r="AM96" s="15">
        <f t="shared" si="7"/>
        <v>0</v>
      </c>
      <c r="AN96" s="46">
        <v>277.0</v>
      </c>
      <c r="AO96" s="47">
        <f t="shared" si="8"/>
        <v>0</v>
      </c>
      <c r="AP96" s="2"/>
      <c r="AQ96" s="2"/>
    </row>
    <row r="97">
      <c r="A97" s="30">
        <v>90.0</v>
      </c>
      <c r="B97" s="29" t="s">
        <v>121</v>
      </c>
      <c r="C97" s="23"/>
      <c r="D97" s="23" t="s">
        <v>119</v>
      </c>
      <c r="E97" s="23" t="s">
        <v>18</v>
      </c>
      <c r="F97" s="25">
        <v>0.0</v>
      </c>
      <c r="G97" s="25">
        <v>0.0</v>
      </c>
      <c r="H97" s="25">
        <v>0.0</v>
      </c>
      <c r="I97" s="25">
        <v>0.0</v>
      </c>
      <c r="J97" s="25">
        <v>0.0</v>
      </c>
      <c r="K97" s="25">
        <v>0.0</v>
      </c>
      <c r="L97" s="25">
        <v>0.0</v>
      </c>
      <c r="M97" s="25">
        <v>0.0</v>
      </c>
      <c r="N97" s="25">
        <v>0.0</v>
      </c>
      <c r="O97" s="25">
        <v>0.0</v>
      </c>
      <c r="P97" s="25"/>
      <c r="Q97" s="25"/>
      <c r="R97" s="25"/>
      <c r="S97" s="25"/>
      <c r="T97" s="25"/>
      <c r="U97" s="25"/>
      <c r="V97" s="25"/>
      <c r="W97" s="25"/>
      <c r="X97" s="25"/>
      <c r="Y97" s="25">
        <v>0.0</v>
      </c>
      <c r="Z97" s="25">
        <v>0.0</v>
      </c>
      <c r="AA97" s="25">
        <v>0.0</v>
      </c>
      <c r="AB97" s="25">
        <v>0.0</v>
      </c>
      <c r="AC97" s="25">
        <v>0.0</v>
      </c>
      <c r="AD97" s="25">
        <v>0.0</v>
      </c>
      <c r="AE97" s="25">
        <v>0.0</v>
      </c>
      <c r="AF97" s="25">
        <v>0.0</v>
      </c>
      <c r="AG97" s="25">
        <v>0.0</v>
      </c>
      <c r="AH97" s="25">
        <v>0.0</v>
      </c>
      <c r="AI97" s="25">
        <v>0.0</v>
      </c>
      <c r="AJ97" s="25"/>
      <c r="AK97" s="15">
        <f t="shared" si="6"/>
        <v>0</v>
      </c>
      <c r="AL97" s="15"/>
      <c r="AM97" s="15">
        <f t="shared" si="7"/>
        <v>0</v>
      </c>
      <c r="AN97" s="46">
        <v>277.0</v>
      </c>
      <c r="AO97" s="47">
        <f t="shared" si="8"/>
        <v>0</v>
      </c>
      <c r="AP97" s="2"/>
      <c r="AQ97" s="2"/>
    </row>
    <row r="98">
      <c r="A98" s="30">
        <v>91.0</v>
      </c>
      <c r="B98" s="29" t="s">
        <v>122</v>
      </c>
      <c r="C98" s="23"/>
      <c r="D98" s="29" t="s">
        <v>123</v>
      </c>
      <c r="E98" s="23" t="s">
        <v>18</v>
      </c>
      <c r="F98" s="25">
        <v>0.0</v>
      </c>
      <c r="G98" s="25">
        <v>0.0</v>
      </c>
      <c r="H98" s="25">
        <v>0.0</v>
      </c>
      <c r="I98" s="25">
        <v>0.0</v>
      </c>
      <c r="J98" s="25">
        <v>0.0</v>
      </c>
      <c r="K98" s="25">
        <v>0.0</v>
      </c>
      <c r="L98" s="25">
        <v>0.0</v>
      </c>
      <c r="M98" s="25">
        <v>0.0</v>
      </c>
      <c r="N98" s="25">
        <v>0.0</v>
      </c>
      <c r="O98" s="25">
        <v>0.0</v>
      </c>
      <c r="P98" s="25"/>
      <c r="Q98" s="25"/>
      <c r="R98" s="25"/>
      <c r="S98" s="25"/>
      <c r="T98" s="25"/>
      <c r="U98" s="25"/>
      <c r="V98" s="25"/>
      <c r="W98" s="25"/>
      <c r="X98" s="25"/>
      <c r="Y98" s="25">
        <v>0.0</v>
      </c>
      <c r="Z98" s="25">
        <v>0.0</v>
      </c>
      <c r="AA98" s="25">
        <v>0.0</v>
      </c>
      <c r="AB98" s="25">
        <v>0.0</v>
      </c>
      <c r="AC98" s="25">
        <v>0.0</v>
      </c>
      <c r="AD98" s="25">
        <v>0.0</v>
      </c>
      <c r="AE98" s="25">
        <v>0.0</v>
      </c>
      <c r="AF98" s="25">
        <v>0.0</v>
      </c>
      <c r="AG98" s="25">
        <v>0.0</v>
      </c>
      <c r="AH98" s="25">
        <v>0.0</v>
      </c>
      <c r="AI98" s="25">
        <v>0.0</v>
      </c>
      <c r="AJ98" s="25"/>
      <c r="AK98" s="15">
        <f t="shared" si="6"/>
        <v>0</v>
      </c>
      <c r="AL98" s="15"/>
      <c r="AM98" s="15">
        <f t="shared" si="7"/>
        <v>0</v>
      </c>
      <c r="AN98" s="46">
        <v>277.0</v>
      </c>
      <c r="AO98" s="47">
        <f t="shared" si="8"/>
        <v>0</v>
      </c>
      <c r="AP98" s="2"/>
      <c r="AQ98" s="2"/>
    </row>
    <row r="99">
      <c r="A99" s="30">
        <v>92.0</v>
      </c>
      <c r="B99" s="23" t="s">
        <v>124</v>
      </c>
      <c r="C99" s="23"/>
      <c r="D99" s="23" t="s">
        <v>125</v>
      </c>
      <c r="E99" s="23" t="s">
        <v>18</v>
      </c>
      <c r="F99" s="25">
        <v>0.0</v>
      </c>
      <c r="G99" s="25">
        <v>0.0</v>
      </c>
      <c r="H99" s="25">
        <v>0.0</v>
      </c>
      <c r="I99" s="25">
        <v>0.0</v>
      </c>
      <c r="J99" s="25">
        <v>0.0</v>
      </c>
      <c r="K99" s="25">
        <v>0.0</v>
      </c>
      <c r="L99" s="25">
        <v>0.0</v>
      </c>
      <c r="M99" s="25">
        <v>0.0</v>
      </c>
      <c r="N99" s="25">
        <v>0.0</v>
      </c>
      <c r="O99" s="25">
        <v>0.0</v>
      </c>
      <c r="P99" s="25"/>
      <c r="Q99" s="25"/>
      <c r="R99" s="25"/>
      <c r="S99" s="25"/>
      <c r="T99" s="25"/>
      <c r="U99" s="25"/>
      <c r="V99" s="25"/>
      <c r="W99" s="25"/>
      <c r="X99" s="25"/>
      <c r="Y99" s="25">
        <v>0.0</v>
      </c>
      <c r="Z99" s="25">
        <v>0.0</v>
      </c>
      <c r="AA99" s="25">
        <v>0.0</v>
      </c>
      <c r="AB99" s="25">
        <v>0.0</v>
      </c>
      <c r="AC99" s="25">
        <v>0.0</v>
      </c>
      <c r="AD99" s="25">
        <v>0.0</v>
      </c>
      <c r="AE99" s="25">
        <v>0.0</v>
      </c>
      <c r="AF99" s="25">
        <v>0.0</v>
      </c>
      <c r="AG99" s="25">
        <v>0.0</v>
      </c>
      <c r="AH99" s="25">
        <v>0.0</v>
      </c>
      <c r="AI99" s="25">
        <v>0.0</v>
      </c>
      <c r="AJ99" s="25"/>
      <c r="AK99" s="15">
        <f t="shared" si="6"/>
        <v>0</v>
      </c>
      <c r="AL99" s="15"/>
      <c r="AM99" s="15">
        <f t="shared" si="7"/>
        <v>0</v>
      </c>
      <c r="AN99" s="46">
        <v>277.0</v>
      </c>
      <c r="AO99" s="47">
        <f t="shared" si="8"/>
        <v>0</v>
      </c>
      <c r="AP99" s="2"/>
      <c r="AQ99" s="2"/>
    </row>
    <row r="100">
      <c r="A100" s="30">
        <v>93.0</v>
      </c>
      <c r="B100" s="23" t="s">
        <v>126</v>
      </c>
      <c r="C100" s="23"/>
      <c r="D100" s="23" t="s">
        <v>125</v>
      </c>
      <c r="E100" s="23" t="s">
        <v>18</v>
      </c>
      <c r="F100" s="25">
        <v>0.0</v>
      </c>
      <c r="G100" s="25">
        <v>0.0</v>
      </c>
      <c r="H100" s="25">
        <v>0.0</v>
      </c>
      <c r="I100" s="25">
        <v>0.0</v>
      </c>
      <c r="J100" s="25">
        <v>0.0</v>
      </c>
      <c r="K100" s="25">
        <v>0.0</v>
      </c>
      <c r="L100" s="25">
        <v>0.0</v>
      </c>
      <c r="M100" s="25">
        <v>0.0</v>
      </c>
      <c r="N100" s="25">
        <v>0.0</v>
      </c>
      <c r="O100" s="25">
        <v>0.0</v>
      </c>
      <c r="P100" s="25"/>
      <c r="Q100" s="25"/>
      <c r="R100" s="25"/>
      <c r="S100" s="25"/>
      <c r="T100" s="25"/>
      <c r="U100" s="25"/>
      <c r="V100" s="25"/>
      <c r="W100" s="25"/>
      <c r="X100" s="25"/>
      <c r="Y100" s="25">
        <v>0.0</v>
      </c>
      <c r="Z100" s="25">
        <v>0.0</v>
      </c>
      <c r="AA100" s="25">
        <v>0.0</v>
      </c>
      <c r="AB100" s="25">
        <v>0.0</v>
      </c>
      <c r="AC100" s="25">
        <v>0.0</v>
      </c>
      <c r="AD100" s="25">
        <v>0.0</v>
      </c>
      <c r="AE100" s="25">
        <v>0.0</v>
      </c>
      <c r="AF100" s="25">
        <v>0.0</v>
      </c>
      <c r="AG100" s="25">
        <v>0.0</v>
      </c>
      <c r="AH100" s="25">
        <v>0.0</v>
      </c>
      <c r="AI100" s="25">
        <v>0.0</v>
      </c>
      <c r="AJ100" s="25"/>
      <c r="AK100" s="15">
        <f t="shared" si="6"/>
        <v>0</v>
      </c>
      <c r="AL100" s="15"/>
      <c r="AM100" s="15">
        <f t="shared" si="7"/>
        <v>0</v>
      </c>
      <c r="AN100" s="46">
        <v>277.0</v>
      </c>
      <c r="AO100" s="47">
        <f t="shared" si="8"/>
        <v>0</v>
      </c>
      <c r="AP100" s="2"/>
      <c r="AQ100" s="2"/>
    </row>
    <row r="101">
      <c r="A101" s="30">
        <v>94.0</v>
      </c>
      <c r="B101" s="23" t="s">
        <v>127</v>
      </c>
      <c r="C101" s="23"/>
      <c r="D101" s="23" t="s">
        <v>107</v>
      </c>
      <c r="E101" s="23" t="s">
        <v>18</v>
      </c>
      <c r="F101" s="25">
        <v>0.0</v>
      </c>
      <c r="G101" s="25">
        <v>0.0</v>
      </c>
      <c r="H101" s="25">
        <v>0.0</v>
      </c>
      <c r="I101" s="25">
        <v>0.0</v>
      </c>
      <c r="J101" s="25">
        <v>0.0</v>
      </c>
      <c r="K101" s="25">
        <v>0.0</v>
      </c>
      <c r="L101" s="25">
        <v>10.0</v>
      </c>
      <c r="M101" s="25">
        <v>0.0</v>
      </c>
      <c r="N101" s="25">
        <v>0.0</v>
      </c>
      <c r="O101" s="25">
        <v>0.0</v>
      </c>
      <c r="P101" s="25"/>
      <c r="Q101" s="25"/>
      <c r="R101" s="25"/>
      <c r="S101" s="25"/>
      <c r="T101" s="25"/>
      <c r="U101" s="25"/>
      <c r="V101" s="25"/>
      <c r="W101" s="25"/>
      <c r="X101" s="25"/>
      <c r="Y101" s="25">
        <v>0.0</v>
      </c>
      <c r="Z101" s="25">
        <v>0.0</v>
      </c>
      <c r="AA101" s="25">
        <v>10.0</v>
      </c>
      <c r="AB101" s="25">
        <v>0.0</v>
      </c>
      <c r="AC101" s="25">
        <v>0.0</v>
      </c>
      <c r="AD101" s="25">
        <v>10.0</v>
      </c>
      <c r="AE101" s="25">
        <v>0.0</v>
      </c>
      <c r="AF101" s="25">
        <v>0.0</v>
      </c>
      <c r="AG101" s="25">
        <v>20.0</v>
      </c>
      <c r="AH101" s="25">
        <v>0.0</v>
      </c>
      <c r="AI101" s="25">
        <v>0.0</v>
      </c>
      <c r="AJ101" s="25"/>
      <c r="AK101" s="15">
        <f t="shared" si="6"/>
        <v>50</v>
      </c>
      <c r="AL101" s="15"/>
      <c r="AM101" s="15">
        <f t="shared" si="7"/>
        <v>50</v>
      </c>
      <c r="AN101" s="46">
        <v>277.0</v>
      </c>
      <c r="AO101" s="47">
        <f t="shared" si="8"/>
        <v>13850</v>
      </c>
      <c r="AP101" s="2"/>
      <c r="AQ101" s="2"/>
    </row>
    <row r="102">
      <c r="A102" s="30">
        <v>95.0</v>
      </c>
      <c r="B102" s="23" t="s">
        <v>128</v>
      </c>
      <c r="C102" s="23"/>
      <c r="D102" s="23" t="s">
        <v>107</v>
      </c>
      <c r="E102" s="23" t="s">
        <v>18</v>
      </c>
      <c r="F102" s="25">
        <v>0.0</v>
      </c>
      <c r="G102" s="25">
        <v>0.0</v>
      </c>
      <c r="H102" s="25">
        <v>0.0</v>
      </c>
      <c r="I102" s="25">
        <v>0.0</v>
      </c>
      <c r="J102" s="25">
        <v>0.0</v>
      </c>
      <c r="K102" s="25">
        <v>0.0</v>
      </c>
      <c r="L102" s="25">
        <v>0.0</v>
      </c>
      <c r="M102" s="25">
        <v>10.0</v>
      </c>
      <c r="N102" s="25">
        <v>0.0</v>
      </c>
      <c r="O102" s="25">
        <v>0.0</v>
      </c>
      <c r="P102" s="25"/>
      <c r="Q102" s="25"/>
      <c r="R102" s="25"/>
      <c r="S102" s="25"/>
      <c r="T102" s="25"/>
      <c r="U102" s="25"/>
      <c r="V102" s="25"/>
      <c r="W102" s="25"/>
      <c r="X102" s="25"/>
      <c r="Y102" s="25">
        <v>0.0</v>
      </c>
      <c r="Z102" s="25">
        <v>0.0</v>
      </c>
      <c r="AA102" s="25">
        <v>20.0</v>
      </c>
      <c r="AB102" s="25">
        <v>0.0</v>
      </c>
      <c r="AC102" s="25">
        <v>0.0</v>
      </c>
      <c r="AD102" s="25">
        <v>0.0</v>
      </c>
      <c r="AE102" s="25">
        <v>0.0</v>
      </c>
      <c r="AF102" s="25">
        <v>0.0</v>
      </c>
      <c r="AG102" s="25">
        <v>0.0</v>
      </c>
      <c r="AH102" s="25">
        <v>0.0</v>
      </c>
      <c r="AI102" s="25">
        <v>0.0</v>
      </c>
      <c r="AJ102" s="25"/>
      <c r="AK102" s="15">
        <f t="shared" si="6"/>
        <v>30</v>
      </c>
      <c r="AL102" s="15"/>
      <c r="AM102" s="15">
        <f t="shared" si="7"/>
        <v>30</v>
      </c>
      <c r="AN102" s="46">
        <v>277.0</v>
      </c>
      <c r="AO102" s="47">
        <f t="shared" si="8"/>
        <v>8310</v>
      </c>
      <c r="AP102" s="2"/>
      <c r="AQ102" s="2"/>
    </row>
    <row r="103">
      <c r="A103" s="30">
        <v>96.0</v>
      </c>
      <c r="B103" s="23" t="s">
        <v>129</v>
      </c>
      <c r="C103" s="23"/>
      <c r="D103" s="23" t="s">
        <v>119</v>
      </c>
      <c r="E103" s="23" t="s">
        <v>18</v>
      </c>
      <c r="F103" s="25">
        <v>0.0</v>
      </c>
      <c r="G103" s="25">
        <v>0.0</v>
      </c>
      <c r="H103" s="25">
        <v>0.0</v>
      </c>
      <c r="I103" s="25">
        <v>0.0</v>
      </c>
      <c r="J103" s="25">
        <v>0.0</v>
      </c>
      <c r="K103" s="25">
        <v>0.0</v>
      </c>
      <c r="L103" s="25">
        <v>0.0</v>
      </c>
      <c r="M103" s="25">
        <v>0.0</v>
      </c>
      <c r="N103" s="25">
        <v>0.0</v>
      </c>
      <c r="O103" s="25">
        <v>0.0</v>
      </c>
      <c r="P103" s="25"/>
      <c r="Q103" s="25"/>
      <c r="R103" s="25"/>
      <c r="S103" s="25"/>
      <c r="T103" s="25"/>
      <c r="U103" s="25"/>
      <c r="V103" s="25"/>
      <c r="W103" s="25"/>
      <c r="X103" s="25"/>
      <c r="Y103" s="25">
        <v>0.0</v>
      </c>
      <c r="Z103" s="25">
        <v>0.0</v>
      </c>
      <c r="AA103" s="25">
        <v>0.0</v>
      </c>
      <c r="AB103" s="25">
        <v>0.0</v>
      </c>
      <c r="AC103" s="25">
        <v>0.0</v>
      </c>
      <c r="AD103" s="25">
        <v>0.0</v>
      </c>
      <c r="AE103" s="25">
        <v>0.0</v>
      </c>
      <c r="AF103" s="25">
        <v>0.0</v>
      </c>
      <c r="AG103" s="25">
        <v>0.0</v>
      </c>
      <c r="AH103" s="25">
        <v>0.0</v>
      </c>
      <c r="AI103" s="25">
        <v>0.0</v>
      </c>
      <c r="AJ103" s="25"/>
      <c r="AK103" s="15">
        <f t="shared" si="6"/>
        <v>0</v>
      </c>
      <c r="AL103" s="15"/>
      <c r="AM103" s="15">
        <f t="shared" si="7"/>
        <v>0</v>
      </c>
      <c r="AN103" s="46">
        <v>277.0</v>
      </c>
      <c r="AO103" s="47">
        <f t="shared" si="8"/>
        <v>0</v>
      </c>
      <c r="AP103" s="2"/>
      <c r="AQ103" s="2"/>
    </row>
    <row r="104">
      <c r="A104" s="30">
        <v>97.0</v>
      </c>
      <c r="B104" s="23" t="s">
        <v>130</v>
      </c>
      <c r="C104" s="23"/>
      <c r="D104" s="23" t="s">
        <v>111</v>
      </c>
      <c r="E104" s="23" t="s">
        <v>18</v>
      </c>
      <c r="F104" s="25">
        <v>20.0</v>
      </c>
      <c r="G104" s="25">
        <v>0.0</v>
      </c>
      <c r="H104" s="25">
        <v>0.0</v>
      </c>
      <c r="I104" s="25">
        <v>0.0</v>
      </c>
      <c r="J104" s="25">
        <v>20.0</v>
      </c>
      <c r="K104" s="25">
        <v>0.0</v>
      </c>
      <c r="L104" s="25">
        <v>0.0</v>
      </c>
      <c r="M104" s="25">
        <v>0.0</v>
      </c>
      <c r="N104" s="25">
        <v>20.0</v>
      </c>
      <c r="O104" s="25">
        <v>0.0</v>
      </c>
      <c r="P104" s="25"/>
      <c r="Q104" s="25"/>
      <c r="R104" s="25"/>
      <c r="S104" s="25"/>
      <c r="T104" s="25"/>
      <c r="U104" s="25"/>
      <c r="V104" s="25"/>
      <c r="W104" s="25"/>
      <c r="X104" s="25"/>
      <c r="Y104" s="25">
        <v>0.0</v>
      </c>
      <c r="Z104" s="25">
        <v>20.0</v>
      </c>
      <c r="AA104" s="25">
        <v>0.0</v>
      </c>
      <c r="AB104" s="25">
        <v>0.0</v>
      </c>
      <c r="AC104" s="25">
        <v>0.0</v>
      </c>
      <c r="AD104" s="25">
        <v>0.0</v>
      </c>
      <c r="AE104" s="25">
        <v>0.0</v>
      </c>
      <c r="AF104" s="25">
        <v>0.0</v>
      </c>
      <c r="AG104" s="25">
        <v>0.0</v>
      </c>
      <c r="AH104" s="25">
        <v>0.0</v>
      </c>
      <c r="AI104" s="25">
        <v>0.0</v>
      </c>
      <c r="AJ104" s="25"/>
      <c r="AK104" s="15">
        <f t="shared" si="6"/>
        <v>80</v>
      </c>
      <c r="AL104" s="15"/>
      <c r="AM104" s="15">
        <f t="shared" si="7"/>
        <v>80</v>
      </c>
      <c r="AN104" s="46">
        <v>277.0</v>
      </c>
      <c r="AO104" s="47">
        <f t="shared" si="8"/>
        <v>22160</v>
      </c>
      <c r="AP104" s="2"/>
      <c r="AQ104" s="2"/>
    </row>
    <row r="105">
      <c r="A105" s="30">
        <v>98.0</v>
      </c>
      <c r="B105" s="23" t="s">
        <v>131</v>
      </c>
      <c r="C105" s="23"/>
      <c r="D105" s="23" t="s">
        <v>111</v>
      </c>
      <c r="E105" s="23" t="s">
        <v>18</v>
      </c>
      <c r="F105" s="25">
        <v>0.0</v>
      </c>
      <c r="G105" s="25">
        <v>0.0</v>
      </c>
      <c r="H105" s="25">
        <v>0.0</v>
      </c>
      <c r="I105" s="25">
        <v>0.0</v>
      </c>
      <c r="J105" s="25">
        <v>0.0</v>
      </c>
      <c r="K105" s="25">
        <v>0.0</v>
      </c>
      <c r="L105" s="25">
        <v>20.0</v>
      </c>
      <c r="M105" s="25">
        <v>0.0</v>
      </c>
      <c r="N105" s="25">
        <v>0.0</v>
      </c>
      <c r="O105" s="25">
        <v>0.0</v>
      </c>
      <c r="P105" s="25"/>
      <c r="Q105" s="25"/>
      <c r="R105" s="25"/>
      <c r="S105" s="25"/>
      <c r="T105" s="25"/>
      <c r="U105" s="25"/>
      <c r="V105" s="25"/>
      <c r="W105" s="25"/>
      <c r="X105" s="25"/>
      <c r="Y105" s="25">
        <v>0.0</v>
      </c>
      <c r="Z105" s="25">
        <v>0.0</v>
      </c>
      <c r="AA105" s="25">
        <v>0.0</v>
      </c>
      <c r="AB105" s="25">
        <v>0.0</v>
      </c>
      <c r="AC105" s="25">
        <v>0.0</v>
      </c>
      <c r="AD105" s="25">
        <v>0.0</v>
      </c>
      <c r="AE105" s="25">
        <v>0.0</v>
      </c>
      <c r="AF105" s="25">
        <v>0.0</v>
      </c>
      <c r="AG105" s="25">
        <v>0.0</v>
      </c>
      <c r="AH105" s="25">
        <v>0.0</v>
      </c>
      <c r="AI105" s="25">
        <v>30.0</v>
      </c>
      <c r="AJ105" s="25"/>
      <c r="AK105" s="15">
        <f t="shared" si="6"/>
        <v>50</v>
      </c>
      <c r="AL105" s="15"/>
      <c r="AM105" s="15">
        <f t="shared" si="7"/>
        <v>50</v>
      </c>
      <c r="AN105" s="46">
        <v>277.0</v>
      </c>
      <c r="AO105" s="47">
        <f t="shared" si="8"/>
        <v>13850</v>
      </c>
      <c r="AP105" s="2"/>
      <c r="AQ105" s="2"/>
    </row>
    <row r="106">
      <c r="A106" s="30">
        <v>99.0</v>
      </c>
      <c r="B106" s="29" t="s">
        <v>132</v>
      </c>
      <c r="C106" s="23"/>
      <c r="D106" s="29" t="s">
        <v>133</v>
      </c>
      <c r="E106" s="23" t="s">
        <v>18</v>
      </c>
      <c r="F106" s="25">
        <v>0.0</v>
      </c>
      <c r="G106" s="25">
        <v>0.0</v>
      </c>
      <c r="H106" s="25">
        <v>0.0</v>
      </c>
      <c r="I106" s="25">
        <v>0.0</v>
      </c>
      <c r="J106" s="25">
        <v>0.0</v>
      </c>
      <c r="K106" s="25">
        <v>0.0</v>
      </c>
      <c r="L106" s="25">
        <v>0.0</v>
      </c>
      <c r="M106" s="25">
        <v>0.0</v>
      </c>
      <c r="N106" s="25">
        <v>0.0</v>
      </c>
      <c r="O106" s="25">
        <v>0.0</v>
      </c>
      <c r="P106" s="25"/>
      <c r="Q106" s="25"/>
      <c r="R106" s="25"/>
      <c r="S106" s="25"/>
      <c r="T106" s="25"/>
      <c r="U106" s="25"/>
      <c r="V106" s="25"/>
      <c r="W106" s="25"/>
      <c r="X106" s="25"/>
      <c r="Y106" s="25">
        <v>0.0</v>
      </c>
      <c r="Z106" s="25">
        <v>0.0</v>
      </c>
      <c r="AA106" s="25">
        <v>0.0</v>
      </c>
      <c r="AB106" s="25">
        <v>0.0</v>
      </c>
      <c r="AC106" s="25">
        <v>0.0</v>
      </c>
      <c r="AD106" s="25">
        <v>0.0</v>
      </c>
      <c r="AE106" s="25">
        <v>0.0</v>
      </c>
      <c r="AF106" s="25">
        <v>0.0</v>
      </c>
      <c r="AG106" s="25">
        <v>0.0</v>
      </c>
      <c r="AH106" s="25">
        <v>0.0</v>
      </c>
      <c r="AI106" s="25">
        <v>0.0</v>
      </c>
      <c r="AJ106" s="25"/>
      <c r="AK106" s="15">
        <f t="shared" si="6"/>
        <v>0</v>
      </c>
      <c r="AL106" s="15"/>
      <c r="AM106" s="15">
        <f t="shared" si="7"/>
        <v>0</v>
      </c>
      <c r="AN106" s="46">
        <v>277.0</v>
      </c>
      <c r="AO106" s="47">
        <f t="shared" si="8"/>
        <v>0</v>
      </c>
      <c r="AP106" s="2"/>
      <c r="AQ106" s="2"/>
    </row>
    <row r="107">
      <c r="A107" s="30">
        <v>100.0</v>
      </c>
      <c r="B107" s="29" t="s">
        <v>134</v>
      </c>
      <c r="C107" s="23"/>
      <c r="D107" s="29" t="s">
        <v>135</v>
      </c>
      <c r="E107" s="23" t="s">
        <v>18</v>
      </c>
      <c r="F107" s="25">
        <v>0.0</v>
      </c>
      <c r="G107" s="25">
        <v>0.0</v>
      </c>
      <c r="H107" s="25">
        <v>0.0</v>
      </c>
      <c r="I107" s="25">
        <v>50.0</v>
      </c>
      <c r="J107" s="25">
        <v>0.0</v>
      </c>
      <c r="K107" s="25">
        <v>0.0</v>
      </c>
      <c r="L107" s="25">
        <v>50.0</v>
      </c>
      <c r="M107" s="25">
        <v>0.0</v>
      </c>
      <c r="N107" s="25">
        <v>50.0</v>
      </c>
      <c r="O107" s="25">
        <v>50.0</v>
      </c>
      <c r="P107" s="25"/>
      <c r="Q107" s="25"/>
      <c r="R107" s="25"/>
      <c r="S107" s="25"/>
      <c r="T107" s="25"/>
      <c r="U107" s="25"/>
      <c r="V107" s="25"/>
      <c r="W107" s="25"/>
      <c r="X107" s="25"/>
      <c r="Y107" s="25">
        <v>0.0</v>
      </c>
      <c r="Z107" s="25">
        <v>0.0</v>
      </c>
      <c r="AA107" s="25">
        <v>0.0</v>
      </c>
      <c r="AB107" s="25">
        <v>0.0</v>
      </c>
      <c r="AC107" s="25">
        <v>0.0</v>
      </c>
      <c r="AD107" s="25">
        <v>50.0</v>
      </c>
      <c r="AE107" s="25">
        <v>0.0</v>
      </c>
      <c r="AF107" s="25">
        <v>0.0</v>
      </c>
      <c r="AG107" s="25">
        <v>50.0</v>
      </c>
      <c r="AH107" s="25">
        <v>0.0</v>
      </c>
      <c r="AI107" s="25">
        <v>25.0</v>
      </c>
      <c r="AJ107" s="25"/>
      <c r="AK107" s="15">
        <f t="shared" si="6"/>
        <v>325</v>
      </c>
      <c r="AL107" s="15"/>
      <c r="AM107" s="15">
        <f t="shared" si="7"/>
        <v>325</v>
      </c>
      <c r="AN107" s="46">
        <v>277.0</v>
      </c>
      <c r="AO107" s="47">
        <f t="shared" si="8"/>
        <v>90025</v>
      </c>
      <c r="AP107" s="2"/>
      <c r="AQ107" s="2"/>
    </row>
    <row r="108">
      <c r="A108" s="30">
        <v>101.0</v>
      </c>
      <c r="B108" s="23" t="s">
        <v>136</v>
      </c>
      <c r="C108" s="23"/>
      <c r="D108" s="23" t="s">
        <v>137</v>
      </c>
      <c r="E108" s="23" t="s">
        <v>18</v>
      </c>
      <c r="F108" s="25">
        <v>0.0</v>
      </c>
      <c r="G108" s="25">
        <v>0.0</v>
      </c>
      <c r="H108" s="25">
        <v>0.0</v>
      </c>
      <c r="I108" s="25">
        <v>0.0</v>
      </c>
      <c r="J108" s="25">
        <v>0.0</v>
      </c>
      <c r="K108" s="25">
        <v>0.0</v>
      </c>
      <c r="L108" s="25">
        <v>0.0</v>
      </c>
      <c r="M108" s="25">
        <v>0.0</v>
      </c>
      <c r="N108" s="25">
        <v>0.0</v>
      </c>
      <c r="O108" s="25">
        <v>0.0</v>
      </c>
      <c r="P108" s="25"/>
      <c r="Q108" s="25"/>
      <c r="R108" s="25"/>
      <c r="S108" s="25"/>
      <c r="T108" s="25"/>
      <c r="U108" s="25"/>
      <c r="V108" s="25"/>
      <c r="W108" s="25"/>
      <c r="X108" s="25"/>
      <c r="Y108" s="25">
        <v>0.0</v>
      </c>
      <c r="Z108" s="25">
        <v>0.0</v>
      </c>
      <c r="AA108" s="25">
        <v>0.0</v>
      </c>
      <c r="AB108" s="25">
        <v>0.0</v>
      </c>
      <c r="AC108" s="25">
        <v>0.0</v>
      </c>
      <c r="AD108" s="25">
        <v>0.0</v>
      </c>
      <c r="AE108" s="25">
        <v>0.0</v>
      </c>
      <c r="AF108" s="25">
        <v>0.0</v>
      </c>
      <c r="AG108" s="25">
        <v>0.0</v>
      </c>
      <c r="AH108" s="25">
        <v>0.0</v>
      </c>
      <c r="AI108" s="25">
        <v>0.0</v>
      </c>
      <c r="AJ108" s="25"/>
      <c r="AK108" s="15">
        <f t="shared" si="6"/>
        <v>0</v>
      </c>
      <c r="AL108" s="15"/>
      <c r="AM108" s="15">
        <f t="shared" si="7"/>
        <v>0</v>
      </c>
      <c r="AN108" s="46">
        <v>277.0</v>
      </c>
      <c r="AO108" s="47">
        <f t="shared" si="8"/>
        <v>0</v>
      </c>
      <c r="AP108" s="2"/>
      <c r="AQ108" s="2"/>
    </row>
    <row r="109">
      <c r="A109" s="30">
        <v>102.0</v>
      </c>
      <c r="B109" s="23" t="s">
        <v>138</v>
      </c>
      <c r="C109" s="23"/>
      <c r="D109" s="23" t="s">
        <v>137</v>
      </c>
      <c r="E109" s="23" t="s">
        <v>18</v>
      </c>
      <c r="F109" s="25">
        <v>0.0</v>
      </c>
      <c r="G109" s="25">
        <v>0.0</v>
      </c>
      <c r="H109" s="25">
        <v>0.0</v>
      </c>
      <c r="I109" s="25">
        <v>0.0</v>
      </c>
      <c r="J109" s="25">
        <v>0.0</v>
      </c>
      <c r="K109" s="25">
        <v>0.0</v>
      </c>
      <c r="L109" s="25">
        <v>0.0</v>
      </c>
      <c r="M109" s="25">
        <v>0.0</v>
      </c>
      <c r="N109" s="25">
        <v>0.0</v>
      </c>
      <c r="O109" s="25">
        <v>0.0</v>
      </c>
      <c r="P109" s="25"/>
      <c r="Q109" s="25"/>
      <c r="R109" s="25"/>
      <c r="S109" s="25"/>
      <c r="T109" s="25"/>
      <c r="U109" s="25"/>
      <c r="V109" s="25"/>
      <c r="W109" s="25"/>
      <c r="X109" s="25"/>
      <c r="Y109" s="25">
        <v>0.0</v>
      </c>
      <c r="Z109" s="25">
        <v>0.0</v>
      </c>
      <c r="AA109" s="25">
        <v>0.0</v>
      </c>
      <c r="AB109" s="25">
        <v>0.0</v>
      </c>
      <c r="AC109" s="25">
        <v>0.0</v>
      </c>
      <c r="AD109" s="25">
        <v>0.0</v>
      </c>
      <c r="AE109" s="25">
        <v>0.0</v>
      </c>
      <c r="AF109" s="25">
        <v>0.0</v>
      </c>
      <c r="AG109" s="25">
        <v>0.0</v>
      </c>
      <c r="AH109" s="25">
        <v>0.0</v>
      </c>
      <c r="AI109" s="25">
        <v>0.0</v>
      </c>
      <c r="AJ109" s="25"/>
      <c r="AK109" s="15">
        <f t="shared" si="6"/>
        <v>0</v>
      </c>
      <c r="AL109" s="15"/>
      <c r="AM109" s="15">
        <f t="shared" si="7"/>
        <v>0</v>
      </c>
      <c r="AN109" s="46">
        <v>277.0</v>
      </c>
      <c r="AO109" s="47">
        <f t="shared" si="8"/>
        <v>0</v>
      </c>
      <c r="AP109" s="2"/>
      <c r="AQ109" s="2"/>
    </row>
    <row r="110">
      <c r="A110" s="30">
        <v>103.0</v>
      </c>
      <c r="B110" s="23" t="s">
        <v>139</v>
      </c>
      <c r="C110" s="23"/>
      <c r="D110" s="23" t="s">
        <v>137</v>
      </c>
      <c r="E110" s="23" t="s">
        <v>18</v>
      </c>
      <c r="F110" s="25">
        <v>0.0</v>
      </c>
      <c r="G110" s="25">
        <v>0.0</v>
      </c>
      <c r="H110" s="25">
        <v>0.0</v>
      </c>
      <c r="I110" s="25">
        <v>0.0</v>
      </c>
      <c r="J110" s="25">
        <v>0.0</v>
      </c>
      <c r="K110" s="25">
        <v>0.0</v>
      </c>
      <c r="L110" s="25">
        <v>0.0</v>
      </c>
      <c r="M110" s="25">
        <v>0.0</v>
      </c>
      <c r="N110" s="25">
        <v>0.0</v>
      </c>
      <c r="O110" s="25">
        <v>0.0</v>
      </c>
      <c r="P110" s="25"/>
      <c r="Q110" s="25"/>
      <c r="R110" s="25"/>
      <c r="S110" s="25"/>
      <c r="T110" s="25"/>
      <c r="U110" s="25"/>
      <c r="V110" s="25"/>
      <c r="W110" s="25"/>
      <c r="X110" s="25"/>
      <c r="Y110" s="25">
        <v>0.0</v>
      </c>
      <c r="Z110" s="25">
        <v>0.0</v>
      </c>
      <c r="AA110" s="25">
        <v>0.0</v>
      </c>
      <c r="AB110" s="25">
        <v>0.0</v>
      </c>
      <c r="AC110" s="25">
        <v>0.0</v>
      </c>
      <c r="AD110" s="25">
        <v>0.0</v>
      </c>
      <c r="AE110" s="25">
        <v>0.0</v>
      </c>
      <c r="AF110" s="25">
        <v>0.0</v>
      </c>
      <c r="AG110" s="25">
        <v>0.0</v>
      </c>
      <c r="AH110" s="25">
        <v>0.0</v>
      </c>
      <c r="AI110" s="25">
        <v>0.0</v>
      </c>
      <c r="AJ110" s="25"/>
      <c r="AK110" s="15">
        <f t="shared" si="6"/>
        <v>0</v>
      </c>
      <c r="AL110" s="15"/>
      <c r="AM110" s="15">
        <f t="shared" si="7"/>
        <v>0</v>
      </c>
      <c r="AN110" s="46">
        <v>277.0</v>
      </c>
      <c r="AO110" s="47">
        <f t="shared" si="8"/>
        <v>0</v>
      </c>
      <c r="AP110" s="2"/>
      <c r="AQ110" s="2"/>
    </row>
    <row r="111">
      <c r="A111" s="30">
        <v>104.0</v>
      </c>
      <c r="B111" s="23" t="s">
        <v>140</v>
      </c>
      <c r="C111" s="23"/>
      <c r="D111" s="23" t="s">
        <v>137</v>
      </c>
      <c r="E111" s="23" t="s">
        <v>18</v>
      </c>
      <c r="F111" s="25">
        <v>0.0</v>
      </c>
      <c r="G111" s="25">
        <v>0.0</v>
      </c>
      <c r="H111" s="25">
        <v>0.0</v>
      </c>
      <c r="I111" s="25">
        <v>0.0</v>
      </c>
      <c r="J111" s="25">
        <v>0.0</v>
      </c>
      <c r="K111" s="25">
        <v>0.0</v>
      </c>
      <c r="L111" s="25">
        <v>0.0</v>
      </c>
      <c r="M111" s="25">
        <v>0.0</v>
      </c>
      <c r="N111" s="25">
        <v>0.0</v>
      </c>
      <c r="O111" s="25">
        <v>0.0</v>
      </c>
      <c r="P111" s="25"/>
      <c r="Q111" s="25"/>
      <c r="R111" s="25"/>
      <c r="S111" s="25"/>
      <c r="T111" s="25"/>
      <c r="U111" s="25"/>
      <c r="V111" s="25"/>
      <c r="W111" s="25"/>
      <c r="X111" s="25"/>
      <c r="Y111" s="25">
        <v>0.0</v>
      </c>
      <c r="Z111" s="25">
        <v>0.0</v>
      </c>
      <c r="AA111" s="25">
        <v>0.0</v>
      </c>
      <c r="AB111" s="25">
        <v>0.0</v>
      </c>
      <c r="AC111" s="25">
        <v>0.0</v>
      </c>
      <c r="AD111" s="25">
        <v>0.0</v>
      </c>
      <c r="AE111" s="25">
        <v>0.0</v>
      </c>
      <c r="AF111" s="25">
        <v>0.0</v>
      </c>
      <c r="AG111" s="25">
        <v>0.0</v>
      </c>
      <c r="AH111" s="25">
        <v>0.0</v>
      </c>
      <c r="AI111" s="25">
        <v>0.0</v>
      </c>
      <c r="AJ111" s="25"/>
      <c r="AK111" s="15">
        <f t="shared" si="6"/>
        <v>0</v>
      </c>
      <c r="AL111" s="15"/>
      <c r="AM111" s="15">
        <f t="shared" si="7"/>
        <v>0</v>
      </c>
      <c r="AN111" s="46">
        <v>277.0</v>
      </c>
      <c r="AO111" s="47">
        <f t="shared" si="8"/>
        <v>0</v>
      </c>
      <c r="AP111" s="2"/>
      <c r="AQ111" s="2"/>
    </row>
    <row r="112">
      <c r="A112" s="30">
        <v>105.0</v>
      </c>
      <c r="B112" s="48" t="s">
        <v>141</v>
      </c>
      <c r="C112" s="23"/>
      <c r="D112" s="29" t="s">
        <v>142</v>
      </c>
      <c r="E112" s="23" t="s">
        <v>18</v>
      </c>
      <c r="F112" s="25">
        <v>0.0</v>
      </c>
      <c r="G112" s="25">
        <v>0.0</v>
      </c>
      <c r="H112" s="25">
        <v>0.0</v>
      </c>
      <c r="I112" s="25">
        <v>0.0</v>
      </c>
      <c r="J112" s="25">
        <v>0.0</v>
      </c>
      <c r="K112" s="25">
        <v>300.0</v>
      </c>
      <c r="L112" s="25">
        <v>0.0</v>
      </c>
      <c r="M112" s="25">
        <v>200.0</v>
      </c>
      <c r="N112" s="25">
        <v>0.0</v>
      </c>
      <c r="O112" s="25">
        <v>0.0</v>
      </c>
      <c r="P112" s="25"/>
      <c r="Q112" s="25"/>
      <c r="R112" s="25"/>
      <c r="S112" s="25"/>
      <c r="T112" s="25"/>
      <c r="U112" s="25"/>
      <c r="V112" s="25"/>
      <c r="W112" s="25"/>
      <c r="X112" s="25"/>
      <c r="Y112" s="25">
        <v>0.0</v>
      </c>
      <c r="Z112" s="25">
        <v>0.0</v>
      </c>
      <c r="AA112" s="25">
        <v>0.0</v>
      </c>
      <c r="AB112" s="25">
        <v>0.0</v>
      </c>
      <c r="AC112" s="25">
        <v>0.0</v>
      </c>
      <c r="AD112" s="25">
        <v>0.0</v>
      </c>
      <c r="AE112" s="25">
        <v>0.0</v>
      </c>
      <c r="AF112" s="25">
        <v>400.0</v>
      </c>
      <c r="AG112" s="25">
        <v>400.0</v>
      </c>
      <c r="AH112" s="25">
        <v>0.0</v>
      </c>
      <c r="AI112" s="25">
        <v>400.0</v>
      </c>
      <c r="AJ112" s="25"/>
      <c r="AK112" s="15">
        <f t="shared" si="6"/>
        <v>1700</v>
      </c>
      <c r="AL112" s="15"/>
      <c r="AM112" s="15">
        <f t="shared" si="7"/>
        <v>1700</v>
      </c>
      <c r="AN112" s="46">
        <v>277.0</v>
      </c>
      <c r="AO112" s="47">
        <f t="shared" si="8"/>
        <v>470900</v>
      </c>
      <c r="AP112" s="2"/>
      <c r="AQ112" s="2"/>
    </row>
    <row r="113">
      <c r="A113" s="30">
        <v>106.0</v>
      </c>
      <c r="B113" s="48" t="s">
        <v>143</v>
      </c>
      <c r="C113" s="23"/>
      <c r="D113" s="29" t="s">
        <v>144</v>
      </c>
      <c r="E113" s="23" t="s">
        <v>18</v>
      </c>
      <c r="F113" s="25">
        <v>0.0</v>
      </c>
      <c r="G113" s="25">
        <v>0.0</v>
      </c>
      <c r="H113" s="25">
        <v>0.0</v>
      </c>
      <c r="I113" s="25">
        <v>0.0</v>
      </c>
      <c r="J113" s="25">
        <v>0.0</v>
      </c>
      <c r="K113" s="25">
        <v>0.0</v>
      </c>
      <c r="L113" s="25">
        <v>0.0</v>
      </c>
      <c r="M113" s="25">
        <v>0.0</v>
      </c>
      <c r="N113" s="25">
        <v>0.0</v>
      </c>
      <c r="O113" s="25">
        <v>0.0</v>
      </c>
      <c r="P113" s="25"/>
      <c r="Q113" s="25"/>
      <c r="R113" s="25"/>
      <c r="S113" s="25"/>
      <c r="T113" s="25"/>
      <c r="U113" s="25"/>
      <c r="V113" s="25"/>
      <c r="W113" s="25"/>
      <c r="X113" s="25"/>
      <c r="Y113" s="25">
        <v>0.0</v>
      </c>
      <c r="Z113" s="25">
        <v>0.0</v>
      </c>
      <c r="AA113" s="25">
        <v>0.0</v>
      </c>
      <c r="AB113" s="25">
        <v>0.0</v>
      </c>
      <c r="AC113" s="25">
        <v>0.0</v>
      </c>
      <c r="AD113" s="25">
        <v>0.0</v>
      </c>
      <c r="AE113" s="25">
        <v>0.0</v>
      </c>
      <c r="AF113" s="25">
        <v>0.0</v>
      </c>
      <c r="AG113" s="25">
        <v>0.0</v>
      </c>
      <c r="AH113" s="25">
        <v>0.0</v>
      </c>
      <c r="AI113" s="25">
        <v>0.0</v>
      </c>
      <c r="AJ113" s="25"/>
      <c r="AK113" s="15">
        <f t="shared" si="6"/>
        <v>0</v>
      </c>
      <c r="AL113" s="15"/>
      <c r="AM113" s="15">
        <f t="shared" si="7"/>
        <v>0</v>
      </c>
      <c r="AN113" s="46">
        <v>277.0</v>
      </c>
      <c r="AO113" s="47">
        <f t="shared" si="8"/>
        <v>0</v>
      </c>
      <c r="AP113" s="2"/>
      <c r="AQ113" s="2"/>
    </row>
    <row r="114">
      <c r="A114" s="30">
        <v>107.0</v>
      </c>
      <c r="B114" s="23" t="s">
        <v>145</v>
      </c>
      <c r="C114" s="23"/>
      <c r="D114" s="23" t="s">
        <v>146</v>
      </c>
      <c r="E114" s="23" t="s">
        <v>18</v>
      </c>
      <c r="F114" s="25">
        <v>0.0</v>
      </c>
      <c r="G114" s="25">
        <v>0.0</v>
      </c>
      <c r="H114" s="25">
        <v>0.0</v>
      </c>
      <c r="I114" s="25">
        <v>0.0</v>
      </c>
      <c r="J114" s="25">
        <v>0.0</v>
      </c>
      <c r="K114" s="25">
        <v>0.0</v>
      </c>
      <c r="L114" s="25">
        <v>0.0</v>
      </c>
      <c r="M114" s="25">
        <v>0.0</v>
      </c>
      <c r="N114" s="25">
        <v>0.0</v>
      </c>
      <c r="O114" s="25">
        <v>0.0</v>
      </c>
      <c r="P114" s="25"/>
      <c r="Q114" s="25"/>
      <c r="R114" s="25"/>
      <c r="S114" s="25"/>
      <c r="T114" s="25"/>
      <c r="U114" s="25"/>
      <c r="V114" s="25"/>
      <c r="W114" s="25"/>
      <c r="X114" s="25"/>
      <c r="Y114" s="25">
        <v>0.0</v>
      </c>
      <c r="Z114" s="25">
        <v>0.0</v>
      </c>
      <c r="AA114" s="25">
        <v>0.0</v>
      </c>
      <c r="AB114" s="25">
        <v>0.0</v>
      </c>
      <c r="AC114" s="25">
        <v>0.0</v>
      </c>
      <c r="AD114" s="25">
        <v>0.0</v>
      </c>
      <c r="AE114" s="25">
        <v>0.0</v>
      </c>
      <c r="AF114" s="25">
        <v>0.0</v>
      </c>
      <c r="AG114" s="25">
        <v>0.0</v>
      </c>
      <c r="AH114" s="25">
        <v>0.0</v>
      </c>
      <c r="AI114" s="25">
        <v>0.0</v>
      </c>
      <c r="AJ114" s="25"/>
      <c r="AK114" s="15">
        <f t="shared" si="6"/>
        <v>0</v>
      </c>
      <c r="AL114" s="15"/>
      <c r="AM114" s="15">
        <f t="shared" si="7"/>
        <v>0</v>
      </c>
      <c r="AN114" s="46">
        <v>277.0</v>
      </c>
      <c r="AO114" s="47">
        <f t="shared" si="8"/>
        <v>0</v>
      </c>
      <c r="AP114" s="2"/>
      <c r="AQ114" s="2"/>
    </row>
    <row r="115">
      <c r="A115" s="30">
        <v>108.0</v>
      </c>
      <c r="B115" s="23" t="s">
        <v>147</v>
      </c>
      <c r="C115" s="23"/>
      <c r="D115" s="23" t="s">
        <v>119</v>
      </c>
      <c r="E115" s="23" t="s">
        <v>18</v>
      </c>
      <c r="F115" s="25">
        <v>0.0</v>
      </c>
      <c r="G115" s="25">
        <v>0.0</v>
      </c>
      <c r="H115" s="25">
        <v>0.0</v>
      </c>
      <c r="I115" s="25">
        <v>0.0</v>
      </c>
      <c r="J115" s="25">
        <v>0.0</v>
      </c>
      <c r="K115" s="25">
        <v>0.0</v>
      </c>
      <c r="L115" s="25">
        <v>0.0</v>
      </c>
      <c r="M115" s="25">
        <v>0.0</v>
      </c>
      <c r="N115" s="25">
        <v>0.0</v>
      </c>
      <c r="O115" s="25">
        <v>0.0</v>
      </c>
      <c r="P115" s="25"/>
      <c r="Q115" s="25"/>
      <c r="R115" s="25"/>
      <c r="S115" s="25"/>
      <c r="T115" s="25"/>
      <c r="U115" s="25"/>
      <c r="V115" s="25"/>
      <c r="W115" s="25"/>
      <c r="X115" s="25"/>
      <c r="Y115" s="25">
        <v>0.0</v>
      </c>
      <c r="Z115" s="25">
        <v>0.0</v>
      </c>
      <c r="AA115" s="25">
        <v>0.0</v>
      </c>
      <c r="AB115" s="25">
        <v>0.0</v>
      </c>
      <c r="AC115" s="25">
        <v>0.0</v>
      </c>
      <c r="AD115" s="25">
        <v>0.0</v>
      </c>
      <c r="AE115" s="25">
        <v>0.0</v>
      </c>
      <c r="AF115" s="25">
        <v>0.0</v>
      </c>
      <c r="AG115" s="25">
        <v>0.0</v>
      </c>
      <c r="AH115" s="25">
        <v>0.0</v>
      </c>
      <c r="AI115" s="25">
        <v>0.0</v>
      </c>
      <c r="AJ115" s="25"/>
      <c r="AK115" s="15">
        <f t="shared" si="6"/>
        <v>0</v>
      </c>
      <c r="AL115" s="15"/>
      <c r="AM115" s="15">
        <f t="shared" si="7"/>
        <v>0</v>
      </c>
      <c r="AN115" s="46">
        <v>277.0</v>
      </c>
      <c r="AO115" s="47">
        <f t="shared" si="8"/>
        <v>0</v>
      </c>
      <c r="AP115" s="2"/>
      <c r="AQ115" s="2"/>
    </row>
    <row r="116">
      <c r="A116" s="30">
        <v>109.0</v>
      </c>
      <c r="B116" s="23" t="s">
        <v>148</v>
      </c>
      <c r="C116" s="23"/>
      <c r="D116" s="23" t="s">
        <v>149</v>
      </c>
      <c r="E116" s="23" t="s">
        <v>18</v>
      </c>
      <c r="F116" s="25">
        <v>0.0</v>
      </c>
      <c r="G116" s="25">
        <v>0.0</v>
      </c>
      <c r="H116" s="25">
        <v>0.0</v>
      </c>
      <c r="I116" s="25">
        <v>10.0</v>
      </c>
      <c r="J116" s="25">
        <v>0.0</v>
      </c>
      <c r="K116" s="25">
        <v>0.0</v>
      </c>
      <c r="L116" s="25">
        <v>0.0</v>
      </c>
      <c r="M116" s="25">
        <v>0.0</v>
      </c>
      <c r="N116" s="25">
        <v>0.0</v>
      </c>
      <c r="O116" s="25">
        <v>0.0</v>
      </c>
      <c r="P116" s="25"/>
      <c r="Q116" s="25"/>
      <c r="R116" s="25"/>
      <c r="S116" s="25"/>
      <c r="T116" s="25"/>
      <c r="U116" s="25"/>
      <c r="V116" s="25"/>
      <c r="W116" s="25"/>
      <c r="X116" s="25"/>
      <c r="Y116" s="25">
        <v>0.0</v>
      </c>
      <c r="Z116" s="25">
        <v>0.0</v>
      </c>
      <c r="AA116" s="25">
        <v>0.0</v>
      </c>
      <c r="AB116" s="25">
        <v>0.0</v>
      </c>
      <c r="AC116" s="25">
        <v>0.0</v>
      </c>
      <c r="AD116" s="25">
        <v>0.0</v>
      </c>
      <c r="AE116" s="25">
        <v>0.0</v>
      </c>
      <c r="AF116" s="25">
        <v>0.0</v>
      </c>
      <c r="AG116" s="25">
        <v>0.0</v>
      </c>
      <c r="AH116" s="25">
        <v>0.0</v>
      </c>
      <c r="AI116" s="25">
        <v>0.0</v>
      </c>
      <c r="AJ116" s="25"/>
      <c r="AK116" s="15">
        <f t="shared" si="6"/>
        <v>10</v>
      </c>
      <c r="AL116" s="15"/>
      <c r="AM116" s="15">
        <f t="shared" si="7"/>
        <v>10</v>
      </c>
      <c r="AN116" s="46">
        <v>277.0</v>
      </c>
      <c r="AO116" s="47">
        <f t="shared" si="8"/>
        <v>2770</v>
      </c>
      <c r="AP116" s="2"/>
      <c r="AQ116" s="2"/>
    </row>
    <row r="117">
      <c r="A117" s="30">
        <v>110.0</v>
      </c>
      <c r="B117" s="29" t="s">
        <v>150</v>
      </c>
      <c r="C117" s="23"/>
      <c r="D117" s="29" t="s">
        <v>151</v>
      </c>
      <c r="E117" s="23" t="s">
        <v>18</v>
      </c>
      <c r="F117" s="25">
        <v>0.0</v>
      </c>
      <c r="G117" s="25">
        <v>0.0</v>
      </c>
      <c r="H117" s="25">
        <v>0.0</v>
      </c>
      <c r="I117" s="25">
        <v>0.0</v>
      </c>
      <c r="J117" s="25">
        <v>0.0</v>
      </c>
      <c r="K117" s="25">
        <v>0.0</v>
      </c>
      <c r="L117" s="25">
        <v>0.0</v>
      </c>
      <c r="M117" s="25">
        <v>0.0</v>
      </c>
      <c r="N117" s="25">
        <v>0.0</v>
      </c>
      <c r="O117" s="25">
        <v>0.0</v>
      </c>
      <c r="P117" s="25"/>
      <c r="Q117" s="25"/>
      <c r="R117" s="25"/>
      <c r="S117" s="25"/>
      <c r="T117" s="25"/>
      <c r="U117" s="25"/>
      <c r="V117" s="25"/>
      <c r="W117" s="25"/>
      <c r="X117" s="25"/>
      <c r="Y117" s="25">
        <v>0.0</v>
      </c>
      <c r="Z117" s="25">
        <v>20.0</v>
      </c>
      <c r="AA117" s="25">
        <v>0.0</v>
      </c>
      <c r="AB117" s="25">
        <v>0.0</v>
      </c>
      <c r="AC117" s="25">
        <v>10.0</v>
      </c>
      <c r="AD117" s="25">
        <v>0.0</v>
      </c>
      <c r="AE117" s="25">
        <v>0.0</v>
      </c>
      <c r="AF117" s="25">
        <v>0.0</v>
      </c>
      <c r="AG117" s="25">
        <v>0.0</v>
      </c>
      <c r="AH117" s="25">
        <v>0.0</v>
      </c>
      <c r="AI117" s="25">
        <v>0.0</v>
      </c>
      <c r="AJ117" s="25"/>
      <c r="AK117" s="15">
        <f t="shared" si="6"/>
        <v>30</v>
      </c>
      <c r="AL117" s="15"/>
      <c r="AM117" s="15">
        <f t="shared" si="7"/>
        <v>30</v>
      </c>
      <c r="AN117" s="46">
        <v>277.0</v>
      </c>
      <c r="AO117" s="47">
        <f t="shared" si="8"/>
        <v>8310</v>
      </c>
      <c r="AP117" s="2"/>
      <c r="AQ117" s="2"/>
    </row>
    <row r="118">
      <c r="A118" s="30">
        <v>112.0</v>
      </c>
      <c r="B118" s="23" t="s">
        <v>152</v>
      </c>
      <c r="C118" s="23"/>
      <c r="D118" s="23" t="s">
        <v>115</v>
      </c>
      <c r="E118" s="23" t="s">
        <v>18</v>
      </c>
      <c r="F118" s="25">
        <v>0.0</v>
      </c>
      <c r="G118" s="25">
        <v>0.0</v>
      </c>
      <c r="H118" s="25">
        <v>0.0</v>
      </c>
      <c r="I118" s="25">
        <v>0.0</v>
      </c>
      <c r="J118" s="25">
        <v>0.0</v>
      </c>
      <c r="K118" s="25">
        <v>0.0</v>
      </c>
      <c r="L118" s="25">
        <v>0.0</v>
      </c>
      <c r="M118" s="25">
        <v>0.0</v>
      </c>
      <c r="N118" s="25">
        <v>0.0</v>
      </c>
      <c r="O118" s="25">
        <v>0.0</v>
      </c>
      <c r="P118" s="25"/>
      <c r="Q118" s="25"/>
      <c r="R118" s="25"/>
      <c r="S118" s="25"/>
      <c r="T118" s="25"/>
      <c r="U118" s="25"/>
      <c r="V118" s="25"/>
      <c r="W118" s="25"/>
      <c r="X118" s="25"/>
      <c r="Y118" s="25">
        <v>0.0</v>
      </c>
      <c r="Z118" s="25">
        <v>0.0</v>
      </c>
      <c r="AA118" s="25">
        <v>0.0</v>
      </c>
      <c r="AB118" s="25">
        <v>0.0</v>
      </c>
      <c r="AC118" s="25">
        <v>0.0</v>
      </c>
      <c r="AD118" s="25">
        <v>0.0</v>
      </c>
      <c r="AE118" s="25">
        <v>0.0</v>
      </c>
      <c r="AF118" s="25">
        <v>0.0</v>
      </c>
      <c r="AG118" s="25">
        <v>0.0</v>
      </c>
      <c r="AH118" s="25">
        <v>0.0</v>
      </c>
      <c r="AI118" s="25">
        <v>0.0</v>
      </c>
      <c r="AJ118" s="25"/>
      <c r="AK118" s="15">
        <f t="shared" si="6"/>
        <v>0</v>
      </c>
      <c r="AL118" s="15"/>
      <c r="AM118" s="15">
        <f t="shared" si="7"/>
        <v>0</v>
      </c>
      <c r="AN118" s="46">
        <v>277.0</v>
      </c>
      <c r="AO118" s="47">
        <f t="shared" si="8"/>
        <v>0</v>
      </c>
      <c r="AP118" s="2"/>
      <c r="AQ118" s="2"/>
    </row>
    <row r="119">
      <c r="A119" s="30">
        <v>113.0</v>
      </c>
      <c r="B119" s="29" t="s">
        <v>122</v>
      </c>
      <c r="C119" s="23"/>
      <c r="D119" s="23" t="s">
        <v>113</v>
      </c>
      <c r="E119" s="23" t="s">
        <v>18</v>
      </c>
      <c r="F119" s="25">
        <v>0.0</v>
      </c>
      <c r="G119" s="25">
        <v>0.0</v>
      </c>
      <c r="H119" s="25">
        <v>0.0</v>
      </c>
      <c r="I119" s="25">
        <v>30.0</v>
      </c>
      <c r="J119" s="25">
        <v>0.0</v>
      </c>
      <c r="K119" s="25">
        <v>0.0</v>
      </c>
      <c r="L119" s="25">
        <v>0.0</v>
      </c>
      <c r="M119" s="25">
        <v>0.0</v>
      </c>
      <c r="N119" s="25">
        <v>0.0</v>
      </c>
      <c r="O119" s="25">
        <v>0.0</v>
      </c>
      <c r="P119" s="25"/>
      <c r="Q119" s="25"/>
      <c r="R119" s="25"/>
      <c r="S119" s="25"/>
      <c r="T119" s="25"/>
      <c r="U119" s="25"/>
      <c r="V119" s="25"/>
      <c r="W119" s="25"/>
      <c r="X119" s="25"/>
      <c r="Y119" s="25">
        <v>0.0</v>
      </c>
      <c r="Z119" s="25">
        <v>0.0</v>
      </c>
      <c r="AA119" s="25">
        <v>0.0</v>
      </c>
      <c r="AB119" s="25">
        <v>20.0</v>
      </c>
      <c r="AC119" s="25">
        <v>0.0</v>
      </c>
      <c r="AD119" s="25">
        <v>0.0</v>
      </c>
      <c r="AE119" s="25">
        <v>0.0</v>
      </c>
      <c r="AF119" s="25">
        <v>0.0</v>
      </c>
      <c r="AG119" s="25">
        <v>20.0</v>
      </c>
      <c r="AH119" s="25">
        <v>0.0</v>
      </c>
      <c r="AI119" s="25">
        <v>25.0</v>
      </c>
      <c r="AJ119" s="25"/>
      <c r="AK119" s="15">
        <f t="shared" si="6"/>
        <v>95</v>
      </c>
      <c r="AL119" s="15"/>
      <c r="AM119" s="15">
        <f t="shared" si="7"/>
        <v>95</v>
      </c>
      <c r="AN119" s="46">
        <v>277.0</v>
      </c>
      <c r="AO119" s="47">
        <f t="shared" si="8"/>
        <v>26315</v>
      </c>
      <c r="AP119" s="2"/>
      <c r="AQ119" s="2"/>
    </row>
    <row r="120">
      <c r="A120" s="30">
        <v>114.0</v>
      </c>
      <c r="B120" s="23" t="s">
        <v>153</v>
      </c>
      <c r="C120" s="23"/>
      <c r="D120" s="23" t="s">
        <v>119</v>
      </c>
      <c r="E120" s="23" t="s">
        <v>18</v>
      </c>
      <c r="F120" s="25">
        <v>0.0</v>
      </c>
      <c r="G120" s="25">
        <v>0.0</v>
      </c>
      <c r="H120" s="25">
        <v>0.0</v>
      </c>
      <c r="I120" s="25">
        <v>0.0</v>
      </c>
      <c r="J120" s="25">
        <v>0.0</v>
      </c>
      <c r="K120" s="25">
        <v>0.0</v>
      </c>
      <c r="L120" s="25">
        <v>0.0</v>
      </c>
      <c r="M120" s="25">
        <v>0.0</v>
      </c>
      <c r="N120" s="25">
        <v>0.0</v>
      </c>
      <c r="O120" s="25">
        <v>0.0</v>
      </c>
      <c r="P120" s="25"/>
      <c r="Q120" s="25"/>
      <c r="R120" s="25"/>
      <c r="S120" s="25"/>
      <c r="T120" s="25"/>
      <c r="U120" s="25"/>
      <c r="V120" s="25"/>
      <c r="W120" s="25"/>
      <c r="X120" s="25"/>
      <c r="Y120" s="25">
        <v>0.0</v>
      </c>
      <c r="Z120" s="25">
        <v>0.0</v>
      </c>
      <c r="AA120" s="25">
        <v>0.0</v>
      </c>
      <c r="AB120" s="25">
        <v>0.0</v>
      </c>
      <c r="AC120" s="25">
        <v>0.0</v>
      </c>
      <c r="AD120" s="25">
        <v>0.0</v>
      </c>
      <c r="AE120" s="25">
        <v>0.0</v>
      </c>
      <c r="AF120" s="25">
        <v>0.0</v>
      </c>
      <c r="AG120" s="25">
        <v>0.0</v>
      </c>
      <c r="AH120" s="25">
        <v>0.0</v>
      </c>
      <c r="AI120" s="25">
        <v>0.0</v>
      </c>
      <c r="AJ120" s="25"/>
      <c r="AK120" s="15">
        <f t="shared" si="6"/>
        <v>0</v>
      </c>
      <c r="AL120" s="15"/>
      <c r="AM120" s="15">
        <f t="shared" si="7"/>
        <v>0</v>
      </c>
      <c r="AN120" s="46">
        <v>277.0</v>
      </c>
      <c r="AO120" s="47">
        <f t="shared" si="8"/>
        <v>0</v>
      </c>
      <c r="AP120" s="2"/>
      <c r="AQ120" s="2"/>
    </row>
    <row r="121">
      <c r="A121" s="30">
        <v>115.0</v>
      </c>
      <c r="B121" s="23" t="s">
        <v>154</v>
      </c>
      <c r="C121" s="23"/>
      <c r="D121" s="23" t="s">
        <v>155</v>
      </c>
      <c r="E121" s="23" t="s">
        <v>18</v>
      </c>
      <c r="F121" s="25">
        <v>0.0</v>
      </c>
      <c r="G121" s="25">
        <v>0.0</v>
      </c>
      <c r="H121" s="25">
        <v>0.0</v>
      </c>
      <c r="I121" s="25">
        <v>0.0</v>
      </c>
      <c r="J121" s="25">
        <v>0.0</v>
      </c>
      <c r="K121" s="25">
        <v>0.0</v>
      </c>
      <c r="L121" s="25">
        <v>0.0</v>
      </c>
      <c r="M121" s="25">
        <v>0.0</v>
      </c>
      <c r="N121" s="25">
        <v>0.0</v>
      </c>
      <c r="O121" s="25">
        <v>0.0</v>
      </c>
      <c r="P121" s="25"/>
      <c r="Q121" s="25"/>
      <c r="R121" s="25"/>
      <c r="S121" s="25"/>
      <c r="T121" s="25"/>
      <c r="U121" s="25"/>
      <c r="V121" s="25"/>
      <c r="W121" s="25"/>
      <c r="X121" s="25"/>
      <c r="Y121" s="25">
        <v>0.0</v>
      </c>
      <c r="Z121" s="25">
        <v>0.0</v>
      </c>
      <c r="AA121" s="25">
        <v>0.0</v>
      </c>
      <c r="AB121" s="25">
        <v>0.0</v>
      </c>
      <c r="AC121" s="25">
        <v>0.0</v>
      </c>
      <c r="AD121" s="25">
        <v>0.0</v>
      </c>
      <c r="AE121" s="25">
        <v>0.0</v>
      </c>
      <c r="AF121" s="25">
        <v>0.0</v>
      </c>
      <c r="AG121" s="25">
        <v>16.19</v>
      </c>
      <c r="AH121" s="25">
        <v>0.0</v>
      </c>
      <c r="AI121" s="25">
        <v>0.0</v>
      </c>
      <c r="AJ121" s="25"/>
      <c r="AK121" s="15">
        <f t="shared" si="6"/>
        <v>16.19</v>
      </c>
      <c r="AL121" s="15"/>
      <c r="AM121" s="15">
        <f t="shared" si="7"/>
        <v>16.19</v>
      </c>
      <c r="AN121" s="46">
        <v>277.0</v>
      </c>
      <c r="AO121" s="47">
        <f t="shared" si="8"/>
        <v>4484.63</v>
      </c>
      <c r="AP121" s="2"/>
      <c r="AQ121" s="2"/>
    </row>
    <row r="122">
      <c r="A122" s="30">
        <v>116.0</v>
      </c>
      <c r="B122" s="23" t="s">
        <v>156</v>
      </c>
      <c r="C122" s="23"/>
      <c r="D122" s="23" t="s">
        <v>149</v>
      </c>
      <c r="E122" s="23" t="s">
        <v>18</v>
      </c>
      <c r="F122" s="25">
        <v>0.0</v>
      </c>
      <c r="G122" s="25">
        <v>0.0</v>
      </c>
      <c r="H122" s="25">
        <v>10.0</v>
      </c>
      <c r="I122" s="25">
        <v>0.0</v>
      </c>
      <c r="J122" s="25">
        <v>0.0</v>
      </c>
      <c r="K122" s="25">
        <v>0.0</v>
      </c>
      <c r="L122" s="25">
        <v>0.0</v>
      </c>
      <c r="M122" s="25">
        <v>0.0</v>
      </c>
      <c r="N122" s="25">
        <v>0.0</v>
      </c>
      <c r="O122" s="25">
        <v>0.0</v>
      </c>
      <c r="P122" s="25"/>
      <c r="Q122" s="25"/>
      <c r="R122" s="25"/>
      <c r="S122" s="25"/>
      <c r="T122" s="25"/>
      <c r="U122" s="25"/>
      <c r="V122" s="25"/>
      <c r="W122" s="25"/>
      <c r="X122" s="25"/>
      <c r="Y122" s="25">
        <v>0.0</v>
      </c>
      <c r="Z122" s="25">
        <v>0.0</v>
      </c>
      <c r="AA122" s="25">
        <v>20.0</v>
      </c>
      <c r="AB122" s="25">
        <v>0.0</v>
      </c>
      <c r="AC122" s="25">
        <v>0.0</v>
      </c>
      <c r="AD122" s="25">
        <v>0.0</v>
      </c>
      <c r="AE122" s="25">
        <v>0.0</v>
      </c>
      <c r="AF122" s="25">
        <v>0.0</v>
      </c>
      <c r="AG122" s="25">
        <v>20.0</v>
      </c>
      <c r="AH122" s="25">
        <v>40.0</v>
      </c>
      <c r="AI122" s="25">
        <v>0.0</v>
      </c>
      <c r="AJ122" s="25"/>
      <c r="AK122" s="15">
        <f t="shared" si="6"/>
        <v>90</v>
      </c>
      <c r="AL122" s="15"/>
      <c r="AM122" s="15">
        <f t="shared" si="7"/>
        <v>90</v>
      </c>
      <c r="AN122" s="46">
        <v>277.0</v>
      </c>
      <c r="AO122" s="47">
        <f t="shared" si="8"/>
        <v>24930</v>
      </c>
      <c r="AP122" s="2"/>
      <c r="AQ122" s="2"/>
    </row>
    <row r="123">
      <c r="A123" s="30">
        <v>117.0</v>
      </c>
      <c r="B123" s="29" t="s">
        <v>157</v>
      </c>
      <c r="C123" s="23"/>
      <c r="D123" s="23" t="s">
        <v>158</v>
      </c>
      <c r="E123" s="23" t="s">
        <v>18</v>
      </c>
      <c r="F123" s="25">
        <v>0.0</v>
      </c>
      <c r="G123" s="25">
        <v>0.0</v>
      </c>
      <c r="H123" s="25">
        <v>0.0</v>
      </c>
      <c r="I123" s="25">
        <v>0.0</v>
      </c>
      <c r="J123" s="25">
        <v>0.0</v>
      </c>
      <c r="K123" s="25">
        <v>0.0</v>
      </c>
      <c r="L123" s="25">
        <v>0.0</v>
      </c>
      <c r="M123" s="25">
        <v>0.0</v>
      </c>
      <c r="N123" s="25">
        <v>0.0</v>
      </c>
      <c r="O123" s="25">
        <v>0.0</v>
      </c>
      <c r="P123" s="25"/>
      <c r="Q123" s="25"/>
      <c r="R123" s="25"/>
      <c r="S123" s="25"/>
      <c r="T123" s="25"/>
      <c r="U123" s="25"/>
      <c r="V123" s="25"/>
      <c r="W123" s="25"/>
      <c r="X123" s="25"/>
      <c r="Y123" s="25">
        <v>0.0</v>
      </c>
      <c r="Z123" s="25">
        <v>0.0</v>
      </c>
      <c r="AA123" s="25">
        <v>0.0</v>
      </c>
      <c r="AB123" s="25">
        <v>0.0</v>
      </c>
      <c r="AC123" s="25">
        <v>0.0</v>
      </c>
      <c r="AD123" s="25">
        <v>0.0</v>
      </c>
      <c r="AE123" s="25">
        <v>0.0</v>
      </c>
      <c r="AF123" s="25">
        <v>0.0</v>
      </c>
      <c r="AG123" s="25">
        <v>0.0</v>
      </c>
      <c r="AH123" s="25">
        <v>0.0</v>
      </c>
      <c r="AI123" s="25">
        <v>0.0</v>
      </c>
      <c r="AJ123" s="25"/>
      <c r="AK123" s="15">
        <f t="shared" si="6"/>
        <v>0</v>
      </c>
      <c r="AL123" s="15"/>
      <c r="AM123" s="15">
        <f t="shared" si="7"/>
        <v>0</v>
      </c>
      <c r="AN123" s="46">
        <v>277.0</v>
      </c>
      <c r="AO123" s="47">
        <f t="shared" si="8"/>
        <v>0</v>
      </c>
      <c r="AP123" s="2"/>
      <c r="AQ123" s="2"/>
    </row>
    <row r="124">
      <c r="A124" s="30">
        <v>118.0</v>
      </c>
      <c r="B124" s="23" t="s">
        <v>159</v>
      </c>
      <c r="C124" s="23"/>
      <c r="D124" s="23" t="s">
        <v>160</v>
      </c>
      <c r="E124" s="23" t="s">
        <v>18</v>
      </c>
      <c r="F124" s="25">
        <v>0.0</v>
      </c>
      <c r="G124" s="25">
        <v>0.0</v>
      </c>
      <c r="H124" s="25">
        <v>0.0</v>
      </c>
      <c r="I124" s="25">
        <v>0.0</v>
      </c>
      <c r="J124" s="25">
        <v>0.0</v>
      </c>
      <c r="K124" s="25">
        <v>0.0</v>
      </c>
      <c r="L124" s="25">
        <v>0.0</v>
      </c>
      <c r="M124" s="25">
        <v>0.0</v>
      </c>
      <c r="N124" s="25">
        <v>0.0</v>
      </c>
      <c r="O124" s="25">
        <v>0.0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>
        <v>0.0</v>
      </c>
      <c r="Z124" s="25">
        <v>0.0</v>
      </c>
      <c r="AA124" s="25">
        <v>0.0</v>
      </c>
      <c r="AB124" s="25">
        <v>0.0</v>
      </c>
      <c r="AC124" s="25">
        <v>0.0</v>
      </c>
      <c r="AD124" s="25">
        <v>0.0</v>
      </c>
      <c r="AE124" s="25">
        <v>0.0</v>
      </c>
      <c r="AF124" s="25">
        <v>0.0</v>
      </c>
      <c r="AG124" s="25">
        <v>0.0</v>
      </c>
      <c r="AH124" s="25">
        <v>0.0</v>
      </c>
      <c r="AI124" s="25">
        <v>0.0</v>
      </c>
      <c r="AJ124" s="25"/>
      <c r="AK124" s="15">
        <f t="shared" si="6"/>
        <v>0</v>
      </c>
      <c r="AL124" s="15"/>
      <c r="AM124" s="15">
        <f t="shared" si="7"/>
        <v>0</v>
      </c>
      <c r="AN124" s="46">
        <v>277.0</v>
      </c>
      <c r="AO124" s="47">
        <f t="shared" si="8"/>
        <v>0</v>
      </c>
      <c r="AP124" s="2"/>
      <c r="AQ124" s="2"/>
    </row>
    <row r="125">
      <c r="A125" s="30">
        <v>119.0</v>
      </c>
      <c r="B125" s="29" t="s">
        <v>161</v>
      </c>
      <c r="C125" s="23"/>
      <c r="D125" s="29" t="s">
        <v>162</v>
      </c>
      <c r="E125" s="23" t="s">
        <v>18</v>
      </c>
      <c r="F125" s="25">
        <v>0.0</v>
      </c>
      <c r="G125" s="25">
        <v>0.0</v>
      </c>
      <c r="H125" s="25">
        <v>0.0</v>
      </c>
      <c r="I125" s="25">
        <v>1500.0</v>
      </c>
      <c r="J125" s="25">
        <v>0.0</v>
      </c>
      <c r="K125" s="25">
        <v>700.0</v>
      </c>
      <c r="L125" s="25">
        <v>0.0</v>
      </c>
      <c r="M125" s="25">
        <v>1100.0</v>
      </c>
      <c r="N125" s="25">
        <v>0.0</v>
      </c>
      <c r="O125" s="25">
        <v>0.0</v>
      </c>
      <c r="P125" s="25"/>
      <c r="Q125" s="25"/>
      <c r="R125" s="25"/>
      <c r="S125" s="25"/>
      <c r="T125" s="25"/>
      <c r="U125" s="25"/>
      <c r="V125" s="25"/>
      <c r="W125" s="25"/>
      <c r="X125" s="25"/>
      <c r="Y125" s="25">
        <v>1000.0</v>
      </c>
      <c r="Z125" s="25">
        <v>0.0</v>
      </c>
      <c r="AA125" s="25">
        <v>0.0</v>
      </c>
      <c r="AB125" s="25">
        <v>0.0</v>
      </c>
      <c r="AC125" s="25">
        <v>1000.0</v>
      </c>
      <c r="AD125" s="25">
        <v>0.0</v>
      </c>
      <c r="AE125" s="25">
        <v>0.0</v>
      </c>
      <c r="AF125" s="25">
        <v>1000.24</v>
      </c>
      <c r="AG125" s="25">
        <v>0.0</v>
      </c>
      <c r="AH125" s="25">
        <v>0.0</v>
      </c>
      <c r="AI125" s="25">
        <v>600.0</v>
      </c>
      <c r="AJ125" s="25"/>
      <c r="AK125" s="15">
        <f t="shared" si="6"/>
        <v>6900.24</v>
      </c>
      <c r="AL125" s="15"/>
      <c r="AM125" s="15">
        <f t="shared" si="7"/>
        <v>6900.24</v>
      </c>
      <c r="AN125" s="46">
        <v>277.0</v>
      </c>
      <c r="AO125" s="47">
        <f t="shared" si="8"/>
        <v>1911366.48</v>
      </c>
      <c r="AP125" s="2"/>
      <c r="AQ125" s="2"/>
    </row>
    <row r="126">
      <c r="A126" s="30">
        <v>120.0</v>
      </c>
      <c r="B126" s="29" t="s">
        <v>163</v>
      </c>
      <c r="C126" s="23"/>
      <c r="D126" s="23" t="s">
        <v>164</v>
      </c>
      <c r="E126" s="23" t="s">
        <v>18</v>
      </c>
      <c r="F126" s="25">
        <v>30.0</v>
      </c>
      <c r="G126" s="25">
        <v>0.0</v>
      </c>
      <c r="H126" s="25">
        <v>0.0</v>
      </c>
      <c r="I126" s="25">
        <v>0.0</v>
      </c>
      <c r="J126" s="25">
        <v>0.0</v>
      </c>
      <c r="K126" s="25">
        <v>0.0</v>
      </c>
      <c r="L126" s="25">
        <v>0.0</v>
      </c>
      <c r="M126" s="25">
        <v>0.0</v>
      </c>
      <c r="N126" s="25">
        <v>0.0</v>
      </c>
      <c r="O126" s="25">
        <v>0.0</v>
      </c>
      <c r="P126" s="25"/>
      <c r="Q126" s="25"/>
      <c r="R126" s="25"/>
      <c r="S126" s="25"/>
      <c r="T126" s="25"/>
      <c r="U126" s="25"/>
      <c r="V126" s="25"/>
      <c r="W126" s="25"/>
      <c r="X126" s="25"/>
      <c r="Y126" s="25">
        <v>0.0</v>
      </c>
      <c r="Z126" s="25">
        <v>0.0</v>
      </c>
      <c r="AA126" s="25">
        <v>0.0</v>
      </c>
      <c r="AB126" s="25">
        <v>0.0</v>
      </c>
      <c r="AC126" s="25">
        <v>0.0</v>
      </c>
      <c r="AD126" s="25">
        <v>0.0</v>
      </c>
      <c r="AE126" s="25">
        <v>0.0</v>
      </c>
      <c r="AF126" s="25">
        <v>0.0</v>
      </c>
      <c r="AG126" s="25">
        <v>0.0</v>
      </c>
      <c r="AH126" s="25">
        <v>0.0</v>
      </c>
      <c r="AI126" s="25">
        <v>0.0</v>
      </c>
      <c r="AJ126" s="25"/>
      <c r="AK126" s="15">
        <f t="shared" si="6"/>
        <v>30</v>
      </c>
      <c r="AL126" s="15"/>
      <c r="AM126" s="15">
        <f t="shared" si="7"/>
        <v>30</v>
      </c>
      <c r="AN126" s="46">
        <v>277.0</v>
      </c>
      <c r="AO126" s="47">
        <f t="shared" si="8"/>
        <v>8310</v>
      </c>
      <c r="AP126" s="2"/>
      <c r="AQ126" s="2"/>
    </row>
    <row r="127">
      <c r="A127" s="30">
        <v>121.0</v>
      </c>
      <c r="B127" s="29" t="s">
        <v>165</v>
      </c>
      <c r="C127" s="23"/>
      <c r="D127" s="23" t="s">
        <v>109</v>
      </c>
      <c r="E127" s="23" t="s">
        <v>18</v>
      </c>
      <c r="F127" s="25">
        <v>0.0</v>
      </c>
      <c r="G127" s="25">
        <v>0.0</v>
      </c>
      <c r="H127" s="25">
        <v>0.0</v>
      </c>
      <c r="I127" s="25">
        <v>0.0</v>
      </c>
      <c r="J127" s="25">
        <v>0.0</v>
      </c>
      <c r="K127" s="25">
        <v>0.0</v>
      </c>
      <c r="L127" s="25">
        <v>0.0</v>
      </c>
      <c r="M127" s="25">
        <v>0.0</v>
      </c>
      <c r="N127" s="25">
        <v>0.0</v>
      </c>
      <c r="O127" s="25">
        <v>0.0</v>
      </c>
      <c r="P127" s="25"/>
      <c r="Q127" s="25"/>
      <c r="R127" s="25"/>
      <c r="S127" s="25"/>
      <c r="T127" s="25"/>
      <c r="U127" s="25"/>
      <c r="V127" s="25"/>
      <c r="W127" s="25"/>
      <c r="X127" s="25"/>
      <c r="Y127" s="25">
        <v>0.0</v>
      </c>
      <c r="Z127" s="25">
        <v>0.0</v>
      </c>
      <c r="AA127" s="25">
        <v>0.0</v>
      </c>
      <c r="AB127" s="25">
        <v>0.0</v>
      </c>
      <c r="AC127" s="25">
        <v>0.0</v>
      </c>
      <c r="AD127" s="25">
        <v>0.0</v>
      </c>
      <c r="AE127" s="25">
        <v>0.0</v>
      </c>
      <c r="AF127" s="25">
        <v>0.0</v>
      </c>
      <c r="AG127" s="25">
        <v>0.0</v>
      </c>
      <c r="AH127" s="25">
        <v>40.0</v>
      </c>
      <c r="AI127" s="25">
        <v>0.0</v>
      </c>
      <c r="AJ127" s="25"/>
      <c r="AK127" s="15">
        <f t="shared" si="6"/>
        <v>40</v>
      </c>
      <c r="AL127" s="15"/>
      <c r="AM127" s="15">
        <f t="shared" si="7"/>
        <v>40</v>
      </c>
      <c r="AN127" s="46">
        <v>277.0</v>
      </c>
      <c r="AO127" s="47">
        <f t="shared" si="8"/>
        <v>11080</v>
      </c>
      <c r="AP127" s="2"/>
      <c r="AQ127" s="2"/>
    </row>
    <row r="128">
      <c r="A128" s="30">
        <v>122.0</v>
      </c>
      <c r="B128" s="29" t="s">
        <v>166</v>
      </c>
      <c r="C128" s="23" t="s">
        <v>167</v>
      </c>
      <c r="D128" s="23" t="s">
        <v>151</v>
      </c>
      <c r="E128" s="23" t="s">
        <v>18</v>
      </c>
      <c r="F128" s="25">
        <v>0.0</v>
      </c>
      <c r="G128" s="25">
        <v>0.0</v>
      </c>
      <c r="H128" s="25">
        <v>0.0</v>
      </c>
      <c r="I128" s="25">
        <v>0.0</v>
      </c>
      <c r="J128" s="25">
        <v>0.0</v>
      </c>
      <c r="K128" s="25">
        <v>0.0</v>
      </c>
      <c r="L128" s="25">
        <v>0.0</v>
      </c>
      <c r="M128" s="25">
        <v>0.0</v>
      </c>
      <c r="N128" s="25">
        <v>0.0</v>
      </c>
      <c r="O128" s="25">
        <v>0.0</v>
      </c>
      <c r="P128" s="25"/>
      <c r="Q128" s="25"/>
      <c r="R128" s="25"/>
      <c r="S128" s="25"/>
      <c r="T128" s="25"/>
      <c r="U128" s="25"/>
      <c r="V128" s="25"/>
      <c r="W128" s="25"/>
      <c r="X128" s="25"/>
      <c r="Y128" s="25">
        <v>0.0</v>
      </c>
      <c r="Z128" s="25">
        <v>0.0</v>
      </c>
      <c r="AA128" s="25">
        <v>0.0</v>
      </c>
      <c r="AB128" s="25">
        <v>15.0</v>
      </c>
      <c r="AC128" s="25">
        <v>10.0</v>
      </c>
      <c r="AD128" s="25">
        <v>0.0</v>
      </c>
      <c r="AE128" s="25">
        <v>0.0</v>
      </c>
      <c r="AF128" s="25">
        <v>0.0</v>
      </c>
      <c r="AG128" s="25">
        <v>0.0</v>
      </c>
      <c r="AH128" s="25">
        <v>0.0</v>
      </c>
      <c r="AI128" s="25">
        <v>0.0</v>
      </c>
      <c r="AJ128" s="25"/>
      <c r="AK128" s="15">
        <f t="shared" si="6"/>
        <v>25</v>
      </c>
      <c r="AL128" s="15"/>
      <c r="AM128" s="15">
        <f t="shared" si="7"/>
        <v>25</v>
      </c>
      <c r="AN128" s="46">
        <v>277.0</v>
      </c>
      <c r="AO128" s="47">
        <f t="shared" si="8"/>
        <v>6925</v>
      </c>
      <c r="AP128" s="2"/>
      <c r="AQ128" s="2"/>
    </row>
    <row r="129">
      <c r="A129" s="30">
        <v>123.0</v>
      </c>
      <c r="B129" s="23" t="s">
        <v>168</v>
      </c>
      <c r="C129" s="23"/>
      <c r="D129" s="23" t="s">
        <v>169</v>
      </c>
      <c r="E129" s="23" t="s">
        <v>18</v>
      </c>
      <c r="F129" s="25">
        <v>0.0</v>
      </c>
      <c r="G129" s="25">
        <v>0.0</v>
      </c>
      <c r="H129" s="25">
        <v>0.0</v>
      </c>
      <c r="I129" s="25">
        <v>0.0</v>
      </c>
      <c r="J129" s="25">
        <v>0.0</v>
      </c>
      <c r="K129" s="25">
        <v>0.0</v>
      </c>
      <c r="L129" s="25">
        <v>0.0</v>
      </c>
      <c r="M129" s="25">
        <v>0.0</v>
      </c>
      <c r="N129" s="25">
        <v>0.0</v>
      </c>
      <c r="O129" s="25">
        <v>0.0</v>
      </c>
      <c r="P129" s="25"/>
      <c r="Q129" s="25"/>
      <c r="R129" s="25"/>
      <c r="S129" s="25"/>
      <c r="T129" s="25"/>
      <c r="U129" s="25"/>
      <c r="V129" s="25"/>
      <c r="W129" s="25"/>
      <c r="X129" s="25"/>
      <c r="Y129" s="25">
        <v>0.0</v>
      </c>
      <c r="Z129" s="25">
        <v>0.0</v>
      </c>
      <c r="AA129" s="25">
        <v>0.0</v>
      </c>
      <c r="AB129" s="25">
        <v>0.0</v>
      </c>
      <c r="AC129" s="25">
        <v>0.0</v>
      </c>
      <c r="AD129" s="25">
        <v>0.0</v>
      </c>
      <c r="AE129" s="25">
        <v>0.0</v>
      </c>
      <c r="AF129" s="25">
        <v>0.0</v>
      </c>
      <c r="AG129" s="25">
        <v>0.0</v>
      </c>
      <c r="AH129" s="25">
        <v>0.0</v>
      </c>
      <c r="AI129" s="25">
        <v>0.0</v>
      </c>
      <c r="AJ129" s="25"/>
      <c r="AK129" s="15">
        <f t="shared" si="6"/>
        <v>0</v>
      </c>
      <c r="AL129" s="15"/>
      <c r="AM129" s="15">
        <f t="shared" si="7"/>
        <v>0</v>
      </c>
      <c r="AN129" s="46">
        <v>277.0</v>
      </c>
      <c r="AO129" s="47">
        <f t="shared" si="8"/>
        <v>0</v>
      </c>
      <c r="AP129" s="2"/>
      <c r="AQ129" s="2"/>
    </row>
    <row r="130">
      <c r="A130" s="30">
        <v>124.0</v>
      </c>
      <c r="B130" s="23" t="s">
        <v>170</v>
      </c>
      <c r="C130" s="23"/>
      <c r="D130" s="23" t="s">
        <v>169</v>
      </c>
      <c r="E130" s="23" t="s">
        <v>18</v>
      </c>
      <c r="F130" s="25">
        <v>0.0</v>
      </c>
      <c r="G130" s="25">
        <v>0.0</v>
      </c>
      <c r="H130" s="25">
        <v>0.0</v>
      </c>
      <c r="I130" s="25">
        <v>0.0</v>
      </c>
      <c r="J130" s="25">
        <v>0.0</v>
      </c>
      <c r="K130" s="25">
        <v>0.0</v>
      </c>
      <c r="L130" s="25">
        <v>0.0</v>
      </c>
      <c r="M130" s="25">
        <v>0.0</v>
      </c>
      <c r="N130" s="25">
        <v>0.0</v>
      </c>
      <c r="O130" s="25">
        <v>0.0</v>
      </c>
      <c r="P130" s="25"/>
      <c r="Q130" s="25"/>
      <c r="R130" s="25"/>
      <c r="S130" s="25"/>
      <c r="T130" s="25"/>
      <c r="U130" s="25"/>
      <c r="V130" s="25"/>
      <c r="W130" s="25"/>
      <c r="X130" s="25"/>
      <c r="Y130" s="25">
        <v>0.0</v>
      </c>
      <c r="Z130" s="25">
        <v>0.0</v>
      </c>
      <c r="AA130" s="25">
        <v>0.0</v>
      </c>
      <c r="AB130" s="25">
        <v>0.0</v>
      </c>
      <c r="AC130" s="25">
        <v>0.0</v>
      </c>
      <c r="AD130" s="25">
        <v>0.0</v>
      </c>
      <c r="AE130" s="25">
        <v>0.0</v>
      </c>
      <c r="AF130" s="25">
        <v>0.0</v>
      </c>
      <c r="AG130" s="25">
        <v>0.0</v>
      </c>
      <c r="AH130" s="25">
        <v>0.0</v>
      </c>
      <c r="AI130" s="25">
        <v>0.0</v>
      </c>
      <c r="AJ130" s="25"/>
      <c r="AK130" s="15">
        <f t="shared" si="6"/>
        <v>0</v>
      </c>
      <c r="AL130" s="15"/>
      <c r="AM130" s="15">
        <f t="shared" si="7"/>
        <v>0</v>
      </c>
      <c r="AN130" s="46">
        <v>277.0</v>
      </c>
      <c r="AO130" s="47">
        <f t="shared" si="8"/>
        <v>0</v>
      </c>
      <c r="AP130" s="2"/>
      <c r="AQ130" s="2"/>
    </row>
    <row r="131">
      <c r="A131" s="30">
        <v>125.0</v>
      </c>
      <c r="B131" s="23" t="s">
        <v>171</v>
      </c>
      <c r="C131" s="23" t="s">
        <v>172</v>
      </c>
      <c r="D131" s="23" t="s">
        <v>173</v>
      </c>
      <c r="E131" s="23" t="s">
        <v>18</v>
      </c>
      <c r="F131" s="25">
        <v>0.0</v>
      </c>
      <c r="G131" s="25">
        <v>0.0</v>
      </c>
      <c r="H131" s="25">
        <v>0.0</v>
      </c>
      <c r="I131" s="25">
        <v>0.0</v>
      </c>
      <c r="J131" s="25">
        <v>0.0</v>
      </c>
      <c r="K131" s="25">
        <v>0.0</v>
      </c>
      <c r="L131" s="25">
        <v>0.0</v>
      </c>
      <c r="M131" s="25">
        <v>0.0</v>
      </c>
      <c r="N131" s="25">
        <v>0.0</v>
      </c>
      <c r="O131" s="25">
        <v>0.0</v>
      </c>
      <c r="P131" s="25"/>
      <c r="Q131" s="25"/>
      <c r="R131" s="25"/>
      <c r="S131" s="25"/>
      <c r="T131" s="25"/>
      <c r="U131" s="25"/>
      <c r="V131" s="25"/>
      <c r="W131" s="25"/>
      <c r="X131" s="25"/>
      <c r="Y131" s="25">
        <v>0.0</v>
      </c>
      <c r="Z131" s="25">
        <v>0.0</v>
      </c>
      <c r="AA131" s="25">
        <v>0.0</v>
      </c>
      <c r="AB131" s="25">
        <v>0.0</v>
      </c>
      <c r="AC131" s="25">
        <v>0.0</v>
      </c>
      <c r="AD131" s="25">
        <v>0.0</v>
      </c>
      <c r="AE131" s="25">
        <v>0.0</v>
      </c>
      <c r="AF131" s="25">
        <v>0.0</v>
      </c>
      <c r="AG131" s="25">
        <v>0.0</v>
      </c>
      <c r="AH131" s="25">
        <v>0.0</v>
      </c>
      <c r="AI131" s="25">
        <v>0.0</v>
      </c>
      <c r="AJ131" s="25"/>
      <c r="AK131" s="15">
        <f t="shared" si="6"/>
        <v>0</v>
      </c>
      <c r="AL131" s="15"/>
      <c r="AM131" s="15">
        <f t="shared" si="7"/>
        <v>0</v>
      </c>
      <c r="AN131" s="46">
        <v>277.0</v>
      </c>
      <c r="AO131" s="47">
        <f t="shared" si="8"/>
        <v>0</v>
      </c>
      <c r="AP131" s="2"/>
      <c r="AQ131" s="2"/>
    </row>
    <row r="132">
      <c r="A132" s="30">
        <v>126.0</v>
      </c>
      <c r="B132" s="29" t="s">
        <v>174</v>
      </c>
      <c r="C132" s="23"/>
      <c r="D132" s="23" t="s">
        <v>164</v>
      </c>
      <c r="E132" s="23" t="s">
        <v>18</v>
      </c>
      <c r="F132" s="25">
        <v>0.0</v>
      </c>
      <c r="G132" s="25">
        <v>0.0</v>
      </c>
      <c r="H132" s="25">
        <v>0.0</v>
      </c>
      <c r="I132" s="25">
        <v>0.0</v>
      </c>
      <c r="J132" s="25">
        <v>0.0</v>
      </c>
      <c r="K132" s="25">
        <v>0.0</v>
      </c>
      <c r="L132" s="25">
        <v>0.0</v>
      </c>
      <c r="M132" s="25">
        <v>0.0</v>
      </c>
      <c r="N132" s="25">
        <v>0.0</v>
      </c>
      <c r="O132" s="25">
        <v>0.0</v>
      </c>
      <c r="P132" s="25"/>
      <c r="Q132" s="25"/>
      <c r="R132" s="25"/>
      <c r="S132" s="25"/>
      <c r="T132" s="25"/>
      <c r="U132" s="25"/>
      <c r="V132" s="25"/>
      <c r="W132" s="25"/>
      <c r="X132" s="25"/>
      <c r="Y132" s="25">
        <v>0.0</v>
      </c>
      <c r="Z132" s="25">
        <v>0.0</v>
      </c>
      <c r="AA132" s="25">
        <v>0.0</v>
      </c>
      <c r="AB132" s="25">
        <v>10.0</v>
      </c>
      <c r="AC132" s="25">
        <v>20.0</v>
      </c>
      <c r="AD132" s="25">
        <v>0.0</v>
      </c>
      <c r="AE132" s="25">
        <v>0.0</v>
      </c>
      <c r="AF132" s="25">
        <v>0.0</v>
      </c>
      <c r="AG132" s="25">
        <v>0.0</v>
      </c>
      <c r="AH132" s="25">
        <v>0.0</v>
      </c>
      <c r="AI132" s="25">
        <v>0.0</v>
      </c>
      <c r="AJ132" s="25"/>
      <c r="AK132" s="15">
        <f t="shared" si="6"/>
        <v>30</v>
      </c>
      <c r="AL132" s="15"/>
      <c r="AM132" s="15">
        <f t="shared" si="7"/>
        <v>30</v>
      </c>
      <c r="AN132" s="46">
        <v>277.0</v>
      </c>
      <c r="AO132" s="47">
        <f t="shared" si="8"/>
        <v>8310</v>
      </c>
      <c r="AP132" s="2"/>
      <c r="AQ132" s="2"/>
    </row>
    <row r="133">
      <c r="A133" s="30">
        <v>127.0</v>
      </c>
      <c r="B133" s="23" t="s">
        <v>175</v>
      </c>
      <c r="C133" s="23"/>
      <c r="D133" s="23" t="s">
        <v>164</v>
      </c>
      <c r="E133" s="23" t="s">
        <v>18</v>
      </c>
      <c r="F133" s="25">
        <v>0.0</v>
      </c>
      <c r="G133" s="25">
        <v>0.0</v>
      </c>
      <c r="H133" s="25">
        <v>0.0</v>
      </c>
      <c r="I133" s="25">
        <v>0.0</v>
      </c>
      <c r="J133" s="25">
        <v>0.0</v>
      </c>
      <c r="K133" s="25">
        <v>0.0</v>
      </c>
      <c r="L133" s="25">
        <v>0.0</v>
      </c>
      <c r="M133" s="25">
        <v>0.0</v>
      </c>
      <c r="N133" s="25">
        <v>0.0</v>
      </c>
      <c r="O133" s="25">
        <v>0.0</v>
      </c>
      <c r="P133" s="25"/>
      <c r="Q133" s="25"/>
      <c r="R133" s="25"/>
      <c r="S133" s="25"/>
      <c r="T133" s="25"/>
      <c r="U133" s="25"/>
      <c r="V133" s="25"/>
      <c r="W133" s="25"/>
      <c r="X133" s="25"/>
      <c r="Y133" s="25">
        <v>0.0</v>
      </c>
      <c r="Z133" s="25">
        <v>0.0</v>
      </c>
      <c r="AA133" s="25">
        <v>0.0</v>
      </c>
      <c r="AB133" s="25">
        <v>0.0</v>
      </c>
      <c r="AC133" s="25">
        <v>0.0</v>
      </c>
      <c r="AD133" s="25">
        <v>0.0</v>
      </c>
      <c r="AE133" s="25">
        <v>0.0</v>
      </c>
      <c r="AF133" s="25">
        <v>0.0</v>
      </c>
      <c r="AG133" s="25">
        <v>0.0</v>
      </c>
      <c r="AH133" s="25">
        <v>0.0</v>
      </c>
      <c r="AI133" s="25">
        <v>0.0</v>
      </c>
      <c r="AJ133" s="25"/>
      <c r="AK133" s="15">
        <f t="shared" si="6"/>
        <v>0</v>
      </c>
      <c r="AL133" s="15"/>
      <c r="AM133" s="15">
        <f t="shared" si="7"/>
        <v>0</v>
      </c>
      <c r="AN133" s="46">
        <v>277.0</v>
      </c>
      <c r="AO133" s="47">
        <f t="shared" si="8"/>
        <v>0</v>
      </c>
      <c r="AP133" s="2"/>
      <c r="AQ133" s="2"/>
    </row>
    <row r="134">
      <c r="A134" s="30">
        <v>128.0</v>
      </c>
      <c r="B134" s="29" t="s">
        <v>176</v>
      </c>
      <c r="C134" s="23"/>
      <c r="D134" s="29" t="s">
        <v>177</v>
      </c>
      <c r="E134" s="23" t="s">
        <v>18</v>
      </c>
      <c r="F134" s="25">
        <v>0.0</v>
      </c>
      <c r="G134" s="25">
        <v>0.0</v>
      </c>
      <c r="H134" s="25">
        <v>0.0</v>
      </c>
      <c r="I134" s="25">
        <v>0.0</v>
      </c>
      <c r="J134" s="25">
        <v>0.0</v>
      </c>
      <c r="K134" s="25">
        <v>0.0</v>
      </c>
      <c r="L134" s="25">
        <v>0.0</v>
      </c>
      <c r="M134" s="25">
        <v>0.0</v>
      </c>
      <c r="N134" s="25">
        <v>0.0</v>
      </c>
      <c r="O134" s="25">
        <v>0.0</v>
      </c>
      <c r="P134" s="25"/>
      <c r="Q134" s="25"/>
      <c r="R134" s="25"/>
      <c r="S134" s="25"/>
      <c r="T134" s="25"/>
      <c r="U134" s="25"/>
      <c r="V134" s="25"/>
      <c r="W134" s="25"/>
      <c r="X134" s="25"/>
      <c r="Y134" s="25">
        <v>0.0</v>
      </c>
      <c r="Z134" s="25">
        <v>0.0</v>
      </c>
      <c r="AA134" s="25">
        <v>0.0</v>
      </c>
      <c r="AB134" s="25">
        <v>0.0</v>
      </c>
      <c r="AC134" s="25">
        <v>0.0</v>
      </c>
      <c r="AD134" s="25">
        <v>0.0</v>
      </c>
      <c r="AE134" s="25">
        <v>0.0</v>
      </c>
      <c r="AF134" s="25">
        <v>0.0</v>
      </c>
      <c r="AG134" s="25">
        <v>0.0</v>
      </c>
      <c r="AH134" s="25">
        <v>0.0</v>
      </c>
      <c r="AI134" s="25">
        <v>0.0</v>
      </c>
      <c r="AJ134" s="25"/>
      <c r="AK134" s="15">
        <f t="shared" si="6"/>
        <v>0</v>
      </c>
      <c r="AL134" s="15"/>
      <c r="AM134" s="15">
        <f t="shared" si="7"/>
        <v>0</v>
      </c>
      <c r="AN134" s="46">
        <v>277.0</v>
      </c>
      <c r="AO134" s="47">
        <f t="shared" si="8"/>
        <v>0</v>
      </c>
      <c r="AP134" s="2"/>
      <c r="AQ134" s="2"/>
    </row>
    <row r="135">
      <c r="A135" s="30">
        <v>129.0</v>
      </c>
      <c r="B135" s="29" t="s">
        <v>178</v>
      </c>
      <c r="C135" s="23"/>
      <c r="D135" s="29" t="s">
        <v>179</v>
      </c>
      <c r="E135" s="23" t="s">
        <v>18</v>
      </c>
      <c r="F135" s="25">
        <v>0.0</v>
      </c>
      <c r="G135" s="25">
        <v>0.0</v>
      </c>
      <c r="H135" s="25">
        <v>0.0</v>
      </c>
      <c r="I135" s="25">
        <v>0.0</v>
      </c>
      <c r="J135" s="25">
        <v>0.0</v>
      </c>
      <c r="K135" s="25">
        <v>0.0</v>
      </c>
      <c r="L135" s="25">
        <v>0.0</v>
      </c>
      <c r="M135" s="25">
        <v>20.0</v>
      </c>
      <c r="N135" s="25">
        <v>0.0</v>
      </c>
      <c r="O135" s="25">
        <v>120.0</v>
      </c>
      <c r="P135" s="25"/>
      <c r="Q135" s="25"/>
      <c r="R135" s="25"/>
      <c r="S135" s="25"/>
      <c r="T135" s="25"/>
      <c r="U135" s="25"/>
      <c r="V135" s="25"/>
      <c r="W135" s="25"/>
      <c r="X135" s="25"/>
      <c r="Y135" s="25">
        <v>0.0</v>
      </c>
      <c r="Z135" s="25">
        <v>0.0</v>
      </c>
      <c r="AA135" s="25">
        <v>0.0</v>
      </c>
      <c r="AB135" s="25">
        <v>0.0</v>
      </c>
      <c r="AC135" s="25">
        <v>0.0</v>
      </c>
      <c r="AD135" s="25">
        <v>0.0</v>
      </c>
      <c r="AE135" s="25">
        <v>30.0</v>
      </c>
      <c r="AF135" s="25">
        <v>0.0</v>
      </c>
      <c r="AG135" s="25">
        <v>0.0</v>
      </c>
      <c r="AH135" s="25">
        <v>0.0</v>
      </c>
      <c r="AI135" s="25">
        <v>0.0</v>
      </c>
      <c r="AJ135" s="25"/>
      <c r="AK135" s="15">
        <f t="shared" si="6"/>
        <v>170</v>
      </c>
      <c r="AL135" s="15"/>
      <c r="AM135" s="15">
        <f t="shared" si="7"/>
        <v>170</v>
      </c>
      <c r="AN135" s="46">
        <v>277.0</v>
      </c>
      <c r="AO135" s="47">
        <f t="shared" si="8"/>
        <v>47090</v>
      </c>
      <c r="AP135" s="2"/>
      <c r="AQ135" s="2"/>
    </row>
    <row r="136">
      <c r="A136" s="30">
        <v>130.0</v>
      </c>
      <c r="B136" s="29" t="s">
        <v>180</v>
      </c>
      <c r="C136" s="23"/>
      <c r="D136" s="29" t="s">
        <v>179</v>
      </c>
      <c r="E136" s="23" t="s">
        <v>18</v>
      </c>
      <c r="F136" s="25">
        <v>0.0</v>
      </c>
      <c r="G136" s="25">
        <v>0.0</v>
      </c>
      <c r="H136" s="25">
        <v>0.0</v>
      </c>
      <c r="I136" s="25">
        <v>0.0</v>
      </c>
      <c r="J136" s="25">
        <v>0.0</v>
      </c>
      <c r="K136" s="25">
        <v>0.0</v>
      </c>
      <c r="L136" s="25">
        <v>0.0</v>
      </c>
      <c r="M136" s="25">
        <v>20.0</v>
      </c>
      <c r="N136" s="25">
        <v>0.0</v>
      </c>
      <c r="O136" s="25">
        <v>0.0</v>
      </c>
      <c r="P136" s="25"/>
      <c r="Q136" s="25"/>
      <c r="R136" s="25"/>
      <c r="S136" s="25"/>
      <c r="T136" s="25"/>
      <c r="U136" s="25"/>
      <c r="V136" s="25"/>
      <c r="W136" s="25"/>
      <c r="X136" s="25"/>
      <c r="Y136" s="25">
        <v>0.0</v>
      </c>
      <c r="Z136" s="25">
        <v>0.0</v>
      </c>
      <c r="AA136" s="25">
        <v>0.0</v>
      </c>
      <c r="AB136" s="25">
        <v>0.0</v>
      </c>
      <c r="AC136" s="25">
        <v>0.0</v>
      </c>
      <c r="AD136" s="25">
        <v>0.0</v>
      </c>
      <c r="AE136" s="25">
        <v>0.0</v>
      </c>
      <c r="AF136" s="25">
        <v>0.0</v>
      </c>
      <c r="AG136" s="25">
        <v>0.0</v>
      </c>
      <c r="AH136" s="25">
        <v>10.0</v>
      </c>
      <c r="AI136" s="25">
        <v>0.0</v>
      </c>
      <c r="AJ136" s="25"/>
      <c r="AK136" s="15">
        <f t="shared" si="6"/>
        <v>30</v>
      </c>
      <c r="AL136" s="15"/>
      <c r="AM136" s="15">
        <f t="shared" si="7"/>
        <v>30</v>
      </c>
      <c r="AN136" s="46">
        <v>277.0</v>
      </c>
      <c r="AO136" s="47">
        <f t="shared" si="8"/>
        <v>8310</v>
      </c>
      <c r="AP136" s="2"/>
      <c r="AQ136" s="2"/>
    </row>
    <row r="137">
      <c r="A137" s="30">
        <v>131.0</v>
      </c>
      <c r="B137" s="23" t="s">
        <v>181</v>
      </c>
      <c r="C137" s="23"/>
      <c r="D137" s="23" t="s">
        <v>182</v>
      </c>
      <c r="E137" s="23" t="s">
        <v>18</v>
      </c>
      <c r="F137" s="25">
        <v>0.0</v>
      </c>
      <c r="G137" s="25">
        <v>0.0</v>
      </c>
      <c r="H137" s="25">
        <v>0.0</v>
      </c>
      <c r="I137" s="25">
        <v>0.0</v>
      </c>
      <c r="J137" s="25">
        <v>0.0</v>
      </c>
      <c r="K137" s="25">
        <v>0.0</v>
      </c>
      <c r="L137" s="25">
        <v>0.0</v>
      </c>
      <c r="M137" s="25">
        <v>0.0</v>
      </c>
      <c r="N137" s="25">
        <v>0.0</v>
      </c>
      <c r="O137" s="25">
        <v>0.0</v>
      </c>
      <c r="P137" s="25"/>
      <c r="Q137" s="25"/>
      <c r="R137" s="25"/>
      <c r="S137" s="25"/>
      <c r="T137" s="25"/>
      <c r="U137" s="25"/>
      <c r="V137" s="25"/>
      <c r="W137" s="25"/>
      <c r="X137" s="25"/>
      <c r="Y137" s="25">
        <v>0.0</v>
      </c>
      <c r="Z137" s="25">
        <v>0.0</v>
      </c>
      <c r="AA137" s="25">
        <v>0.0</v>
      </c>
      <c r="AB137" s="25">
        <v>0.0</v>
      </c>
      <c r="AC137" s="25">
        <v>0.0</v>
      </c>
      <c r="AD137" s="25">
        <v>0.0</v>
      </c>
      <c r="AE137" s="25">
        <v>0.0</v>
      </c>
      <c r="AF137" s="25">
        <v>0.0</v>
      </c>
      <c r="AG137" s="25">
        <v>0.0</v>
      </c>
      <c r="AH137" s="25">
        <v>0.0</v>
      </c>
      <c r="AI137" s="25">
        <v>0.0</v>
      </c>
      <c r="AJ137" s="25"/>
      <c r="AK137" s="15">
        <f t="shared" si="6"/>
        <v>0</v>
      </c>
      <c r="AL137" s="15"/>
      <c r="AM137" s="15">
        <f t="shared" si="7"/>
        <v>0</v>
      </c>
      <c r="AN137" s="46">
        <v>277.0</v>
      </c>
      <c r="AO137" s="47">
        <f t="shared" si="8"/>
        <v>0</v>
      </c>
      <c r="AP137" s="2"/>
      <c r="AQ137" s="2"/>
    </row>
    <row r="138">
      <c r="A138" s="30">
        <v>132.0</v>
      </c>
      <c r="B138" s="23" t="s">
        <v>183</v>
      </c>
      <c r="C138" s="23"/>
      <c r="D138" s="23" t="s">
        <v>151</v>
      </c>
      <c r="E138" s="23" t="s">
        <v>18</v>
      </c>
      <c r="F138" s="25">
        <v>0.0</v>
      </c>
      <c r="G138" s="25">
        <v>0.0</v>
      </c>
      <c r="H138" s="25">
        <v>0.0</v>
      </c>
      <c r="I138" s="25">
        <v>0.0</v>
      </c>
      <c r="J138" s="25">
        <v>0.0</v>
      </c>
      <c r="K138" s="25">
        <v>0.0</v>
      </c>
      <c r="L138" s="25">
        <v>0.0</v>
      </c>
      <c r="M138" s="25">
        <v>0.0</v>
      </c>
      <c r="N138" s="25">
        <v>0.0</v>
      </c>
      <c r="O138" s="25">
        <v>0.0</v>
      </c>
      <c r="P138" s="25"/>
      <c r="Q138" s="25"/>
      <c r="R138" s="25"/>
      <c r="S138" s="25"/>
      <c r="T138" s="25"/>
      <c r="U138" s="25"/>
      <c r="V138" s="25"/>
      <c r="W138" s="25"/>
      <c r="X138" s="25"/>
      <c r="Y138" s="25">
        <v>0.0</v>
      </c>
      <c r="Z138" s="25">
        <v>0.0</v>
      </c>
      <c r="AA138" s="25">
        <v>0.0</v>
      </c>
      <c r="AB138" s="25">
        <v>0.0</v>
      </c>
      <c r="AC138" s="25">
        <v>0.0</v>
      </c>
      <c r="AD138" s="25">
        <v>0.0</v>
      </c>
      <c r="AE138" s="25">
        <v>0.0</v>
      </c>
      <c r="AF138" s="25">
        <v>0.0</v>
      </c>
      <c r="AG138" s="25">
        <v>30.0</v>
      </c>
      <c r="AH138" s="25">
        <v>20.0</v>
      </c>
      <c r="AI138" s="25">
        <v>0.0</v>
      </c>
      <c r="AJ138" s="25"/>
      <c r="AK138" s="15">
        <f t="shared" si="6"/>
        <v>50</v>
      </c>
      <c r="AL138" s="15"/>
      <c r="AM138" s="15">
        <f t="shared" si="7"/>
        <v>50</v>
      </c>
      <c r="AN138" s="46">
        <v>277.0</v>
      </c>
      <c r="AO138" s="47">
        <f t="shared" si="8"/>
        <v>13850</v>
      </c>
      <c r="AP138" s="2"/>
      <c r="AQ138" s="2"/>
    </row>
    <row r="139">
      <c r="A139" s="30">
        <v>133.0</v>
      </c>
      <c r="B139" s="23" t="s">
        <v>184</v>
      </c>
      <c r="C139" s="23"/>
      <c r="D139" s="23" t="s">
        <v>50</v>
      </c>
      <c r="E139" s="23" t="s">
        <v>18</v>
      </c>
      <c r="F139" s="25">
        <v>0.0</v>
      </c>
      <c r="G139" s="25">
        <v>0.0</v>
      </c>
      <c r="H139" s="25">
        <v>0.0</v>
      </c>
      <c r="I139" s="25">
        <v>0.0</v>
      </c>
      <c r="J139" s="25">
        <v>0.0</v>
      </c>
      <c r="K139" s="25">
        <v>0.0</v>
      </c>
      <c r="L139" s="25">
        <v>0.0</v>
      </c>
      <c r="M139" s="25">
        <v>0.0</v>
      </c>
      <c r="N139" s="25">
        <v>0.0</v>
      </c>
      <c r="O139" s="25">
        <v>0.0</v>
      </c>
      <c r="P139" s="25"/>
      <c r="Q139" s="25"/>
      <c r="R139" s="25"/>
      <c r="S139" s="25"/>
      <c r="T139" s="25"/>
      <c r="U139" s="25"/>
      <c r="V139" s="25"/>
      <c r="W139" s="25"/>
      <c r="X139" s="25"/>
      <c r="Y139" s="25">
        <v>0.0</v>
      </c>
      <c r="Z139" s="25">
        <v>0.0</v>
      </c>
      <c r="AA139" s="25">
        <v>0.0</v>
      </c>
      <c r="AB139" s="25">
        <v>0.0</v>
      </c>
      <c r="AC139" s="25">
        <v>0.0</v>
      </c>
      <c r="AD139" s="25">
        <v>0.0</v>
      </c>
      <c r="AE139" s="25">
        <v>0.0</v>
      </c>
      <c r="AF139" s="25">
        <v>0.0</v>
      </c>
      <c r="AG139" s="25">
        <v>0.0</v>
      </c>
      <c r="AH139" s="25">
        <v>0.0</v>
      </c>
      <c r="AI139" s="25">
        <v>0.0</v>
      </c>
      <c r="AJ139" s="25"/>
      <c r="AK139" s="15">
        <f t="shared" si="6"/>
        <v>0</v>
      </c>
      <c r="AL139" s="15"/>
      <c r="AM139" s="15">
        <f t="shared" si="7"/>
        <v>0</v>
      </c>
      <c r="AN139" s="46">
        <v>277.0</v>
      </c>
      <c r="AO139" s="47">
        <f t="shared" si="8"/>
        <v>0</v>
      </c>
      <c r="AP139" s="2"/>
      <c r="AQ139" s="2"/>
    </row>
    <row r="140">
      <c r="A140" s="30">
        <v>134.0</v>
      </c>
      <c r="B140" s="23" t="s">
        <v>185</v>
      </c>
      <c r="C140" s="23"/>
      <c r="D140" s="23"/>
      <c r="E140" s="23" t="s">
        <v>18</v>
      </c>
      <c r="F140" s="25">
        <v>0.0</v>
      </c>
      <c r="G140" s="25">
        <v>0.0</v>
      </c>
      <c r="H140" s="25">
        <v>0.0</v>
      </c>
      <c r="I140" s="25">
        <v>0.0</v>
      </c>
      <c r="J140" s="25">
        <v>0.0</v>
      </c>
      <c r="K140" s="25">
        <v>0.0</v>
      </c>
      <c r="L140" s="25">
        <v>0.0</v>
      </c>
      <c r="M140" s="25">
        <v>0.0</v>
      </c>
      <c r="N140" s="25">
        <v>0.0</v>
      </c>
      <c r="O140" s="25">
        <v>0.0</v>
      </c>
      <c r="P140" s="25"/>
      <c r="Q140" s="25"/>
      <c r="R140" s="25"/>
      <c r="S140" s="25"/>
      <c r="T140" s="25"/>
      <c r="U140" s="25"/>
      <c r="V140" s="25"/>
      <c r="W140" s="25"/>
      <c r="X140" s="25"/>
      <c r="Y140" s="25">
        <v>0.0</v>
      </c>
      <c r="Z140" s="25">
        <v>0.0</v>
      </c>
      <c r="AA140" s="25">
        <v>0.0</v>
      </c>
      <c r="AB140" s="25">
        <v>0.0</v>
      </c>
      <c r="AC140" s="25">
        <v>0.0</v>
      </c>
      <c r="AD140" s="25">
        <v>0.0</v>
      </c>
      <c r="AE140" s="25">
        <v>0.0</v>
      </c>
      <c r="AF140" s="25">
        <v>0.0</v>
      </c>
      <c r="AG140" s="25">
        <v>0.0</v>
      </c>
      <c r="AH140" s="25">
        <v>0.0</v>
      </c>
      <c r="AI140" s="25">
        <v>0.0</v>
      </c>
      <c r="AJ140" s="25"/>
      <c r="AK140" s="15">
        <f t="shared" si="6"/>
        <v>0</v>
      </c>
      <c r="AL140" s="15"/>
      <c r="AM140" s="15">
        <f t="shared" si="7"/>
        <v>0</v>
      </c>
      <c r="AN140" s="46">
        <v>277.0</v>
      </c>
      <c r="AO140" s="47">
        <f t="shared" si="8"/>
        <v>0</v>
      </c>
      <c r="AP140" s="2"/>
      <c r="AQ140" s="2"/>
    </row>
    <row r="141">
      <c r="A141" s="30">
        <v>135.0</v>
      </c>
      <c r="B141" s="23" t="s">
        <v>186</v>
      </c>
      <c r="C141" s="23"/>
      <c r="D141" s="23" t="s">
        <v>50</v>
      </c>
      <c r="E141" s="23" t="s">
        <v>18</v>
      </c>
      <c r="F141" s="25">
        <v>0.0</v>
      </c>
      <c r="G141" s="25">
        <v>0.0</v>
      </c>
      <c r="H141" s="25">
        <v>0.0</v>
      </c>
      <c r="I141" s="25">
        <v>0.0</v>
      </c>
      <c r="J141" s="25">
        <v>0.0</v>
      </c>
      <c r="K141" s="25">
        <v>0.0</v>
      </c>
      <c r="L141" s="25">
        <v>0.0</v>
      </c>
      <c r="M141" s="25">
        <v>0.0</v>
      </c>
      <c r="N141" s="25">
        <v>0.0</v>
      </c>
      <c r="O141" s="25">
        <v>0.0</v>
      </c>
      <c r="P141" s="25"/>
      <c r="Q141" s="25"/>
      <c r="R141" s="25"/>
      <c r="S141" s="25"/>
      <c r="T141" s="25"/>
      <c r="U141" s="25"/>
      <c r="V141" s="25"/>
      <c r="W141" s="25"/>
      <c r="X141" s="25"/>
      <c r="Y141" s="25">
        <v>0.0</v>
      </c>
      <c r="Z141" s="25">
        <v>0.0</v>
      </c>
      <c r="AA141" s="25">
        <v>0.0</v>
      </c>
      <c r="AB141" s="25">
        <v>0.0</v>
      </c>
      <c r="AC141" s="25">
        <v>0.0</v>
      </c>
      <c r="AD141" s="25">
        <v>0.0</v>
      </c>
      <c r="AE141" s="25">
        <v>0.0</v>
      </c>
      <c r="AF141" s="25">
        <v>0.0</v>
      </c>
      <c r="AG141" s="25">
        <v>0.0</v>
      </c>
      <c r="AH141" s="25">
        <v>0.0</v>
      </c>
      <c r="AI141" s="25">
        <v>0.0</v>
      </c>
      <c r="AJ141" s="25"/>
      <c r="AK141" s="15">
        <f t="shared" si="6"/>
        <v>0</v>
      </c>
      <c r="AL141" s="15"/>
      <c r="AM141" s="15">
        <f t="shared" si="7"/>
        <v>0</v>
      </c>
      <c r="AN141" s="46">
        <v>277.0</v>
      </c>
      <c r="AO141" s="47">
        <f t="shared" si="8"/>
        <v>0</v>
      </c>
      <c r="AP141" s="2"/>
      <c r="AQ141" s="2"/>
    </row>
    <row r="142">
      <c r="A142" s="30">
        <v>136.0</v>
      </c>
      <c r="B142" s="23" t="s">
        <v>187</v>
      </c>
      <c r="C142" s="23"/>
      <c r="D142" s="23" t="s">
        <v>164</v>
      </c>
      <c r="E142" s="23" t="s">
        <v>18</v>
      </c>
      <c r="F142" s="25">
        <v>0.0</v>
      </c>
      <c r="G142" s="25">
        <v>0.0</v>
      </c>
      <c r="H142" s="25">
        <v>0.0</v>
      </c>
      <c r="I142" s="25">
        <v>0.0</v>
      </c>
      <c r="J142" s="25">
        <v>0.0</v>
      </c>
      <c r="K142" s="25">
        <v>0.0</v>
      </c>
      <c r="L142" s="25">
        <v>0.0</v>
      </c>
      <c r="M142" s="25">
        <v>0.0</v>
      </c>
      <c r="N142" s="25">
        <v>0.0</v>
      </c>
      <c r="O142" s="25">
        <v>0.0</v>
      </c>
      <c r="P142" s="25"/>
      <c r="Q142" s="25"/>
      <c r="R142" s="25"/>
      <c r="S142" s="25"/>
      <c r="T142" s="25"/>
      <c r="U142" s="25"/>
      <c r="V142" s="25"/>
      <c r="W142" s="25"/>
      <c r="X142" s="25"/>
      <c r="Y142" s="25">
        <v>0.0</v>
      </c>
      <c r="Z142" s="25">
        <v>0.0</v>
      </c>
      <c r="AA142" s="25">
        <v>0.0</v>
      </c>
      <c r="AB142" s="25">
        <v>0.0</v>
      </c>
      <c r="AC142" s="25">
        <v>0.0</v>
      </c>
      <c r="AD142" s="25">
        <v>0.0</v>
      </c>
      <c r="AE142" s="25">
        <v>0.0</v>
      </c>
      <c r="AF142" s="25">
        <v>0.0</v>
      </c>
      <c r="AG142" s="25">
        <v>0.0</v>
      </c>
      <c r="AH142" s="25">
        <v>0.0</v>
      </c>
      <c r="AI142" s="25">
        <v>0.0</v>
      </c>
      <c r="AJ142" s="25"/>
      <c r="AK142" s="15">
        <f t="shared" si="6"/>
        <v>0</v>
      </c>
      <c r="AL142" s="15"/>
      <c r="AM142" s="15">
        <f t="shared" si="7"/>
        <v>0</v>
      </c>
      <c r="AN142" s="46">
        <v>277.0</v>
      </c>
      <c r="AO142" s="47">
        <f t="shared" si="8"/>
        <v>0</v>
      </c>
      <c r="AP142" s="2"/>
      <c r="AQ142" s="2"/>
    </row>
    <row r="143">
      <c r="A143" s="30">
        <v>137.0</v>
      </c>
      <c r="B143" s="29" t="s">
        <v>188</v>
      </c>
      <c r="C143" s="23"/>
      <c r="D143" s="23"/>
      <c r="E143" s="23" t="s">
        <v>18</v>
      </c>
      <c r="F143" s="25">
        <v>0.0</v>
      </c>
      <c r="G143" s="25">
        <v>0.0</v>
      </c>
      <c r="H143" s="25">
        <v>0.0</v>
      </c>
      <c r="I143" s="25">
        <v>0.0</v>
      </c>
      <c r="J143" s="25">
        <v>0.0</v>
      </c>
      <c r="K143" s="25">
        <v>0.0</v>
      </c>
      <c r="L143" s="25">
        <v>0.0</v>
      </c>
      <c r="M143" s="25">
        <v>0.0</v>
      </c>
      <c r="N143" s="25">
        <v>0.0</v>
      </c>
      <c r="O143" s="25">
        <v>0.0</v>
      </c>
      <c r="P143" s="25"/>
      <c r="Q143" s="25"/>
      <c r="R143" s="25"/>
      <c r="S143" s="25"/>
      <c r="T143" s="25"/>
      <c r="U143" s="25"/>
      <c r="V143" s="25"/>
      <c r="W143" s="25"/>
      <c r="X143" s="25"/>
      <c r="Y143" s="25">
        <v>0.0</v>
      </c>
      <c r="Z143" s="25">
        <v>0.0</v>
      </c>
      <c r="AA143" s="25">
        <v>0.0</v>
      </c>
      <c r="AB143" s="25">
        <v>0.0</v>
      </c>
      <c r="AC143" s="25">
        <v>40.0</v>
      </c>
      <c r="AD143" s="25">
        <v>0.0</v>
      </c>
      <c r="AE143" s="25">
        <v>0.0</v>
      </c>
      <c r="AF143" s="25">
        <v>0.0</v>
      </c>
      <c r="AG143" s="25">
        <v>0.0</v>
      </c>
      <c r="AH143" s="25">
        <v>0.0</v>
      </c>
      <c r="AI143" s="25">
        <v>0.0</v>
      </c>
      <c r="AJ143" s="25"/>
      <c r="AK143" s="15">
        <f t="shared" si="6"/>
        <v>40</v>
      </c>
      <c r="AL143" s="15"/>
      <c r="AM143" s="15">
        <f t="shared" si="7"/>
        <v>40</v>
      </c>
      <c r="AN143" s="46">
        <v>277.0</v>
      </c>
      <c r="AO143" s="47">
        <f t="shared" si="8"/>
        <v>11080</v>
      </c>
      <c r="AP143" s="2"/>
      <c r="AQ143" s="2"/>
    </row>
    <row r="144">
      <c r="A144" s="30">
        <v>138.0</v>
      </c>
      <c r="B144" s="23" t="s">
        <v>189</v>
      </c>
      <c r="C144" s="23"/>
      <c r="D144" s="23" t="s">
        <v>125</v>
      </c>
      <c r="E144" s="23" t="s">
        <v>18</v>
      </c>
      <c r="F144" s="25">
        <v>0.0</v>
      </c>
      <c r="G144" s="25">
        <v>0.0</v>
      </c>
      <c r="H144" s="25">
        <v>0.0</v>
      </c>
      <c r="I144" s="25">
        <v>0.0</v>
      </c>
      <c r="J144" s="25">
        <v>0.0</v>
      </c>
      <c r="K144" s="25">
        <v>0.0</v>
      </c>
      <c r="L144" s="25">
        <v>0.0</v>
      </c>
      <c r="M144" s="25">
        <v>0.0</v>
      </c>
      <c r="N144" s="25">
        <v>0.0</v>
      </c>
      <c r="O144" s="25">
        <v>0.0</v>
      </c>
      <c r="P144" s="25"/>
      <c r="Q144" s="25"/>
      <c r="R144" s="25"/>
      <c r="S144" s="25"/>
      <c r="T144" s="25"/>
      <c r="U144" s="25"/>
      <c r="V144" s="25"/>
      <c r="W144" s="25"/>
      <c r="X144" s="25"/>
      <c r="Y144" s="25">
        <v>0.0</v>
      </c>
      <c r="Z144" s="25">
        <v>0.0</v>
      </c>
      <c r="AA144" s="25">
        <v>0.0</v>
      </c>
      <c r="AB144" s="25">
        <v>0.0</v>
      </c>
      <c r="AC144" s="25">
        <v>0.0</v>
      </c>
      <c r="AD144" s="25">
        <v>0.0</v>
      </c>
      <c r="AE144" s="25">
        <v>0.0</v>
      </c>
      <c r="AF144" s="25">
        <v>0.0</v>
      </c>
      <c r="AG144" s="25">
        <v>0.0</v>
      </c>
      <c r="AH144" s="25">
        <v>0.0</v>
      </c>
      <c r="AI144" s="25">
        <v>0.0</v>
      </c>
      <c r="AJ144" s="25"/>
      <c r="AK144" s="15">
        <f t="shared" si="6"/>
        <v>0</v>
      </c>
      <c r="AL144" s="15"/>
      <c r="AM144" s="15">
        <f t="shared" si="7"/>
        <v>0</v>
      </c>
      <c r="AN144" s="46">
        <v>277.0</v>
      </c>
      <c r="AO144" s="47">
        <f t="shared" si="8"/>
        <v>0</v>
      </c>
      <c r="AP144" s="2"/>
      <c r="AQ144" s="2"/>
    </row>
    <row r="145">
      <c r="A145" s="30">
        <v>139.0</v>
      </c>
      <c r="B145" s="23" t="s">
        <v>190</v>
      </c>
      <c r="C145" s="23" t="s">
        <v>191</v>
      </c>
      <c r="D145" s="23" t="s">
        <v>125</v>
      </c>
      <c r="E145" s="23" t="s">
        <v>18</v>
      </c>
      <c r="F145" s="25">
        <v>0.0</v>
      </c>
      <c r="G145" s="25">
        <v>0.0</v>
      </c>
      <c r="H145" s="25">
        <v>0.0</v>
      </c>
      <c r="I145" s="25">
        <v>0.0</v>
      </c>
      <c r="J145" s="25">
        <v>0.0</v>
      </c>
      <c r="K145" s="25">
        <v>0.0</v>
      </c>
      <c r="L145" s="25">
        <v>0.0</v>
      </c>
      <c r="M145" s="25">
        <v>0.0</v>
      </c>
      <c r="N145" s="25">
        <v>0.0</v>
      </c>
      <c r="O145" s="25">
        <v>0.0</v>
      </c>
      <c r="P145" s="25"/>
      <c r="Q145" s="25"/>
      <c r="R145" s="25"/>
      <c r="S145" s="25"/>
      <c r="T145" s="25"/>
      <c r="U145" s="25"/>
      <c r="V145" s="25"/>
      <c r="W145" s="25"/>
      <c r="X145" s="25"/>
      <c r="Y145" s="25">
        <v>0.0</v>
      </c>
      <c r="Z145" s="25">
        <v>0.0</v>
      </c>
      <c r="AA145" s="25">
        <v>0.0</v>
      </c>
      <c r="AB145" s="25">
        <v>0.0</v>
      </c>
      <c r="AC145" s="25">
        <v>0.0</v>
      </c>
      <c r="AD145" s="25">
        <v>0.0</v>
      </c>
      <c r="AE145" s="25">
        <v>0.0</v>
      </c>
      <c r="AF145" s="25">
        <v>0.0</v>
      </c>
      <c r="AG145" s="25">
        <v>0.0</v>
      </c>
      <c r="AH145" s="25">
        <v>0.0</v>
      </c>
      <c r="AI145" s="25">
        <v>0.0</v>
      </c>
      <c r="AJ145" s="25"/>
      <c r="AK145" s="15">
        <f t="shared" si="6"/>
        <v>0</v>
      </c>
      <c r="AL145" s="15"/>
      <c r="AM145" s="15">
        <f t="shared" si="7"/>
        <v>0</v>
      </c>
      <c r="AN145" s="46">
        <v>277.0</v>
      </c>
      <c r="AO145" s="47">
        <f t="shared" si="8"/>
        <v>0</v>
      </c>
      <c r="AP145" s="2"/>
      <c r="AQ145" s="2"/>
    </row>
    <row r="146">
      <c r="A146" s="30">
        <v>140.0</v>
      </c>
      <c r="B146" s="29" t="s">
        <v>192</v>
      </c>
      <c r="C146" s="23"/>
      <c r="D146" s="23" t="s">
        <v>115</v>
      </c>
      <c r="E146" s="23" t="s">
        <v>18</v>
      </c>
      <c r="F146" s="25">
        <v>0.0</v>
      </c>
      <c r="G146" s="25">
        <v>0.0</v>
      </c>
      <c r="H146" s="25">
        <v>0.0</v>
      </c>
      <c r="I146" s="25">
        <v>0.0</v>
      </c>
      <c r="J146" s="25">
        <v>0.0</v>
      </c>
      <c r="K146" s="25">
        <v>0.0</v>
      </c>
      <c r="L146" s="25">
        <v>0.0</v>
      </c>
      <c r="M146" s="25">
        <v>0.0</v>
      </c>
      <c r="N146" s="25">
        <v>0.0</v>
      </c>
      <c r="O146" s="25">
        <v>0.0</v>
      </c>
      <c r="P146" s="25"/>
      <c r="Q146" s="25"/>
      <c r="R146" s="25"/>
      <c r="S146" s="25"/>
      <c r="T146" s="25"/>
      <c r="U146" s="25"/>
      <c r="V146" s="25"/>
      <c r="W146" s="25"/>
      <c r="X146" s="25"/>
      <c r="Y146" s="25">
        <v>0.0</v>
      </c>
      <c r="Z146" s="25">
        <v>0.0</v>
      </c>
      <c r="AA146" s="25">
        <v>0.0</v>
      </c>
      <c r="AB146" s="25">
        <v>0.0</v>
      </c>
      <c r="AC146" s="25">
        <v>0.0</v>
      </c>
      <c r="AD146" s="25">
        <v>0.0</v>
      </c>
      <c r="AE146" s="25">
        <v>0.0</v>
      </c>
      <c r="AF146" s="25">
        <v>0.0</v>
      </c>
      <c r="AG146" s="25">
        <v>0.0</v>
      </c>
      <c r="AH146" s="25">
        <v>0.0</v>
      </c>
      <c r="AI146" s="25">
        <v>0.0</v>
      </c>
      <c r="AJ146" s="25"/>
      <c r="AK146" s="15">
        <f t="shared" si="6"/>
        <v>0</v>
      </c>
      <c r="AL146" s="15"/>
      <c r="AM146" s="15">
        <f t="shared" si="7"/>
        <v>0</v>
      </c>
      <c r="AN146" s="46">
        <v>277.0</v>
      </c>
      <c r="AO146" s="47">
        <f t="shared" si="8"/>
        <v>0</v>
      </c>
      <c r="AP146" s="2"/>
      <c r="AQ146" s="2"/>
    </row>
    <row r="147">
      <c r="A147" s="30">
        <v>141.0</v>
      </c>
      <c r="B147" s="23" t="s">
        <v>193</v>
      </c>
      <c r="C147" s="23"/>
      <c r="D147" s="23" t="s">
        <v>115</v>
      </c>
      <c r="E147" s="23" t="s">
        <v>18</v>
      </c>
      <c r="F147" s="25">
        <v>0.0</v>
      </c>
      <c r="G147" s="25">
        <v>0.0</v>
      </c>
      <c r="H147" s="25">
        <v>0.0</v>
      </c>
      <c r="I147" s="25">
        <v>0.0</v>
      </c>
      <c r="J147" s="25">
        <v>0.0</v>
      </c>
      <c r="K147" s="25">
        <v>0.0</v>
      </c>
      <c r="L147" s="25">
        <v>0.0</v>
      </c>
      <c r="M147" s="25">
        <v>0.0</v>
      </c>
      <c r="N147" s="25">
        <v>0.0</v>
      </c>
      <c r="O147" s="25">
        <v>0.0</v>
      </c>
      <c r="P147" s="25"/>
      <c r="Q147" s="25"/>
      <c r="R147" s="25"/>
      <c r="S147" s="25"/>
      <c r="T147" s="25"/>
      <c r="U147" s="25"/>
      <c r="V147" s="25"/>
      <c r="W147" s="25"/>
      <c r="X147" s="25"/>
      <c r="Y147" s="25">
        <v>0.0</v>
      </c>
      <c r="Z147" s="25">
        <v>0.0</v>
      </c>
      <c r="AA147" s="25">
        <v>0.0</v>
      </c>
      <c r="AB147" s="25">
        <v>0.0</v>
      </c>
      <c r="AC147" s="25">
        <v>0.0</v>
      </c>
      <c r="AD147" s="25">
        <v>0.0</v>
      </c>
      <c r="AE147" s="25">
        <v>0.0</v>
      </c>
      <c r="AF147" s="25">
        <v>0.0</v>
      </c>
      <c r="AG147" s="25">
        <v>0.0</v>
      </c>
      <c r="AH147" s="25">
        <v>0.0</v>
      </c>
      <c r="AI147" s="25">
        <v>0.0</v>
      </c>
      <c r="AJ147" s="25"/>
      <c r="AK147" s="15">
        <f t="shared" si="6"/>
        <v>0</v>
      </c>
      <c r="AL147" s="15"/>
      <c r="AM147" s="15">
        <f t="shared" si="7"/>
        <v>0</v>
      </c>
      <c r="AN147" s="46">
        <v>277.0</v>
      </c>
      <c r="AO147" s="47">
        <f t="shared" si="8"/>
        <v>0</v>
      </c>
      <c r="AP147" s="2"/>
      <c r="AQ147" s="2"/>
    </row>
    <row r="148">
      <c r="A148" s="30">
        <v>142.0</v>
      </c>
      <c r="B148" s="29" t="s">
        <v>194</v>
      </c>
      <c r="C148" s="23"/>
      <c r="D148" s="23" t="s">
        <v>115</v>
      </c>
      <c r="E148" s="23" t="s">
        <v>18</v>
      </c>
      <c r="F148" s="25">
        <v>0.0</v>
      </c>
      <c r="G148" s="25">
        <v>0.0</v>
      </c>
      <c r="H148" s="25">
        <v>0.0</v>
      </c>
      <c r="I148" s="25">
        <v>0.0</v>
      </c>
      <c r="J148" s="25">
        <v>0.0</v>
      </c>
      <c r="K148" s="25">
        <v>0.0</v>
      </c>
      <c r="L148" s="25">
        <v>0.0</v>
      </c>
      <c r="M148" s="25">
        <v>0.0</v>
      </c>
      <c r="N148" s="25">
        <v>0.0</v>
      </c>
      <c r="O148" s="25">
        <v>0.0</v>
      </c>
      <c r="P148" s="25"/>
      <c r="Q148" s="25"/>
      <c r="R148" s="25"/>
      <c r="S148" s="25"/>
      <c r="T148" s="25"/>
      <c r="U148" s="25"/>
      <c r="V148" s="25"/>
      <c r="W148" s="25"/>
      <c r="X148" s="25"/>
      <c r="Y148" s="25">
        <v>0.0</v>
      </c>
      <c r="Z148" s="25">
        <v>0.0</v>
      </c>
      <c r="AA148" s="25">
        <v>0.0</v>
      </c>
      <c r="AB148" s="25">
        <v>0.0</v>
      </c>
      <c r="AC148" s="25">
        <v>0.0</v>
      </c>
      <c r="AD148" s="25">
        <v>0.0</v>
      </c>
      <c r="AE148" s="25">
        <v>0.0</v>
      </c>
      <c r="AF148" s="25">
        <v>0.0</v>
      </c>
      <c r="AG148" s="25">
        <v>0.0</v>
      </c>
      <c r="AH148" s="25">
        <v>20.0</v>
      </c>
      <c r="AI148" s="25">
        <v>0.0</v>
      </c>
      <c r="AJ148" s="25"/>
      <c r="AK148" s="15">
        <f t="shared" si="6"/>
        <v>20</v>
      </c>
      <c r="AL148" s="15"/>
      <c r="AM148" s="15">
        <f t="shared" si="7"/>
        <v>20</v>
      </c>
      <c r="AN148" s="46">
        <v>277.0</v>
      </c>
      <c r="AO148" s="47">
        <f t="shared" si="8"/>
        <v>5540</v>
      </c>
      <c r="AP148" s="2"/>
      <c r="AQ148" s="2"/>
    </row>
    <row r="149">
      <c r="A149" s="30">
        <v>143.0</v>
      </c>
      <c r="B149" s="29" t="s">
        <v>195</v>
      </c>
      <c r="C149" s="23"/>
      <c r="D149" s="23" t="s">
        <v>196</v>
      </c>
      <c r="E149" s="23" t="s">
        <v>18</v>
      </c>
      <c r="F149" s="25">
        <v>0.0</v>
      </c>
      <c r="G149" s="25">
        <v>0.0</v>
      </c>
      <c r="H149" s="25">
        <v>0.0</v>
      </c>
      <c r="I149" s="25">
        <v>0.0</v>
      </c>
      <c r="J149" s="25">
        <v>0.0</v>
      </c>
      <c r="K149" s="25">
        <v>0.0</v>
      </c>
      <c r="L149" s="25">
        <v>0.0</v>
      </c>
      <c r="M149" s="25">
        <v>0.0</v>
      </c>
      <c r="N149" s="25">
        <v>0.0</v>
      </c>
      <c r="O149" s="25">
        <v>0.0</v>
      </c>
      <c r="P149" s="25"/>
      <c r="Q149" s="25"/>
      <c r="R149" s="25"/>
      <c r="S149" s="25"/>
      <c r="T149" s="25"/>
      <c r="U149" s="25"/>
      <c r="V149" s="25"/>
      <c r="W149" s="25"/>
      <c r="X149" s="25"/>
      <c r="Y149" s="25">
        <v>0.0</v>
      </c>
      <c r="Z149" s="25">
        <v>0.0</v>
      </c>
      <c r="AA149" s="25">
        <v>0.0</v>
      </c>
      <c r="AB149" s="25">
        <v>0.0</v>
      </c>
      <c r="AC149" s="25">
        <v>0.0</v>
      </c>
      <c r="AD149" s="25">
        <v>0.0</v>
      </c>
      <c r="AE149" s="25">
        <v>0.0</v>
      </c>
      <c r="AF149" s="25">
        <v>0.0</v>
      </c>
      <c r="AG149" s="25">
        <v>0.0</v>
      </c>
      <c r="AH149" s="25">
        <v>0.0</v>
      </c>
      <c r="AI149" s="25">
        <v>0.0</v>
      </c>
      <c r="AJ149" s="25"/>
      <c r="AK149" s="15">
        <f t="shared" si="6"/>
        <v>0</v>
      </c>
      <c r="AL149" s="15"/>
      <c r="AM149" s="15">
        <f t="shared" si="7"/>
        <v>0</v>
      </c>
      <c r="AN149" s="46">
        <v>277.0</v>
      </c>
      <c r="AO149" s="47">
        <f t="shared" si="8"/>
        <v>0</v>
      </c>
      <c r="AP149" s="2"/>
      <c r="AQ149" s="2"/>
    </row>
    <row r="150">
      <c r="A150" s="30">
        <v>144.0</v>
      </c>
      <c r="B150" s="23" t="s">
        <v>197</v>
      </c>
      <c r="C150" s="23"/>
      <c r="D150" s="23" t="s">
        <v>198</v>
      </c>
      <c r="E150" s="23" t="s">
        <v>18</v>
      </c>
      <c r="F150" s="25">
        <v>0.0</v>
      </c>
      <c r="G150" s="25">
        <v>0.0</v>
      </c>
      <c r="H150" s="25">
        <v>0.0</v>
      </c>
      <c r="I150" s="25">
        <v>0.0</v>
      </c>
      <c r="J150" s="25">
        <v>0.0</v>
      </c>
      <c r="K150" s="25">
        <v>0.0</v>
      </c>
      <c r="L150" s="25">
        <v>0.0</v>
      </c>
      <c r="M150" s="25">
        <v>0.0</v>
      </c>
      <c r="N150" s="25">
        <v>0.0</v>
      </c>
      <c r="O150" s="25">
        <v>0.0</v>
      </c>
      <c r="P150" s="25"/>
      <c r="Q150" s="25"/>
      <c r="R150" s="25"/>
      <c r="S150" s="25"/>
      <c r="T150" s="25"/>
      <c r="U150" s="25"/>
      <c r="V150" s="25"/>
      <c r="W150" s="25"/>
      <c r="X150" s="25"/>
      <c r="Y150" s="25">
        <v>0.0</v>
      </c>
      <c r="Z150" s="25">
        <v>0.0</v>
      </c>
      <c r="AA150" s="25">
        <v>8.0</v>
      </c>
      <c r="AB150" s="25">
        <v>0.0</v>
      </c>
      <c r="AC150" s="25">
        <v>0.0</v>
      </c>
      <c r="AD150" s="25">
        <v>0.0</v>
      </c>
      <c r="AE150" s="25">
        <v>0.0</v>
      </c>
      <c r="AF150" s="25">
        <v>0.0</v>
      </c>
      <c r="AG150" s="25">
        <v>0.0</v>
      </c>
      <c r="AH150" s="25">
        <v>0.0</v>
      </c>
      <c r="AI150" s="25">
        <v>0.0</v>
      </c>
      <c r="AJ150" s="25"/>
      <c r="AK150" s="15">
        <f t="shared" si="6"/>
        <v>8</v>
      </c>
      <c r="AL150" s="15"/>
      <c r="AM150" s="15">
        <f t="shared" si="7"/>
        <v>8</v>
      </c>
      <c r="AN150" s="46">
        <v>277.0</v>
      </c>
      <c r="AO150" s="47">
        <f t="shared" si="8"/>
        <v>2216</v>
      </c>
      <c r="AP150" s="2"/>
      <c r="AQ150" s="2"/>
    </row>
    <row r="151">
      <c r="A151" s="30">
        <v>145.0</v>
      </c>
      <c r="B151" s="29" t="s">
        <v>199</v>
      </c>
      <c r="C151" s="23"/>
      <c r="D151" s="29" t="s">
        <v>200</v>
      </c>
      <c r="E151" s="23" t="s">
        <v>18</v>
      </c>
      <c r="F151" s="25">
        <v>0.0</v>
      </c>
      <c r="G151" s="25">
        <v>5.0</v>
      </c>
      <c r="H151" s="25">
        <v>0.0</v>
      </c>
      <c r="I151" s="25">
        <v>0.0</v>
      </c>
      <c r="J151" s="25">
        <v>0.0</v>
      </c>
      <c r="K151" s="25">
        <v>0.0</v>
      </c>
      <c r="L151" s="25">
        <v>0.0</v>
      </c>
      <c r="M151" s="25">
        <v>0.0</v>
      </c>
      <c r="N151" s="25">
        <v>0.0</v>
      </c>
      <c r="O151" s="25">
        <v>0.0</v>
      </c>
      <c r="P151" s="25"/>
      <c r="Q151" s="25"/>
      <c r="R151" s="25"/>
      <c r="S151" s="25"/>
      <c r="T151" s="25"/>
      <c r="U151" s="25"/>
      <c r="V151" s="25"/>
      <c r="W151" s="25"/>
      <c r="X151" s="25"/>
      <c r="Y151" s="25">
        <v>0.0</v>
      </c>
      <c r="Z151" s="25">
        <v>0.0</v>
      </c>
      <c r="AA151" s="25">
        <v>0.0</v>
      </c>
      <c r="AB151" s="25">
        <v>0.0</v>
      </c>
      <c r="AC151" s="25">
        <v>0.0</v>
      </c>
      <c r="AD151" s="25">
        <v>0.0</v>
      </c>
      <c r="AE151" s="25">
        <v>0.0</v>
      </c>
      <c r="AF151" s="25">
        <v>0.0</v>
      </c>
      <c r="AG151" s="25">
        <v>0.0</v>
      </c>
      <c r="AH151" s="25">
        <v>0.0</v>
      </c>
      <c r="AI151" s="25">
        <v>0.0</v>
      </c>
      <c r="AJ151" s="25"/>
      <c r="AK151" s="15">
        <f t="shared" si="6"/>
        <v>5</v>
      </c>
      <c r="AL151" s="15"/>
      <c r="AM151" s="15">
        <f t="shared" si="7"/>
        <v>5</v>
      </c>
      <c r="AN151" s="46">
        <v>277.0</v>
      </c>
      <c r="AO151" s="47">
        <f t="shared" si="8"/>
        <v>1385</v>
      </c>
      <c r="AP151" s="2"/>
      <c r="AQ151" s="2"/>
    </row>
    <row r="152">
      <c r="A152" s="30">
        <v>146.0</v>
      </c>
      <c r="B152" s="23" t="s">
        <v>201</v>
      </c>
      <c r="C152" s="23"/>
      <c r="D152" s="23"/>
      <c r="E152" s="23" t="s">
        <v>18</v>
      </c>
      <c r="F152" s="25">
        <v>0.0</v>
      </c>
      <c r="G152" s="25">
        <v>0.0</v>
      </c>
      <c r="H152" s="25">
        <v>0.0</v>
      </c>
      <c r="I152" s="25">
        <v>0.0</v>
      </c>
      <c r="J152" s="25">
        <v>0.0</v>
      </c>
      <c r="K152" s="25">
        <v>0.0</v>
      </c>
      <c r="L152" s="25">
        <v>0.0</v>
      </c>
      <c r="M152" s="25">
        <v>0.0</v>
      </c>
      <c r="N152" s="25">
        <v>0.0</v>
      </c>
      <c r="O152" s="25">
        <v>0.0</v>
      </c>
      <c r="P152" s="25"/>
      <c r="Q152" s="25"/>
      <c r="R152" s="25"/>
      <c r="S152" s="25"/>
      <c r="T152" s="25"/>
      <c r="U152" s="25"/>
      <c r="V152" s="25"/>
      <c r="W152" s="25"/>
      <c r="X152" s="25"/>
      <c r="Y152" s="25">
        <v>0.0</v>
      </c>
      <c r="Z152" s="25">
        <v>0.0</v>
      </c>
      <c r="AA152" s="25">
        <v>0.0</v>
      </c>
      <c r="AB152" s="25">
        <v>0.0</v>
      </c>
      <c r="AC152" s="25">
        <v>0.0</v>
      </c>
      <c r="AD152" s="25">
        <v>0.0</v>
      </c>
      <c r="AE152" s="25">
        <v>0.0</v>
      </c>
      <c r="AF152" s="25">
        <v>0.0</v>
      </c>
      <c r="AG152" s="25">
        <v>0.0</v>
      </c>
      <c r="AH152" s="25">
        <v>0.0</v>
      </c>
      <c r="AI152" s="25">
        <v>0.0</v>
      </c>
      <c r="AJ152" s="25"/>
      <c r="AK152" s="15">
        <f t="shared" si="6"/>
        <v>0</v>
      </c>
      <c r="AL152" s="15"/>
      <c r="AM152" s="15">
        <f t="shared" si="7"/>
        <v>0</v>
      </c>
      <c r="AN152" s="46">
        <v>277.0</v>
      </c>
      <c r="AO152" s="47">
        <f t="shared" si="8"/>
        <v>0</v>
      </c>
      <c r="AP152" s="2"/>
      <c r="AQ152" s="2"/>
    </row>
    <row r="153">
      <c r="A153" s="30">
        <v>147.0</v>
      </c>
      <c r="B153" s="23" t="s">
        <v>202</v>
      </c>
      <c r="C153" s="23"/>
      <c r="D153" s="23" t="s">
        <v>149</v>
      </c>
      <c r="E153" s="23" t="s">
        <v>18</v>
      </c>
      <c r="F153" s="25">
        <v>0.0</v>
      </c>
      <c r="G153" s="25">
        <v>0.0</v>
      </c>
      <c r="H153" s="25">
        <v>0.0</v>
      </c>
      <c r="I153" s="25">
        <v>0.0</v>
      </c>
      <c r="J153" s="25">
        <v>0.0</v>
      </c>
      <c r="K153" s="25">
        <v>0.0</v>
      </c>
      <c r="L153" s="25">
        <v>0.0</v>
      </c>
      <c r="M153" s="25">
        <v>0.0</v>
      </c>
      <c r="N153" s="25">
        <v>0.0</v>
      </c>
      <c r="O153" s="25">
        <v>0.0</v>
      </c>
      <c r="P153" s="25"/>
      <c r="Q153" s="25"/>
      <c r="R153" s="25"/>
      <c r="S153" s="25"/>
      <c r="T153" s="25"/>
      <c r="U153" s="25"/>
      <c r="V153" s="25"/>
      <c r="W153" s="25"/>
      <c r="X153" s="25"/>
      <c r="Y153" s="25">
        <v>0.0</v>
      </c>
      <c r="Z153" s="25">
        <v>0.0</v>
      </c>
      <c r="AA153" s="25">
        <v>0.0</v>
      </c>
      <c r="AB153" s="25">
        <v>0.0</v>
      </c>
      <c r="AC153" s="25">
        <v>0.0</v>
      </c>
      <c r="AD153" s="25">
        <v>0.0</v>
      </c>
      <c r="AE153" s="25">
        <v>0.0</v>
      </c>
      <c r="AF153" s="25">
        <v>0.0</v>
      </c>
      <c r="AG153" s="25">
        <v>0.0</v>
      </c>
      <c r="AH153" s="25">
        <v>0.0</v>
      </c>
      <c r="AI153" s="25">
        <v>0.0</v>
      </c>
      <c r="AJ153" s="25"/>
      <c r="AK153" s="15">
        <f t="shared" si="6"/>
        <v>0</v>
      </c>
      <c r="AL153" s="15"/>
      <c r="AM153" s="15">
        <f t="shared" si="7"/>
        <v>0</v>
      </c>
      <c r="AN153" s="46">
        <v>277.0</v>
      </c>
      <c r="AO153" s="47">
        <f t="shared" si="8"/>
        <v>0</v>
      </c>
      <c r="AP153" s="2"/>
      <c r="AQ153" s="2"/>
    </row>
    <row r="154">
      <c r="A154" s="30">
        <v>148.0</v>
      </c>
      <c r="B154" s="49" t="s">
        <v>203</v>
      </c>
      <c r="C154" s="23"/>
      <c r="D154" s="29" t="s">
        <v>115</v>
      </c>
      <c r="E154" s="23" t="s">
        <v>18</v>
      </c>
      <c r="F154" s="25">
        <v>0.0</v>
      </c>
      <c r="G154" s="25">
        <v>0.0</v>
      </c>
      <c r="H154" s="25">
        <v>0.0</v>
      </c>
      <c r="I154" s="25">
        <v>0.0</v>
      </c>
      <c r="J154" s="25">
        <v>0.0</v>
      </c>
      <c r="K154" s="25">
        <v>0.0</v>
      </c>
      <c r="L154" s="25">
        <v>0.0</v>
      </c>
      <c r="M154" s="25">
        <v>0.0</v>
      </c>
      <c r="N154" s="25">
        <v>0.0</v>
      </c>
      <c r="O154" s="25">
        <v>0.0</v>
      </c>
      <c r="P154" s="25"/>
      <c r="Q154" s="25"/>
      <c r="R154" s="25"/>
      <c r="S154" s="25"/>
      <c r="T154" s="25"/>
      <c r="U154" s="25"/>
      <c r="V154" s="25"/>
      <c r="W154" s="25"/>
      <c r="X154" s="25"/>
      <c r="Y154" s="25">
        <v>0.0</v>
      </c>
      <c r="Z154" s="25">
        <v>0.0</v>
      </c>
      <c r="AA154" s="25">
        <v>0.0</v>
      </c>
      <c r="AB154" s="25">
        <v>0.0</v>
      </c>
      <c r="AC154" s="25">
        <v>0.0</v>
      </c>
      <c r="AD154" s="25">
        <v>0.0</v>
      </c>
      <c r="AE154" s="25">
        <v>0.0</v>
      </c>
      <c r="AF154" s="25">
        <v>0.0</v>
      </c>
      <c r="AG154" s="25">
        <v>0.0</v>
      </c>
      <c r="AH154" s="25">
        <v>0.0</v>
      </c>
      <c r="AI154" s="25">
        <v>0.0</v>
      </c>
      <c r="AJ154" s="25"/>
      <c r="AK154" s="15">
        <f t="shared" si="6"/>
        <v>0</v>
      </c>
      <c r="AL154" s="15"/>
      <c r="AM154" s="15">
        <f t="shared" si="7"/>
        <v>0</v>
      </c>
      <c r="AN154" s="46">
        <v>277.0</v>
      </c>
      <c r="AO154" s="47">
        <f t="shared" si="8"/>
        <v>0</v>
      </c>
      <c r="AP154" s="2"/>
      <c r="AQ154" s="2"/>
    </row>
    <row r="155">
      <c r="A155" s="30"/>
      <c r="B155" s="50" t="s">
        <v>204</v>
      </c>
      <c r="E155" s="51"/>
      <c r="F155" s="15">
        <f t="shared" ref="F155:AJ155" si="9">SUM(F89:F154)</f>
        <v>50</v>
      </c>
      <c r="G155" s="15">
        <f t="shared" si="9"/>
        <v>55</v>
      </c>
      <c r="H155" s="15">
        <f t="shared" si="9"/>
        <v>10</v>
      </c>
      <c r="I155" s="15">
        <f t="shared" si="9"/>
        <v>1610</v>
      </c>
      <c r="J155" s="15">
        <f t="shared" si="9"/>
        <v>20</v>
      </c>
      <c r="K155" s="15">
        <f t="shared" si="9"/>
        <v>1000</v>
      </c>
      <c r="L155" s="15">
        <f t="shared" si="9"/>
        <v>80</v>
      </c>
      <c r="M155" s="15">
        <f t="shared" si="9"/>
        <v>1350</v>
      </c>
      <c r="N155" s="15">
        <f t="shared" si="9"/>
        <v>90</v>
      </c>
      <c r="O155" s="15">
        <f t="shared" si="9"/>
        <v>170</v>
      </c>
      <c r="P155" s="15">
        <f t="shared" si="9"/>
        <v>0</v>
      </c>
      <c r="Q155" s="15">
        <f t="shared" si="9"/>
        <v>0</v>
      </c>
      <c r="R155" s="15">
        <f t="shared" si="9"/>
        <v>0</v>
      </c>
      <c r="S155" s="15">
        <f t="shared" si="9"/>
        <v>0</v>
      </c>
      <c r="T155" s="15">
        <f t="shared" si="9"/>
        <v>0</v>
      </c>
      <c r="U155" s="15">
        <f t="shared" si="9"/>
        <v>0</v>
      </c>
      <c r="V155" s="15">
        <f t="shared" si="9"/>
        <v>0</v>
      </c>
      <c r="W155" s="15">
        <f t="shared" si="9"/>
        <v>0</v>
      </c>
      <c r="X155" s="15">
        <f t="shared" si="9"/>
        <v>0</v>
      </c>
      <c r="Y155" s="15">
        <f t="shared" si="9"/>
        <v>1000</v>
      </c>
      <c r="Z155" s="15">
        <f t="shared" si="9"/>
        <v>40</v>
      </c>
      <c r="AA155" s="15">
        <f t="shared" si="9"/>
        <v>58</v>
      </c>
      <c r="AB155" s="15">
        <f t="shared" si="9"/>
        <v>65</v>
      </c>
      <c r="AC155" s="15">
        <f t="shared" si="9"/>
        <v>1177</v>
      </c>
      <c r="AD155" s="15">
        <f t="shared" si="9"/>
        <v>60</v>
      </c>
      <c r="AE155" s="15">
        <f t="shared" si="9"/>
        <v>30</v>
      </c>
      <c r="AF155" s="15">
        <f t="shared" si="9"/>
        <v>1400.24</v>
      </c>
      <c r="AG155" s="15">
        <f t="shared" si="9"/>
        <v>556.19</v>
      </c>
      <c r="AH155" s="15">
        <f t="shared" si="9"/>
        <v>130</v>
      </c>
      <c r="AI155" s="15">
        <f t="shared" si="9"/>
        <v>1080</v>
      </c>
      <c r="AJ155" s="15">
        <f t="shared" si="9"/>
        <v>0</v>
      </c>
      <c r="AK155" s="52">
        <f>SUM(AK89:AK153)</f>
        <v>10031.43</v>
      </c>
      <c r="AL155" s="52"/>
      <c r="AM155" s="52">
        <f>SUM(AM89:AM153)</f>
        <v>10031.43</v>
      </c>
      <c r="AN155" s="53"/>
      <c r="AO155" s="54">
        <f>SUM(AO89:AO153)</f>
        <v>2778706.11</v>
      </c>
      <c r="AP155" s="2"/>
      <c r="AQ155" s="2"/>
    </row>
    <row r="156">
      <c r="A156" s="4"/>
      <c r="B156" s="55"/>
      <c r="C156" s="55"/>
      <c r="D156" s="55"/>
      <c r="E156" s="5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 t="s">
        <v>5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2"/>
      <c r="AL156" s="2"/>
      <c r="AM156" s="2"/>
      <c r="AN156" s="2"/>
      <c r="AO156" s="7"/>
      <c r="AP156" s="2"/>
      <c r="AQ156" s="2"/>
    </row>
    <row r="157">
      <c r="A157" s="4"/>
      <c r="B157" s="7" t="s">
        <v>205</v>
      </c>
      <c r="C157" s="55"/>
      <c r="D157" s="55"/>
      <c r="E157" s="55"/>
      <c r="F157" s="56">
        <v>3143.45</v>
      </c>
      <c r="G157" s="4">
        <f t="shared" ref="G157:X157" si="10">F160</f>
        <v>2712.45</v>
      </c>
      <c r="H157" s="4">
        <f t="shared" si="10"/>
        <v>2438.08</v>
      </c>
      <c r="I157" s="4">
        <f t="shared" si="10"/>
        <v>5598.08</v>
      </c>
      <c r="J157" s="4">
        <f t="shared" si="10"/>
        <v>3663.08</v>
      </c>
      <c r="K157" s="4">
        <f t="shared" si="10"/>
        <v>3633.08</v>
      </c>
      <c r="L157" s="4">
        <f t="shared" si="10"/>
        <v>2253.08</v>
      </c>
      <c r="M157" s="4">
        <f t="shared" si="10"/>
        <v>8090.08</v>
      </c>
      <c r="N157" s="4">
        <f t="shared" si="10"/>
        <v>6605.08</v>
      </c>
      <c r="O157" s="4">
        <f t="shared" si="10"/>
        <v>6060.08</v>
      </c>
      <c r="P157" s="4">
        <f t="shared" si="10"/>
        <v>5730.54</v>
      </c>
      <c r="Q157" s="4">
        <f t="shared" si="10"/>
        <v>5730.54</v>
      </c>
      <c r="R157" s="4">
        <f t="shared" si="10"/>
        <v>5730.54</v>
      </c>
      <c r="S157" s="4">
        <f t="shared" si="10"/>
        <v>5730.54</v>
      </c>
      <c r="T157" s="4">
        <f t="shared" si="10"/>
        <v>5730.54</v>
      </c>
      <c r="U157" s="4">
        <f t="shared" si="10"/>
        <v>5730.54</v>
      </c>
      <c r="V157" s="4">
        <f t="shared" si="10"/>
        <v>5730.54</v>
      </c>
      <c r="W157" s="4">
        <f t="shared" si="10"/>
        <v>5730.54</v>
      </c>
      <c r="X157" s="4">
        <f t="shared" si="10"/>
        <v>5730.54</v>
      </c>
      <c r="Y157" s="56">
        <v>5730.54</v>
      </c>
      <c r="Z157" s="4">
        <f t="shared" ref="Z157:AJ157" si="11">Y160</f>
        <v>4454.54</v>
      </c>
      <c r="AA157" s="4">
        <f t="shared" si="11"/>
        <v>4284.54</v>
      </c>
      <c r="AB157" s="4">
        <f t="shared" si="11"/>
        <v>3856.54</v>
      </c>
      <c r="AC157" s="4">
        <f t="shared" si="11"/>
        <v>3476.54</v>
      </c>
      <c r="AD157" s="4">
        <f t="shared" si="11"/>
        <v>8119.54</v>
      </c>
      <c r="AE157" s="4">
        <f t="shared" si="11"/>
        <v>7809.54</v>
      </c>
      <c r="AF157" s="4">
        <f t="shared" si="11"/>
        <v>7172.54</v>
      </c>
      <c r="AG157" s="4">
        <f t="shared" si="11"/>
        <v>5562.3</v>
      </c>
      <c r="AH157" s="4">
        <f t="shared" si="11"/>
        <v>4395.5</v>
      </c>
      <c r="AI157" s="4">
        <f t="shared" si="11"/>
        <v>4060.5</v>
      </c>
      <c r="AJ157" s="4">
        <f t="shared" si="11"/>
        <v>2390.5</v>
      </c>
      <c r="AK157" s="2"/>
      <c r="AL157" s="2"/>
      <c r="AM157" s="2"/>
      <c r="AN157" s="2"/>
      <c r="AO157" s="7"/>
      <c r="AP157" s="2"/>
      <c r="AQ157" s="2"/>
    </row>
    <row r="158">
      <c r="A158" s="4"/>
      <c r="B158" s="7" t="s">
        <v>206</v>
      </c>
      <c r="C158" s="55"/>
      <c r="D158" s="55"/>
      <c r="E158" s="55"/>
      <c r="F158" s="4">
        <v>0.0</v>
      </c>
      <c r="G158" s="4">
        <v>0.0</v>
      </c>
      <c r="H158" s="56">
        <v>3300.0</v>
      </c>
      <c r="I158" s="4">
        <v>0.0</v>
      </c>
      <c r="J158" s="4">
        <v>0.0</v>
      </c>
      <c r="K158" s="56">
        <v>0.0</v>
      </c>
      <c r="L158" s="56">
        <v>6600.0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56">
        <v>0.0</v>
      </c>
      <c r="T158" s="56">
        <v>0.0</v>
      </c>
      <c r="U158" s="4">
        <v>0.0</v>
      </c>
      <c r="V158" s="4">
        <v>0.0</v>
      </c>
      <c r="W158" s="56">
        <v>0.0</v>
      </c>
      <c r="X158" s="56">
        <v>0.0</v>
      </c>
      <c r="Y158" s="4">
        <v>0.0</v>
      </c>
      <c r="Z158" s="56">
        <v>0.0</v>
      </c>
      <c r="AA158" s="56">
        <v>0.0</v>
      </c>
      <c r="AB158" s="4">
        <v>0.0</v>
      </c>
      <c r="AC158" s="56">
        <v>6600.0</v>
      </c>
      <c r="AD158" s="4">
        <v>0.0</v>
      </c>
      <c r="AE158" s="56">
        <v>0.0</v>
      </c>
      <c r="AF158" s="4">
        <v>0.0</v>
      </c>
      <c r="AG158" s="56">
        <v>0.0</v>
      </c>
      <c r="AH158" s="56">
        <v>0.0</v>
      </c>
      <c r="AI158" s="56">
        <v>0.0</v>
      </c>
      <c r="AJ158" s="56">
        <v>0.0</v>
      </c>
      <c r="AK158" s="2"/>
      <c r="AL158" s="2"/>
      <c r="AM158" s="2"/>
      <c r="AN158" s="2"/>
      <c r="AO158" s="7"/>
      <c r="AP158" s="2"/>
      <c r="AQ158" s="2"/>
    </row>
    <row r="159">
      <c r="A159" s="4"/>
      <c r="B159" s="2" t="s">
        <v>207</v>
      </c>
      <c r="C159" s="2"/>
      <c r="D159" s="2"/>
      <c r="E159" s="2"/>
      <c r="F159" s="4">
        <f t="shared" ref="F159:AM159" si="12">F155+F87</f>
        <v>431</v>
      </c>
      <c r="G159" s="4">
        <f t="shared" si="12"/>
        <v>274.37</v>
      </c>
      <c r="H159" s="4">
        <f t="shared" si="12"/>
        <v>140</v>
      </c>
      <c r="I159" s="4">
        <f t="shared" si="12"/>
        <v>1935</v>
      </c>
      <c r="J159" s="4">
        <f t="shared" si="12"/>
        <v>30</v>
      </c>
      <c r="K159" s="4">
        <f t="shared" si="12"/>
        <v>1380</v>
      </c>
      <c r="L159" s="4">
        <f t="shared" si="12"/>
        <v>763</v>
      </c>
      <c r="M159" s="4">
        <f t="shared" si="12"/>
        <v>1485</v>
      </c>
      <c r="N159" s="4">
        <f t="shared" si="12"/>
        <v>545</v>
      </c>
      <c r="O159" s="4">
        <f t="shared" si="12"/>
        <v>329.54</v>
      </c>
      <c r="P159" s="4">
        <f t="shared" si="12"/>
        <v>0</v>
      </c>
      <c r="Q159" s="4">
        <f t="shared" si="12"/>
        <v>0</v>
      </c>
      <c r="R159" s="4">
        <f t="shared" si="12"/>
        <v>0</v>
      </c>
      <c r="S159" s="4">
        <f t="shared" si="12"/>
        <v>0</v>
      </c>
      <c r="T159" s="4">
        <f t="shared" si="12"/>
        <v>0</v>
      </c>
      <c r="U159" s="4">
        <f t="shared" si="12"/>
        <v>0</v>
      </c>
      <c r="V159" s="4">
        <f t="shared" si="12"/>
        <v>0</v>
      </c>
      <c r="W159" s="4">
        <f t="shared" si="12"/>
        <v>0</v>
      </c>
      <c r="X159" s="4">
        <f t="shared" si="12"/>
        <v>0</v>
      </c>
      <c r="Y159" s="4">
        <f t="shared" si="12"/>
        <v>1276</v>
      </c>
      <c r="Z159" s="4">
        <f t="shared" si="12"/>
        <v>170</v>
      </c>
      <c r="AA159" s="4">
        <f t="shared" si="12"/>
        <v>428</v>
      </c>
      <c r="AB159" s="4">
        <f t="shared" si="12"/>
        <v>380</v>
      </c>
      <c r="AC159" s="4">
        <f t="shared" si="12"/>
        <v>1957</v>
      </c>
      <c r="AD159" s="4">
        <f t="shared" si="12"/>
        <v>310</v>
      </c>
      <c r="AE159" s="4">
        <f t="shared" si="12"/>
        <v>637</v>
      </c>
      <c r="AF159" s="4">
        <f t="shared" si="12"/>
        <v>1610.24</v>
      </c>
      <c r="AG159" s="4">
        <f t="shared" si="12"/>
        <v>1166.8</v>
      </c>
      <c r="AH159" s="4">
        <f t="shared" si="12"/>
        <v>335</v>
      </c>
      <c r="AI159" s="4">
        <f t="shared" si="12"/>
        <v>1670</v>
      </c>
      <c r="AJ159" s="4">
        <f t="shared" si="12"/>
        <v>0</v>
      </c>
      <c r="AK159" s="2">
        <f t="shared" si="12"/>
        <v>17252.95</v>
      </c>
      <c r="AL159" s="2">
        <f t="shared" si="12"/>
        <v>0</v>
      </c>
      <c r="AM159" s="2">
        <f t="shared" si="12"/>
        <v>17162.95</v>
      </c>
      <c r="AN159" s="2"/>
      <c r="AO159" s="57">
        <f>AO155+AO87</f>
        <v>4754137.15</v>
      </c>
      <c r="AP159" s="2" t="s">
        <v>5</v>
      </c>
      <c r="AQ159" s="2" t="s">
        <v>5</v>
      </c>
    </row>
    <row r="160">
      <c r="A160" s="4"/>
      <c r="B160" s="2" t="s">
        <v>208</v>
      </c>
      <c r="C160" s="2"/>
      <c r="D160" s="2"/>
      <c r="E160" s="2"/>
      <c r="F160" s="4">
        <f t="shared" ref="F160:H160" si="13">F157+F158-F159</f>
        <v>2712.45</v>
      </c>
      <c r="G160" s="4">
        <f t="shared" si="13"/>
        <v>2438.08</v>
      </c>
      <c r="H160" s="4">
        <f t="shared" si="13"/>
        <v>5598.08</v>
      </c>
      <c r="I160" s="4">
        <f t="shared" ref="I160:AJ160" si="14">(I157+I158)-I159</f>
        <v>3663.08</v>
      </c>
      <c r="J160" s="4">
        <f t="shared" si="14"/>
        <v>3633.08</v>
      </c>
      <c r="K160" s="4">
        <f t="shared" si="14"/>
        <v>2253.08</v>
      </c>
      <c r="L160" s="4">
        <f t="shared" si="14"/>
        <v>8090.08</v>
      </c>
      <c r="M160" s="4">
        <f t="shared" si="14"/>
        <v>6605.08</v>
      </c>
      <c r="N160" s="4">
        <f t="shared" si="14"/>
        <v>6060.08</v>
      </c>
      <c r="O160" s="4">
        <f t="shared" si="14"/>
        <v>5730.54</v>
      </c>
      <c r="P160" s="4">
        <f t="shared" si="14"/>
        <v>5730.54</v>
      </c>
      <c r="Q160" s="4">
        <f t="shared" si="14"/>
        <v>5730.54</v>
      </c>
      <c r="R160" s="4">
        <f t="shared" si="14"/>
        <v>5730.54</v>
      </c>
      <c r="S160" s="4">
        <f t="shared" si="14"/>
        <v>5730.54</v>
      </c>
      <c r="T160" s="58">
        <f t="shared" si="14"/>
        <v>5730.54</v>
      </c>
      <c r="U160" s="4">
        <f t="shared" si="14"/>
        <v>5730.54</v>
      </c>
      <c r="V160" s="4">
        <f t="shared" si="14"/>
        <v>5730.54</v>
      </c>
      <c r="W160" s="4">
        <f t="shared" si="14"/>
        <v>5730.54</v>
      </c>
      <c r="X160" s="4">
        <f t="shared" si="14"/>
        <v>5730.54</v>
      </c>
      <c r="Y160" s="4">
        <f t="shared" si="14"/>
        <v>4454.54</v>
      </c>
      <c r="Z160" s="4">
        <f t="shared" si="14"/>
        <v>4284.54</v>
      </c>
      <c r="AA160" s="4">
        <f t="shared" si="14"/>
        <v>3856.54</v>
      </c>
      <c r="AB160" s="4">
        <f t="shared" si="14"/>
        <v>3476.54</v>
      </c>
      <c r="AC160" s="4">
        <f t="shared" si="14"/>
        <v>8119.54</v>
      </c>
      <c r="AD160" s="4">
        <f t="shared" si="14"/>
        <v>7809.54</v>
      </c>
      <c r="AE160" s="4">
        <f t="shared" si="14"/>
        <v>7172.54</v>
      </c>
      <c r="AF160" s="4">
        <f t="shared" si="14"/>
        <v>5562.3</v>
      </c>
      <c r="AG160" s="4">
        <f t="shared" si="14"/>
        <v>4395.5</v>
      </c>
      <c r="AH160" s="4">
        <f t="shared" si="14"/>
        <v>4060.5</v>
      </c>
      <c r="AI160" s="4">
        <f t="shared" si="14"/>
        <v>2390.5</v>
      </c>
      <c r="AJ160" s="4">
        <f t="shared" si="14"/>
        <v>2390.5</v>
      </c>
      <c r="AK160" s="2"/>
      <c r="AL160" s="2"/>
      <c r="AM160" s="4"/>
      <c r="AN160" s="6"/>
      <c r="AO160" s="7"/>
      <c r="AP160" s="2"/>
      <c r="AQ160" s="2"/>
    </row>
    <row r="161">
      <c r="A161" s="4"/>
      <c r="B161" s="2" t="s">
        <v>5</v>
      </c>
      <c r="C161" s="2"/>
      <c r="D161" s="2"/>
      <c r="E161" s="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6"/>
      <c r="AO161" s="7"/>
      <c r="AP161" s="2"/>
      <c r="AQ161" s="2"/>
    </row>
    <row r="162">
      <c r="A162" s="4"/>
      <c r="B162" s="2" t="s">
        <v>209</v>
      </c>
      <c r="C162" s="2"/>
      <c r="D162" s="2"/>
      <c r="E162" s="29">
        <v>3143.45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 t="s">
        <v>5</v>
      </c>
      <c r="AH162" s="4"/>
      <c r="AI162" s="4"/>
      <c r="AJ162" s="4"/>
      <c r="AK162" s="2"/>
      <c r="AL162" s="2" t="s">
        <v>5</v>
      </c>
      <c r="AM162" s="2"/>
      <c r="AN162" s="4"/>
      <c r="AO162" s="59">
        <v>0.0</v>
      </c>
      <c r="AP162" s="2"/>
      <c r="AQ162" s="2"/>
    </row>
    <row r="163">
      <c r="A163" s="4"/>
      <c r="B163" s="2" t="s">
        <v>210</v>
      </c>
      <c r="C163" s="2"/>
      <c r="D163" s="2"/>
      <c r="E163" s="29"/>
      <c r="F163" s="4"/>
      <c r="G163" s="4"/>
      <c r="H163" s="4"/>
      <c r="I163" s="4"/>
      <c r="J163" s="4" t="s">
        <v>211</v>
      </c>
      <c r="K163" s="4"/>
      <c r="L163" s="4"/>
      <c r="M163" s="4"/>
      <c r="N163" s="4"/>
      <c r="O163" s="4"/>
      <c r="P163" s="4" t="s">
        <v>212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2"/>
      <c r="AL163" s="2"/>
      <c r="AM163" s="2"/>
      <c r="AN163" s="4"/>
      <c r="AO163" s="57">
        <f>AO159-AO162</f>
        <v>4754137.15</v>
      </c>
      <c r="AP163" s="2"/>
      <c r="AQ163" s="2"/>
    </row>
    <row r="164">
      <c r="A164" s="4"/>
      <c r="B164" s="2" t="s">
        <v>213</v>
      </c>
      <c r="C164" s="2"/>
      <c r="D164" s="2"/>
      <c r="E164" s="2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6"/>
      <c r="AO164" s="7"/>
      <c r="AP164" s="2"/>
      <c r="AQ164" s="2"/>
    </row>
    <row r="165">
      <c r="A165" s="4"/>
      <c r="B165" s="2" t="s">
        <v>214</v>
      </c>
      <c r="C165" s="2"/>
      <c r="D165" s="2"/>
      <c r="E165" s="23"/>
      <c r="F165" s="4"/>
      <c r="G165" s="4"/>
      <c r="H165" s="4"/>
      <c r="I165" s="4"/>
      <c r="J165" s="4"/>
      <c r="K165" s="4"/>
      <c r="L165" s="4"/>
      <c r="M165" s="4"/>
      <c r="N165" s="4" t="s">
        <v>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6"/>
      <c r="AO165" s="7"/>
      <c r="AP165" s="2"/>
      <c r="AQ165" s="2"/>
    </row>
    <row r="166">
      <c r="A166" s="60"/>
      <c r="B166" s="60"/>
      <c r="C166" s="60"/>
      <c r="D166" s="60"/>
      <c r="E166" s="60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0"/>
      <c r="AL166" s="60"/>
      <c r="AM166" s="60"/>
      <c r="AN166" s="60"/>
      <c r="AO166" s="62"/>
      <c r="AP166" s="60"/>
      <c r="AQ166" s="60"/>
    </row>
    <row r="167">
      <c r="A167" s="60"/>
      <c r="B167" s="60"/>
      <c r="C167" s="60"/>
      <c r="D167" s="60"/>
      <c r="E167" s="60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0"/>
      <c r="AL167" s="60"/>
      <c r="AM167" s="60"/>
      <c r="AN167" s="60"/>
      <c r="AO167" s="62"/>
      <c r="AP167" s="60"/>
      <c r="AQ167" s="60"/>
    </row>
    <row r="168">
      <c r="A168" s="60"/>
      <c r="B168" s="63" t="s">
        <v>215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3" t="s">
        <v>216</v>
      </c>
      <c r="P168" s="64"/>
      <c r="Q168" s="64"/>
      <c r="R168" s="64"/>
      <c r="S168" s="64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0"/>
      <c r="AL168" s="60"/>
      <c r="AM168" s="60"/>
      <c r="AN168" s="60"/>
      <c r="AO168" s="62"/>
      <c r="AP168" s="60"/>
      <c r="AQ168" s="60"/>
    </row>
    <row r="169">
      <c r="A169" s="60"/>
      <c r="B169" s="65" t="s">
        <v>217</v>
      </c>
      <c r="C169" s="66"/>
      <c r="D169" s="66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7" t="s">
        <v>218</v>
      </c>
      <c r="P169" s="64"/>
      <c r="Q169" s="64"/>
      <c r="R169" s="64"/>
      <c r="S169" s="64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0"/>
      <c r="AL169" s="60"/>
      <c r="AM169" s="60"/>
      <c r="AN169" s="60"/>
      <c r="AO169" s="62"/>
      <c r="AP169" s="60"/>
      <c r="AQ169" s="60"/>
    </row>
    <row r="170">
      <c r="A170" s="60"/>
      <c r="B170" s="68" t="s">
        <v>219</v>
      </c>
      <c r="C170" s="66"/>
      <c r="D170" s="66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7" t="s">
        <v>220</v>
      </c>
      <c r="P170" s="64"/>
      <c r="Q170" s="64"/>
      <c r="R170" s="64"/>
      <c r="S170" s="64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0"/>
      <c r="AL170" s="60"/>
      <c r="AM170" s="60"/>
      <c r="AN170" s="60"/>
      <c r="AO170" s="62"/>
      <c r="AP170" s="60"/>
      <c r="AQ170" s="60"/>
    </row>
    <row r="171">
      <c r="A171" s="60"/>
      <c r="B171" s="66"/>
      <c r="C171" s="66"/>
      <c r="D171" s="66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7" t="s">
        <v>221</v>
      </c>
      <c r="P171" s="64"/>
      <c r="Q171" s="64"/>
      <c r="R171" s="64"/>
      <c r="S171" s="64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0"/>
      <c r="AL171" s="60"/>
      <c r="AM171" s="60"/>
      <c r="AN171" s="60"/>
      <c r="AO171" s="62"/>
      <c r="AP171" s="60"/>
      <c r="AQ171" s="60"/>
    </row>
    <row r="172">
      <c r="A172" s="60"/>
      <c r="B172" s="66"/>
      <c r="C172" s="66"/>
      <c r="D172" s="66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6"/>
      <c r="P172" s="66"/>
      <c r="Q172" s="66"/>
      <c r="R172" s="64"/>
      <c r="S172" s="64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0"/>
      <c r="AL172" s="60"/>
      <c r="AM172" s="60"/>
      <c r="AN172" s="60"/>
      <c r="AO172" s="62"/>
      <c r="AP172" s="60"/>
      <c r="AQ172" s="60"/>
    </row>
    <row r="173">
      <c r="A173" s="60"/>
      <c r="B173" s="60"/>
      <c r="C173" s="60"/>
      <c r="D173" s="60"/>
      <c r="E173" s="60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0"/>
      <c r="AL173" s="60"/>
      <c r="AM173" s="60"/>
      <c r="AN173" s="60"/>
      <c r="AO173" s="62"/>
      <c r="AP173" s="60"/>
      <c r="AQ173" s="60"/>
    </row>
    <row r="174">
      <c r="A174" s="60"/>
      <c r="B174" s="60"/>
      <c r="C174" s="60"/>
      <c r="D174" s="60"/>
      <c r="E174" s="60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0"/>
      <c r="AL174" s="60"/>
      <c r="AM174" s="60"/>
      <c r="AN174" s="60"/>
      <c r="AO174" s="62"/>
      <c r="AP174" s="60"/>
      <c r="AQ174" s="60"/>
    </row>
    <row r="175">
      <c r="A175" s="60"/>
      <c r="B175" s="60"/>
      <c r="C175" s="60"/>
      <c r="D175" s="60"/>
      <c r="E175" s="60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0"/>
      <c r="AL175" s="60"/>
      <c r="AM175" s="60"/>
      <c r="AN175" s="60"/>
      <c r="AO175" s="62"/>
      <c r="AP175" s="60"/>
      <c r="AQ175" s="60"/>
    </row>
    <row r="176">
      <c r="A176" s="60"/>
      <c r="B176" s="60"/>
      <c r="C176" s="60"/>
      <c r="D176" s="60"/>
      <c r="E176" s="60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0"/>
      <c r="AL176" s="60"/>
      <c r="AM176" s="60"/>
      <c r="AN176" s="60"/>
      <c r="AO176" s="62"/>
      <c r="AP176" s="60"/>
      <c r="AQ176" s="60"/>
    </row>
    <row r="177">
      <c r="A177" s="60"/>
      <c r="B177" s="60"/>
      <c r="C177" s="60"/>
      <c r="D177" s="60"/>
      <c r="E177" s="60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0"/>
      <c r="AL177" s="60"/>
      <c r="AM177" s="60"/>
      <c r="AN177" s="60"/>
      <c r="AO177" s="62"/>
      <c r="AP177" s="60"/>
      <c r="AQ177" s="60"/>
    </row>
    <row r="178">
      <c r="A178" s="60"/>
      <c r="B178" s="60"/>
      <c r="C178" s="60"/>
      <c r="D178" s="60"/>
      <c r="E178" s="60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0"/>
      <c r="AL178" s="60"/>
      <c r="AM178" s="60"/>
      <c r="AN178" s="60"/>
      <c r="AO178" s="62"/>
      <c r="AP178" s="60"/>
      <c r="AQ178" s="60"/>
    </row>
    <row r="179">
      <c r="A179" s="60"/>
      <c r="B179" s="60"/>
      <c r="C179" s="60"/>
      <c r="D179" s="60"/>
      <c r="E179" s="60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0"/>
      <c r="AL179" s="60"/>
      <c r="AM179" s="60"/>
      <c r="AN179" s="60"/>
      <c r="AO179" s="62"/>
      <c r="AP179" s="60"/>
      <c r="AQ179" s="60"/>
    </row>
    <row r="180">
      <c r="A180" s="60"/>
      <c r="B180" s="60"/>
      <c r="C180" s="60"/>
      <c r="D180" s="60"/>
      <c r="E180" s="60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0"/>
      <c r="AL180" s="60"/>
      <c r="AM180" s="60"/>
      <c r="AN180" s="60"/>
      <c r="AO180" s="62"/>
      <c r="AP180" s="60"/>
      <c r="AQ180" s="60"/>
    </row>
    <row r="181">
      <c r="A181" s="60"/>
      <c r="B181" s="60"/>
      <c r="C181" s="60"/>
      <c r="D181" s="60"/>
      <c r="E181" s="60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0"/>
      <c r="AL181" s="60"/>
      <c r="AM181" s="60"/>
      <c r="AN181" s="60"/>
      <c r="AO181" s="62"/>
      <c r="AP181" s="60"/>
      <c r="AQ181" s="60"/>
    </row>
    <row r="182">
      <c r="A182" s="60"/>
      <c r="B182" s="60"/>
      <c r="C182" s="60"/>
      <c r="D182" s="60"/>
      <c r="E182" s="60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0"/>
      <c r="AL182" s="60"/>
      <c r="AM182" s="60"/>
      <c r="AN182" s="60"/>
      <c r="AO182" s="62"/>
      <c r="AP182" s="60"/>
      <c r="AQ182" s="60"/>
    </row>
    <row r="183">
      <c r="A183" s="60"/>
      <c r="B183" s="60"/>
      <c r="C183" s="60"/>
      <c r="D183" s="60"/>
      <c r="E183" s="60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0"/>
      <c r="AL183" s="60"/>
      <c r="AM183" s="60"/>
      <c r="AN183" s="60"/>
      <c r="AO183" s="62"/>
      <c r="AP183" s="60"/>
      <c r="AQ183" s="60"/>
    </row>
    <row r="184">
      <c r="A184" s="60"/>
      <c r="B184" s="60"/>
      <c r="C184" s="60"/>
      <c r="D184" s="60"/>
      <c r="E184" s="60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0"/>
      <c r="AL184" s="60"/>
      <c r="AM184" s="60"/>
      <c r="AN184" s="60"/>
      <c r="AO184" s="62"/>
      <c r="AP184" s="60"/>
      <c r="AQ184" s="60"/>
    </row>
    <row r="185">
      <c r="A185" s="60"/>
      <c r="B185" s="60"/>
      <c r="C185" s="60"/>
      <c r="D185" s="60"/>
      <c r="E185" s="60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0"/>
      <c r="AL185" s="60"/>
      <c r="AM185" s="60"/>
      <c r="AN185" s="60"/>
      <c r="AO185" s="62"/>
      <c r="AP185" s="60"/>
      <c r="AQ185" s="60"/>
    </row>
    <row r="186">
      <c r="A186" s="60"/>
      <c r="B186" s="60"/>
      <c r="C186" s="60"/>
      <c r="D186" s="60"/>
      <c r="E186" s="60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0"/>
      <c r="AL186" s="60"/>
      <c r="AM186" s="60"/>
      <c r="AN186" s="60"/>
      <c r="AO186" s="62"/>
      <c r="AP186" s="60"/>
      <c r="AQ186" s="60"/>
    </row>
    <row r="187">
      <c r="A187" s="60"/>
      <c r="B187" s="60"/>
      <c r="C187" s="60"/>
      <c r="D187" s="60"/>
      <c r="E187" s="60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0"/>
      <c r="AL187" s="60"/>
      <c r="AM187" s="60"/>
      <c r="AN187" s="60"/>
      <c r="AO187" s="62"/>
      <c r="AP187" s="60"/>
      <c r="AQ187" s="60"/>
    </row>
    <row r="188">
      <c r="A188" s="60"/>
      <c r="B188" s="60"/>
      <c r="C188" s="60"/>
      <c r="D188" s="60"/>
      <c r="E188" s="60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0"/>
      <c r="AL188" s="60"/>
      <c r="AM188" s="60"/>
      <c r="AN188" s="60"/>
      <c r="AO188" s="62"/>
      <c r="AP188" s="60"/>
      <c r="AQ188" s="60"/>
    </row>
    <row r="189">
      <c r="A189" s="60"/>
      <c r="B189" s="60"/>
      <c r="C189" s="60"/>
      <c r="D189" s="60"/>
      <c r="E189" s="60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0"/>
      <c r="AL189" s="60"/>
      <c r="AM189" s="60"/>
      <c r="AN189" s="60"/>
      <c r="AO189" s="62"/>
      <c r="AP189" s="60"/>
      <c r="AQ189" s="60"/>
    </row>
    <row r="190">
      <c r="A190" s="60"/>
      <c r="B190" s="60"/>
      <c r="C190" s="60"/>
      <c r="D190" s="60"/>
      <c r="E190" s="60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0"/>
      <c r="AL190" s="60"/>
      <c r="AM190" s="60"/>
      <c r="AN190" s="60"/>
      <c r="AO190" s="62"/>
      <c r="AP190" s="60"/>
      <c r="AQ190" s="60"/>
    </row>
    <row r="191">
      <c r="A191" s="60"/>
      <c r="B191" s="60"/>
      <c r="C191" s="60"/>
      <c r="D191" s="60"/>
      <c r="E191" s="60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0"/>
      <c r="AL191" s="60"/>
      <c r="AM191" s="60"/>
      <c r="AN191" s="60"/>
      <c r="AO191" s="62"/>
      <c r="AP191" s="60"/>
      <c r="AQ191" s="60"/>
    </row>
    <row r="192">
      <c r="A192" s="60"/>
      <c r="B192" s="60"/>
      <c r="C192" s="60"/>
      <c r="D192" s="60"/>
      <c r="E192" s="60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0"/>
      <c r="AL192" s="60"/>
      <c r="AM192" s="60"/>
      <c r="AN192" s="60"/>
      <c r="AO192" s="62"/>
      <c r="AP192" s="60"/>
      <c r="AQ192" s="60"/>
    </row>
    <row r="193">
      <c r="A193" s="60"/>
      <c r="B193" s="60"/>
      <c r="C193" s="60"/>
      <c r="D193" s="60"/>
      <c r="E193" s="60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0"/>
      <c r="AL193" s="60"/>
      <c r="AM193" s="60"/>
      <c r="AN193" s="60"/>
      <c r="AO193" s="62"/>
      <c r="AP193" s="60"/>
      <c r="AQ193" s="60"/>
    </row>
    <row r="194">
      <c r="A194" s="60"/>
      <c r="B194" s="60"/>
      <c r="C194" s="60"/>
      <c r="D194" s="60"/>
      <c r="E194" s="60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0"/>
      <c r="AL194" s="60"/>
      <c r="AM194" s="60"/>
      <c r="AN194" s="60"/>
      <c r="AO194" s="62"/>
      <c r="AP194" s="60"/>
      <c r="AQ194" s="60"/>
    </row>
    <row r="195">
      <c r="A195" s="60"/>
      <c r="B195" s="60"/>
      <c r="C195" s="60"/>
      <c r="D195" s="60"/>
      <c r="E195" s="60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0"/>
      <c r="AL195" s="60"/>
      <c r="AM195" s="60"/>
      <c r="AN195" s="60"/>
      <c r="AO195" s="62"/>
      <c r="AP195" s="60"/>
      <c r="AQ195" s="60"/>
    </row>
    <row r="196">
      <c r="A196" s="60"/>
      <c r="B196" s="60"/>
      <c r="C196" s="60"/>
      <c r="D196" s="60"/>
      <c r="E196" s="60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0"/>
      <c r="AL196" s="60"/>
      <c r="AM196" s="60"/>
      <c r="AN196" s="60"/>
      <c r="AO196" s="62"/>
      <c r="AP196" s="60"/>
      <c r="AQ196" s="60"/>
    </row>
    <row r="197">
      <c r="A197" s="60"/>
      <c r="B197" s="60"/>
      <c r="C197" s="60"/>
      <c r="D197" s="60"/>
      <c r="E197" s="60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0"/>
      <c r="AL197" s="60"/>
      <c r="AM197" s="60"/>
      <c r="AN197" s="60"/>
      <c r="AO197" s="62"/>
      <c r="AP197" s="60"/>
      <c r="AQ197" s="60"/>
    </row>
    <row r="198">
      <c r="A198" s="60"/>
      <c r="B198" s="60"/>
      <c r="C198" s="60"/>
      <c r="D198" s="60"/>
      <c r="E198" s="60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0"/>
      <c r="AL198" s="60"/>
      <c r="AM198" s="60"/>
      <c r="AN198" s="60"/>
      <c r="AO198" s="62"/>
      <c r="AP198" s="60"/>
      <c r="AQ198" s="60"/>
    </row>
    <row r="199">
      <c r="A199" s="60"/>
      <c r="B199" s="60"/>
      <c r="C199" s="60"/>
      <c r="D199" s="60"/>
      <c r="E199" s="60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0"/>
      <c r="AL199" s="60"/>
      <c r="AM199" s="60"/>
      <c r="AN199" s="60"/>
      <c r="AO199" s="62"/>
      <c r="AP199" s="60"/>
      <c r="AQ199" s="60"/>
    </row>
    <row r="200">
      <c r="A200" s="60"/>
      <c r="B200" s="60"/>
      <c r="C200" s="60"/>
      <c r="D200" s="60"/>
      <c r="E200" s="60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0"/>
      <c r="AL200" s="60"/>
      <c r="AM200" s="60"/>
      <c r="AN200" s="60"/>
      <c r="AO200" s="62"/>
      <c r="AP200" s="60"/>
      <c r="AQ200" s="60"/>
    </row>
    <row r="201">
      <c r="A201" s="60"/>
      <c r="B201" s="60"/>
      <c r="C201" s="60"/>
      <c r="D201" s="60"/>
      <c r="E201" s="60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0"/>
      <c r="AL201" s="60"/>
      <c r="AM201" s="60"/>
      <c r="AN201" s="60"/>
      <c r="AO201" s="62"/>
      <c r="AP201" s="60"/>
      <c r="AQ201" s="60"/>
    </row>
    <row r="202">
      <c r="A202" s="60"/>
      <c r="B202" s="60"/>
      <c r="C202" s="60"/>
      <c r="D202" s="60"/>
      <c r="E202" s="60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0"/>
      <c r="AL202" s="60"/>
      <c r="AM202" s="60"/>
      <c r="AN202" s="60"/>
      <c r="AO202" s="62"/>
      <c r="AP202" s="60"/>
      <c r="AQ202" s="60"/>
    </row>
    <row r="203">
      <c r="A203" s="60"/>
      <c r="B203" s="60"/>
      <c r="C203" s="60"/>
      <c r="D203" s="60"/>
      <c r="E203" s="60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0"/>
      <c r="AL203" s="60"/>
      <c r="AM203" s="60"/>
      <c r="AN203" s="60"/>
      <c r="AO203" s="62"/>
      <c r="AP203" s="60"/>
      <c r="AQ203" s="60"/>
    </row>
    <row r="204">
      <c r="A204" s="60"/>
      <c r="B204" s="60"/>
      <c r="C204" s="60"/>
      <c r="D204" s="60"/>
      <c r="E204" s="60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0"/>
      <c r="AL204" s="60"/>
      <c r="AM204" s="60"/>
      <c r="AN204" s="60"/>
      <c r="AO204" s="62"/>
      <c r="AP204" s="60"/>
      <c r="AQ204" s="60"/>
    </row>
    <row r="205">
      <c r="A205" s="60"/>
      <c r="B205" s="60"/>
      <c r="C205" s="60"/>
      <c r="D205" s="60"/>
      <c r="E205" s="60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0"/>
      <c r="AL205" s="60"/>
      <c r="AM205" s="60"/>
      <c r="AN205" s="60"/>
      <c r="AO205" s="62"/>
      <c r="AP205" s="60"/>
      <c r="AQ205" s="60"/>
    </row>
    <row r="206">
      <c r="A206" s="60"/>
      <c r="B206" s="60"/>
      <c r="C206" s="60"/>
      <c r="D206" s="60"/>
      <c r="E206" s="60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0"/>
      <c r="AL206" s="60"/>
      <c r="AM206" s="60"/>
      <c r="AN206" s="60"/>
      <c r="AO206" s="62"/>
      <c r="AP206" s="60"/>
      <c r="AQ206" s="60"/>
    </row>
    <row r="207">
      <c r="A207" s="60"/>
      <c r="B207" s="60"/>
      <c r="C207" s="60"/>
      <c r="D207" s="60"/>
      <c r="E207" s="60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0"/>
      <c r="AL207" s="60"/>
      <c r="AM207" s="60"/>
      <c r="AN207" s="60"/>
      <c r="AO207" s="62"/>
      <c r="AP207" s="60"/>
      <c r="AQ207" s="60"/>
    </row>
    <row r="208">
      <c r="A208" s="60"/>
      <c r="B208" s="60"/>
      <c r="C208" s="60"/>
      <c r="D208" s="60"/>
      <c r="E208" s="60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0"/>
      <c r="AL208" s="60"/>
      <c r="AM208" s="60"/>
      <c r="AN208" s="60"/>
      <c r="AO208" s="62"/>
      <c r="AP208" s="60"/>
      <c r="AQ208" s="60"/>
    </row>
    <row r="209">
      <c r="A209" s="60"/>
      <c r="B209" s="60"/>
      <c r="C209" s="60"/>
      <c r="D209" s="60"/>
      <c r="E209" s="60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0"/>
      <c r="AL209" s="60"/>
      <c r="AM209" s="60"/>
      <c r="AN209" s="60"/>
      <c r="AO209" s="62"/>
      <c r="AP209" s="60"/>
      <c r="AQ209" s="60"/>
    </row>
    <row r="210">
      <c r="A210" s="60"/>
      <c r="B210" s="60"/>
      <c r="C210" s="60"/>
      <c r="D210" s="60"/>
      <c r="E210" s="60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0"/>
      <c r="AL210" s="60"/>
      <c r="AM210" s="60"/>
      <c r="AN210" s="60"/>
      <c r="AO210" s="62"/>
      <c r="AP210" s="60"/>
      <c r="AQ210" s="60"/>
    </row>
    <row r="211">
      <c r="A211" s="60"/>
      <c r="B211" s="60"/>
      <c r="C211" s="60"/>
      <c r="D211" s="60"/>
      <c r="E211" s="60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0"/>
      <c r="AL211" s="60"/>
      <c r="AM211" s="60"/>
      <c r="AN211" s="60"/>
      <c r="AO211" s="62"/>
      <c r="AP211" s="60"/>
      <c r="AQ211" s="60"/>
    </row>
    <row r="212">
      <c r="A212" s="60"/>
      <c r="B212" s="60"/>
      <c r="C212" s="60"/>
      <c r="D212" s="60"/>
      <c r="E212" s="60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0"/>
      <c r="AL212" s="60"/>
      <c r="AM212" s="60"/>
      <c r="AN212" s="60"/>
      <c r="AO212" s="62"/>
      <c r="AP212" s="60"/>
      <c r="AQ212" s="60"/>
    </row>
    <row r="213">
      <c r="A213" s="60"/>
      <c r="B213" s="60"/>
      <c r="C213" s="60"/>
      <c r="D213" s="60"/>
      <c r="E213" s="60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0"/>
      <c r="AL213" s="60"/>
      <c r="AM213" s="60"/>
      <c r="AN213" s="60"/>
      <c r="AO213" s="62"/>
      <c r="AP213" s="60"/>
      <c r="AQ213" s="60"/>
    </row>
    <row r="214">
      <c r="A214" s="60"/>
      <c r="B214" s="60"/>
      <c r="C214" s="60"/>
      <c r="D214" s="60"/>
      <c r="E214" s="60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0"/>
      <c r="AL214" s="60"/>
      <c r="AM214" s="60"/>
      <c r="AN214" s="60"/>
      <c r="AO214" s="62"/>
      <c r="AP214" s="60"/>
      <c r="AQ214" s="60"/>
    </row>
    <row r="215">
      <c r="A215" s="60"/>
      <c r="B215" s="60"/>
      <c r="C215" s="60"/>
      <c r="D215" s="60"/>
      <c r="E215" s="60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0"/>
      <c r="AL215" s="60"/>
      <c r="AM215" s="60"/>
      <c r="AN215" s="60"/>
      <c r="AO215" s="62"/>
      <c r="AP215" s="60"/>
      <c r="AQ215" s="60"/>
    </row>
    <row r="216">
      <c r="A216" s="60"/>
      <c r="B216" s="60"/>
      <c r="C216" s="60"/>
      <c r="D216" s="60"/>
      <c r="E216" s="60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0"/>
      <c r="AL216" s="60"/>
      <c r="AM216" s="60"/>
      <c r="AN216" s="60"/>
      <c r="AO216" s="62"/>
      <c r="AP216" s="60"/>
      <c r="AQ216" s="60"/>
    </row>
    <row r="217">
      <c r="A217" s="60"/>
      <c r="B217" s="60"/>
      <c r="C217" s="60"/>
      <c r="D217" s="60"/>
      <c r="E217" s="60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0"/>
      <c r="AL217" s="60"/>
      <c r="AM217" s="60"/>
      <c r="AN217" s="60"/>
      <c r="AO217" s="62"/>
      <c r="AP217" s="60"/>
      <c r="AQ217" s="60"/>
    </row>
    <row r="218">
      <c r="A218" s="60"/>
      <c r="B218" s="60"/>
      <c r="C218" s="60"/>
      <c r="D218" s="60"/>
      <c r="E218" s="60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0"/>
      <c r="AL218" s="60"/>
      <c r="AM218" s="60"/>
      <c r="AN218" s="60"/>
      <c r="AO218" s="62"/>
      <c r="AP218" s="60"/>
      <c r="AQ218" s="60"/>
    </row>
    <row r="219">
      <c r="A219" s="60"/>
      <c r="B219" s="60"/>
      <c r="C219" s="60"/>
      <c r="D219" s="60"/>
      <c r="E219" s="60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0"/>
      <c r="AL219" s="60"/>
      <c r="AM219" s="60"/>
      <c r="AN219" s="60"/>
      <c r="AO219" s="62"/>
      <c r="AP219" s="60"/>
      <c r="AQ219" s="60"/>
    </row>
    <row r="220">
      <c r="A220" s="60"/>
      <c r="B220" s="60"/>
      <c r="C220" s="60"/>
      <c r="D220" s="60"/>
      <c r="E220" s="60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0"/>
      <c r="AL220" s="60"/>
      <c r="AM220" s="60"/>
      <c r="AN220" s="60"/>
      <c r="AO220" s="62"/>
      <c r="AP220" s="60"/>
      <c r="AQ220" s="60"/>
    </row>
    <row r="221">
      <c r="A221" s="60"/>
      <c r="B221" s="60"/>
      <c r="C221" s="60"/>
      <c r="D221" s="60"/>
      <c r="E221" s="60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0"/>
      <c r="AL221" s="60"/>
      <c r="AM221" s="60"/>
      <c r="AN221" s="60"/>
      <c r="AO221" s="62"/>
      <c r="AP221" s="60"/>
      <c r="AQ221" s="60"/>
    </row>
    <row r="222">
      <c r="A222" s="60"/>
      <c r="B222" s="60"/>
      <c r="C222" s="60"/>
      <c r="D222" s="60"/>
      <c r="E222" s="60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0"/>
      <c r="AL222" s="60"/>
      <c r="AM222" s="60"/>
      <c r="AN222" s="60"/>
      <c r="AO222" s="62"/>
      <c r="AP222" s="60"/>
      <c r="AQ222" s="60"/>
    </row>
    <row r="223">
      <c r="A223" s="60"/>
      <c r="B223" s="60"/>
      <c r="C223" s="60"/>
      <c r="D223" s="60"/>
      <c r="E223" s="60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0"/>
      <c r="AL223" s="60"/>
      <c r="AM223" s="60"/>
      <c r="AN223" s="60"/>
      <c r="AO223" s="62"/>
      <c r="AP223" s="60"/>
      <c r="AQ223" s="60"/>
    </row>
    <row r="224">
      <c r="A224" s="60"/>
      <c r="B224" s="60"/>
      <c r="C224" s="60"/>
      <c r="D224" s="60"/>
      <c r="E224" s="60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0"/>
      <c r="AL224" s="60"/>
      <c r="AM224" s="60"/>
      <c r="AN224" s="60"/>
      <c r="AO224" s="62"/>
      <c r="AP224" s="60"/>
      <c r="AQ224" s="60"/>
    </row>
    <row r="225">
      <c r="A225" s="60"/>
      <c r="B225" s="60"/>
      <c r="C225" s="60"/>
      <c r="D225" s="60"/>
      <c r="E225" s="60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0"/>
      <c r="AL225" s="60"/>
      <c r="AM225" s="60"/>
      <c r="AN225" s="60"/>
      <c r="AO225" s="62"/>
      <c r="AP225" s="60"/>
      <c r="AQ225" s="60"/>
    </row>
    <row r="226">
      <c r="A226" s="60"/>
      <c r="B226" s="60"/>
      <c r="C226" s="60"/>
      <c r="D226" s="60"/>
      <c r="E226" s="60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0"/>
      <c r="AL226" s="60"/>
      <c r="AM226" s="60"/>
      <c r="AN226" s="60"/>
      <c r="AO226" s="62"/>
      <c r="AP226" s="60"/>
      <c r="AQ226" s="60"/>
    </row>
    <row r="227">
      <c r="A227" s="60"/>
      <c r="B227" s="60"/>
      <c r="C227" s="60"/>
      <c r="D227" s="60"/>
      <c r="E227" s="60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0"/>
      <c r="AL227" s="60"/>
      <c r="AM227" s="60"/>
      <c r="AN227" s="60"/>
      <c r="AO227" s="62"/>
      <c r="AP227" s="60"/>
      <c r="AQ227" s="60"/>
    </row>
    <row r="228">
      <c r="A228" s="60"/>
      <c r="B228" s="60"/>
      <c r="C228" s="60"/>
      <c r="D228" s="60"/>
      <c r="E228" s="60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0"/>
      <c r="AL228" s="60"/>
      <c r="AM228" s="60"/>
      <c r="AN228" s="60"/>
      <c r="AO228" s="62"/>
      <c r="AP228" s="60"/>
      <c r="AQ228" s="60"/>
    </row>
    <row r="229">
      <c r="A229" s="60"/>
      <c r="B229" s="60"/>
      <c r="C229" s="60"/>
      <c r="D229" s="60"/>
      <c r="E229" s="60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0"/>
      <c r="AL229" s="60"/>
      <c r="AM229" s="60"/>
      <c r="AN229" s="60"/>
      <c r="AO229" s="62"/>
      <c r="AP229" s="60"/>
      <c r="AQ229" s="60"/>
    </row>
    <row r="230">
      <c r="A230" s="60"/>
      <c r="B230" s="60"/>
      <c r="C230" s="60"/>
      <c r="D230" s="60"/>
      <c r="E230" s="60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0"/>
      <c r="AL230" s="60"/>
      <c r="AM230" s="60"/>
      <c r="AN230" s="60"/>
      <c r="AO230" s="62"/>
      <c r="AP230" s="60"/>
      <c r="AQ230" s="60"/>
    </row>
    <row r="231">
      <c r="A231" s="60"/>
      <c r="B231" s="60"/>
      <c r="C231" s="60"/>
      <c r="D231" s="60"/>
      <c r="E231" s="60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0"/>
      <c r="AL231" s="60"/>
      <c r="AM231" s="60"/>
      <c r="AN231" s="60"/>
      <c r="AO231" s="62"/>
      <c r="AP231" s="60"/>
      <c r="AQ231" s="60"/>
    </row>
    <row r="232">
      <c r="A232" s="60"/>
      <c r="B232" s="60"/>
      <c r="C232" s="60"/>
      <c r="D232" s="60"/>
      <c r="E232" s="60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0"/>
      <c r="AL232" s="60"/>
      <c r="AM232" s="60"/>
      <c r="AN232" s="60"/>
      <c r="AO232" s="62"/>
      <c r="AP232" s="60"/>
      <c r="AQ232" s="60"/>
    </row>
    <row r="233">
      <c r="A233" s="60"/>
      <c r="B233" s="60"/>
      <c r="C233" s="60"/>
      <c r="D233" s="60"/>
      <c r="E233" s="60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0"/>
      <c r="AL233" s="60"/>
      <c r="AM233" s="60"/>
      <c r="AN233" s="60"/>
      <c r="AO233" s="62"/>
      <c r="AP233" s="60"/>
      <c r="AQ233" s="60"/>
    </row>
    <row r="234">
      <c r="A234" s="60"/>
      <c r="B234" s="60"/>
      <c r="C234" s="60"/>
      <c r="D234" s="60"/>
      <c r="E234" s="60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0"/>
      <c r="AL234" s="60"/>
      <c r="AM234" s="60"/>
      <c r="AN234" s="60"/>
      <c r="AO234" s="62"/>
      <c r="AP234" s="60"/>
      <c r="AQ234" s="60"/>
    </row>
    <row r="235">
      <c r="A235" s="60"/>
      <c r="B235" s="60"/>
      <c r="C235" s="60"/>
      <c r="D235" s="60"/>
      <c r="E235" s="60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0"/>
      <c r="AL235" s="60"/>
      <c r="AM235" s="60"/>
      <c r="AN235" s="60"/>
      <c r="AO235" s="62"/>
      <c r="AP235" s="60"/>
      <c r="AQ235" s="60"/>
    </row>
    <row r="236">
      <c r="A236" s="60"/>
      <c r="B236" s="60"/>
      <c r="C236" s="60"/>
      <c r="D236" s="60"/>
      <c r="E236" s="60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0"/>
      <c r="AL236" s="60"/>
      <c r="AM236" s="60"/>
      <c r="AN236" s="60"/>
      <c r="AO236" s="62"/>
      <c r="AP236" s="60"/>
      <c r="AQ236" s="60"/>
    </row>
    <row r="237">
      <c r="A237" s="60"/>
      <c r="B237" s="60"/>
      <c r="C237" s="60"/>
      <c r="D237" s="60"/>
      <c r="E237" s="60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0"/>
      <c r="AL237" s="60"/>
      <c r="AM237" s="60"/>
      <c r="AN237" s="60"/>
      <c r="AO237" s="62"/>
      <c r="AP237" s="60"/>
      <c r="AQ237" s="60"/>
    </row>
    <row r="238">
      <c r="A238" s="60"/>
      <c r="B238" s="60"/>
      <c r="C238" s="60"/>
      <c r="D238" s="60"/>
      <c r="E238" s="60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0"/>
      <c r="AL238" s="60"/>
      <c r="AM238" s="60"/>
      <c r="AN238" s="60"/>
      <c r="AO238" s="62"/>
      <c r="AP238" s="60"/>
      <c r="AQ238" s="60"/>
    </row>
    <row r="239">
      <c r="A239" s="60"/>
      <c r="B239" s="60"/>
      <c r="C239" s="60"/>
      <c r="D239" s="60"/>
      <c r="E239" s="60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0"/>
      <c r="AL239" s="60"/>
      <c r="AM239" s="60"/>
      <c r="AN239" s="60"/>
      <c r="AO239" s="62"/>
      <c r="AP239" s="60"/>
      <c r="AQ239" s="60"/>
    </row>
    <row r="240">
      <c r="A240" s="60"/>
      <c r="B240" s="60"/>
      <c r="C240" s="60"/>
      <c r="D240" s="60"/>
      <c r="E240" s="60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0"/>
      <c r="AL240" s="60"/>
      <c r="AM240" s="60"/>
      <c r="AN240" s="60"/>
      <c r="AO240" s="62"/>
      <c r="AP240" s="60"/>
      <c r="AQ240" s="60"/>
    </row>
    <row r="241">
      <c r="A241" s="60"/>
      <c r="B241" s="60"/>
      <c r="C241" s="60"/>
      <c r="D241" s="60"/>
      <c r="E241" s="60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0"/>
      <c r="AL241" s="60"/>
      <c r="AM241" s="60"/>
      <c r="AN241" s="60"/>
      <c r="AO241" s="62"/>
      <c r="AP241" s="60"/>
      <c r="AQ241" s="60"/>
    </row>
    <row r="242">
      <c r="A242" s="60"/>
      <c r="B242" s="60"/>
      <c r="C242" s="60"/>
      <c r="D242" s="60"/>
      <c r="E242" s="60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0"/>
      <c r="AL242" s="60"/>
      <c r="AM242" s="60"/>
      <c r="AN242" s="60"/>
      <c r="AO242" s="62"/>
      <c r="AP242" s="60"/>
      <c r="AQ242" s="60"/>
    </row>
    <row r="243">
      <c r="A243" s="60"/>
      <c r="B243" s="60"/>
      <c r="C243" s="60"/>
      <c r="D243" s="60"/>
      <c r="E243" s="60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0"/>
      <c r="AL243" s="60"/>
      <c r="AM243" s="60"/>
      <c r="AN243" s="60"/>
      <c r="AO243" s="62"/>
      <c r="AP243" s="60"/>
      <c r="AQ243" s="60"/>
    </row>
    <row r="244">
      <c r="A244" s="60"/>
      <c r="B244" s="60"/>
      <c r="C244" s="60"/>
      <c r="D244" s="60"/>
      <c r="E244" s="60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0"/>
      <c r="AL244" s="60"/>
      <c r="AM244" s="60"/>
      <c r="AN244" s="60"/>
      <c r="AO244" s="62"/>
      <c r="AP244" s="60"/>
      <c r="AQ244" s="60"/>
    </row>
    <row r="245">
      <c r="A245" s="60"/>
      <c r="B245" s="60"/>
      <c r="C245" s="60"/>
      <c r="D245" s="60"/>
      <c r="E245" s="60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0"/>
      <c r="AL245" s="60"/>
      <c r="AM245" s="60"/>
      <c r="AN245" s="60"/>
      <c r="AO245" s="62"/>
      <c r="AP245" s="60"/>
      <c r="AQ245" s="60"/>
    </row>
    <row r="246">
      <c r="A246" s="60"/>
      <c r="B246" s="60"/>
      <c r="C246" s="60"/>
      <c r="D246" s="60"/>
      <c r="E246" s="60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0"/>
      <c r="AL246" s="60"/>
      <c r="AM246" s="60"/>
      <c r="AN246" s="60"/>
      <c r="AO246" s="62"/>
      <c r="AP246" s="60"/>
      <c r="AQ246" s="60"/>
    </row>
    <row r="247">
      <c r="A247" s="60"/>
      <c r="B247" s="60"/>
      <c r="C247" s="60"/>
      <c r="D247" s="60"/>
      <c r="E247" s="60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0"/>
      <c r="AL247" s="60"/>
      <c r="AM247" s="60"/>
      <c r="AN247" s="60"/>
      <c r="AO247" s="62"/>
      <c r="AP247" s="60"/>
      <c r="AQ247" s="60"/>
    </row>
    <row r="248">
      <c r="A248" s="60"/>
      <c r="B248" s="60"/>
      <c r="C248" s="60"/>
      <c r="D248" s="60"/>
      <c r="E248" s="60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0"/>
      <c r="AL248" s="60"/>
      <c r="AM248" s="60"/>
      <c r="AN248" s="60"/>
      <c r="AO248" s="62"/>
      <c r="AP248" s="60"/>
      <c r="AQ248" s="60"/>
    </row>
    <row r="249">
      <c r="A249" s="60"/>
      <c r="B249" s="60"/>
      <c r="C249" s="60"/>
      <c r="D249" s="60"/>
      <c r="E249" s="60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0"/>
      <c r="AL249" s="60"/>
      <c r="AM249" s="60"/>
      <c r="AN249" s="60"/>
      <c r="AO249" s="62"/>
      <c r="AP249" s="60"/>
      <c r="AQ249" s="60"/>
    </row>
    <row r="250">
      <c r="A250" s="60"/>
      <c r="B250" s="60"/>
      <c r="C250" s="60"/>
      <c r="D250" s="60"/>
      <c r="E250" s="60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0"/>
      <c r="AL250" s="60"/>
      <c r="AM250" s="60"/>
      <c r="AN250" s="60"/>
      <c r="AO250" s="62"/>
      <c r="AP250" s="60"/>
      <c r="AQ250" s="60"/>
    </row>
    <row r="251">
      <c r="A251" s="60"/>
      <c r="B251" s="60"/>
      <c r="C251" s="60"/>
      <c r="D251" s="60"/>
      <c r="E251" s="60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0"/>
      <c r="AL251" s="60"/>
      <c r="AM251" s="60"/>
      <c r="AN251" s="60"/>
      <c r="AO251" s="62"/>
      <c r="AP251" s="60"/>
      <c r="AQ251" s="60"/>
    </row>
    <row r="252">
      <c r="A252" s="60"/>
      <c r="B252" s="60"/>
      <c r="C252" s="60"/>
      <c r="D252" s="60"/>
      <c r="E252" s="60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0"/>
      <c r="AL252" s="60"/>
      <c r="AM252" s="60"/>
      <c r="AN252" s="60"/>
      <c r="AO252" s="62"/>
      <c r="AP252" s="60"/>
      <c r="AQ252" s="60"/>
    </row>
    <row r="253">
      <c r="A253" s="60"/>
      <c r="B253" s="60"/>
      <c r="C253" s="60"/>
      <c r="D253" s="60"/>
      <c r="E253" s="60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0"/>
      <c r="AL253" s="60"/>
      <c r="AM253" s="60"/>
      <c r="AN253" s="60"/>
      <c r="AO253" s="62"/>
      <c r="AP253" s="60"/>
      <c r="AQ253" s="60"/>
    </row>
    <row r="254">
      <c r="A254" s="60"/>
      <c r="B254" s="60"/>
      <c r="C254" s="60"/>
      <c r="D254" s="60"/>
      <c r="E254" s="60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0"/>
      <c r="AL254" s="60"/>
      <c r="AM254" s="60"/>
      <c r="AN254" s="60"/>
      <c r="AO254" s="62"/>
      <c r="AP254" s="60"/>
      <c r="AQ254" s="60"/>
    </row>
    <row r="255">
      <c r="A255" s="60"/>
      <c r="B255" s="60"/>
      <c r="C255" s="60"/>
      <c r="D255" s="60"/>
      <c r="E255" s="60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0"/>
      <c r="AL255" s="60"/>
      <c r="AM255" s="60"/>
      <c r="AN255" s="60"/>
      <c r="AO255" s="62"/>
      <c r="AP255" s="60"/>
      <c r="AQ255" s="60"/>
    </row>
    <row r="256">
      <c r="A256" s="60"/>
      <c r="B256" s="60"/>
      <c r="C256" s="60"/>
      <c r="D256" s="60"/>
      <c r="E256" s="60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0"/>
      <c r="AL256" s="60"/>
      <c r="AM256" s="60"/>
      <c r="AN256" s="60"/>
      <c r="AO256" s="62"/>
      <c r="AP256" s="60"/>
      <c r="AQ256" s="60"/>
    </row>
    <row r="257">
      <c r="A257" s="60"/>
      <c r="B257" s="60"/>
      <c r="C257" s="60"/>
      <c r="D257" s="60"/>
      <c r="E257" s="60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0"/>
      <c r="AL257" s="60"/>
      <c r="AM257" s="60"/>
      <c r="AN257" s="60"/>
      <c r="AO257" s="62"/>
      <c r="AP257" s="60"/>
      <c r="AQ257" s="60"/>
    </row>
    <row r="258">
      <c r="A258" s="60"/>
      <c r="B258" s="60"/>
      <c r="C258" s="60"/>
      <c r="D258" s="60"/>
      <c r="E258" s="60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0"/>
      <c r="AL258" s="60"/>
      <c r="AM258" s="60"/>
      <c r="AN258" s="60"/>
      <c r="AO258" s="62"/>
      <c r="AP258" s="60"/>
      <c r="AQ258" s="60"/>
    </row>
    <row r="259">
      <c r="A259" s="60"/>
      <c r="B259" s="60"/>
      <c r="C259" s="60"/>
      <c r="D259" s="60"/>
      <c r="E259" s="60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0"/>
      <c r="AL259" s="60"/>
      <c r="AM259" s="60"/>
      <c r="AN259" s="60"/>
      <c r="AO259" s="62"/>
      <c r="AP259" s="60"/>
      <c r="AQ259" s="60"/>
    </row>
    <row r="260">
      <c r="A260" s="60"/>
      <c r="B260" s="60"/>
      <c r="C260" s="60"/>
      <c r="D260" s="60"/>
      <c r="E260" s="60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0"/>
      <c r="AL260" s="60"/>
      <c r="AM260" s="60"/>
      <c r="AN260" s="60"/>
      <c r="AO260" s="62"/>
      <c r="AP260" s="60"/>
      <c r="AQ260" s="60"/>
    </row>
    <row r="261">
      <c r="A261" s="60"/>
      <c r="B261" s="60"/>
      <c r="C261" s="60"/>
      <c r="D261" s="60"/>
      <c r="E261" s="60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0"/>
      <c r="AL261" s="60"/>
      <c r="AM261" s="60"/>
      <c r="AN261" s="60"/>
      <c r="AO261" s="62"/>
      <c r="AP261" s="60"/>
      <c r="AQ261" s="60"/>
    </row>
    <row r="262">
      <c r="A262" s="60"/>
      <c r="B262" s="60"/>
      <c r="C262" s="60"/>
      <c r="D262" s="60"/>
      <c r="E262" s="60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0"/>
      <c r="AL262" s="60"/>
      <c r="AM262" s="60"/>
      <c r="AN262" s="60"/>
      <c r="AO262" s="62"/>
      <c r="AP262" s="60"/>
      <c r="AQ262" s="60"/>
    </row>
    <row r="263">
      <c r="A263" s="60"/>
      <c r="B263" s="60"/>
      <c r="C263" s="60"/>
      <c r="D263" s="60"/>
      <c r="E263" s="60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0"/>
      <c r="AL263" s="60"/>
      <c r="AM263" s="60"/>
      <c r="AN263" s="60"/>
      <c r="AO263" s="62"/>
      <c r="AP263" s="60"/>
      <c r="AQ263" s="60"/>
    </row>
    <row r="264">
      <c r="A264" s="60"/>
      <c r="B264" s="60"/>
      <c r="C264" s="60"/>
      <c r="D264" s="60"/>
      <c r="E264" s="60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0"/>
      <c r="AL264" s="60"/>
      <c r="AM264" s="60"/>
      <c r="AN264" s="60"/>
      <c r="AO264" s="62"/>
      <c r="AP264" s="60"/>
      <c r="AQ264" s="60"/>
    </row>
    <row r="265">
      <c r="A265" s="60"/>
      <c r="B265" s="60"/>
      <c r="C265" s="60"/>
      <c r="D265" s="60"/>
      <c r="E265" s="60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0"/>
      <c r="AL265" s="60"/>
      <c r="AM265" s="60"/>
      <c r="AN265" s="60"/>
      <c r="AO265" s="62"/>
      <c r="AP265" s="60"/>
      <c r="AQ265" s="60"/>
    </row>
    <row r="266">
      <c r="A266" s="60"/>
      <c r="B266" s="60"/>
      <c r="C266" s="60"/>
      <c r="D266" s="60"/>
      <c r="E266" s="60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0"/>
      <c r="AL266" s="60"/>
      <c r="AM266" s="60"/>
      <c r="AN266" s="60"/>
      <c r="AO266" s="62"/>
      <c r="AP266" s="60"/>
      <c r="AQ266" s="60"/>
    </row>
    <row r="267">
      <c r="A267" s="60"/>
      <c r="B267" s="60"/>
      <c r="C267" s="60"/>
      <c r="D267" s="60"/>
      <c r="E267" s="60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0"/>
      <c r="AL267" s="60"/>
      <c r="AM267" s="60"/>
      <c r="AN267" s="60"/>
      <c r="AO267" s="62"/>
      <c r="AP267" s="60"/>
      <c r="AQ267" s="60"/>
    </row>
    <row r="268">
      <c r="A268" s="60"/>
      <c r="B268" s="60"/>
      <c r="C268" s="60"/>
      <c r="D268" s="60"/>
      <c r="E268" s="60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0"/>
      <c r="AL268" s="60"/>
      <c r="AM268" s="60"/>
      <c r="AN268" s="60"/>
      <c r="AO268" s="62"/>
      <c r="AP268" s="60"/>
      <c r="AQ268" s="60"/>
    </row>
    <row r="269">
      <c r="A269" s="60"/>
      <c r="B269" s="60"/>
      <c r="C269" s="60"/>
      <c r="D269" s="60"/>
      <c r="E269" s="60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0"/>
      <c r="AL269" s="60"/>
      <c r="AM269" s="60"/>
      <c r="AN269" s="60"/>
      <c r="AO269" s="62"/>
      <c r="AP269" s="60"/>
      <c r="AQ269" s="60"/>
    </row>
    <row r="270">
      <c r="A270" s="60"/>
      <c r="B270" s="60"/>
      <c r="C270" s="60"/>
      <c r="D270" s="60"/>
      <c r="E270" s="60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0"/>
      <c r="AL270" s="60"/>
      <c r="AM270" s="60"/>
      <c r="AN270" s="60"/>
      <c r="AO270" s="62"/>
      <c r="AP270" s="60"/>
      <c r="AQ270" s="60"/>
    </row>
    <row r="271">
      <c r="A271" s="60"/>
      <c r="B271" s="60"/>
      <c r="C271" s="60"/>
      <c r="D271" s="60"/>
      <c r="E271" s="60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0"/>
      <c r="AL271" s="60"/>
      <c r="AM271" s="60"/>
      <c r="AN271" s="60"/>
      <c r="AO271" s="62"/>
      <c r="AP271" s="60"/>
      <c r="AQ271" s="60"/>
    </row>
    <row r="272">
      <c r="A272" s="60"/>
      <c r="B272" s="60"/>
      <c r="C272" s="60"/>
      <c r="D272" s="60"/>
      <c r="E272" s="60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0"/>
      <c r="AL272" s="60"/>
      <c r="AM272" s="60"/>
      <c r="AN272" s="60"/>
      <c r="AO272" s="62"/>
      <c r="AP272" s="60"/>
      <c r="AQ272" s="60"/>
    </row>
    <row r="273">
      <c r="A273" s="60"/>
      <c r="B273" s="60"/>
      <c r="C273" s="60"/>
      <c r="D273" s="60"/>
      <c r="E273" s="60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0"/>
      <c r="AL273" s="60"/>
      <c r="AM273" s="60"/>
      <c r="AN273" s="60"/>
      <c r="AO273" s="62"/>
      <c r="AP273" s="60"/>
      <c r="AQ273" s="60"/>
    </row>
    <row r="274">
      <c r="A274" s="60"/>
      <c r="B274" s="60"/>
      <c r="C274" s="60"/>
      <c r="D274" s="60"/>
      <c r="E274" s="60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0"/>
      <c r="AL274" s="60"/>
      <c r="AM274" s="60"/>
      <c r="AN274" s="60"/>
      <c r="AO274" s="62"/>
      <c r="AP274" s="60"/>
      <c r="AQ274" s="60"/>
    </row>
    <row r="275">
      <c r="A275" s="60"/>
      <c r="B275" s="60"/>
      <c r="C275" s="60"/>
      <c r="D275" s="60"/>
      <c r="E275" s="60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0"/>
      <c r="AL275" s="60"/>
      <c r="AM275" s="60"/>
      <c r="AN275" s="60"/>
      <c r="AO275" s="62"/>
      <c r="AP275" s="60"/>
      <c r="AQ275" s="60"/>
    </row>
    <row r="276">
      <c r="A276" s="60"/>
      <c r="B276" s="60"/>
      <c r="C276" s="60"/>
      <c r="D276" s="60"/>
      <c r="E276" s="60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0"/>
      <c r="AL276" s="60"/>
      <c r="AM276" s="60"/>
      <c r="AN276" s="60"/>
      <c r="AO276" s="62"/>
      <c r="AP276" s="60"/>
      <c r="AQ276" s="60"/>
    </row>
    <row r="277">
      <c r="A277" s="60"/>
      <c r="B277" s="60"/>
      <c r="C277" s="60"/>
      <c r="D277" s="60"/>
      <c r="E277" s="60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0"/>
      <c r="AL277" s="60"/>
      <c r="AM277" s="60"/>
      <c r="AN277" s="60"/>
      <c r="AO277" s="62"/>
      <c r="AP277" s="60"/>
      <c r="AQ277" s="60"/>
    </row>
    <row r="278">
      <c r="A278" s="60"/>
      <c r="B278" s="60"/>
      <c r="C278" s="60"/>
      <c r="D278" s="60"/>
      <c r="E278" s="60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0"/>
      <c r="AL278" s="60"/>
      <c r="AM278" s="60"/>
      <c r="AN278" s="60"/>
      <c r="AO278" s="62"/>
      <c r="AP278" s="60"/>
      <c r="AQ278" s="60"/>
    </row>
    <row r="279">
      <c r="A279" s="60"/>
      <c r="B279" s="60"/>
      <c r="C279" s="60"/>
      <c r="D279" s="60"/>
      <c r="E279" s="60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0"/>
      <c r="AL279" s="60"/>
      <c r="AM279" s="60"/>
      <c r="AN279" s="60"/>
      <c r="AO279" s="62"/>
      <c r="AP279" s="60"/>
      <c r="AQ279" s="60"/>
    </row>
    <row r="280">
      <c r="A280" s="60"/>
      <c r="B280" s="60"/>
      <c r="C280" s="60"/>
      <c r="D280" s="60"/>
      <c r="E280" s="60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0"/>
      <c r="AL280" s="60"/>
      <c r="AM280" s="60"/>
      <c r="AN280" s="60"/>
      <c r="AO280" s="62"/>
      <c r="AP280" s="60"/>
      <c r="AQ280" s="60"/>
    </row>
    <row r="281">
      <c r="A281" s="60"/>
      <c r="B281" s="60"/>
      <c r="C281" s="60"/>
      <c r="D281" s="60"/>
      <c r="E281" s="60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0"/>
      <c r="AL281" s="60"/>
      <c r="AM281" s="60"/>
      <c r="AN281" s="60"/>
      <c r="AO281" s="62"/>
      <c r="AP281" s="60"/>
      <c r="AQ281" s="60"/>
    </row>
    <row r="282">
      <c r="A282" s="60"/>
      <c r="B282" s="60"/>
      <c r="C282" s="60"/>
      <c r="D282" s="60"/>
      <c r="E282" s="60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0"/>
      <c r="AL282" s="60"/>
      <c r="AM282" s="60"/>
      <c r="AN282" s="60"/>
      <c r="AO282" s="62"/>
      <c r="AP282" s="60"/>
      <c r="AQ282" s="60"/>
    </row>
    <row r="283">
      <c r="A283" s="60"/>
      <c r="B283" s="60"/>
      <c r="C283" s="60"/>
      <c r="D283" s="60"/>
      <c r="E283" s="60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0"/>
      <c r="AL283" s="60"/>
      <c r="AM283" s="60"/>
      <c r="AN283" s="60"/>
      <c r="AO283" s="62"/>
      <c r="AP283" s="60"/>
      <c r="AQ283" s="60"/>
    </row>
    <row r="284">
      <c r="A284" s="60"/>
      <c r="B284" s="60"/>
      <c r="C284" s="60"/>
      <c r="D284" s="60"/>
      <c r="E284" s="60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0"/>
      <c r="AL284" s="60"/>
      <c r="AM284" s="60"/>
      <c r="AN284" s="60"/>
      <c r="AO284" s="62"/>
      <c r="AP284" s="60"/>
      <c r="AQ284" s="60"/>
    </row>
    <row r="285">
      <c r="A285" s="60"/>
      <c r="B285" s="60"/>
      <c r="C285" s="60"/>
      <c r="D285" s="60"/>
      <c r="E285" s="60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0"/>
      <c r="AL285" s="60"/>
      <c r="AM285" s="60"/>
      <c r="AN285" s="60"/>
      <c r="AO285" s="62"/>
      <c r="AP285" s="60"/>
      <c r="AQ285" s="60"/>
    </row>
    <row r="286">
      <c r="A286" s="60"/>
      <c r="B286" s="60"/>
      <c r="C286" s="60"/>
      <c r="D286" s="60"/>
      <c r="E286" s="60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0"/>
      <c r="AL286" s="60"/>
      <c r="AM286" s="60"/>
      <c r="AN286" s="60"/>
      <c r="AO286" s="62"/>
      <c r="AP286" s="60"/>
      <c r="AQ286" s="60"/>
    </row>
    <row r="287">
      <c r="A287" s="60"/>
      <c r="B287" s="60"/>
      <c r="C287" s="60"/>
      <c r="D287" s="60"/>
      <c r="E287" s="60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0"/>
      <c r="AL287" s="60"/>
      <c r="AM287" s="60"/>
      <c r="AN287" s="60"/>
      <c r="AO287" s="62"/>
      <c r="AP287" s="60"/>
      <c r="AQ287" s="60"/>
    </row>
    <row r="288">
      <c r="A288" s="60"/>
      <c r="B288" s="60"/>
      <c r="C288" s="60"/>
      <c r="D288" s="60"/>
      <c r="E288" s="60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0"/>
      <c r="AL288" s="60"/>
      <c r="AM288" s="60"/>
      <c r="AN288" s="60"/>
      <c r="AO288" s="62"/>
      <c r="AP288" s="60"/>
      <c r="AQ288" s="60"/>
    </row>
    <row r="289">
      <c r="A289" s="60"/>
      <c r="B289" s="60"/>
      <c r="C289" s="60"/>
      <c r="D289" s="60"/>
      <c r="E289" s="60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0"/>
      <c r="AL289" s="60"/>
      <c r="AM289" s="60"/>
      <c r="AN289" s="60"/>
      <c r="AO289" s="62"/>
      <c r="AP289" s="60"/>
      <c r="AQ289" s="60"/>
    </row>
    <row r="290">
      <c r="A290" s="60"/>
      <c r="B290" s="60"/>
      <c r="C290" s="60"/>
      <c r="D290" s="60"/>
      <c r="E290" s="60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0"/>
      <c r="AL290" s="60"/>
      <c r="AM290" s="60"/>
      <c r="AN290" s="60"/>
      <c r="AO290" s="62"/>
      <c r="AP290" s="60"/>
      <c r="AQ290" s="60"/>
    </row>
    <row r="291">
      <c r="A291" s="60"/>
      <c r="B291" s="60"/>
      <c r="C291" s="60"/>
      <c r="D291" s="60"/>
      <c r="E291" s="60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0"/>
      <c r="AL291" s="60"/>
      <c r="AM291" s="60"/>
      <c r="AN291" s="60"/>
      <c r="AO291" s="62"/>
      <c r="AP291" s="60"/>
      <c r="AQ291" s="60"/>
    </row>
    <row r="292">
      <c r="A292" s="60"/>
      <c r="B292" s="60"/>
      <c r="C292" s="60"/>
      <c r="D292" s="60"/>
      <c r="E292" s="60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0"/>
      <c r="AL292" s="60"/>
      <c r="AM292" s="60"/>
      <c r="AN292" s="60"/>
      <c r="AO292" s="62"/>
      <c r="AP292" s="60"/>
      <c r="AQ292" s="60"/>
    </row>
    <row r="293">
      <c r="A293" s="60"/>
      <c r="B293" s="60"/>
      <c r="C293" s="60"/>
      <c r="D293" s="60"/>
      <c r="E293" s="60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0"/>
      <c r="AL293" s="60"/>
      <c r="AM293" s="60"/>
      <c r="AN293" s="60"/>
      <c r="AO293" s="62"/>
      <c r="AP293" s="60"/>
      <c r="AQ293" s="60"/>
    </row>
    <row r="294">
      <c r="A294" s="60"/>
      <c r="B294" s="60"/>
      <c r="C294" s="60"/>
      <c r="D294" s="60"/>
      <c r="E294" s="60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0"/>
      <c r="AL294" s="60"/>
      <c r="AM294" s="60"/>
      <c r="AN294" s="60"/>
      <c r="AO294" s="62"/>
      <c r="AP294" s="60"/>
      <c r="AQ294" s="60"/>
    </row>
    <row r="295">
      <c r="A295" s="60"/>
      <c r="B295" s="60"/>
      <c r="C295" s="60"/>
      <c r="D295" s="60"/>
      <c r="E295" s="60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0"/>
      <c r="AL295" s="60"/>
      <c r="AM295" s="60"/>
      <c r="AN295" s="60"/>
      <c r="AO295" s="62"/>
      <c r="AP295" s="60"/>
      <c r="AQ295" s="60"/>
    </row>
    <row r="296">
      <c r="A296" s="60"/>
      <c r="B296" s="60"/>
      <c r="C296" s="60"/>
      <c r="D296" s="60"/>
      <c r="E296" s="60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0"/>
      <c r="AL296" s="60"/>
      <c r="AM296" s="60"/>
      <c r="AN296" s="60"/>
      <c r="AO296" s="62"/>
      <c r="AP296" s="60"/>
      <c r="AQ296" s="60"/>
    </row>
    <row r="297">
      <c r="A297" s="60"/>
      <c r="B297" s="60"/>
      <c r="C297" s="60"/>
      <c r="D297" s="60"/>
      <c r="E297" s="60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0"/>
      <c r="AL297" s="60"/>
      <c r="AM297" s="60"/>
      <c r="AN297" s="60"/>
      <c r="AO297" s="62"/>
      <c r="AP297" s="60"/>
      <c r="AQ297" s="60"/>
    </row>
    <row r="298">
      <c r="A298" s="60"/>
      <c r="B298" s="60"/>
      <c r="C298" s="60"/>
      <c r="D298" s="60"/>
      <c r="E298" s="60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0"/>
      <c r="AL298" s="60"/>
      <c r="AM298" s="60"/>
      <c r="AN298" s="60"/>
      <c r="AO298" s="62"/>
      <c r="AP298" s="60"/>
      <c r="AQ298" s="60"/>
    </row>
    <row r="299">
      <c r="A299" s="60"/>
      <c r="B299" s="60"/>
      <c r="C299" s="60"/>
      <c r="D299" s="60"/>
      <c r="E299" s="60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0"/>
      <c r="AL299" s="60"/>
      <c r="AM299" s="60"/>
      <c r="AN299" s="60"/>
      <c r="AO299" s="62"/>
      <c r="AP299" s="60"/>
      <c r="AQ299" s="60"/>
    </row>
    <row r="300">
      <c r="A300" s="60"/>
      <c r="B300" s="60"/>
      <c r="C300" s="60"/>
      <c r="D300" s="60"/>
      <c r="E300" s="60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0"/>
      <c r="AL300" s="60"/>
      <c r="AM300" s="60"/>
      <c r="AN300" s="60"/>
      <c r="AO300" s="62"/>
      <c r="AP300" s="60"/>
      <c r="AQ300" s="60"/>
    </row>
    <row r="301">
      <c r="A301" s="60"/>
      <c r="B301" s="60"/>
      <c r="C301" s="60"/>
      <c r="D301" s="60"/>
      <c r="E301" s="60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0"/>
      <c r="AL301" s="60"/>
      <c r="AM301" s="60"/>
      <c r="AN301" s="60"/>
      <c r="AO301" s="62"/>
      <c r="AP301" s="60"/>
      <c r="AQ301" s="60"/>
    </row>
    <row r="302">
      <c r="A302" s="60"/>
      <c r="B302" s="60"/>
      <c r="C302" s="60"/>
      <c r="D302" s="60"/>
      <c r="E302" s="60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0"/>
      <c r="AL302" s="60"/>
      <c r="AM302" s="60"/>
      <c r="AN302" s="60"/>
      <c r="AO302" s="62"/>
      <c r="AP302" s="60"/>
      <c r="AQ302" s="60"/>
    </row>
    <row r="303">
      <c r="A303" s="60"/>
      <c r="B303" s="60"/>
      <c r="C303" s="60"/>
      <c r="D303" s="60"/>
      <c r="E303" s="60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0"/>
      <c r="AL303" s="60"/>
      <c r="AM303" s="60"/>
      <c r="AN303" s="60"/>
      <c r="AO303" s="62"/>
      <c r="AP303" s="60"/>
      <c r="AQ303" s="60"/>
    </row>
    <row r="304">
      <c r="A304" s="60"/>
      <c r="B304" s="60"/>
      <c r="C304" s="60"/>
      <c r="D304" s="60"/>
      <c r="E304" s="60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0"/>
      <c r="AL304" s="60"/>
      <c r="AM304" s="60"/>
      <c r="AN304" s="60"/>
      <c r="AO304" s="62"/>
      <c r="AP304" s="60"/>
      <c r="AQ304" s="60"/>
    </row>
    <row r="305">
      <c r="A305" s="60"/>
      <c r="B305" s="60"/>
      <c r="C305" s="60"/>
      <c r="D305" s="60"/>
      <c r="E305" s="60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0"/>
      <c r="AL305" s="60"/>
      <c r="AM305" s="60"/>
      <c r="AN305" s="60"/>
      <c r="AO305" s="62"/>
      <c r="AP305" s="60"/>
      <c r="AQ305" s="60"/>
    </row>
    <row r="306">
      <c r="A306" s="60"/>
      <c r="B306" s="60"/>
      <c r="C306" s="60"/>
      <c r="D306" s="60"/>
      <c r="E306" s="60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0"/>
      <c r="AL306" s="60"/>
      <c r="AM306" s="60"/>
      <c r="AN306" s="60"/>
      <c r="AO306" s="62"/>
      <c r="AP306" s="60"/>
      <c r="AQ306" s="60"/>
    </row>
    <row r="307">
      <c r="A307" s="60"/>
      <c r="B307" s="60"/>
      <c r="C307" s="60"/>
      <c r="D307" s="60"/>
      <c r="E307" s="60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0"/>
      <c r="AL307" s="60"/>
      <c r="AM307" s="60"/>
      <c r="AN307" s="60"/>
      <c r="AO307" s="62"/>
      <c r="AP307" s="60"/>
      <c r="AQ307" s="60"/>
    </row>
    <row r="308">
      <c r="A308" s="60"/>
      <c r="B308" s="60"/>
      <c r="C308" s="60"/>
      <c r="D308" s="60"/>
      <c r="E308" s="60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0"/>
      <c r="AL308" s="60"/>
      <c r="AM308" s="60"/>
      <c r="AN308" s="60"/>
      <c r="AO308" s="62"/>
      <c r="AP308" s="60"/>
      <c r="AQ308" s="60"/>
    </row>
    <row r="309">
      <c r="A309" s="60"/>
      <c r="B309" s="60"/>
      <c r="C309" s="60"/>
      <c r="D309" s="60"/>
      <c r="E309" s="60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0"/>
      <c r="AL309" s="60"/>
      <c r="AM309" s="60"/>
      <c r="AN309" s="60"/>
      <c r="AO309" s="62"/>
      <c r="AP309" s="60"/>
      <c r="AQ309" s="60"/>
    </row>
    <row r="310">
      <c r="A310" s="60"/>
      <c r="B310" s="60"/>
      <c r="C310" s="60"/>
      <c r="D310" s="60"/>
      <c r="E310" s="60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0"/>
      <c r="AL310" s="60"/>
      <c r="AM310" s="60"/>
      <c r="AN310" s="60"/>
      <c r="AO310" s="62"/>
      <c r="AP310" s="60"/>
      <c r="AQ310" s="60"/>
    </row>
    <row r="311">
      <c r="A311" s="60"/>
      <c r="B311" s="60"/>
      <c r="C311" s="60"/>
      <c r="D311" s="60"/>
      <c r="E311" s="60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0"/>
      <c r="AL311" s="60"/>
      <c r="AM311" s="60"/>
      <c r="AN311" s="60"/>
      <c r="AO311" s="62"/>
      <c r="AP311" s="60"/>
      <c r="AQ311" s="60"/>
    </row>
    <row r="312">
      <c r="A312" s="60"/>
      <c r="B312" s="60"/>
      <c r="C312" s="60"/>
      <c r="D312" s="60"/>
      <c r="E312" s="60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0"/>
      <c r="AL312" s="60"/>
      <c r="AM312" s="60"/>
      <c r="AN312" s="60"/>
      <c r="AO312" s="62"/>
      <c r="AP312" s="60"/>
      <c r="AQ312" s="60"/>
    </row>
    <row r="313">
      <c r="A313" s="60"/>
      <c r="B313" s="60"/>
      <c r="C313" s="60"/>
      <c r="D313" s="60"/>
      <c r="E313" s="60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0"/>
      <c r="AL313" s="60"/>
      <c r="AM313" s="60"/>
      <c r="AN313" s="60"/>
      <c r="AO313" s="62"/>
      <c r="AP313" s="60"/>
      <c r="AQ313" s="60"/>
    </row>
    <row r="314">
      <c r="A314" s="60"/>
      <c r="B314" s="60"/>
      <c r="C314" s="60"/>
      <c r="D314" s="60"/>
      <c r="E314" s="60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0"/>
      <c r="AL314" s="60"/>
      <c r="AM314" s="60"/>
      <c r="AN314" s="60"/>
      <c r="AO314" s="62"/>
      <c r="AP314" s="60"/>
      <c r="AQ314" s="60"/>
    </row>
    <row r="315">
      <c r="A315" s="60"/>
      <c r="B315" s="60"/>
      <c r="C315" s="60"/>
      <c r="D315" s="60"/>
      <c r="E315" s="60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0"/>
      <c r="AL315" s="60"/>
      <c r="AM315" s="60"/>
      <c r="AN315" s="60"/>
      <c r="AO315" s="62"/>
      <c r="AP315" s="60"/>
      <c r="AQ315" s="60"/>
    </row>
    <row r="316">
      <c r="A316" s="60"/>
      <c r="B316" s="60"/>
      <c r="C316" s="60"/>
      <c r="D316" s="60"/>
      <c r="E316" s="60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0"/>
      <c r="AL316" s="60"/>
      <c r="AM316" s="60"/>
      <c r="AN316" s="60"/>
      <c r="AO316" s="62"/>
      <c r="AP316" s="60"/>
      <c r="AQ316" s="60"/>
    </row>
    <row r="317">
      <c r="A317" s="60"/>
      <c r="B317" s="60"/>
      <c r="C317" s="60"/>
      <c r="D317" s="60"/>
      <c r="E317" s="60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0"/>
      <c r="AL317" s="60"/>
      <c r="AM317" s="60"/>
      <c r="AN317" s="60"/>
      <c r="AO317" s="62"/>
      <c r="AP317" s="60"/>
      <c r="AQ317" s="60"/>
    </row>
    <row r="318">
      <c r="A318" s="60"/>
      <c r="B318" s="60"/>
      <c r="C318" s="60"/>
      <c r="D318" s="60"/>
      <c r="E318" s="60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0"/>
      <c r="AL318" s="60"/>
      <c r="AM318" s="60"/>
      <c r="AN318" s="60"/>
      <c r="AO318" s="62"/>
      <c r="AP318" s="60"/>
      <c r="AQ318" s="60"/>
    </row>
    <row r="319">
      <c r="A319" s="60"/>
      <c r="B319" s="60"/>
      <c r="C319" s="60"/>
      <c r="D319" s="60"/>
      <c r="E319" s="60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0"/>
      <c r="AL319" s="60"/>
      <c r="AM319" s="60"/>
      <c r="AN319" s="60"/>
      <c r="AO319" s="62"/>
      <c r="AP319" s="60"/>
      <c r="AQ319" s="60"/>
    </row>
    <row r="320">
      <c r="A320" s="60"/>
      <c r="B320" s="60"/>
      <c r="C320" s="60"/>
      <c r="D320" s="60"/>
      <c r="E320" s="60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0"/>
      <c r="AL320" s="60"/>
      <c r="AM320" s="60"/>
      <c r="AN320" s="60"/>
      <c r="AO320" s="62"/>
      <c r="AP320" s="60"/>
      <c r="AQ320" s="60"/>
    </row>
    <row r="321">
      <c r="A321" s="60"/>
      <c r="B321" s="60"/>
      <c r="C321" s="60"/>
      <c r="D321" s="60"/>
      <c r="E321" s="60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0"/>
      <c r="AL321" s="60"/>
      <c r="AM321" s="60"/>
      <c r="AN321" s="60"/>
      <c r="AO321" s="62"/>
      <c r="AP321" s="60"/>
      <c r="AQ321" s="60"/>
    </row>
    <row r="322">
      <c r="A322" s="60"/>
      <c r="B322" s="60"/>
      <c r="C322" s="60"/>
      <c r="D322" s="60"/>
      <c r="E322" s="60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0"/>
      <c r="AL322" s="60"/>
      <c r="AM322" s="60"/>
      <c r="AN322" s="60"/>
      <c r="AO322" s="62"/>
      <c r="AP322" s="60"/>
      <c r="AQ322" s="60"/>
    </row>
    <row r="323">
      <c r="A323" s="60"/>
      <c r="B323" s="60"/>
      <c r="C323" s="60"/>
      <c r="D323" s="60"/>
      <c r="E323" s="60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0"/>
      <c r="AL323" s="60"/>
      <c r="AM323" s="60"/>
      <c r="AN323" s="60"/>
      <c r="AO323" s="62"/>
      <c r="AP323" s="60"/>
      <c r="AQ323" s="60"/>
    </row>
    <row r="324">
      <c r="A324" s="60"/>
      <c r="B324" s="60"/>
      <c r="C324" s="60"/>
      <c r="D324" s="60"/>
      <c r="E324" s="60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0"/>
      <c r="AL324" s="60"/>
      <c r="AM324" s="60"/>
      <c r="AN324" s="60"/>
      <c r="AO324" s="62"/>
      <c r="AP324" s="60"/>
      <c r="AQ324" s="60"/>
    </row>
    <row r="325">
      <c r="A325" s="60"/>
      <c r="B325" s="60"/>
      <c r="C325" s="60"/>
      <c r="D325" s="60"/>
      <c r="E325" s="60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0"/>
      <c r="AL325" s="60"/>
      <c r="AM325" s="60"/>
      <c r="AN325" s="60"/>
      <c r="AO325" s="62"/>
      <c r="AP325" s="60"/>
      <c r="AQ325" s="60"/>
    </row>
    <row r="326">
      <c r="A326" s="60"/>
      <c r="B326" s="60"/>
      <c r="C326" s="60"/>
      <c r="D326" s="60"/>
      <c r="E326" s="60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0"/>
      <c r="AL326" s="60"/>
      <c r="AM326" s="60"/>
      <c r="AN326" s="60"/>
      <c r="AO326" s="62"/>
      <c r="AP326" s="60"/>
      <c r="AQ326" s="60"/>
    </row>
    <row r="327">
      <c r="A327" s="60"/>
      <c r="B327" s="60"/>
      <c r="C327" s="60"/>
      <c r="D327" s="60"/>
      <c r="E327" s="60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0"/>
      <c r="AL327" s="60"/>
      <c r="AM327" s="60"/>
      <c r="AN327" s="60"/>
      <c r="AO327" s="62"/>
      <c r="AP327" s="60"/>
      <c r="AQ327" s="60"/>
    </row>
    <row r="328">
      <c r="A328" s="60"/>
      <c r="B328" s="60"/>
      <c r="C328" s="60"/>
      <c r="D328" s="60"/>
      <c r="E328" s="60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0"/>
      <c r="AL328" s="60"/>
      <c r="AM328" s="60"/>
      <c r="AN328" s="60"/>
      <c r="AO328" s="62"/>
      <c r="AP328" s="60"/>
      <c r="AQ328" s="60"/>
    </row>
    <row r="329">
      <c r="A329" s="60"/>
      <c r="B329" s="60"/>
      <c r="C329" s="60"/>
      <c r="D329" s="60"/>
      <c r="E329" s="60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0"/>
      <c r="AL329" s="60"/>
      <c r="AM329" s="60"/>
      <c r="AN329" s="60"/>
      <c r="AO329" s="62"/>
      <c r="AP329" s="60"/>
      <c r="AQ329" s="60"/>
    </row>
    <row r="330">
      <c r="A330" s="60"/>
      <c r="B330" s="60"/>
      <c r="C330" s="60"/>
      <c r="D330" s="60"/>
      <c r="E330" s="60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0"/>
      <c r="AL330" s="60"/>
      <c r="AM330" s="60"/>
      <c r="AN330" s="60"/>
      <c r="AO330" s="62"/>
      <c r="AP330" s="60"/>
      <c r="AQ330" s="60"/>
    </row>
    <row r="331">
      <c r="A331" s="60"/>
      <c r="B331" s="60"/>
      <c r="C331" s="60"/>
      <c r="D331" s="60"/>
      <c r="E331" s="60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0"/>
      <c r="AL331" s="60"/>
      <c r="AM331" s="60"/>
      <c r="AN331" s="60"/>
      <c r="AO331" s="62"/>
      <c r="AP331" s="60"/>
      <c r="AQ331" s="60"/>
    </row>
    <row r="332">
      <c r="A332" s="60"/>
      <c r="B332" s="60"/>
      <c r="C332" s="60"/>
      <c r="D332" s="60"/>
      <c r="E332" s="60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0"/>
      <c r="AL332" s="60"/>
      <c r="AM332" s="60"/>
      <c r="AN332" s="60"/>
      <c r="AO332" s="62"/>
      <c r="AP332" s="60"/>
      <c r="AQ332" s="60"/>
    </row>
    <row r="333">
      <c r="A333" s="60"/>
      <c r="B333" s="60"/>
      <c r="C333" s="60"/>
      <c r="D333" s="60"/>
      <c r="E333" s="60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0"/>
      <c r="AL333" s="60"/>
      <c r="AM333" s="60"/>
      <c r="AN333" s="60"/>
      <c r="AO333" s="62"/>
      <c r="AP333" s="60"/>
      <c r="AQ333" s="60"/>
    </row>
    <row r="334">
      <c r="A334" s="60"/>
      <c r="B334" s="60"/>
      <c r="C334" s="60"/>
      <c r="D334" s="60"/>
      <c r="E334" s="60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0"/>
      <c r="AL334" s="60"/>
      <c r="AM334" s="60"/>
      <c r="AN334" s="60"/>
      <c r="AO334" s="62"/>
      <c r="AP334" s="60"/>
      <c r="AQ334" s="60"/>
    </row>
    <row r="335">
      <c r="A335" s="60"/>
      <c r="B335" s="60"/>
      <c r="C335" s="60"/>
      <c r="D335" s="60"/>
      <c r="E335" s="60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0"/>
      <c r="AL335" s="60"/>
      <c r="AM335" s="60"/>
      <c r="AN335" s="60"/>
      <c r="AO335" s="62"/>
      <c r="AP335" s="60"/>
      <c r="AQ335" s="60"/>
    </row>
    <row r="336">
      <c r="A336" s="60"/>
      <c r="B336" s="60"/>
      <c r="C336" s="60"/>
      <c r="D336" s="60"/>
      <c r="E336" s="60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0"/>
      <c r="AL336" s="60"/>
      <c r="AM336" s="60"/>
      <c r="AN336" s="60"/>
      <c r="AO336" s="62"/>
      <c r="AP336" s="60"/>
      <c r="AQ336" s="60"/>
    </row>
    <row r="337">
      <c r="A337" s="60"/>
      <c r="B337" s="60"/>
      <c r="C337" s="60"/>
      <c r="D337" s="60"/>
      <c r="E337" s="60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0"/>
      <c r="AL337" s="60"/>
      <c r="AM337" s="60"/>
      <c r="AN337" s="60"/>
      <c r="AO337" s="62"/>
      <c r="AP337" s="60"/>
      <c r="AQ337" s="60"/>
    </row>
    <row r="338">
      <c r="A338" s="60"/>
      <c r="B338" s="60"/>
      <c r="C338" s="60"/>
      <c r="D338" s="60"/>
      <c r="E338" s="60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0"/>
      <c r="AL338" s="60"/>
      <c r="AM338" s="60"/>
      <c r="AN338" s="60"/>
      <c r="AO338" s="62"/>
      <c r="AP338" s="60"/>
      <c r="AQ338" s="60"/>
    </row>
    <row r="339">
      <c r="A339" s="60"/>
      <c r="B339" s="60"/>
      <c r="C339" s="60"/>
      <c r="D339" s="60"/>
      <c r="E339" s="60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0"/>
      <c r="AL339" s="60"/>
      <c r="AM339" s="60"/>
      <c r="AN339" s="60"/>
      <c r="AO339" s="62"/>
      <c r="AP339" s="60"/>
      <c r="AQ339" s="60"/>
    </row>
    <row r="340">
      <c r="A340" s="60"/>
      <c r="B340" s="60"/>
      <c r="C340" s="60"/>
      <c r="D340" s="60"/>
      <c r="E340" s="60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0"/>
      <c r="AL340" s="60"/>
      <c r="AM340" s="60"/>
      <c r="AN340" s="60"/>
      <c r="AO340" s="62"/>
      <c r="AP340" s="60"/>
      <c r="AQ340" s="60"/>
    </row>
    <row r="341">
      <c r="A341" s="60"/>
      <c r="B341" s="60"/>
      <c r="C341" s="60"/>
      <c r="D341" s="60"/>
      <c r="E341" s="60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0"/>
      <c r="AL341" s="60"/>
      <c r="AM341" s="60"/>
      <c r="AN341" s="60"/>
      <c r="AO341" s="62"/>
      <c r="AP341" s="60"/>
      <c r="AQ341" s="60"/>
    </row>
    <row r="342">
      <c r="A342" s="60"/>
      <c r="B342" s="60"/>
      <c r="C342" s="60"/>
      <c r="D342" s="60"/>
      <c r="E342" s="60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0"/>
      <c r="AL342" s="60"/>
      <c r="AM342" s="60"/>
      <c r="AN342" s="60"/>
      <c r="AO342" s="62"/>
      <c r="AP342" s="60"/>
      <c r="AQ342" s="60"/>
    </row>
    <row r="343">
      <c r="A343" s="60"/>
      <c r="B343" s="60"/>
      <c r="C343" s="60"/>
      <c r="D343" s="60"/>
      <c r="E343" s="60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0"/>
      <c r="AL343" s="60"/>
      <c r="AM343" s="60"/>
      <c r="AN343" s="60"/>
      <c r="AO343" s="62"/>
      <c r="AP343" s="60"/>
      <c r="AQ343" s="60"/>
    </row>
    <row r="344">
      <c r="A344" s="60"/>
      <c r="B344" s="60"/>
      <c r="C344" s="60"/>
      <c r="D344" s="60"/>
      <c r="E344" s="60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0"/>
      <c r="AL344" s="60"/>
      <c r="AM344" s="60"/>
      <c r="AN344" s="60"/>
      <c r="AO344" s="62"/>
      <c r="AP344" s="60"/>
      <c r="AQ344" s="60"/>
    </row>
    <row r="345">
      <c r="A345" s="60"/>
      <c r="B345" s="60"/>
      <c r="C345" s="60"/>
      <c r="D345" s="60"/>
      <c r="E345" s="60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0"/>
      <c r="AL345" s="60"/>
      <c r="AM345" s="60"/>
      <c r="AN345" s="60"/>
      <c r="AO345" s="62"/>
      <c r="AP345" s="60"/>
      <c r="AQ345" s="60"/>
    </row>
    <row r="346">
      <c r="A346" s="60"/>
      <c r="B346" s="60"/>
      <c r="C346" s="60"/>
      <c r="D346" s="60"/>
      <c r="E346" s="60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0"/>
      <c r="AL346" s="60"/>
      <c r="AM346" s="60"/>
      <c r="AN346" s="60"/>
      <c r="AO346" s="62"/>
      <c r="AP346" s="60"/>
      <c r="AQ346" s="60"/>
    </row>
    <row r="347">
      <c r="A347" s="60"/>
      <c r="B347" s="60"/>
      <c r="C347" s="60"/>
      <c r="D347" s="60"/>
      <c r="E347" s="60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0"/>
      <c r="AL347" s="60"/>
      <c r="AM347" s="60"/>
      <c r="AN347" s="60"/>
      <c r="AO347" s="62"/>
      <c r="AP347" s="60"/>
      <c r="AQ347" s="60"/>
    </row>
    <row r="348">
      <c r="A348" s="60"/>
      <c r="B348" s="60"/>
      <c r="C348" s="60"/>
      <c r="D348" s="60"/>
      <c r="E348" s="60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0"/>
      <c r="AL348" s="60"/>
      <c r="AM348" s="60"/>
      <c r="AN348" s="60"/>
      <c r="AO348" s="62"/>
      <c r="AP348" s="60"/>
      <c r="AQ348" s="60"/>
    </row>
    <row r="349">
      <c r="A349" s="60"/>
      <c r="B349" s="60"/>
      <c r="C349" s="60"/>
      <c r="D349" s="60"/>
      <c r="E349" s="60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0"/>
      <c r="AL349" s="60"/>
      <c r="AM349" s="60"/>
      <c r="AN349" s="60"/>
      <c r="AO349" s="62"/>
      <c r="AP349" s="60"/>
      <c r="AQ349" s="60"/>
    </row>
    <row r="350">
      <c r="A350" s="60"/>
      <c r="B350" s="60"/>
      <c r="C350" s="60"/>
      <c r="D350" s="60"/>
      <c r="E350" s="60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0"/>
      <c r="AL350" s="60"/>
      <c r="AM350" s="60"/>
      <c r="AN350" s="60"/>
      <c r="AO350" s="62"/>
      <c r="AP350" s="60"/>
      <c r="AQ350" s="60"/>
    </row>
    <row r="351">
      <c r="A351" s="60"/>
      <c r="B351" s="60"/>
      <c r="C351" s="60"/>
      <c r="D351" s="60"/>
      <c r="E351" s="60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0"/>
      <c r="AL351" s="60"/>
      <c r="AM351" s="60"/>
      <c r="AN351" s="60"/>
      <c r="AO351" s="62"/>
      <c r="AP351" s="60"/>
      <c r="AQ351" s="60"/>
    </row>
    <row r="352">
      <c r="A352" s="60"/>
      <c r="B352" s="60"/>
      <c r="C352" s="60"/>
      <c r="D352" s="60"/>
      <c r="E352" s="60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0"/>
      <c r="AL352" s="60"/>
      <c r="AM352" s="60"/>
      <c r="AN352" s="60"/>
      <c r="AO352" s="62"/>
      <c r="AP352" s="60"/>
      <c r="AQ352" s="60"/>
    </row>
    <row r="353">
      <c r="A353" s="60"/>
      <c r="B353" s="60"/>
      <c r="C353" s="60"/>
      <c r="D353" s="60"/>
      <c r="E353" s="60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0"/>
      <c r="AL353" s="60"/>
      <c r="AM353" s="60"/>
      <c r="AN353" s="60"/>
      <c r="AO353" s="62"/>
      <c r="AP353" s="60"/>
      <c r="AQ353" s="60"/>
    </row>
    <row r="354">
      <c r="A354" s="60"/>
      <c r="B354" s="60"/>
      <c r="C354" s="60"/>
      <c r="D354" s="60"/>
      <c r="E354" s="60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0"/>
      <c r="AL354" s="60"/>
      <c r="AM354" s="60"/>
      <c r="AN354" s="60"/>
      <c r="AO354" s="62"/>
      <c r="AP354" s="60"/>
      <c r="AQ354" s="60"/>
    </row>
    <row r="355">
      <c r="A355" s="60"/>
      <c r="B355" s="60"/>
      <c r="C355" s="60"/>
      <c r="D355" s="60"/>
      <c r="E355" s="60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0"/>
      <c r="AL355" s="60"/>
      <c r="AM355" s="60"/>
      <c r="AN355" s="60"/>
      <c r="AO355" s="62"/>
      <c r="AP355" s="60"/>
      <c r="AQ355" s="60"/>
    </row>
    <row r="356">
      <c r="A356" s="60"/>
      <c r="B356" s="60"/>
      <c r="C356" s="60"/>
      <c r="D356" s="60"/>
      <c r="E356" s="60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0"/>
      <c r="AL356" s="60"/>
      <c r="AM356" s="60"/>
      <c r="AN356" s="60"/>
      <c r="AO356" s="62"/>
      <c r="AP356" s="60"/>
      <c r="AQ356" s="60"/>
    </row>
    <row r="357">
      <c r="A357" s="60"/>
      <c r="B357" s="60"/>
      <c r="C357" s="60"/>
      <c r="D357" s="60"/>
      <c r="E357" s="60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0"/>
      <c r="AL357" s="60"/>
      <c r="AM357" s="60"/>
      <c r="AN357" s="60"/>
      <c r="AO357" s="62"/>
      <c r="AP357" s="60"/>
      <c r="AQ357" s="60"/>
    </row>
    <row r="358">
      <c r="A358" s="60"/>
      <c r="B358" s="60"/>
      <c r="C358" s="60"/>
      <c r="D358" s="60"/>
      <c r="E358" s="60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0"/>
      <c r="AL358" s="60"/>
      <c r="AM358" s="60"/>
      <c r="AN358" s="60"/>
      <c r="AO358" s="62"/>
      <c r="AP358" s="60"/>
      <c r="AQ358" s="60"/>
    </row>
    <row r="359">
      <c r="A359" s="60"/>
      <c r="B359" s="60"/>
      <c r="C359" s="60"/>
      <c r="D359" s="60"/>
      <c r="E359" s="60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0"/>
      <c r="AL359" s="60"/>
      <c r="AM359" s="60"/>
      <c r="AN359" s="60"/>
      <c r="AO359" s="62"/>
      <c r="AP359" s="60"/>
      <c r="AQ359" s="60"/>
    </row>
    <row r="360">
      <c r="A360" s="60"/>
      <c r="B360" s="60"/>
      <c r="C360" s="60"/>
      <c r="D360" s="60"/>
      <c r="E360" s="60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0"/>
      <c r="AL360" s="60"/>
      <c r="AM360" s="60"/>
      <c r="AN360" s="60"/>
      <c r="AO360" s="62"/>
      <c r="AP360" s="60"/>
      <c r="AQ360" s="60"/>
    </row>
    <row r="361">
      <c r="A361" s="60"/>
      <c r="B361" s="60"/>
      <c r="C361" s="60"/>
      <c r="D361" s="60"/>
      <c r="E361" s="60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0"/>
      <c r="AL361" s="60"/>
      <c r="AM361" s="60"/>
      <c r="AN361" s="60"/>
      <c r="AO361" s="62"/>
      <c r="AP361" s="60"/>
      <c r="AQ361" s="60"/>
    </row>
    <row r="362">
      <c r="A362" s="60"/>
      <c r="B362" s="60"/>
      <c r="C362" s="60"/>
      <c r="D362" s="60"/>
      <c r="E362" s="60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0"/>
      <c r="AL362" s="60"/>
      <c r="AM362" s="60"/>
      <c r="AN362" s="60"/>
      <c r="AO362" s="62"/>
      <c r="AP362" s="60"/>
      <c r="AQ362" s="60"/>
    </row>
    <row r="363">
      <c r="A363" s="60"/>
      <c r="B363" s="60"/>
      <c r="C363" s="60"/>
      <c r="D363" s="60"/>
      <c r="E363" s="60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0"/>
      <c r="AL363" s="60"/>
      <c r="AM363" s="60"/>
      <c r="AN363" s="60"/>
      <c r="AO363" s="62"/>
      <c r="AP363" s="60"/>
      <c r="AQ363" s="60"/>
    </row>
    <row r="364">
      <c r="A364" s="60"/>
      <c r="B364" s="60"/>
      <c r="C364" s="60"/>
      <c r="D364" s="60"/>
      <c r="E364" s="60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0"/>
      <c r="AL364" s="60"/>
      <c r="AM364" s="60"/>
      <c r="AN364" s="60"/>
      <c r="AO364" s="62"/>
      <c r="AP364" s="60"/>
      <c r="AQ364" s="60"/>
    </row>
    <row r="365">
      <c r="A365" s="60"/>
      <c r="B365" s="60"/>
      <c r="C365" s="60"/>
      <c r="D365" s="60"/>
      <c r="E365" s="60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0"/>
      <c r="AL365" s="60"/>
      <c r="AM365" s="60"/>
      <c r="AN365" s="60"/>
      <c r="AO365" s="62"/>
      <c r="AP365" s="60"/>
      <c r="AQ365" s="60"/>
    </row>
    <row r="366">
      <c r="A366" s="60"/>
      <c r="B366" s="60"/>
      <c r="C366" s="60"/>
      <c r="D366" s="60"/>
      <c r="E366" s="60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0"/>
      <c r="AL366" s="60"/>
      <c r="AM366" s="60"/>
      <c r="AN366" s="60"/>
      <c r="AO366" s="62"/>
      <c r="AP366" s="60"/>
      <c r="AQ366" s="60"/>
    </row>
    <row r="367">
      <c r="A367" s="60"/>
      <c r="B367" s="60"/>
      <c r="C367" s="60"/>
      <c r="D367" s="60"/>
      <c r="E367" s="60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0"/>
      <c r="AL367" s="60"/>
      <c r="AM367" s="60"/>
      <c r="AN367" s="60"/>
      <c r="AO367" s="62"/>
      <c r="AP367" s="60"/>
      <c r="AQ367" s="60"/>
    </row>
    <row r="368">
      <c r="A368" s="60"/>
      <c r="B368" s="60"/>
      <c r="C368" s="60"/>
      <c r="D368" s="60"/>
      <c r="E368" s="60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0"/>
      <c r="AL368" s="60"/>
      <c r="AM368" s="60"/>
      <c r="AN368" s="60"/>
      <c r="AO368" s="62"/>
      <c r="AP368" s="60"/>
      <c r="AQ368" s="60"/>
    </row>
    <row r="369">
      <c r="A369" s="60"/>
      <c r="B369" s="60"/>
      <c r="C369" s="60"/>
      <c r="D369" s="60"/>
      <c r="E369" s="60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0"/>
      <c r="AL369" s="60"/>
      <c r="AM369" s="60"/>
      <c r="AN369" s="60"/>
      <c r="AO369" s="62"/>
      <c r="AP369" s="60"/>
      <c r="AQ369" s="60"/>
    </row>
    <row r="370">
      <c r="A370" s="60"/>
      <c r="B370" s="60"/>
      <c r="C370" s="60"/>
      <c r="D370" s="60"/>
      <c r="E370" s="60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0"/>
      <c r="AL370" s="60"/>
      <c r="AM370" s="60"/>
      <c r="AN370" s="60"/>
      <c r="AO370" s="62"/>
      <c r="AP370" s="60"/>
      <c r="AQ370" s="60"/>
    </row>
    <row r="371">
      <c r="A371" s="60"/>
      <c r="B371" s="60"/>
      <c r="C371" s="60"/>
      <c r="D371" s="60"/>
      <c r="E371" s="60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0"/>
      <c r="AL371" s="60"/>
      <c r="AM371" s="60"/>
      <c r="AN371" s="60"/>
      <c r="AO371" s="62"/>
      <c r="AP371" s="60"/>
      <c r="AQ371" s="60"/>
    </row>
    <row r="372">
      <c r="A372" s="60"/>
      <c r="B372" s="60"/>
      <c r="C372" s="60"/>
      <c r="D372" s="60"/>
      <c r="E372" s="60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0"/>
      <c r="AL372" s="60"/>
      <c r="AM372" s="60"/>
      <c r="AN372" s="60"/>
      <c r="AO372" s="62"/>
      <c r="AP372" s="60"/>
      <c r="AQ372" s="60"/>
    </row>
    <row r="373">
      <c r="A373" s="60"/>
      <c r="B373" s="60"/>
      <c r="C373" s="60"/>
      <c r="D373" s="60"/>
      <c r="E373" s="60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0"/>
      <c r="AL373" s="60"/>
      <c r="AM373" s="60"/>
      <c r="AN373" s="60"/>
      <c r="AO373" s="62"/>
      <c r="AP373" s="60"/>
      <c r="AQ373" s="60"/>
    </row>
    <row r="374">
      <c r="A374" s="60"/>
      <c r="B374" s="60"/>
      <c r="C374" s="60"/>
      <c r="D374" s="60"/>
      <c r="E374" s="60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0"/>
      <c r="AL374" s="60"/>
      <c r="AM374" s="60"/>
      <c r="AN374" s="60"/>
      <c r="AO374" s="62"/>
      <c r="AP374" s="60"/>
      <c r="AQ374" s="60"/>
    </row>
    <row r="375">
      <c r="A375" s="60"/>
      <c r="B375" s="60"/>
      <c r="C375" s="60"/>
      <c r="D375" s="60"/>
      <c r="E375" s="60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0"/>
      <c r="AL375" s="60"/>
      <c r="AM375" s="60"/>
      <c r="AN375" s="60"/>
      <c r="AO375" s="62"/>
      <c r="AP375" s="60"/>
      <c r="AQ375" s="60"/>
    </row>
    <row r="376">
      <c r="A376" s="60"/>
      <c r="B376" s="60"/>
      <c r="C376" s="60"/>
      <c r="D376" s="60"/>
      <c r="E376" s="60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0"/>
      <c r="AL376" s="60"/>
      <c r="AM376" s="60"/>
      <c r="AN376" s="60"/>
      <c r="AO376" s="62"/>
      <c r="AP376" s="60"/>
      <c r="AQ376" s="60"/>
    </row>
    <row r="377">
      <c r="A377" s="60"/>
      <c r="B377" s="60"/>
      <c r="C377" s="60"/>
      <c r="D377" s="60"/>
      <c r="E377" s="60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0"/>
      <c r="AL377" s="60"/>
      <c r="AM377" s="60"/>
      <c r="AN377" s="60"/>
      <c r="AO377" s="62"/>
      <c r="AP377" s="60"/>
      <c r="AQ377" s="60"/>
    </row>
    <row r="378">
      <c r="A378" s="60"/>
      <c r="B378" s="60"/>
      <c r="C378" s="60"/>
      <c r="D378" s="60"/>
      <c r="E378" s="60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0"/>
      <c r="AL378" s="60"/>
      <c r="AM378" s="60"/>
      <c r="AN378" s="60"/>
      <c r="AO378" s="62"/>
      <c r="AP378" s="60"/>
      <c r="AQ378" s="60"/>
    </row>
    <row r="379">
      <c r="A379" s="60"/>
      <c r="B379" s="60"/>
      <c r="C379" s="60"/>
      <c r="D379" s="60"/>
      <c r="E379" s="60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0"/>
      <c r="AL379" s="60"/>
      <c r="AM379" s="60"/>
      <c r="AN379" s="60"/>
      <c r="AO379" s="62"/>
      <c r="AP379" s="60"/>
      <c r="AQ379" s="60"/>
    </row>
    <row r="380">
      <c r="A380" s="60"/>
      <c r="B380" s="60"/>
      <c r="C380" s="60"/>
      <c r="D380" s="60"/>
      <c r="E380" s="60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0"/>
      <c r="AL380" s="60"/>
      <c r="AM380" s="60"/>
      <c r="AN380" s="60"/>
      <c r="AO380" s="62"/>
      <c r="AP380" s="60"/>
      <c r="AQ380" s="60"/>
    </row>
    <row r="381">
      <c r="A381" s="60"/>
      <c r="B381" s="60"/>
      <c r="C381" s="60"/>
      <c r="D381" s="60"/>
      <c r="E381" s="60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0"/>
      <c r="AL381" s="60"/>
      <c r="AM381" s="60"/>
      <c r="AN381" s="60"/>
      <c r="AO381" s="62"/>
      <c r="AP381" s="60"/>
      <c r="AQ381" s="60"/>
    </row>
    <row r="382">
      <c r="A382" s="60"/>
      <c r="B382" s="60"/>
      <c r="C382" s="60"/>
      <c r="D382" s="60"/>
      <c r="E382" s="60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0"/>
      <c r="AL382" s="60"/>
      <c r="AM382" s="60"/>
      <c r="AN382" s="60"/>
      <c r="AO382" s="62"/>
      <c r="AP382" s="60"/>
      <c r="AQ382" s="60"/>
    </row>
    <row r="383">
      <c r="A383" s="60"/>
      <c r="B383" s="60"/>
      <c r="C383" s="60"/>
      <c r="D383" s="60"/>
      <c r="E383" s="60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0"/>
      <c r="AL383" s="60"/>
      <c r="AM383" s="60"/>
      <c r="AN383" s="60"/>
      <c r="AO383" s="62"/>
      <c r="AP383" s="60"/>
      <c r="AQ383" s="60"/>
    </row>
    <row r="384">
      <c r="A384" s="60"/>
      <c r="B384" s="60"/>
      <c r="C384" s="60"/>
      <c r="D384" s="60"/>
      <c r="E384" s="60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0"/>
      <c r="AL384" s="60"/>
      <c r="AM384" s="60"/>
      <c r="AN384" s="60"/>
      <c r="AO384" s="62"/>
      <c r="AP384" s="60"/>
      <c r="AQ384" s="60"/>
    </row>
    <row r="385">
      <c r="A385" s="60"/>
      <c r="B385" s="60"/>
      <c r="C385" s="60"/>
      <c r="D385" s="60"/>
      <c r="E385" s="60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0"/>
      <c r="AL385" s="60"/>
      <c r="AM385" s="60"/>
      <c r="AN385" s="60"/>
      <c r="AO385" s="62"/>
      <c r="AP385" s="60"/>
      <c r="AQ385" s="60"/>
    </row>
    <row r="386">
      <c r="A386" s="60"/>
      <c r="B386" s="60"/>
      <c r="C386" s="60"/>
      <c r="D386" s="60"/>
      <c r="E386" s="60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0"/>
      <c r="AL386" s="60"/>
      <c r="AM386" s="60"/>
      <c r="AN386" s="60"/>
      <c r="AO386" s="62"/>
      <c r="AP386" s="60"/>
      <c r="AQ386" s="60"/>
    </row>
    <row r="387">
      <c r="A387" s="60"/>
      <c r="B387" s="60"/>
      <c r="C387" s="60"/>
      <c r="D387" s="60"/>
      <c r="E387" s="60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0"/>
      <c r="AL387" s="60"/>
      <c r="AM387" s="60"/>
      <c r="AN387" s="60"/>
      <c r="AO387" s="62"/>
      <c r="AP387" s="60"/>
      <c r="AQ387" s="60"/>
    </row>
    <row r="388">
      <c r="A388" s="60"/>
      <c r="B388" s="60"/>
      <c r="C388" s="60"/>
      <c r="D388" s="60"/>
      <c r="E388" s="60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0"/>
      <c r="AL388" s="60"/>
      <c r="AM388" s="60"/>
      <c r="AN388" s="60"/>
      <c r="AO388" s="62"/>
      <c r="AP388" s="60"/>
      <c r="AQ388" s="60"/>
    </row>
    <row r="389">
      <c r="A389" s="60"/>
      <c r="B389" s="60"/>
      <c r="C389" s="60"/>
      <c r="D389" s="60"/>
      <c r="E389" s="60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0"/>
      <c r="AL389" s="60"/>
      <c r="AM389" s="60"/>
      <c r="AN389" s="60"/>
      <c r="AO389" s="62"/>
      <c r="AP389" s="60"/>
      <c r="AQ389" s="60"/>
    </row>
    <row r="390">
      <c r="A390" s="60"/>
      <c r="B390" s="60"/>
      <c r="C390" s="60"/>
      <c r="D390" s="60"/>
      <c r="E390" s="60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0"/>
      <c r="AL390" s="60"/>
      <c r="AM390" s="60"/>
      <c r="AN390" s="60"/>
      <c r="AO390" s="62"/>
      <c r="AP390" s="60"/>
      <c r="AQ390" s="60"/>
    </row>
    <row r="391">
      <c r="A391" s="60"/>
      <c r="B391" s="60"/>
      <c r="C391" s="60"/>
      <c r="D391" s="60"/>
      <c r="E391" s="60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0"/>
      <c r="AL391" s="60"/>
      <c r="AM391" s="60"/>
      <c r="AN391" s="60"/>
      <c r="AO391" s="62"/>
      <c r="AP391" s="60"/>
      <c r="AQ391" s="60"/>
    </row>
    <row r="392">
      <c r="A392" s="60"/>
      <c r="B392" s="60"/>
      <c r="C392" s="60"/>
      <c r="D392" s="60"/>
      <c r="E392" s="60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0"/>
      <c r="AL392" s="60"/>
      <c r="AM392" s="60"/>
      <c r="AN392" s="60"/>
      <c r="AO392" s="62"/>
      <c r="AP392" s="60"/>
      <c r="AQ392" s="60"/>
    </row>
    <row r="393">
      <c r="A393" s="60"/>
      <c r="B393" s="60"/>
      <c r="C393" s="60"/>
      <c r="D393" s="60"/>
      <c r="E393" s="60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0"/>
      <c r="AL393" s="60"/>
      <c r="AM393" s="60"/>
      <c r="AN393" s="60"/>
      <c r="AO393" s="62"/>
      <c r="AP393" s="60"/>
      <c r="AQ393" s="60"/>
    </row>
    <row r="394">
      <c r="A394" s="60"/>
      <c r="B394" s="60"/>
      <c r="C394" s="60"/>
      <c r="D394" s="60"/>
      <c r="E394" s="60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0"/>
      <c r="AL394" s="60"/>
      <c r="AM394" s="60"/>
      <c r="AN394" s="60"/>
      <c r="AO394" s="62"/>
      <c r="AP394" s="60"/>
      <c r="AQ394" s="60"/>
    </row>
    <row r="395">
      <c r="A395" s="60"/>
      <c r="B395" s="60"/>
      <c r="C395" s="60"/>
      <c r="D395" s="60"/>
      <c r="E395" s="60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0"/>
      <c r="AL395" s="60"/>
      <c r="AM395" s="60"/>
      <c r="AN395" s="60"/>
      <c r="AO395" s="62"/>
      <c r="AP395" s="60"/>
      <c r="AQ395" s="60"/>
    </row>
    <row r="396">
      <c r="A396" s="60"/>
      <c r="B396" s="60"/>
      <c r="C396" s="60"/>
      <c r="D396" s="60"/>
      <c r="E396" s="60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0"/>
      <c r="AL396" s="60"/>
      <c r="AM396" s="60"/>
      <c r="AN396" s="60"/>
      <c r="AO396" s="62"/>
      <c r="AP396" s="60"/>
      <c r="AQ396" s="60"/>
    </row>
    <row r="397">
      <c r="A397" s="60"/>
      <c r="B397" s="60"/>
      <c r="C397" s="60"/>
      <c r="D397" s="60"/>
      <c r="E397" s="60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0"/>
      <c r="AL397" s="60"/>
      <c r="AM397" s="60"/>
      <c r="AN397" s="60"/>
      <c r="AO397" s="62"/>
      <c r="AP397" s="60"/>
      <c r="AQ397" s="60"/>
    </row>
    <row r="398">
      <c r="A398" s="60"/>
      <c r="B398" s="60"/>
      <c r="C398" s="60"/>
      <c r="D398" s="60"/>
      <c r="E398" s="60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0"/>
      <c r="AL398" s="60"/>
      <c r="AM398" s="60"/>
      <c r="AN398" s="60"/>
      <c r="AO398" s="62"/>
      <c r="AP398" s="60"/>
      <c r="AQ398" s="60"/>
    </row>
    <row r="399">
      <c r="A399" s="60"/>
      <c r="B399" s="60"/>
      <c r="C399" s="60"/>
      <c r="D399" s="60"/>
      <c r="E399" s="60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0"/>
      <c r="AL399" s="60"/>
      <c r="AM399" s="60"/>
      <c r="AN399" s="60"/>
      <c r="AO399" s="62"/>
      <c r="AP399" s="60"/>
      <c r="AQ399" s="60"/>
    </row>
    <row r="400">
      <c r="A400" s="60"/>
      <c r="B400" s="60"/>
      <c r="C400" s="60"/>
      <c r="D400" s="60"/>
      <c r="E400" s="60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0"/>
      <c r="AL400" s="60"/>
      <c r="AM400" s="60"/>
      <c r="AN400" s="60"/>
      <c r="AO400" s="62"/>
      <c r="AP400" s="60"/>
      <c r="AQ400" s="60"/>
    </row>
    <row r="401">
      <c r="A401" s="60"/>
      <c r="B401" s="60"/>
      <c r="C401" s="60"/>
      <c r="D401" s="60"/>
      <c r="E401" s="60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0"/>
      <c r="AL401" s="60"/>
      <c r="AM401" s="60"/>
      <c r="AN401" s="60"/>
      <c r="AO401" s="62"/>
      <c r="AP401" s="60"/>
      <c r="AQ401" s="60"/>
    </row>
    <row r="402">
      <c r="A402" s="60"/>
      <c r="B402" s="60"/>
      <c r="C402" s="60"/>
      <c r="D402" s="60"/>
      <c r="E402" s="60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0"/>
      <c r="AL402" s="60"/>
      <c r="AM402" s="60"/>
      <c r="AN402" s="60"/>
      <c r="AO402" s="62"/>
      <c r="AP402" s="60"/>
      <c r="AQ402" s="60"/>
    </row>
    <row r="403">
      <c r="A403" s="60"/>
      <c r="B403" s="60"/>
      <c r="C403" s="60"/>
      <c r="D403" s="60"/>
      <c r="E403" s="60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0"/>
      <c r="AL403" s="60"/>
      <c r="AM403" s="60"/>
      <c r="AN403" s="60"/>
      <c r="AO403" s="62"/>
      <c r="AP403" s="60"/>
      <c r="AQ403" s="60"/>
    </row>
    <row r="404">
      <c r="A404" s="60"/>
      <c r="B404" s="60"/>
      <c r="C404" s="60"/>
      <c r="D404" s="60"/>
      <c r="E404" s="60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0"/>
      <c r="AL404" s="60"/>
      <c r="AM404" s="60"/>
      <c r="AN404" s="60"/>
      <c r="AO404" s="62"/>
      <c r="AP404" s="60"/>
      <c r="AQ404" s="60"/>
    </row>
    <row r="405">
      <c r="A405" s="60"/>
      <c r="B405" s="60"/>
      <c r="C405" s="60"/>
      <c r="D405" s="60"/>
      <c r="E405" s="60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0"/>
      <c r="AL405" s="60"/>
      <c r="AM405" s="60"/>
      <c r="AN405" s="60"/>
      <c r="AO405" s="62"/>
      <c r="AP405" s="60"/>
      <c r="AQ405" s="60"/>
    </row>
    <row r="406">
      <c r="A406" s="60"/>
      <c r="B406" s="60"/>
      <c r="C406" s="60"/>
      <c r="D406" s="60"/>
      <c r="E406" s="60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0"/>
      <c r="AL406" s="60"/>
      <c r="AM406" s="60"/>
      <c r="AN406" s="60"/>
      <c r="AO406" s="62"/>
      <c r="AP406" s="60"/>
      <c r="AQ406" s="60"/>
    </row>
    <row r="407">
      <c r="A407" s="60"/>
      <c r="B407" s="60"/>
      <c r="C407" s="60"/>
      <c r="D407" s="60"/>
      <c r="E407" s="60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0"/>
      <c r="AL407" s="60"/>
      <c r="AM407" s="60"/>
      <c r="AN407" s="60"/>
      <c r="AO407" s="62"/>
      <c r="AP407" s="60"/>
      <c r="AQ407" s="60"/>
    </row>
    <row r="408">
      <c r="A408" s="60"/>
      <c r="B408" s="60"/>
      <c r="C408" s="60"/>
      <c r="D408" s="60"/>
      <c r="E408" s="60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0"/>
      <c r="AL408" s="60"/>
      <c r="AM408" s="60"/>
      <c r="AN408" s="60"/>
      <c r="AO408" s="62"/>
      <c r="AP408" s="60"/>
      <c r="AQ408" s="60"/>
    </row>
    <row r="409">
      <c r="A409" s="60"/>
      <c r="B409" s="60"/>
      <c r="C409" s="60"/>
      <c r="D409" s="60"/>
      <c r="E409" s="60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0"/>
      <c r="AL409" s="60"/>
      <c r="AM409" s="60"/>
      <c r="AN409" s="60"/>
      <c r="AO409" s="62"/>
      <c r="AP409" s="60"/>
      <c r="AQ409" s="60"/>
    </row>
    <row r="410">
      <c r="A410" s="60"/>
      <c r="B410" s="60"/>
      <c r="C410" s="60"/>
      <c r="D410" s="60"/>
      <c r="E410" s="60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0"/>
      <c r="AL410" s="60"/>
      <c r="AM410" s="60"/>
      <c r="AN410" s="60"/>
      <c r="AO410" s="62"/>
      <c r="AP410" s="60"/>
      <c r="AQ410" s="60"/>
    </row>
    <row r="411">
      <c r="A411" s="60"/>
      <c r="B411" s="60"/>
      <c r="C411" s="60"/>
      <c r="D411" s="60"/>
      <c r="E411" s="60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0"/>
      <c r="AL411" s="60"/>
      <c r="AM411" s="60"/>
      <c r="AN411" s="60"/>
      <c r="AO411" s="62"/>
      <c r="AP411" s="60"/>
      <c r="AQ411" s="60"/>
    </row>
    <row r="412">
      <c r="A412" s="60"/>
      <c r="B412" s="60"/>
      <c r="C412" s="60"/>
      <c r="D412" s="60"/>
      <c r="E412" s="60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0"/>
      <c r="AL412" s="60"/>
      <c r="AM412" s="60"/>
      <c r="AN412" s="60"/>
      <c r="AO412" s="62"/>
      <c r="AP412" s="60"/>
      <c r="AQ412" s="60"/>
    </row>
    <row r="413">
      <c r="A413" s="60"/>
      <c r="B413" s="60"/>
      <c r="C413" s="60"/>
      <c r="D413" s="60"/>
      <c r="E413" s="60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0"/>
      <c r="AL413" s="60"/>
      <c r="AM413" s="60"/>
      <c r="AN413" s="60"/>
      <c r="AO413" s="62"/>
      <c r="AP413" s="60"/>
      <c r="AQ413" s="60"/>
    </row>
    <row r="414">
      <c r="A414" s="60"/>
      <c r="B414" s="60"/>
      <c r="C414" s="60"/>
      <c r="D414" s="60"/>
      <c r="E414" s="60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0"/>
      <c r="AL414" s="60"/>
      <c r="AM414" s="60"/>
      <c r="AN414" s="60"/>
      <c r="AO414" s="62"/>
      <c r="AP414" s="60"/>
      <c r="AQ414" s="60"/>
    </row>
    <row r="415">
      <c r="A415" s="60"/>
      <c r="B415" s="60"/>
      <c r="C415" s="60"/>
      <c r="D415" s="60"/>
      <c r="E415" s="60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0"/>
      <c r="AL415" s="60"/>
      <c r="AM415" s="60"/>
      <c r="AN415" s="60"/>
      <c r="AO415" s="62"/>
      <c r="AP415" s="60"/>
      <c r="AQ415" s="60"/>
    </row>
    <row r="416">
      <c r="A416" s="60"/>
      <c r="B416" s="60"/>
      <c r="C416" s="60"/>
      <c r="D416" s="60"/>
      <c r="E416" s="60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0"/>
      <c r="AL416" s="60"/>
      <c r="AM416" s="60"/>
      <c r="AN416" s="60"/>
      <c r="AO416" s="62"/>
      <c r="AP416" s="60"/>
      <c r="AQ416" s="60"/>
    </row>
    <row r="417">
      <c r="A417" s="60"/>
      <c r="B417" s="60"/>
      <c r="C417" s="60"/>
      <c r="D417" s="60"/>
      <c r="E417" s="60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0"/>
      <c r="AL417" s="60"/>
      <c r="AM417" s="60"/>
      <c r="AN417" s="60"/>
      <c r="AO417" s="62"/>
      <c r="AP417" s="60"/>
      <c r="AQ417" s="60"/>
    </row>
    <row r="418">
      <c r="A418" s="60"/>
      <c r="B418" s="60"/>
      <c r="C418" s="60"/>
      <c r="D418" s="60"/>
      <c r="E418" s="60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0"/>
      <c r="AL418" s="60"/>
      <c r="AM418" s="60"/>
      <c r="AN418" s="60"/>
      <c r="AO418" s="62"/>
      <c r="AP418" s="60"/>
      <c r="AQ418" s="60"/>
    </row>
    <row r="419">
      <c r="A419" s="60"/>
      <c r="B419" s="60"/>
      <c r="C419" s="60"/>
      <c r="D419" s="60"/>
      <c r="E419" s="60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0"/>
      <c r="AL419" s="60"/>
      <c r="AM419" s="60"/>
      <c r="AN419" s="60"/>
      <c r="AO419" s="62"/>
      <c r="AP419" s="60"/>
      <c r="AQ419" s="60"/>
    </row>
    <row r="420">
      <c r="A420" s="60"/>
      <c r="B420" s="60"/>
      <c r="C420" s="60"/>
      <c r="D420" s="60"/>
      <c r="E420" s="60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0"/>
      <c r="AL420" s="60"/>
      <c r="AM420" s="60"/>
      <c r="AN420" s="60"/>
      <c r="AO420" s="62"/>
      <c r="AP420" s="60"/>
      <c r="AQ420" s="60"/>
    </row>
    <row r="421">
      <c r="A421" s="60"/>
      <c r="B421" s="60"/>
      <c r="C421" s="60"/>
      <c r="D421" s="60"/>
      <c r="E421" s="60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0"/>
      <c r="AL421" s="60"/>
      <c r="AM421" s="60"/>
      <c r="AN421" s="60"/>
      <c r="AO421" s="62"/>
      <c r="AP421" s="60"/>
      <c r="AQ421" s="60"/>
    </row>
    <row r="422">
      <c r="A422" s="60"/>
      <c r="B422" s="60"/>
      <c r="C422" s="60"/>
      <c r="D422" s="60"/>
      <c r="E422" s="60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0"/>
      <c r="AL422" s="60"/>
      <c r="AM422" s="60"/>
      <c r="AN422" s="60"/>
      <c r="AO422" s="62"/>
      <c r="AP422" s="60"/>
      <c r="AQ422" s="60"/>
    </row>
    <row r="423">
      <c r="A423" s="60"/>
      <c r="B423" s="60"/>
      <c r="C423" s="60"/>
      <c r="D423" s="60"/>
      <c r="E423" s="60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0"/>
      <c r="AL423" s="60"/>
      <c r="AM423" s="60"/>
      <c r="AN423" s="60"/>
      <c r="AO423" s="62"/>
      <c r="AP423" s="60"/>
      <c r="AQ423" s="60"/>
    </row>
    <row r="424">
      <c r="A424" s="60"/>
      <c r="B424" s="60"/>
      <c r="C424" s="60"/>
      <c r="D424" s="60"/>
      <c r="E424" s="60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0"/>
      <c r="AL424" s="60"/>
      <c r="AM424" s="60"/>
      <c r="AN424" s="60"/>
      <c r="AO424" s="62"/>
      <c r="AP424" s="60"/>
      <c r="AQ424" s="60"/>
    </row>
    <row r="425">
      <c r="A425" s="60"/>
      <c r="B425" s="60"/>
      <c r="C425" s="60"/>
      <c r="D425" s="60"/>
      <c r="E425" s="60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0"/>
      <c r="AL425" s="60"/>
      <c r="AM425" s="60"/>
      <c r="AN425" s="60"/>
      <c r="AO425" s="62"/>
      <c r="AP425" s="60"/>
      <c r="AQ425" s="60"/>
    </row>
    <row r="426">
      <c r="A426" s="60"/>
      <c r="B426" s="60"/>
      <c r="C426" s="60"/>
      <c r="D426" s="60"/>
      <c r="E426" s="60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0"/>
      <c r="AL426" s="60"/>
      <c r="AM426" s="60"/>
      <c r="AN426" s="60"/>
      <c r="AO426" s="62"/>
      <c r="AP426" s="60"/>
      <c r="AQ426" s="60"/>
    </row>
    <row r="427">
      <c r="A427" s="60"/>
      <c r="B427" s="60"/>
      <c r="C427" s="60"/>
      <c r="D427" s="60"/>
      <c r="E427" s="60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0"/>
      <c r="AL427" s="60"/>
      <c r="AM427" s="60"/>
      <c r="AN427" s="60"/>
      <c r="AO427" s="62"/>
      <c r="AP427" s="60"/>
      <c r="AQ427" s="60"/>
    </row>
    <row r="428">
      <c r="A428" s="60"/>
      <c r="B428" s="60"/>
      <c r="C428" s="60"/>
      <c r="D428" s="60"/>
      <c r="E428" s="60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0"/>
      <c r="AL428" s="60"/>
      <c r="AM428" s="60"/>
      <c r="AN428" s="60"/>
      <c r="AO428" s="62"/>
      <c r="AP428" s="60"/>
      <c r="AQ428" s="60"/>
    </row>
    <row r="429">
      <c r="A429" s="60"/>
      <c r="B429" s="60"/>
      <c r="C429" s="60"/>
      <c r="D429" s="60"/>
      <c r="E429" s="60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0"/>
      <c r="AL429" s="60"/>
      <c r="AM429" s="60"/>
      <c r="AN429" s="60"/>
      <c r="AO429" s="62"/>
      <c r="AP429" s="60"/>
      <c r="AQ429" s="60"/>
    </row>
    <row r="430">
      <c r="A430" s="60"/>
      <c r="B430" s="60"/>
      <c r="C430" s="60"/>
      <c r="D430" s="60"/>
      <c r="E430" s="60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0"/>
      <c r="AL430" s="60"/>
      <c r="AM430" s="60"/>
      <c r="AN430" s="60"/>
      <c r="AO430" s="62"/>
      <c r="AP430" s="60"/>
      <c r="AQ430" s="60"/>
    </row>
    <row r="431">
      <c r="A431" s="60"/>
      <c r="B431" s="60"/>
      <c r="C431" s="60"/>
      <c r="D431" s="60"/>
      <c r="E431" s="60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0"/>
      <c r="AL431" s="60"/>
      <c r="AM431" s="60"/>
      <c r="AN431" s="60"/>
      <c r="AO431" s="62"/>
      <c r="AP431" s="60"/>
      <c r="AQ431" s="60"/>
    </row>
    <row r="432">
      <c r="A432" s="60"/>
      <c r="B432" s="60"/>
      <c r="C432" s="60"/>
      <c r="D432" s="60"/>
      <c r="E432" s="60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0"/>
      <c r="AL432" s="60"/>
      <c r="AM432" s="60"/>
      <c r="AN432" s="60"/>
      <c r="AO432" s="62"/>
      <c r="AP432" s="60"/>
      <c r="AQ432" s="60"/>
    </row>
    <row r="433">
      <c r="A433" s="60"/>
      <c r="B433" s="60"/>
      <c r="C433" s="60"/>
      <c r="D433" s="60"/>
      <c r="E433" s="60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0"/>
      <c r="AL433" s="60"/>
      <c r="AM433" s="60"/>
      <c r="AN433" s="60"/>
      <c r="AO433" s="62"/>
      <c r="AP433" s="60"/>
      <c r="AQ433" s="60"/>
    </row>
    <row r="434">
      <c r="A434" s="60"/>
      <c r="B434" s="60"/>
      <c r="C434" s="60"/>
      <c r="D434" s="60"/>
      <c r="E434" s="60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0"/>
      <c r="AL434" s="60"/>
      <c r="AM434" s="60"/>
      <c r="AN434" s="60"/>
      <c r="AO434" s="62"/>
      <c r="AP434" s="60"/>
      <c r="AQ434" s="60"/>
    </row>
    <row r="435">
      <c r="A435" s="60"/>
      <c r="B435" s="60"/>
      <c r="C435" s="60"/>
      <c r="D435" s="60"/>
      <c r="E435" s="60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0"/>
      <c r="AL435" s="60"/>
      <c r="AM435" s="60"/>
      <c r="AN435" s="60"/>
      <c r="AO435" s="62"/>
      <c r="AP435" s="60"/>
      <c r="AQ435" s="60"/>
    </row>
    <row r="436">
      <c r="A436" s="60"/>
      <c r="B436" s="60"/>
      <c r="C436" s="60"/>
      <c r="D436" s="60"/>
      <c r="E436" s="60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0"/>
      <c r="AL436" s="60"/>
      <c r="AM436" s="60"/>
      <c r="AN436" s="60"/>
      <c r="AO436" s="62"/>
      <c r="AP436" s="60"/>
      <c r="AQ436" s="60"/>
    </row>
    <row r="437">
      <c r="A437" s="60"/>
      <c r="B437" s="60"/>
      <c r="C437" s="60"/>
      <c r="D437" s="60"/>
      <c r="E437" s="60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0"/>
      <c r="AL437" s="60"/>
      <c r="AM437" s="60"/>
      <c r="AN437" s="60"/>
      <c r="AO437" s="62"/>
      <c r="AP437" s="60"/>
      <c r="AQ437" s="60"/>
    </row>
    <row r="438">
      <c r="A438" s="60"/>
      <c r="B438" s="60"/>
      <c r="C438" s="60"/>
      <c r="D438" s="60"/>
      <c r="E438" s="60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0"/>
      <c r="AL438" s="60"/>
      <c r="AM438" s="60"/>
      <c r="AN438" s="60"/>
      <c r="AO438" s="62"/>
      <c r="AP438" s="60"/>
      <c r="AQ438" s="60"/>
    </row>
    <row r="439">
      <c r="A439" s="60"/>
      <c r="B439" s="60"/>
      <c r="C439" s="60"/>
      <c r="D439" s="60"/>
      <c r="E439" s="60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0"/>
      <c r="AL439" s="60"/>
      <c r="AM439" s="60"/>
      <c r="AN439" s="60"/>
      <c r="AO439" s="62"/>
      <c r="AP439" s="60"/>
      <c r="AQ439" s="60"/>
    </row>
    <row r="440">
      <c r="A440" s="60"/>
      <c r="B440" s="60"/>
      <c r="C440" s="60"/>
      <c r="D440" s="60"/>
      <c r="E440" s="60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0"/>
      <c r="AL440" s="60"/>
      <c r="AM440" s="60"/>
      <c r="AN440" s="60"/>
      <c r="AO440" s="62"/>
      <c r="AP440" s="60"/>
      <c r="AQ440" s="60"/>
    </row>
    <row r="441">
      <c r="A441" s="60"/>
      <c r="B441" s="60"/>
      <c r="C441" s="60"/>
      <c r="D441" s="60"/>
      <c r="E441" s="60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0"/>
      <c r="AL441" s="60"/>
      <c r="AM441" s="60"/>
      <c r="AN441" s="60"/>
      <c r="AO441" s="62"/>
      <c r="AP441" s="60"/>
      <c r="AQ441" s="60"/>
    </row>
    <row r="442">
      <c r="A442" s="60"/>
      <c r="B442" s="60"/>
      <c r="C442" s="60"/>
      <c r="D442" s="60"/>
      <c r="E442" s="60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0"/>
      <c r="AL442" s="60"/>
      <c r="AM442" s="60"/>
      <c r="AN442" s="60"/>
      <c r="AO442" s="62"/>
      <c r="AP442" s="60"/>
      <c r="AQ442" s="60"/>
    </row>
    <row r="443">
      <c r="A443" s="60"/>
      <c r="B443" s="60"/>
      <c r="C443" s="60"/>
      <c r="D443" s="60"/>
      <c r="E443" s="60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0"/>
      <c r="AL443" s="60"/>
      <c r="AM443" s="60"/>
      <c r="AN443" s="60"/>
      <c r="AO443" s="62"/>
      <c r="AP443" s="60"/>
      <c r="AQ443" s="60"/>
    </row>
    <row r="444">
      <c r="A444" s="60"/>
      <c r="B444" s="60"/>
      <c r="C444" s="60"/>
      <c r="D444" s="60"/>
      <c r="E444" s="60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0"/>
      <c r="AL444" s="60"/>
      <c r="AM444" s="60"/>
      <c r="AN444" s="60"/>
      <c r="AO444" s="62"/>
      <c r="AP444" s="60"/>
      <c r="AQ444" s="60"/>
    </row>
    <row r="445">
      <c r="A445" s="60"/>
      <c r="B445" s="60"/>
      <c r="C445" s="60"/>
      <c r="D445" s="60"/>
      <c r="E445" s="60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0"/>
      <c r="AL445" s="60"/>
      <c r="AM445" s="60"/>
      <c r="AN445" s="60"/>
      <c r="AO445" s="62"/>
      <c r="AP445" s="60"/>
      <c r="AQ445" s="60"/>
    </row>
    <row r="446">
      <c r="A446" s="60"/>
      <c r="B446" s="60"/>
      <c r="C446" s="60"/>
      <c r="D446" s="60"/>
      <c r="E446" s="60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0"/>
      <c r="AL446" s="60"/>
      <c r="AM446" s="60"/>
      <c r="AN446" s="60"/>
      <c r="AO446" s="62"/>
      <c r="AP446" s="60"/>
      <c r="AQ446" s="60"/>
    </row>
    <row r="447">
      <c r="A447" s="60"/>
      <c r="B447" s="60"/>
      <c r="C447" s="60"/>
      <c r="D447" s="60"/>
      <c r="E447" s="60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0"/>
      <c r="AL447" s="60"/>
      <c r="AM447" s="60"/>
      <c r="AN447" s="60"/>
      <c r="AO447" s="62"/>
      <c r="AP447" s="60"/>
      <c r="AQ447" s="60"/>
    </row>
    <row r="448">
      <c r="A448" s="60"/>
      <c r="B448" s="60"/>
      <c r="C448" s="60"/>
      <c r="D448" s="60"/>
      <c r="E448" s="60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0"/>
      <c r="AL448" s="60"/>
      <c r="AM448" s="60"/>
      <c r="AN448" s="60"/>
      <c r="AO448" s="62"/>
      <c r="AP448" s="60"/>
      <c r="AQ448" s="60"/>
    </row>
    <row r="449">
      <c r="A449" s="60"/>
      <c r="B449" s="60"/>
      <c r="C449" s="60"/>
      <c r="D449" s="60"/>
      <c r="E449" s="60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0"/>
      <c r="AL449" s="60"/>
      <c r="AM449" s="60"/>
      <c r="AN449" s="60"/>
      <c r="AO449" s="62"/>
      <c r="AP449" s="60"/>
      <c r="AQ449" s="60"/>
    </row>
    <row r="450">
      <c r="A450" s="60"/>
      <c r="B450" s="60"/>
      <c r="C450" s="60"/>
      <c r="D450" s="60"/>
      <c r="E450" s="60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0"/>
      <c r="AL450" s="60"/>
      <c r="AM450" s="60"/>
      <c r="AN450" s="60"/>
      <c r="AO450" s="62"/>
      <c r="AP450" s="60"/>
      <c r="AQ450" s="60"/>
    </row>
    <row r="451">
      <c r="A451" s="60"/>
      <c r="B451" s="60"/>
      <c r="C451" s="60"/>
      <c r="D451" s="60"/>
      <c r="E451" s="60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0"/>
      <c r="AL451" s="60"/>
      <c r="AM451" s="60"/>
      <c r="AN451" s="60"/>
      <c r="AO451" s="62"/>
      <c r="AP451" s="60"/>
      <c r="AQ451" s="60"/>
    </row>
    <row r="452">
      <c r="A452" s="60"/>
      <c r="B452" s="60"/>
      <c r="C452" s="60"/>
      <c r="D452" s="60"/>
      <c r="E452" s="60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0"/>
      <c r="AL452" s="60"/>
      <c r="AM452" s="60"/>
      <c r="AN452" s="60"/>
      <c r="AO452" s="62"/>
      <c r="AP452" s="60"/>
      <c r="AQ452" s="60"/>
    </row>
    <row r="453">
      <c r="A453" s="60"/>
      <c r="B453" s="60"/>
      <c r="C453" s="60"/>
      <c r="D453" s="60"/>
      <c r="E453" s="60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0"/>
      <c r="AL453" s="60"/>
      <c r="AM453" s="60"/>
      <c r="AN453" s="60"/>
      <c r="AO453" s="62"/>
      <c r="AP453" s="60"/>
      <c r="AQ453" s="60"/>
    </row>
    <row r="454">
      <c r="A454" s="60"/>
      <c r="B454" s="60"/>
      <c r="C454" s="60"/>
      <c r="D454" s="60"/>
      <c r="E454" s="60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0"/>
      <c r="AL454" s="60"/>
      <c r="AM454" s="60"/>
      <c r="AN454" s="60"/>
      <c r="AO454" s="62"/>
      <c r="AP454" s="60"/>
      <c r="AQ454" s="60"/>
    </row>
    <row r="455">
      <c r="A455" s="60"/>
      <c r="B455" s="60"/>
      <c r="C455" s="60"/>
      <c r="D455" s="60"/>
      <c r="E455" s="60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0"/>
      <c r="AL455" s="60"/>
      <c r="AM455" s="60"/>
      <c r="AN455" s="60"/>
      <c r="AO455" s="62"/>
      <c r="AP455" s="60"/>
      <c r="AQ455" s="60"/>
    </row>
    <row r="456">
      <c r="A456" s="60"/>
      <c r="B456" s="60"/>
      <c r="C456" s="60"/>
      <c r="D456" s="60"/>
      <c r="E456" s="60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0"/>
      <c r="AL456" s="60"/>
      <c r="AM456" s="60"/>
      <c r="AN456" s="60"/>
      <c r="AO456" s="62"/>
      <c r="AP456" s="60"/>
      <c r="AQ456" s="60"/>
    </row>
    <row r="457">
      <c r="A457" s="60"/>
      <c r="B457" s="60"/>
      <c r="C457" s="60"/>
      <c r="D457" s="60"/>
      <c r="E457" s="60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0"/>
      <c r="AL457" s="60"/>
      <c r="AM457" s="60"/>
      <c r="AN457" s="60"/>
      <c r="AO457" s="62"/>
      <c r="AP457" s="60"/>
      <c r="AQ457" s="60"/>
    </row>
    <row r="458">
      <c r="A458" s="60"/>
      <c r="B458" s="60"/>
      <c r="C458" s="60"/>
      <c r="D458" s="60"/>
      <c r="E458" s="60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0"/>
      <c r="AL458" s="60"/>
      <c r="AM458" s="60"/>
      <c r="AN458" s="60"/>
      <c r="AO458" s="62"/>
      <c r="AP458" s="60"/>
      <c r="AQ458" s="60"/>
    </row>
    <row r="459">
      <c r="A459" s="60"/>
      <c r="B459" s="60"/>
      <c r="C459" s="60"/>
      <c r="D459" s="60"/>
      <c r="E459" s="60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0"/>
      <c r="AL459" s="60"/>
      <c r="AM459" s="60"/>
      <c r="AN459" s="60"/>
      <c r="AO459" s="62"/>
      <c r="AP459" s="60"/>
      <c r="AQ459" s="60"/>
    </row>
    <row r="460">
      <c r="A460" s="60"/>
      <c r="B460" s="60"/>
      <c r="C460" s="60"/>
      <c r="D460" s="60"/>
      <c r="E460" s="60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0"/>
      <c r="AL460" s="60"/>
      <c r="AM460" s="60"/>
      <c r="AN460" s="60"/>
      <c r="AO460" s="62"/>
      <c r="AP460" s="60"/>
      <c r="AQ460" s="60"/>
    </row>
    <row r="461">
      <c r="A461" s="60"/>
      <c r="B461" s="60"/>
      <c r="C461" s="60"/>
      <c r="D461" s="60"/>
      <c r="E461" s="60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0"/>
      <c r="AL461" s="60"/>
      <c r="AM461" s="60"/>
      <c r="AN461" s="60"/>
      <c r="AO461" s="62"/>
      <c r="AP461" s="60"/>
      <c r="AQ461" s="60"/>
    </row>
    <row r="462">
      <c r="A462" s="60"/>
      <c r="B462" s="60"/>
      <c r="C462" s="60"/>
      <c r="D462" s="60"/>
      <c r="E462" s="60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0"/>
      <c r="AL462" s="60"/>
      <c r="AM462" s="60"/>
      <c r="AN462" s="60"/>
      <c r="AO462" s="62"/>
      <c r="AP462" s="60"/>
      <c r="AQ462" s="60"/>
    </row>
    <row r="463">
      <c r="A463" s="60"/>
      <c r="B463" s="60"/>
      <c r="C463" s="60"/>
      <c r="D463" s="60"/>
      <c r="E463" s="60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0"/>
      <c r="AL463" s="60"/>
      <c r="AM463" s="60"/>
      <c r="AN463" s="60"/>
      <c r="AO463" s="62"/>
      <c r="AP463" s="60"/>
      <c r="AQ463" s="60"/>
    </row>
    <row r="464">
      <c r="A464" s="60"/>
      <c r="B464" s="60"/>
      <c r="C464" s="60"/>
      <c r="D464" s="60"/>
      <c r="E464" s="60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0"/>
      <c r="AL464" s="60"/>
      <c r="AM464" s="60"/>
      <c r="AN464" s="60"/>
      <c r="AO464" s="62"/>
      <c r="AP464" s="60"/>
      <c r="AQ464" s="60"/>
    </row>
    <row r="465">
      <c r="A465" s="60"/>
      <c r="B465" s="60"/>
      <c r="C465" s="60"/>
      <c r="D465" s="60"/>
      <c r="E465" s="60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0"/>
      <c r="AL465" s="60"/>
      <c r="AM465" s="60"/>
      <c r="AN465" s="60"/>
      <c r="AO465" s="62"/>
      <c r="AP465" s="60"/>
      <c r="AQ465" s="60"/>
    </row>
    <row r="466">
      <c r="A466" s="60"/>
      <c r="B466" s="60"/>
      <c r="C466" s="60"/>
      <c r="D466" s="60"/>
      <c r="E466" s="60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0"/>
      <c r="AL466" s="60"/>
      <c r="AM466" s="60"/>
      <c r="AN466" s="60"/>
      <c r="AO466" s="62"/>
      <c r="AP466" s="60"/>
      <c r="AQ466" s="60"/>
    </row>
    <row r="467">
      <c r="A467" s="60"/>
      <c r="B467" s="60"/>
      <c r="C467" s="60"/>
      <c r="D467" s="60"/>
      <c r="E467" s="60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0"/>
      <c r="AL467" s="60"/>
      <c r="AM467" s="60"/>
      <c r="AN467" s="60"/>
      <c r="AO467" s="62"/>
      <c r="AP467" s="60"/>
      <c r="AQ467" s="60"/>
    </row>
    <row r="468">
      <c r="A468" s="60"/>
      <c r="B468" s="60"/>
      <c r="C468" s="60"/>
      <c r="D468" s="60"/>
      <c r="E468" s="60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0"/>
      <c r="AL468" s="60"/>
      <c r="AM468" s="60"/>
      <c r="AN468" s="60"/>
      <c r="AO468" s="62"/>
      <c r="AP468" s="60"/>
      <c r="AQ468" s="60"/>
    </row>
    <row r="469">
      <c r="A469" s="60"/>
      <c r="B469" s="60"/>
      <c r="C469" s="60"/>
      <c r="D469" s="60"/>
      <c r="E469" s="60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0"/>
      <c r="AL469" s="60"/>
      <c r="AM469" s="60"/>
      <c r="AN469" s="60"/>
      <c r="AO469" s="62"/>
      <c r="AP469" s="60"/>
      <c r="AQ469" s="60"/>
    </row>
    <row r="470">
      <c r="A470" s="60"/>
      <c r="B470" s="60"/>
      <c r="C470" s="60"/>
      <c r="D470" s="60"/>
      <c r="E470" s="60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0"/>
      <c r="AL470" s="60"/>
      <c r="AM470" s="60"/>
      <c r="AN470" s="60"/>
      <c r="AO470" s="62"/>
      <c r="AP470" s="60"/>
      <c r="AQ470" s="60"/>
    </row>
    <row r="471">
      <c r="A471" s="60"/>
      <c r="B471" s="60"/>
      <c r="C471" s="60"/>
      <c r="D471" s="60"/>
      <c r="E471" s="60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0"/>
      <c r="AL471" s="60"/>
      <c r="AM471" s="60"/>
      <c r="AN471" s="60"/>
      <c r="AO471" s="62"/>
      <c r="AP471" s="60"/>
      <c r="AQ471" s="60"/>
    </row>
    <row r="472">
      <c r="A472" s="60"/>
      <c r="B472" s="60"/>
      <c r="C472" s="60"/>
      <c r="D472" s="60"/>
      <c r="E472" s="60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0"/>
      <c r="AL472" s="60"/>
      <c r="AM472" s="60"/>
      <c r="AN472" s="60"/>
      <c r="AO472" s="62"/>
      <c r="AP472" s="60"/>
      <c r="AQ472" s="60"/>
    </row>
    <row r="473">
      <c r="A473" s="60"/>
      <c r="B473" s="60"/>
      <c r="C473" s="60"/>
      <c r="D473" s="60"/>
      <c r="E473" s="60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0"/>
      <c r="AL473" s="60"/>
      <c r="AM473" s="60"/>
      <c r="AN473" s="60"/>
      <c r="AO473" s="62"/>
      <c r="AP473" s="60"/>
      <c r="AQ473" s="60"/>
    </row>
    <row r="474">
      <c r="A474" s="60"/>
      <c r="B474" s="60"/>
      <c r="C474" s="60"/>
      <c r="D474" s="60"/>
      <c r="E474" s="60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0"/>
      <c r="AL474" s="60"/>
      <c r="AM474" s="60"/>
      <c r="AN474" s="60"/>
      <c r="AO474" s="62"/>
      <c r="AP474" s="60"/>
      <c r="AQ474" s="60"/>
    </row>
    <row r="475">
      <c r="A475" s="60"/>
      <c r="B475" s="60"/>
      <c r="C475" s="60"/>
      <c r="D475" s="60"/>
      <c r="E475" s="60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0"/>
      <c r="AL475" s="60"/>
      <c r="AM475" s="60"/>
      <c r="AN475" s="60"/>
      <c r="AO475" s="62"/>
      <c r="AP475" s="60"/>
      <c r="AQ475" s="60"/>
    </row>
    <row r="476">
      <c r="A476" s="60"/>
      <c r="B476" s="60"/>
      <c r="C476" s="60"/>
      <c r="D476" s="60"/>
      <c r="E476" s="60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0"/>
      <c r="AL476" s="60"/>
      <c r="AM476" s="60"/>
      <c r="AN476" s="60"/>
      <c r="AO476" s="62"/>
      <c r="AP476" s="60"/>
      <c r="AQ476" s="60"/>
    </row>
    <row r="477">
      <c r="A477" s="60"/>
      <c r="B477" s="60"/>
      <c r="C477" s="60"/>
      <c r="D477" s="60"/>
      <c r="E477" s="60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0"/>
      <c r="AL477" s="60"/>
      <c r="AM477" s="60"/>
      <c r="AN477" s="60"/>
      <c r="AO477" s="62"/>
      <c r="AP477" s="60"/>
      <c r="AQ477" s="60"/>
    </row>
    <row r="478">
      <c r="A478" s="60"/>
      <c r="B478" s="60"/>
      <c r="C478" s="60"/>
      <c r="D478" s="60"/>
      <c r="E478" s="60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0"/>
      <c r="AL478" s="60"/>
      <c r="AM478" s="60"/>
      <c r="AN478" s="60"/>
      <c r="AO478" s="62"/>
      <c r="AP478" s="60"/>
      <c r="AQ478" s="60"/>
    </row>
    <row r="479">
      <c r="A479" s="60"/>
      <c r="B479" s="60"/>
      <c r="C479" s="60"/>
      <c r="D479" s="60"/>
      <c r="E479" s="60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0"/>
      <c r="AL479" s="60"/>
      <c r="AM479" s="60"/>
      <c r="AN479" s="60"/>
      <c r="AO479" s="62"/>
      <c r="AP479" s="60"/>
      <c r="AQ479" s="60"/>
    </row>
    <row r="480">
      <c r="A480" s="60"/>
      <c r="B480" s="60"/>
      <c r="C480" s="60"/>
      <c r="D480" s="60"/>
      <c r="E480" s="60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0"/>
      <c r="AL480" s="60"/>
      <c r="AM480" s="60"/>
      <c r="AN480" s="60"/>
      <c r="AO480" s="62"/>
      <c r="AP480" s="60"/>
      <c r="AQ480" s="60"/>
    </row>
    <row r="481">
      <c r="A481" s="60"/>
      <c r="B481" s="60"/>
      <c r="C481" s="60"/>
      <c r="D481" s="60"/>
      <c r="E481" s="60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0"/>
      <c r="AL481" s="60"/>
      <c r="AM481" s="60"/>
      <c r="AN481" s="60"/>
      <c r="AO481" s="62"/>
      <c r="AP481" s="60"/>
      <c r="AQ481" s="60"/>
    </row>
    <row r="482">
      <c r="A482" s="60"/>
      <c r="B482" s="60"/>
      <c r="C482" s="60"/>
      <c r="D482" s="60"/>
      <c r="E482" s="60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0"/>
      <c r="AL482" s="60"/>
      <c r="AM482" s="60"/>
      <c r="AN482" s="60"/>
      <c r="AO482" s="62"/>
      <c r="AP482" s="60"/>
      <c r="AQ482" s="60"/>
    </row>
    <row r="483">
      <c r="A483" s="60"/>
      <c r="B483" s="60"/>
      <c r="C483" s="60"/>
      <c r="D483" s="60"/>
      <c r="E483" s="60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0"/>
      <c r="AL483" s="60"/>
      <c r="AM483" s="60"/>
      <c r="AN483" s="60"/>
      <c r="AO483" s="62"/>
      <c r="AP483" s="60"/>
      <c r="AQ483" s="60"/>
    </row>
    <row r="484">
      <c r="A484" s="60"/>
      <c r="B484" s="60"/>
      <c r="C484" s="60"/>
      <c r="D484" s="60"/>
      <c r="E484" s="60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0"/>
      <c r="AL484" s="60"/>
      <c r="AM484" s="60"/>
      <c r="AN484" s="60"/>
      <c r="AO484" s="62"/>
      <c r="AP484" s="60"/>
      <c r="AQ484" s="60"/>
    </row>
    <row r="485">
      <c r="A485" s="60"/>
      <c r="B485" s="60"/>
      <c r="C485" s="60"/>
      <c r="D485" s="60"/>
      <c r="E485" s="60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0"/>
      <c r="AL485" s="60"/>
      <c r="AM485" s="60"/>
      <c r="AN485" s="60"/>
      <c r="AO485" s="62"/>
      <c r="AP485" s="60"/>
      <c r="AQ485" s="60"/>
    </row>
    <row r="486">
      <c r="A486" s="60"/>
      <c r="B486" s="60"/>
      <c r="C486" s="60"/>
      <c r="D486" s="60"/>
      <c r="E486" s="60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0"/>
      <c r="AL486" s="60"/>
      <c r="AM486" s="60"/>
      <c r="AN486" s="60"/>
      <c r="AO486" s="62"/>
      <c r="AP486" s="60"/>
      <c r="AQ486" s="60"/>
    </row>
    <row r="487">
      <c r="A487" s="60"/>
      <c r="B487" s="60"/>
      <c r="C487" s="60"/>
      <c r="D487" s="60"/>
      <c r="E487" s="60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0"/>
      <c r="AL487" s="60"/>
      <c r="AM487" s="60"/>
      <c r="AN487" s="60"/>
      <c r="AO487" s="62"/>
      <c r="AP487" s="60"/>
      <c r="AQ487" s="60"/>
    </row>
    <row r="488">
      <c r="A488" s="60"/>
      <c r="B488" s="60"/>
      <c r="C488" s="60"/>
      <c r="D488" s="60"/>
      <c r="E488" s="60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0"/>
      <c r="AL488" s="60"/>
      <c r="AM488" s="60"/>
      <c r="AN488" s="60"/>
      <c r="AO488" s="62"/>
      <c r="AP488" s="60"/>
      <c r="AQ488" s="60"/>
    </row>
    <row r="489">
      <c r="A489" s="60"/>
      <c r="B489" s="60"/>
      <c r="C489" s="60"/>
      <c r="D489" s="60"/>
      <c r="E489" s="60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0"/>
      <c r="AL489" s="60"/>
      <c r="AM489" s="60"/>
      <c r="AN489" s="60"/>
      <c r="AO489" s="62"/>
      <c r="AP489" s="60"/>
      <c r="AQ489" s="60"/>
    </row>
    <row r="490">
      <c r="A490" s="60"/>
      <c r="B490" s="60"/>
      <c r="C490" s="60"/>
      <c r="D490" s="60"/>
      <c r="E490" s="60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0"/>
      <c r="AL490" s="60"/>
      <c r="AM490" s="60"/>
      <c r="AN490" s="60"/>
      <c r="AO490" s="62"/>
      <c r="AP490" s="60"/>
      <c r="AQ490" s="60"/>
    </row>
    <row r="491">
      <c r="A491" s="60"/>
      <c r="B491" s="60"/>
      <c r="C491" s="60"/>
      <c r="D491" s="60"/>
      <c r="E491" s="60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0"/>
      <c r="AL491" s="60"/>
      <c r="AM491" s="60"/>
      <c r="AN491" s="60"/>
      <c r="AO491" s="62"/>
      <c r="AP491" s="60"/>
      <c r="AQ491" s="60"/>
    </row>
    <row r="492">
      <c r="A492" s="60"/>
      <c r="B492" s="60"/>
      <c r="C492" s="60"/>
      <c r="D492" s="60"/>
      <c r="E492" s="60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0"/>
      <c r="AL492" s="60"/>
      <c r="AM492" s="60"/>
      <c r="AN492" s="60"/>
      <c r="AO492" s="62"/>
      <c r="AP492" s="60"/>
      <c r="AQ492" s="60"/>
    </row>
    <row r="493">
      <c r="A493" s="60"/>
      <c r="B493" s="60"/>
      <c r="C493" s="60"/>
      <c r="D493" s="60"/>
      <c r="E493" s="60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0"/>
      <c r="AL493" s="60"/>
      <c r="AM493" s="60"/>
      <c r="AN493" s="60"/>
      <c r="AO493" s="62"/>
      <c r="AP493" s="60"/>
      <c r="AQ493" s="60"/>
    </row>
    <row r="494">
      <c r="A494" s="60"/>
      <c r="B494" s="60"/>
      <c r="C494" s="60"/>
      <c r="D494" s="60"/>
      <c r="E494" s="60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0"/>
      <c r="AL494" s="60"/>
      <c r="AM494" s="60"/>
      <c r="AN494" s="60"/>
      <c r="AO494" s="62"/>
      <c r="AP494" s="60"/>
      <c r="AQ494" s="60"/>
    </row>
    <row r="495">
      <c r="A495" s="60"/>
      <c r="B495" s="60"/>
      <c r="C495" s="60"/>
      <c r="D495" s="60"/>
      <c r="E495" s="60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0"/>
      <c r="AL495" s="60"/>
      <c r="AM495" s="60"/>
      <c r="AN495" s="60"/>
      <c r="AO495" s="62"/>
      <c r="AP495" s="60"/>
      <c r="AQ495" s="60"/>
    </row>
    <row r="496">
      <c r="A496" s="60"/>
      <c r="B496" s="60"/>
      <c r="C496" s="60"/>
      <c r="D496" s="60"/>
      <c r="E496" s="60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0"/>
      <c r="AL496" s="60"/>
      <c r="AM496" s="60"/>
      <c r="AN496" s="60"/>
      <c r="AO496" s="62"/>
      <c r="AP496" s="60"/>
      <c r="AQ496" s="60"/>
    </row>
    <row r="497">
      <c r="A497" s="60"/>
      <c r="B497" s="60"/>
      <c r="C497" s="60"/>
      <c r="D497" s="60"/>
      <c r="E497" s="60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0"/>
      <c r="AL497" s="60"/>
      <c r="AM497" s="60"/>
      <c r="AN497" s="60"/>
      <c r="AO497" s="62"/>
      <c r="AP497" s="60"/>
      <c r="AQ497" s="60"/>
    </row>
    <row r="498">
      <c r="A498" s="60"/>
      <c r="B498" s="60"/>
      <c r="C498" s="60"/>
      <c r="D498" s="60"/>
      <c r="E498" s="60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0"/>
      <c r="AL498" s="60"/>
      <c r="AM498" s="60"/>
      <c r="AN498" s="60"/>
      <c r="AO498" s="62"/>
      <c r="AP498" s="60"/>
      <c r="AQ498" s="60"/>
    </row>
    <row r="499">
      <c r="A499" s="60"/>
      <c r="B499" s="60"/>
      <c r="C499" s="60"/>
      <c r="D499" s="60"/>
      <c r="E499" s="60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0"/>
      <c r="AL499" s="60"/>
      <c r="AM499" s="60"/>
      <c r="AN499" s="60"/>
      <c r="AO499" s="62"/>
      <c r="AP499" s="60"/>
      <c r="AQ499" s="60"/>
    </row>
    <row r="500">
      <c r="A500" s="60"/>
      <c r="B500" s="60"/>
      <c r="C500" s="60"/>
      <c r="D500" s="60"/>
      <c r="E500" s="60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0"/>
      <c r="AL500" s="60"/>
      <c r="AM500" s="60"/>
      <c r="AN500" s="60"/>
      <c r="AO500" s="62"/>
      <c r="AP500" s="60"/>
      <c r="AQ500" s="60"/>
    </row>
    <row r="501">
      <c r="A501" s="60"/>
      <c r="B501" s="60"/>
      <c r="C501" s="60"/>
      <c r="D501" s="60"/>
      <c r="E501" s="60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0"/>
      <c r="AL501" s="60"/>
      <c r="AM501" s="60"/>
      <c r="AN501" s="60"/>
      <c r="AO501" s="62"/>
      <c r="AP501" s="60"/>
      <c r="AQ501" s="60"/>
    </row>
    <row r="502">
      <c r="A502" s="60"/>
      <c r="B502" s="60"/>
      <c r="C502" s="60"/>
      <c r="D502" s="60"/>
      <c r="E502" s="60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0"/>
      <c r="AL502" s="60"/>
      <c r="AM502" s="60"/>
      <c r="AN502" s="60"/>
      <c r="AO502" s="62"/>
      <c r="AP502" s="60"/>
      <c r="AQ502" s="60"/>
    </row>
    <row r="503">
      <c r="A503" s="60"/>
      <c r="B503" s="60"/>
      <c r="C503" s="60"/>
      <c r="D503" s="60"/>
      <c r="E503" s="60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0"/>
      <c r="AL503" s="60"/>
      <c r="AM503" s="60"/>
      <c r="AN503" s="60"/>
      <c r="AO503" s="62"/>
      <c r="AP503" s="60"/>
      <c r="AQ503" s="60"/>
    </row>
    <row r="504">
      <c r="A504" s="60"/>
      <c r="B504" s="60"/>
      <c r="C504" s="60"/>
      <c r="D504" s="60"/>
      <c r="E504" s="60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0"/>
      <c r="AL504" s="60"/>
      <c r="AM504" s="60"/>
      <c r="AN504" s="60"/>
      <c r="AO504" s="62"/>
      <c r="AP504" s="60"/>
      <c r="AQ504" s="60"/>
    </row>
    <row r="505">
      <c r="A505" s="60"/>
      <c r="B505" s="60"/>
      <c r="C505" s="60"/>
      <c r="D505" s="60"/>
      <c r="E505" s="60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0"/>
      <c r="AL505" s="60"/>
      <c r="AM505" s="60"/>
      <c r="AN505" s="60"/>
      <c r="AO505" s="62"/>
      <c r="AP505" s="60"/>
      <c r="AQ505" s="60"/>
    </row>
    <row r="506">
      <c r="A506" s="60"/>
      <c r="B506" s="60"/>
      <c r="C506" s="60"/>
      <c r="D506" s="60"/>
      <c r="E506" s="60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0"/>
      <c r="AL506" s="60"/>
      <c r="AM506" s="60"/>
      <c r="AN506" s="60"/>
      <c r="AO506" s="62"/>
      <c r="AP506" s="60"/>
      <c r="AQ506" s="60"/>
    </row>
    <row r="507">
      <c r="A507" s="60"/>
      <c r="B507" s="60"/>
      <c r="C507" s="60"/>
      <c r="D507" s="60"/>
      <c r="E507" s="60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0"/>
      <c r="AL507" s="60"/>
      <c r="AM507" s="60"/>
      <c r="AN507" s="60"/>
      <c r="AO507" s="62"/>
      <c r="AP507" s="60"/>
      <c r="AQ507" s="60"/>
    </row>
    <row r="508">
      <c r="A508" s="60"/>
      <c r="B508" s="60"/>
      <c r="C508" s="60"/>
      <c r="D508" s="60"/>
      <c r="E508" s="60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0"/>
      <c r="AL508" s="60"/>
      <c r="AM508" s="60"/>
      <c r="AN508" s="60"/>
      <c r="AO508" s="62"/>
      <c r="AP508" s="60"/>
      <c r="AQ508" s="60"/>
    </row>
    <row r="509">
      <c r="A509" s="60"/>
      <c r="B509" s="60"/>
      <c r="C509" s="60"/>
      <c r="D509" s="60"/>
      <c r="E509" s="60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0"/>
      <c r="AL509" s="60"/>
      <c r="AM509" s="60"/>
      <c r="AN509" s="60"/>
      <c r="AO509" s="62"/>
      <c r="AP509" s="60"/>
      <c r="AQ509" s="60"/>
    </row>
    <row r="510">
      <c r="A510" s="60"/>
      <c r="B510" s="60"/>
      <c r="C510" s="60"/>
      <c r="D510" s="60"/>
      <c r="E510" s="60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0"/>
      <c r="AL510" s="60"/>
      <c r="AM510" s="60"/>
      <c r="AN510" s="60"/>
      <c r="AO510" s="62"/>
      <c r="AP510" s="60"/>
      <c r="AQ510" s="60"/>
    </row>
    <row r="511">
      <c r="A511" s="60"/>
      <c r="B511" s="60"/>
      <c r="C511" s="60"/>
      <c r="D511" s="60"/>
      <c r="E511" s="60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0"/>
      <c r="AL511" s="60"/>
      <c r="AM511" s="60"/>
      <c r="AN511" s="60"/>
      <c r="AO511" s="62"/>
      <c r="AP511" s="60"/>
      <c r="AQ511" s="60"/>
    </row>
    <row r="512">
      <c r="A512" s="60"/>
      <c r="B512" s="60"/>
      <c r="C512" s="60"/>
      <c r="D512" s="60"/>
      <c r="E512" s="60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0"/>
      <c r="AL512" s="60"/>
      <c r="AM512" s="60"/>
      <c r="AN512" s="60"/>
      <c r="AO512" s="62"/>
      <c r="AP512" s="60"/>
      <c r="AQ512" s="60"/>
    </row>
    <row r="513">
      <c r="A513" s="60"/>
      <c r="B513" s="60"/>
      <c r="C513" s="60"/>
      <c r="D513" s="60"/>
      <c r="E513" s="60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0"/>
      <c r="AL513" s="60"/>
      <c r="AM513" s="60"/>
      <c r="AN513" s="60"/>
      <c r="AO513" s="62"/>
      <c r="AP513" s="60"/>
      <c r="AQ513" s="60"/>
    </row>
    <row r="514">
      <c r="A514" s="60"/>
      <c r="B514" s="60"/>
      <c r="C514" s="60"/>
      <c r="D514" s="60"/>
      <c r="E514" s="60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0"/>
      <c r="AL514" s="60"/>
      <c r="AM514" s="60"/>
      <c r="AN514" s="60"/>
      <c r="AO514" s="62"/>
      <c r="AP514" s="60"/>
      <c r="AQ514" s="60"/>
    </row>
    <row r="515">
      <c r="A515" s="60"/>
      <c r="B515" s="60"/>
      <c r="C515" s="60"/>
      <c r="D515" s="60"/>
      <c r="E515" s="60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0"/>
      <c r="AL515" s="60"/>
      <c r="AM515" s="60"/>
      <c r="AN515" s="60"/>
      <c r="AO515" s="62"/>
      <c r="AP515" s="60"/>
      <c r="AQ515" s="60"/>
    </row>
    <row r="516">
      <c r="A516" s="60"/>
      <c r="B516" s="60"/>
      <c r="C516" s="60"/>
      <c r="D516" s="60"/>
      <c r="E516" s="60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0"/>
      <c r="AL516" s="60"/>
      <c r="AM516" s="60"/>
      <c r="AN516" s="60"/>
      <c r="AO516" s="62"/>
      <c r="AP516" s="60"/>
      <c r="AQ516" s="60"/>
    </row>
    <row r="517">
      <c r="A517" s="60"/>
      <c r="B517" s="60"/>
      <c r="C517" s="60"/>
      <c r="D517" s="60"/>
      <c r="E517" s="60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0"/>
      <c r="AL517" s="60"/>
      <c r="AM517" s="60"/>
      <c r="AN517" s="60"/>
      <c r="AO517" s="62"/>
      <c r="AP517" s="60"/>
      <c r="AQ517" s="60"/>
    </row>
    <row r="518">
      <c r="A518" s="60"/>
      <c r="B518" s="60"/>
      <c r="C518" s="60"/>
      <c r="D518" s="60"/>
      <c r="E518" s="60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0"/>
      <c r="AL518" s="60"/>
      <c r="AM518" s="60"/>
      <c r="AN518" s="60"/>
      <c r="AO518" s="62"/>
      <c r="AP518" s="60"/>
      <c r="AQ518" s="60"/>
    </row>
    <row r="519">
      <c r="A519" s="60"/>
      <c r="B519" s="60"/>
      <c r="C519" s="60"/>
      <c r="D519" s="60"/>
      <c r="E519" s="60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0"/>
      <c r="AL519" s="60"/>
      <c r="AM519" s="60"/>
      <c r="AN519" s="60"/>
      <c r="AO519" s="62"/>
      <c r="AP519" s="60"/>
      <c r="AQ519" s="60"/>
    </row>
    <row r="520">
      <c r="A520" s="60"/>
      <c r="B520" s="60"/>
      <c r="C520" s="60"/>
      <c r="D520" s="60"/>
      <c r="E520" s="60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0"/>
      <c r="AL520" s="60"/>
      <c r="AM520" s="60"/>
      <c r="AN520" s="60"/>
      <c r="AO520" s="62"/>
      <c r="AP520" s="60"/>
      <c r="AQ520" s="60"/>
    </row>
    <row r="521">
      <c r="A521" s="60"/>
      <c r="B521" s="60"/>
      <c r="C521" s="60"/>
      <c r="D521" s="60"/>
      <c r="E521" s="60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0"/>
      <c r="AL521" s="60"/>
      <c r="AM521" s="60"/>
      <c r="AN521" s="60"/>
      <c r="AO521" s="62"/>
      <c r="AP521" s="60"/>
      <c r="AQ521" s="60"/>
    </row>
    <row r="522">
      <c r="A522" s="60"/>
      <c r="B522" s="60"/>
      <c r="C522" s="60"/>
      <c r="D522" s="60"/>
      <c r="E522" s="60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0"/>
      <c r="AL522" s="60"/>
      <c r="AM522" s="60"/>
      <c r="AN522" s="60"/>
      <c r="AO522" s="62"/>
      <c r="AP522" s="60"/>
      <c r="AQ522" s="60"/>
    </row>
    <row r="523">
      <c r="A523" s="60"/>
      <c r="B523" s="60"/>
      <c r="C523" s="60"/>
      <c r="D523" s="60"/>
      <c r="E523" s="60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0"/>
      <c r="AL523" s="60"/>
      <c r="AM523" s="60"/>
      <c r="AN523" s="60"/>
      <c r="AO523" s="62"/>
      <c r="AP523" s="60"/>
      <c r="AQ523" s="60"/>
    </row>
    <row r="524">
      <c r="A524" s="60"/>
      <c r="B524" s="60"/>
      <c r="C524" s="60"/>
      <c r="D524" s="60"/>
      <c r="E524" s="60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0"/>
      <c r="AL524" s="60"/>
      <c r="AM524" s="60"/>
      <c r="AN524" s="60"/>
      <c r="AO524" s="62"/>
      <c r="AP524" s="60"/>
      <c r="AQ524" s="60"/>
    </row>
    <row r="525">
      <c r="A525" s="60"/>
      <c r="B525" s="60"/>
      <c r="C525" s="60"/>
      <c r="D525" s="60"/>
      <c r="E525" s="60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0"/>
      <c r="AL525" s="60"/>
      <c r="AM525" s="60"/>
      <c r="AN525" s="60"/>
      <c r="AO525" s="62"/>
      <c r="AP525" s="60"/>
      <c r="AQ525" s="60"/>
    </row>
    <row r="526">
      <c r="A526" s="60"/>
      <c r="B526" s="60"/>
      <c r="C526" s="60"/>
      <c r="D526" s="60"/>
      <c r="E526" s="60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0"/>
      <c r="AL526" s="60"/>
      <c r="AM526" s="60"/>
      <c r="AN526" s="60"/>
      <c r="AO526" s="62"/>
      <c r="AP526" s="60"/>
      <c r="AQ526" s="60"/>
    </row>
    <row r="527">
      <c r="A527" s="60"/>
      <c r="B527" s="60"/>
      <c r="C527" s="60"/>
      <c r="D527" s="60"/>
      <c r="E527" s="60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0"/>
      <c r="AL527" s="60"/>
      <c r="AM527" s="60"/>
      <c r="AN527" s="60"/>
      <c r="AO527" s="62"/>
      <c r="AP527" s="60"/>
      <c r="AQ527" s="60"/>
    </row>
    <row r="528">
      <c r="A528" s="60"/>
      <c r="B528" s="60"/>
      <c r="C528" s="60"/>
      <c r="D528" s="60"/>
      <c r="E528" s="60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0"/>
      <c r="AL528" s="60"/>
      <c r="AM528" s="60"/>
      <c r="AN528" s="60"/>
      <c r="AO528" s="62"/>
      <c r="AP528" s="60"/>
      <c r="AQ528" s="60"/>
    </row>
    <row r="529">
      <c r="A529" s="60"/>
      <c r="B529" s="60"/>
      <c r="C529" s="60"/>
      <c r="D529" s="60"/>
      <c r="E529" s="60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0"/>
      <c r="AL529" s="60"/>
      <c r="AM529" s="60"/>
      <c r="AN529" s="60"/>
      <c r="AO529" s="62"/>
      <c r="AP529" s="60"/>
      <c r="AQ529" s="60"/>
    </row>
    <row r="530">
      <c r="A530" s="60"/>
      <c r="B530" s="60"/>
      <c r="C530" s="60"/>
      <c r="D530" s="60"/>
      <c r="E530" s="60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0"/>
      <c r="AL530" s="60"/>
      <c r="AM530" s="60"/>
      <c r="AN530" s="60"/>
      <c r="AO530" s="62"/>
      <c r="AP530" s="60"/>
      <c r="AQ530" s="60"/>
    </row>
    <row r="531">
      <c r="A531" s="60"/>
      <c r="B531" s="60"/>
      <c r="C531" s="60"/>
      <c r="D531" s="60"/>
      <c r="E531" s="60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0"/>
      <c r="AL531" s="60"/>
      <c r="AM531" s="60"/>
      <c r="AN531" s="60"/>
      <c r="AO531" s="62"/>
      <c r="AP531" s="60"/>
      <c r="AQ531" s="60"/>
    </row>
    <row r="532">
      <c r="A532" s="60"/>
      <c r="B532" s="60"/>
      <c r="C532" s="60"/>
      <c r="D532" s="60"/>
      <c r="E532" s="60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0"/>
      <c r="AL532" s="60"/>
      <c r="AM532" s="60"/>
      <c r="AN532" s="60"/>
      <c r="AO532" s="62"/>
      <c r="AP532" s="60"/>
      <c r="AQ532" s="60"/>
    </row>
    <row r="533">
      <c r="A533" s="60"/>
      <c r="B533" s="60"/>
      <c r="C533" s="60"/>
      <c r="D533" s="60"/>
      <c r="E533" s="60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0"/>
      <c r="AL533" s="60"/>
      <c r="AM533" s="60"/>
      <c r="AN533" s="60"/>
      <c r="AO533" s="62"/>
      <c r="AP533" s="60"/>
      <c r="AQ533" s="60"/>
    </row>
    <row r="534">
      <c r="A534" s="60"/>
      <c r="B534" s="60"/>
      <c r="C534" s="60"/>
      <c r="D534" s="60"/>
      <c r="E534" s="60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0"/>
      <c r="AL534" s="60"/>
      <c r="AM534" s="60"/>
      <c r="AN534" s="60"/>
      <c r="AO534" s="62"/>
      <c r="AP534" s="60"/>
      <c r="AQ534" s="60"/>
    </row>
    <row r="535">
      <c r="A535" s="60"/>
      <c r="B535" s="60"/>
      <c r="C535" s="60"/>
      <c r="D535" s="60"/>
      <c r="E535" s="60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0"/>
      <c r="AL535" s="60"/>
      <c r="AM535" s="60"/>
      <c r="AN535" s="60"/>
      <c r="AO535" s="62"/>
      <c r="AP535" s="60"/>
      <c r="AQ535" s="60"/>
    </row>
    <row r="536">
      <c r="A536" s="60"/>
      <c r="B536" s="60"/>
      <c r="C536" s="60"/>
      <c r="D536" s="60"/>
      <c r="E536" s="60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0"/>
      <c r="AL536" s="60"/>
      <c r="AM536" s="60"/>
      <c r="AN536" s="60"/>
      <c r="AO536" s="62"/>
      <c r="AP536" s="60"/>
      <c r="AQ536" s="60"/>
    </row>
    <row r="537">
      <c r="A537" s="60"/>
      <c r="B537" s="60"/>
      <c r="C537" s="60"/>
      <c r="D537" s="60"/>
      <c r="E537" s="60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0"/>
      <c r="AL537" s="60"/>
      <c r="AM537" s="60"/>
      <c r="AN537" s="60"/>
      <c r="AO537" s="62"/>
      <c r="AP537" s="60"/>
      <c r="AQ537" s="60"/>
    </row>
    <row r="538">
      <c r="A538" s="60"/>
      <c r="B538" s="60"/>
      <c r="C538" s="60"/>
      <c r="D538" s="60"/>
      <c r="E538" s="60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0"/>
      <c r="AL538" s="60"/>
      <c r="AM538" s="60"/>
      <c r="AN538" s="60"/>
      <c r="AO538" s="62"/>
      <c r="AP538" s="60"/>
      <c r="AQ538" s="60"/>
    </row>
    <row r="539">
      <c r="A539" s="60"/>
      <c r="B539" s="60"/>
      <c r="C539" s="60"/>
      <c r="D539" s="60"/>
      <c r="E539" s="60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0"/>
      <c r="AL539" s="60"/>
      <c r="AM539" s="60"/>
      <c r="AN539" s="60"/>
      <c r="AO539" s="62"/>
      <c r="AP539" s="60"/>
      <c r="AQ539" s="60"/>
    </row>
    <row r="540">
      <c r="A540" s="60"/>
      <c r="B540" s="60"/>
      <c r="C540" s="60"/>
      <c r="D540" s="60"/>
      <c r="E540" s="60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0"/>
      <c r="AL540" s="60"/>
      <c r="AM540" s="60"/>
      <c r="AN540" s="60"/>
      <c r="AO540" s="62"/>
      <c r="AP540" s="60"/>
      <c r="AQ540" s="60"/>
    </row>
    <row r="541">
      <c r="A541" s="60"/>
      <c r="B541" s="60"/>
      <c r="C541" s="60"/>
      <c r="D541" s="60"/>
      <c r="E541" s="60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0"/>
      <c r="AL541" s="60"/>
      <c r="AM541" s="60"/>
      <c r="AN541" s="60"/>
      <c r="AO541" s="62"/>
      <c r="AP541" s="60"/>
      <c r="AQ541" s="60"/>
    </row>
    <row r="542">
      <c r="A542" s="60"/>
      <c r="B542" s="60"/>
      <c r="C542" s="60"/>
      <c r="D542" s="60"/>
      <c r="E542" s="60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0"/>
      <c r="AL542" s="60"/>
      <c r="AM542" s="60"/>
      <c r="AN542" s="60"/>
      <c r="AO542" s="62"/>
      <c r="AP542" s="60"/>
      <c r="AQ542" s="60"/>
    </row>
    <row r="543">
      <c r="A543" s="60"/>
      <c r="B543" s="60"/>
      <c r="C543" s="60"/>
      <c r="D543" s="60"/>
      <c r="E543" s="60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0"/>
      <c r="AL543" s="60"/>
      <c r="AM543" s="60"/>
      <c r="AN543" s="60"/>
      <c r="AO543" s="62"/>
      <c r="AP543" s="60"/>
      <c r="AQ543" s="60"/>
    </row>
    <row r="544">
      <c r="A544" s="60"/>
      <c r="B544" s="60"/>
      <c r="C544" s="60"/>
      <c r="D544" s="60"/>
      <c r="E544" s="60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0"/>
      <c r="AL544" s="60"/>
      <c r="AM544" s="60"/>
      <c r="AN544" s="60"/>
      <c r="AO544" s="62"/>
      <c r="AP544" s="60"/>
      <c r="AQ544" s="60"/>
    </row>
    <row r="545">
      <c r="A545" s="60"/>
      <c r="B545" s="60"/>
      <c r="C545" s="60"/>
      <c r="D545" s="60"/>
      <c r="E545" s="60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0"/>
      <c r="AL545" s="60"/>
      <c r="AM545" s="60"/>
      <c r="AN545" s="60"/>
      <c r="AO545" s="62"/>
      <c r="AP545" s="60"/>
      <c r="AQ545" s="60"/>
    </row>
    <row r="546">
      <c r="A546" s="60"/>
      <c r="B546" s="60"/>
      <c r="C546" s="60"/>
      <c r="D546" s="60"/>
      <c r="E546" s="60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0"/>
      <c r="AL546" s="60"/>
      <c r="AM546" s="60"/>
      <c r="AN546" s="60"/>
      <c r="AO546" s="62"/>
      <c r="AP546" s="60"/>
      <c r="AQ546" s="60"/>
    </row>
    <row r="547">
      <c r="A547" s="60"/>
      <c r="B547" s="60"/>
      <c r="C547" s="60"/>
      <c r="D547" s="60"/>
      <c r="E547" s="60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0"/>
      <c r="AL547" s="60"/>
      <c r="AM547" s="60"/>
      <c r="AN547" s="60"/>
      <c r="AO547" s="62"/>
      <c r="AP547" s="60"/>
      <c r="AQ547" s="60"/>
    </row>
    <row r="548">
      <c r="A548" s="60"/>
      <c r="B548" s="60"/>
      <c r="C548" s="60"/>
      <c r="D548" s="60"/>
      <c r="E548" s="60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0"/>
      <c r="AL548" s="60"/>
      <c r="AM548" s="60"/>
      <c r="AN548" s="60"/>
      <c r="AO548" s="62"/>
      <c r="AP548" s="60"/>
      <c r="AQ548" s="60"/>
    </row>
    <row r="549">
      <c r="A549" s="60"/>
      <c r="B549" s="60"/>
      <c r="C549" s="60"/>
      <c r="D549" s="60"/>
      <c r="E549" s="60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0"/>
      <c r="AL549" s="60"/>
      <c r="AM549" s="60"/>
      <c r="AN549" s="60"/>
      <c r="AO549" s="62"/>
      <c r="AP549" s="60"/>
      <c r="AQ549" s="60"/>
    </row>
    <row r="550">
      <c r="A550" s="60"/>
      <c r="B550" s="60"/>
      <c r="C550" s="60"/>
      <c r="D550" s="60"/>
      <c r="E550" s="60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0"/>
      <c r="AL550" s="60"/>
      <c r="AM550" s="60"/>
      <c r="AN550" s="60"/>
      <c r="AO550" s="62"/>
      <c r="AP550" s="60"/>
      <c r="AQ550" s="60"/>
    </row>
    <row r="551">
      <c r="A551" s="60"/>
      <c r="B551" s="60"/>
      <c r="C551" s="60"/>
      <c r="D551" s="60"/>
      <c r="E551" s="60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0"/>
      <c r="AL551" s="60"/>
      <c r="AM551" s="60"/>
      <c r="AN551" s="60"/>
      <c r="AO551" s="62"/>
      <c r="AP551" s="60"/>
      <c r="AQ551" s="60"/>
    </row>
    <row r="552">
      <c r="A552" s="60"/>
      <c r="B552" s="60"/>
      <c r="C552" s="60"/>
      <c r="D552" s="60"/>
      <c r="E552" s="60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0"/>
      <c r="AL552" s="60"/>
      <c r="AM552" s="60"/>
      <c r="AN552" s="60"/>
      <c r="AO552" s="62"/>
      <c r="AP552" s="60"/>
      <c r="AQ552" s="60"/>
    </row>
    <row r="553">
      <c r="A553" s="60"/>
      <c r="B553" s="60"/>
      <c r="C553" s="60"/>
      <c r="D553" s="60"/>
      <c r="E553" s="60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0"/>
      <c r="AL553" s="60"/>
      <c r="AM553" s="60"/>
      <c r="AN553" s="60"/>
      <c r="AO553" s="62"/>
      <c r="AP553" s="60"/>
      <c r="AQ553" s="60"/>
    </row>
    <row r="554">
      <c r="A554" s="60"/>
      <c r="B554" s="60"/>
      <c r="C554" s="60"/>
      <c r="D554" s="60"/>
      <c r="E554" s="60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0"/>
      <c r="AL554" s="60"/>
      <c r="AM554" s="60"/>
      <c r="AN554" s="60"/>
      <c r="AO554" s="62"/>
      <c r="AP554" s="60"/>
      <c r="AQ554" s="60"/>
    </row>
    <row r="555">
      <c r="A555" s="60"/>
      <c r="B555" s="60"/>
      <c r="C555" s="60"/>
      <c r="D555" s="60"/>
      <c r="E555" s="60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0"/>
      <c r="AL555" s="60"/>
      <c r="AM555" s="60"/>
      <c r="AN555" s="60"/>
      <c r="AO555" s="62"/>
      <c r="AP555" s="60"/>
      <c r="AQ555" s="60"/>
    </row>
    <row r="556">
      <c r="A556" s="60"/>
      <c r="B556" s="60"/>
      <c r="C556" s="60"/>
      <c r="D556" s="60"/>
      <c r="E556" s="60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0"/>
      <c r="AL556" s="60"/>
      <c r="AM556" s="60"/>
      <c r="AN556" s="60"/>
      <c r="AO556" s="62"/>
      <c r="AP556" s="60"/>
      <c r="AQ556" s="60"/>
    </row>
    <row r="557">
      <c r="A557" s="60"/>
      <c r="B557" s="60"/>
      <c r="C557" s="60"/>
      <c r="D557" s="60"/>
      <c r="E557" s="60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0"/>
      <c r="AL557" s="60"/>
      <c r="AM557" s="60"/>
      <c r="AN557" s="60"/>
      <c r="AO557" s="62"/>
      <c r="AP557" s="60"/>
      <c r="AQ557" s="60"/>
    </row>
    <row r="558">
      <c r="A558" s="60"/>
      <c r="B558" s="60"/>
      <c r="C558" s="60"/>
      <c r="D558" s="60"/>
      <c r="E558" s="60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0"/>
      <c r="AL558" s="60"/>
      <c r="AM558" s="60"/>
      <c r="AN558" s="60"/>
      <c r="AO558" s="62"/>
      <c r="AP558" s="60"/>
      <c r="AQ558" s="60"/>
    </row>
    <row r="559">
      <c r="A559" s="60"/>
      <c r="B559" s="60"/>
      <c r="C559" s="60"/>
      <c r="D559" s="60"/>
      <c r="E559" s="60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0"/>
      <c r="AL559" s="60"/>
      <c r="AM559" s="60"/>
      <c r="AN559" s="60"/>
      <c r="AO559" s="62"/>
      <c r="AP559" s="60"/>
      <c r="AQ559" s="60"/>
    </row>
    <row r="560">
      <c r="A560" s="60"/>
      <c r="B560" s="60"/>
      <c r="C560" s="60"/>
      <c r="D560" s="60"/>
      <c r="E560" s="60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0"/>
      <c r="AL560" s="60"/>
      <c r="AM560" s="60"/>
      <c r="AN560" s="60"/>
      <c r="AO560" s="62"/>
      <c r="AP560" s="60"/>
      <c r="AQ560" s="60"/>
    </row>
    <row r="561">
      <c r="A561" s="60"/>
      <c r="B561" s="60"/>
      <c r="C561" s="60"/>
      <c r="D561" s="60"/>
      <c r="E561" s="60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0"/>
      <c r="AL561" s="60"/>
      <c r="AM561" s="60"/>
      <c r="AN561" s="60"/>
      <c r="AO561" s="62"/>
      <c r="AP561" s="60"/>
      <c r="AQ561" s="60"/>
    </row>
    <row r="562">
      <c r="A562" s="60"/>
      <c r="B562" s="60"/>
      <c r="C562" s="60"/>
      <c r="D562" s="60"/>
      <c r="E562" s="60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0"/>
      <c r="AL562" s="60"/>
      <c r="AM562" s="60"/>
      <c r="AN562" s="60"/>
      <c r="AO562" s="62"/>
      <c r="AP562" s="60"/>
      <c r="AQ562" s="60"/>
    </row>
    <row r="563">
      <c r="A563" s="60"/>
      <c r="B563" s="60"/>
      <c r="C563" s="60"/>
      <c r="D563" s="60"/>
      <c r="E563" s="60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0"/>
      <c r="AL563" s="60"/>
      <c r="AM563" s="60"/>
      <c r="AN563" s="60"/>
      <c r="AO563" s="62"/>
      <c r="AP563" s="60"/>
      <c r="AQ563" s="60"/>
    </row>
    <row r="564">
      <c r="A564" s="60"/>
      <c r="B564" s="60"/>
      <c r="C564" s="60"/>
      <c r="D564" s="60"/>
      <c r="E564" s="60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0"/>
      <c r="AL564" s="60"/>
      <c r="AM564" s="60"/>
      <c r="AN564" s="60"/>
      <c r="AO564" s="62"/>
      <c r="AP564" s="60"/>
      <c r="AQ564" s="60"/>
    </row>
    <row r="565">
      <c r="A565" s="60"/>
      <c r="B565" s="60"/>
      <c r="C565" s="60"/>
      <c r="D565" s="60"/>
      <c r="E565" s="60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0"/>
      <c r="AL565" s="60"/>
      <c r="AM565" s="60"/>
      <c r="AN565" s="60"/>
      <c r="AO565" s="62"/>
      <c r="AP565" s="60"/>
      <c r="AQ565" s="60"/>
    </row>
    <row r="566">
      <c r="A566" s="60"/>
      <c r="B566" s="60"/>
      <c r="C566" s="60"/>
      <c r="D566" s="60"/>
      <c r="E566" s="60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0"/>
      <c r="AL566" s="60"/>
      <c r="AM566" s="60"/>
      <c r="AN566" s="60"/>
      <c r="AO566" s="62"/>
      <c r="AP566" s="60"/>
      <c r="AQ566" s="60"/>
    </row>
    <row r="567">
      <c r="A567" s="60"/>
      <c r="B567" s="60"/>
      <c r="C567" s="60"/>
      <c r="D567" s="60"/>
      <c r="E567" s="60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0"/>
      <c r="AL567" s="60"/>
      <c r="AM567" s="60"/>
      <c r="AN567" s="60"/>
      <c r="AO567" s="62"/>
      <c r="AP567" s="60"/>
      <c r="AQ567" s="60"/>
    </row>
    <row r="568">
      <c r="A568" s="60"/>
      <c r="B568" s="60"/>
      <c r="C568" s="60"/>
      <c r="D568" s="60"/>
      <c r="E568" s="60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0"/>
      <c r="AL568" s="60"/>
      <c r="AM568" s="60"/>
      <c r="AN568" s="60"/>
      <c r="AO568" s="62"/>
      <c r="AP568" s="60"/>
      <c r="AQ568" s="60"/>
    </row>
    <row r="569">
      <c r="A569" s="60"/>
      <c r="B569" s="60"/>
      <c r="C569" s="60"/>
      <c r="D569" s="60"/>
      <c r="E569" s="60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0"/>
      <c r="AL569" s="60"/>
      <c r="AM569" s="60"/>
      <c r="AN569" s="60"/>
      <c r="AO569" s="62"/>
      <c r="AP569" s="60"/>
      <c r="AQ569" s="60"/>
    </row>
    <row r="570">
      <c r="A570" s="60"/>
      <c r="B570" s="60"/>
      <c r="C570" s="60"/>
      <c r="D570" s="60"/>
      <c r="E570" s="60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0"/>
      <c r="AL570" s="60"/>
      <c r="AM570" s="60"/>
      <c r="AN570" s="60"/>
      <c r="AO570" s="62"/>
      <c r="AP570" s="60"/>
      <c r="AQ570" s="60"/>
    </row>
    <row r="571">
      <c r="A571" s="60"/>
      <c r="B571" s="60"/>
      <c r="C571" s="60"/>
      <c r="D571" s="60"/>
      <c r="E571" s="60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0"/>
      <c r="AL571" s="60"/>
      <c r="AM571" s="60"/>
      <c r="AN571" s="60"/>
      <c r="AO571" s="62"/>
      <c r="AP571" s="60"/>
      <c r="AQ571" s="60"/>
    </row>
    <row r="572">
      <c r="A572" s="60"/>
      <c r="B572" s="60"/>
      <c r="C572" s="60"/>
      <c r="D572" s="60"/>
      <c r="E572" s="60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0"/>
      <c r="AL572" s="60"/>
      <c r="AM572" s="60"/>
      <c r="AN572" s="60"/>
      <c r="AO572" s="62"/>
      <c r="AP572" s="60"/>
      <c r="AQ572" s="60"/>
    </row>
    <row r="573">
      <c r="A573" s="60"/>
      <c r="B573" s="60"/>
      <c r="C573" s="60"/>
      <c r="D573" s="60"/>
      <c r="E573" s="60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0"/>
      <c r="AL573" s="60"/>
      <c r="AM573" s="60"/>
      <c r="AN573" s="60"/>
      <c r="AO573" s="62"/>
      <c r="AP573" s="60"/>
      <c r="AQ573" s="60"/>
    </row>
    <row r="574">
      <c r="A574" s="60"/>
      <c r="B574" s="60"/>
      <c r="C574" s="60"/>
      <c r="D574" s="60"/>
      <c r="E574" s="60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0"/>
      <c r="AL574" s="60"/>
      <c r="AM574" s="60"/>
      <c r="AN574" s="60"/>
      <c r="AO574" s="62"/>
      <c r="AP574" s="60"/>
      <c r="AQ574" s="60"/>
    </row>
    <row r="575">
      <c r="A575" s="60"/>
      <c r="B575" s="60"/>
      <c r="C575" s="60"/>
      <c r="D575" s="60"/>
      <c r="E575" s="60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0"/>
      <c r="AL575" s="60"/>
      <c r="AM575" s="60"/>
      <c r="AN575" s="60"/>
      <c r="AO575" s="62"/>
      <c r="AP575" s="60"/>
      <c r="AQ575" s="60"/>
    </row>
    <row r="576">
      <c r="A576" s="60"/>
      <c r="B576" s="60"/>
      <c r="C576" s="60"/>
      <c r="D576" s="60"/>
      <c r="E576" s="60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0"/>
      <c r="AL576" s="60"/>
      <c r="AM576" s="60"/>
      <c r="AN576" s="60"/>
      <c r="AO576" s="62"/>
      <c r="AP576" s="60"/>
      <c r="AQ576" s="60"/>
    </row>
    <row r="577">
      <c r="A577" s="60"/>
      <c r="B577" s="60"/>
      <c r="C577" s="60"/>
      <c r="D577" s="60"/>
      <c r="E577" s="60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0"/>
      <c r="AL577" s="60"/>
      <c r="AM577" s="60"/>
      <c r="AN577" s="60"/>
      <c r="AO577" s="62"/>
      <c r="AP577" s="60"/>
      <c r="AQ577" s="60"/>
    </row>
    <row r="578">
      <c r="A578" s="60"/>
      <c r="B578" s="60"/>
      <c r="C578" s="60"/>
      <c r="D578" s="60"/>
      <c r="E578" s="60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0"/>
      <c r="AL578" s="60"/>
      <c r="AM578" s="60"/>
      <c r="AN578" s="60"/>
      <c r="AO578" s="62"/>
      <c r="AP578" s="60"/>
      <c r="AQ578" s="60"/>
    </row>
    <row r="579">
      <c r="A579" s="60"/>
      <c r="B579" s="60"/>
      <c r="C579" s="60"/>
      <c r="D579" s="60"/>
      <c r="E579" s="60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0"/>
      <c r="AL579" s="60"/>
      <c r="AM579" s="60"/>
      <c r="AN579" s="60"/>
      <c r="AO579" s="62"/>
      <c r="AP579" s="60"/>
      <c r="AQ579" s="60"/>
    </row>
    <row r="580">
      <c r="A580" s="60"/>
      <c r="B580" s="60"/>
      <c r="C580" s="60"/>
      <c r="D580" s="60"/>
      <c r="E580" s="60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0"/>
      <c r="AL580" s="60"/>
      <c r="AM580" s="60"/>
      <c r="AN580" s="60"/>
      <c r="AO580" s="62"/>
      <c r="AP580" s="60"/>
      <c r="AQ580" s="60"/>
    </row>
    <row r="581">
      <c r="A581" s="60"/>
      <c r="B581" s="60"/>
      <c r="C581" s="60"/>
      <c r="D581" s="60"/>
      <c r="E581" s="60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0"/>
      <c r="AL581" s="60"/>
      <c r="AM581" s="60"/>
      <c r="AN581" s="60"/>
      <c r="AO581" s="62"/>
      <c r="AP581" s="60"/>
      <c r="AQ581" s="60"/>
    </row>
    <row r="582">
      <c r="A582" s="60"/>
      <c r="B582" s="60"/>
      <c r="C582" s="60"/>
      <c r="D582" s="60"/>
      <c r="E582" s="60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0"/>
      <c r="AL582" s="60"/>
      <c r="AM582" s="60"/>
      <c r="AN582" s="60"/>
      <c r="AO582" s="62"/>
      <c r="AP582" s="60"/>
      <c r="AQ582" s="60"/>
    </row>
    <row r="583">
      <c r="A583" s="60"/>
      <c r="B583" s="60"/>
      <c r="C583" s="60"/>
      <c r="D583" s="60"/>
      <c r="E583" s="60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0"/>
      <c r="AL583" s="60"/>
      <c r="AM583" s="60"/>
      <c r="AN583" s="60"/>
      <c r="AO583" s="62"/>
      <c r="AP583" s="60"/>
      <c r="AQ583" s="60"/>
    </row>
    <row r="584">
      <c r="A584" s="60"/>
      <c r="B584" s="60"/>
      <c r="C584" s="60"/>
      <c r="D584" s="60"/>
      <c r="E584" s="60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0"/>
      <c r="AL584" s="60"/>
      <c r="AM584" s="60"/>
      <c r="AN584" s="60"/>
      <c r="AO584" s="62"/>
      <c r="AP584" s="60"/>
      <c r="AQ584" s="60"/>
    </row>
    <row r="585">
      <c r="A585" s="60"/>
      <c r="B585" s="60"/>
      <c r="C585" s="60"/>
      <c r="D585" s="60"/>
      <c r="E585" s="60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0"/>
      <c r="AL585" s="60"/>
      <c r="AM585" s="60"/>
      <c r="AN585" s="60"/>
      <c r="AO585" s="62"/>
      <c r="AP585" s="60"/>
      <c r="AQ585" s="60"/>
    </row>
    <row r="586">
      <c r="A586" s="60"/>
      <c r="B586" s="60"/>
      <c r="C586" s="60"/>
      <c r="D586" s="60"/>
      <c r="E586" s="60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0"/>
      <c r="AL586" s="60"/>
      <c r="AM586" s="60"/>
      <c r="AN586" s="60"/>
      <c r="AO586" s="62"/>
      <c r="AP586" s="60"/>
      <c r="AQ586" s="60"/>
    </row>
    <row r="587">
      <c r="A587" s="60"/>
      <c r="B587" s="60"/>
      <c r="C587" s="60"/>
      <c r="D587" s="60"/>
      <c r="E587" s="60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0"/>
      <c r="AL587" s="60"/>
      <c r="AM587" s="60"/>
      <c r="AN587" s="60"/>
      <c r="AO587" s="62"/>
      <c r="AP587" s="60"/>
      <c r="AQ587" s="60"/>
    </row>
    <row r="588">
      <c r="A588" s="60"/>
      <c r="B588" s="60"/>
      <c r="C588" s="60"/>
      <c r="D588" s="60"/>
      <c r="E588" s="60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0"/>
      <c r="AL588" s="60"/>
      <c r="AM588" s="60"/>
      <c r="AN588" s="60"/>
      <c r="AO588" s="62"/>
      <c r="AP588" s="60"/>
      <c r="AQ588" s="60"/>
    </row>
    <row r="589">
      <c r="A589" s="60"/>
      <c r="B589" s="60"/>
      <c r="C589" s="60"/>
      <c r="D589" s="60"/>
      <c r="E589" s="60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0"/>
      <c r="AL589" s="60"/>
      <c r="AM589" s="60"/>
      <c r="AN589" s="60"/>
      <c r="AO589" s="62"/>
      <c r="AP589" s="60"/>
      <c r="AQ589" s="60"/>
    </row>
    <row r="590">
      <c r="A590" s="60"/>
      <c r="B590" s="60"/>
      <c r="C590" s="60"/>
      <c r="D590" s="60"/>
      <c r="E590" s="60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0"/>
      <c r="AL590" s="60"/>
      <c r="AM590" s="60"/>
      <c r="AN590" s="60"/>
      <c r="AO590" s="62"/>
      <c r="AP590" s="60"/>
      <c r="AQ590" s="60"/>
    </row>
    <row r="591">
      <c r="A591" s="60"/>
      <c r="B591" s="60"/>
      <c r="C591" s="60"/>
      <c r="D591" s="60"/>
      <c r="E591" s="60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0"/>
      <c r="AL591" s="60"/>
      <c r="AM591" s="60"/>
      <c r="AN591" s="60"/>
      <c r="AO591" s="62"/>
      <c r="AP591" s="60"/>
      <c r="AQ591" s="60"/>
    </row>
    <row r="592">
      <c r="A592" s="60"/>
      <c r="B592" s="60"/>
      <c r="C592" s="60"/>
      <c r="D592" s="60"/>
      <c r="E592" s="60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0"/>
      <c r="AL592" s="60"/>
      <c r="AM592" s="60"/>
      <c r="AN592" s="60"/>
      <c r="AO592" s="62"/>
      <c r="AP592" s="60"/>
      <c r="AQ592" s="60"/>
    </row>
    <row r="593">
      <c r="A593" s="60"/>
      <c r="B593" s="60"/>
      <c r="C593" s="60"/>
      <c r="D593" s="60"/>
      <c r="E593" s="60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0"/>
      <c r="AL593" s="60"/>
      <c r="AM593" s="60"/>
      <c r="AN593" s="60"/>
      <c r="AO593" s="62"/>
      <c r="AP593" s="60"/>
      <c r="AQ593" s="60"/>
    </row>
    <row r="594">
      <c r="A594" s="60"/>
      <c r="B594" s="60"/>
      <c r="C594" s="60"/>
      <c r="D594" s="60"/>
      <c r="E594" s="60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0"/>
      <c r="AL594" s="60"/>
      <c r="AM594" s="60"/>
      <c r="AN594" s="60"/>
      <c r="AO594" s="62"/>
      <c r="AP594" s="60"/>
      <c r="AQ594" s="60"/>
    </row>
    <row r="595">
      <c r="A595" s="60"/>
      <c r="B595" s="60"/>
      <c r="C595" s="60"/>
      <c r="D595" s="60"/>
      <c r="E595" s="60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0"/>
      <c r="AL595" s="60"/>
      <c r="AM595" s="60"/>
      <c r="AN595" s="60"/>
      <c r="AO595" s="62"/>
      <c r="AP595" s="60"/>
      <c r="AQ595" s="60"/>
    </row>
    <row r="596">
      <c r="A596" s="60"/>
      <c r="B596" s="60"/>
      <c r="C596" s="60"/>
      <c r="D596" s="60"/>
      <c r="E596" s="60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0"/>
      <c r="AL596" s="60"/>
      <c r="AM596" s="60"/>
      <c r="AN596" s="60"/>
      <c r="AO596" s="62"/>
      <c r="AP596" s="60"/>
      <c r="AQ596" s="60"/>
    </row>
    <row r="597">
      <c r="A597" s="60"/>
      <c r="B597" s="60"/>
      <c r="C597" s="60"/>
      <c r="D597" s="60"/>
      <c r="E597" s="60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0"/>
      <c r="AL597" s="60"/>
      <c r="AM597" s="60"/>
      <c r="AN597" s="60"/>
      <c r="AO597" s="62"/>
      <c r="AP597" s="60"/>
      <c r="AQ597" s="60"/>
    </row>
    <row r="598">
      <c r="A598" s="60"/>
      <c r="B598" s="60"/>
      <c r="C598" s="60"/>
      <c r="D598" s="60"/>
      <c r="E598" s="60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0"/>
      <c r="AL598" s="60"/>
      <c r="AM598" s="60"/>
      <c r="AN598" s="60"/>
      <c r="AO598" s="62"/>
      <c r="AP598" s="60"/>
      <c r="AQ598" s="60"/>
    </row>
    <row r="599">
      <c r="A599" s="60"/>
      <c r="B599" s="60"/>
      <c r="C599" s="60"/>
      <c r="D599" s="60"/>
      <c r="E599" s="60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0"/>
      <c r="AL599" s="60"/>
      <c r="AM599" s="60"/>
      <c r="AN599" s="60"/>
      <c r="AO599" s="62"/>
      <c r="AP599" s="60"/>
      <c r="AQ599" s="60"/>
    </row>
    <row r="600">
      <c r="A600" s="60"/>
      <c r="B600" s="60"/>
      <c r="C600" s="60"/>
      <c r="D600" s="60"/>
      <c r="E600" s="60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0"/>
      <c r="AL600" s="60"/>
      <c r="AM600" s="60"/>
      <c r="AN600" s="60"/>
      <c r="AO600" s="62"/>
      <c r="AP600" s="60"/>
      <c r="AQ600" s="60"/>
    </row>
    <row r="601">
      <c r="A601" s="60"/>
      <c r="B601" s="60"/>
      <c r="C601" s="60"/>
      <c r="D601" s="60"/>
      <c r="E601" s="60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0"/>
      <c r="AL601" s="60"/>
      <c r="AM601" s="60"/>
      <c r="AN601" s="60"/>
      <c r="AO601" s="62"/>
      <c r="AP601" s="60"/>
      <c r="AQ601" s="60"/>
    </row>
    <row r="602">
      <c r="A602" s="60"/>
      <c r="B602" s="60"/>
      <c r="C602" s="60"/>
      <c r="D602" s="60"/>
      <c r="E602" s="60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0"/>
      <c r="AL602" s="60"/>
      <c r="AM602" s="60"/>
      <c r="AN602" s="60"/>
      <c r="AO602" s="62"/>
      <c r="AP602" s="60"/>
      <c r="AQ602" s="60"/>
    </row>
    <row r="603">
      <c r="A603" s="60"/>
      <c r="B603" s="60"/>
      <c r="C603" s="60"/>
      <c r="D603" s="60"/>
      <c r="E603" s="60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0"/>
      <c r="AL603" s="60"/>
      <c r="AM603" s="60"/>
      <c r="AN603" s="60"/>
      <c r="AO603" s="62"/>
      <c r="AP603" s="60"/>
      <c r="AQ603" s="60"/>
    </row>
    <row r="604">
      <c r="A604" s="60"/>
      <c r="B604" s="60"/>
      <c r="C604" s="60"/>
      <c r="D604" s="60"/>
      <c r="E604" s="60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0"/>
      <c r="AL604" s="60"/>
      <c r="AM604" s="60"/>
      <c r="AN604" s="60"/>
      <c r="AO604" s="62"/>
      <c r="AP604" s="60"/>
      <c r="AQ604" s="60"/>
    </row>
    <row r="605">
      <c r="A605" s="60"/>
      <c r="B605" s="60"/>
      <c r="C605" s="60"/>
      <c r="D605" s="60"/>
      <c r="E605" s="60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0"/>
      <c r="AL605" s="60"/>
      <c r="AM605" s="60"/>
      <c r="AN605" s="60"/>
      <c r="AO605" s="62"/>
      <c r="AP605" s="60"/>
      <c r="AQ605" s="60"/>
    </row>
    <row r="606">
      <c r="A606" s="60"/>
      <c r="B606" s="60"/>
      <c r="C606" s="60"/>
      <c r="D606" s="60"/>
      <c r="E606" s="60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0"/>
      <c r="AL606" s="60"/>
      <c r="AM606" s="60"/>
      <c r="AN606" s="60"/>
      <c r="AO606" s="62"/>
      <c r="AP606" s="60"/>
      <c r="AQ606" s="60"/>
    </row>
    <row r="607">
      <c r="A607" s="60"/>
      <c r="B607" s="60"/>
      <c r="C607" s="60"/>
      <c r="D607" s="60"/>
      <c r="E607" s="60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0"/>
      <c r="AL607" s="60"/>
      <c r="AM607" s="60"/>
      <c r="AN607" s="60"/>
      <c r="AO607" s="62"/>
      <c r="AP607" s="60"/>
      <c r="AQ607" s="60"/>
    </row>
    <row r="608">
      <c r="A608" s="60"/>
      <c r="B608" s="60"/>
      <c r="C608" s="60"/>
      <c r="D608" s="60"/>
      <c r="E608" s="60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0"/>
      <c r="AL608" s="60"/>
      <c r="AM608" s="60"/>
      <c r="AN608" s="60"/>
      <c r="AO608" s="62"/>
      <c r="AP608" s="60"/>
      <c r="AQ608" s="60"/>
    </row>
    <row r="609">
      <c r="A609" s="60"/>
      <c r="B609" s="60"/>
      <c r="C609" s="60"/>
      <c r="D609" s="60"/>
      <c r="E609" s="60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0"/>
      <c r="AL609" s="60"/>
      <c r="AM609" s="60"/>
      <c r="AN609" s="60"/>
      <c r="AO609" s="62"/>
      <c r="AP609" s="60"/>
      <c r="AQ609" s="60"/>
    </row>
    <row r="610">
      <c r="A610" s="60"/>
      <c r="B610" s="60"/>
      <c r="C610" s="60"/>
      <c r="D610" s="60"/>
      <c r="E610" s="60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0"/>
      <c r="AL610" s="60"/>
      <c r="AM610" s="60"/>
      <c r="AN610" s="60"/>
      <c r="AO610" s="62"/>
      <c r="AP610" s="60"/>
      <c r="AQ610" s="60"/>
    </row>
    <row r="611">
      <c r="A611" s="60"/>
      <c r="B611" s="60"/>
      <c r="C611" s="60"/>
      <c r="D611" s="60"/>
      <c r="E611" s="60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0"/>
      <c r="AL611" s="60"/>
      <c r="AM611" s="60"/>
      <c r="AN611" s="60"/>
      <c r="AO611" s="62"/>
      <c r="AP611" s="60"/>
      <c r="AQ611" s="60"/>
    </row>
    <row r="612">
      <c r="A612" s="60"/>
      <c r="B612" s="60"/>
      <c r="C612" s="60"/>
      <c r="D612" s="60"/>
      <c r="E612" s="60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0"/>
      <c r="AL612" s="60"/>
      <c r="AM612" s="60"/>
      <c r="AN612" s="60"/>
      <c r="AO612" s="62"/>
      <c r="AP612" s="60"/>
      <c r="AQ612" s="60"/>
    </row>
    <row r="613">
      <c r="A613" s="60"/>
      <c r="B613" s="60"/>
      <c r="C613" s="60"/>
      <c r="D613" s="60"/>
      <c r="E613" s="60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0"/>
      <c r="AL613" s="60"/>
      <c r="AM613" s="60"/>
      <c r="AN613" s="60"/>
      <c r="AO613" s="62"/>
      <c r="AP613" s="60"/>
      <c r="AQ613" s="60"/>
    </row>
    <row r="614">
      <c r="A614" s="60"/>
      <c r="B614" s="60"/>
      <c r="C614" s="60"/>
      <c r="D614" s="60"/>
      <c r="E614" s="60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0"/>
      <c r="AL614" s="60"/>
      <c r="AM614" s="60"/>
      <c r="AN614" s="60"/>
      <c r="AO614" s="62"/>
      <c r="AP614" s="60"/>
      <c r="AQ614" s="60"/>
    </row>
    <row r="615">
      <c r="A615" s="60"/>
      <c r="B615" s="60"/>
      <c r="C615" s="60"/>
      <c r="D615" s="60"/>
      <c r="E615" s="60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0"/>
      <c r="AL615" s="60"/>
      <c r="AM615" s="60"/>
      <c r="AN615" s="60"/>
      <c r="AO615" s="62"/>
      <c r="AP615" s="60"/>
      <c r="AQ615" s="60"/>
    </row>
    <row r="616">
      <c r="A616" s="60"/>
      <c r="B616" s="60"/>
      <c r="C616" s="60"/>
      <c r="D616" s="60"/>
      <c r="E616" s="60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0"/>
      <c r="AL616" s="60"/>
      <c r="AM616" s="60"/>
      <c r="AN616" s="60"/>
      <c r="AO616" s="62"/>
      <c r="AP616" s="60"/>
      <c r="AQ616" s="60"/>
    </row>
    <row r="617">
      <c r="A617" s="60"/>
      <c r="B617" s="60"/>
      <c r="C617" s="60"/>
      <c r="D617" s="60"/>
      <c r="E617" s="60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0"/>
      <c r="AL617" s="60"/>
      <c r="AM617" s="60"/>
      <c r="AN617" s="60"/>
      <c r="AO617" s="62"/>
      <c r="AP617" s="60"/>
      <c r="AQ617" s="60"/>
    </row>
    <row r="618">
      <c r="A618" s="60"/>
      <c r="B618" s="60"/>
      <c r="C618" s="60"/>
      <c r="D618" s="60"/>
      <c r="E618" s="60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0"/>
      <c r="AL618" s="60"/>
      <c r="AM618" s="60"/>
      <c r="AN618" s="60"/>
      <c r="AO618" s="62"/>
      <c r="AP618" s="60"/>
      <c r="AQ618" s="60"/>
    </row>
    <row r="619">
      <c r="A619" s="60"/>
      <c r="B619" s="60"/>
      <c r="C619" s="60"/>
      <c r="D619" s="60"/>
      <c r="E619" s="60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0"/>
      <c r="AL619" s="60"/>
      <c r="AM619" s="60"/>
      <c r="AN619" s="60"/>
      <c r="AO619" s="62"/>
      <c r="AP619" s="60"/>
      <c r="AQ619" s="60"/>
    </row>
    <row r="620">
      <c r="A620" s="60"/>
      <c r="B620" s="60"/>
      <c r="C620" s="60"/>
      <c r="D620" s="60"/>
      <c r="E620" s="60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0"/>
      <c r="AL620" s="60"/>
      <c r="AM620" s="60"/>
      <c r="AN620" s="60"/>
      <c r="AO620" s="62"/>
      <c r="AP620" s="60"/>
      <c r="AQ620" s="60"/>
    </row>
    <row r="621">
      <c r="A621" s="60"/>
      <c r="B621" s="60"/>
      <c r="C621" s="60"/>
      <c r="D621" s="60"/>
      <c r="E621" s="60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0"/>
      <c r="AL621" s="60"/>
      <c r="AM621" s="60"/>
      <c r="AN621" s="60"/>
      <c r="AO621" s="62"/>
      <c r="AP621" s="60"/>
      <c r="AQ621" s="60"/>
    </row>
    <row r="622">
      <c r="A622" s="60"/>
      <c r="B622" s="60"/>
      <c r="C622" s="60"/>
      <c r="D622" s="60"/>
      <c r="E622" s="60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0"/>
      <c r="AL622" s="60"/>
      <c r="AM622" s="60"/>
      <c r="AN622" s="60"/>
      <c r="AO622" s="62"/>
      <c r="AP622" s="60"/>
      <c r="AQ622" s="60"/>
    </row>
    <row r="623">
      <c r="A623" s="60"/>
      <c r="B623" s="60"/>
      <c r="C623" s="60"/>
      <c r="D623" s="60"/>
      <c r="E623" s="60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0"/>
      <c r="AL623" s="60"/>
      <c r="AM623" s="60"/>
      <c r="AN623" s="60"/>
      <c r="AO623" s="62"/>
      <c r="AP623" s="60"/>
      <c r="AQ623" s="60"/>
    </row>
    <row r="624">
      <c r="A624" s="60"/>
      <c r="B624" s="60"/>
      <c r="C624" s="60"/>
      <c r="D624" s="60"/>
      <c r="E624" s="60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0"/>
      <c r="AL624" s="60"/>
      <c r="AM624" s="60"/>
      <c r="AN624" s="60"/>
      <c r="AO624" s="62"/>
      <c r="AP624" s="60"/>
      <c r="AQ624" s="60"/>
    </row>
    <row r="625">
      <c r="A625" s="60"/>
      <c r="B625" s="60"/>
      <c r="C625" s="60"/>
      <c r="D625" s="60"/>
      <c r="E625" s="60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0"/>
      <c r="AL625" s="60"/>
      <c r="AM625" s="60"/>
      <c r="AN625" s="60"/>
      <c r="AO625" s="62"/>
      <c r="AP625" s="60"/>
      <c r="AQ625" s="60"/>
    </row>
    <row r="626">
      <c r="A626" s="60"/>
      <c r="B626" s="60"/>
      <c r="C626" s="60"/>
      <c r="D626" s="60"/>
      <c r="E626" s="60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0"/>
      <c r="AL626" s="60"/>
      <c r="AM626" s="60"/>
      <c r="AN626" s="60"/>
      <c r="AO626" s="62"/>
      <c r="AP626" s="60"/>
      <c r="AQ626" s="60"/>
    </row>
    <row r="627">
      <c r="A627" s="60"/>
      <c r="B627" s="60"/>
      <c r="C627" s="60"/>
      <c r="D627" s="60"/>
      <c r="E627" s="60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0"/>
      <c r="AL627" s="60"/>
      <c r="AM627" s="60"/>
      <c r="AN627" s="60"/>
      <c r="AO627" s="62"/>
      <c r="AP627" s="60"/>
      <c r="AQ627" s="60"/>
    </row>
    <row r="628">
      <c r="A628" s="60"/>
      <c r="B628" s="60"/>
      <c r="C628" s="60"/>
      <c r="D628" s="60"/>
      <c r="E628" s="60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0"/>
      <c r="AL628" s="60"/>
      <c r="AM628" s="60"/>
      <c r="AN628" s="60"/>
      <c r="AO628" s="62"/>
      <c r="AP628" s="60"/>
      <c r="AQ628" s="60"/>
    </row>
    <row r="629">
      <c r="A629" s="60"/>
      <c r="B629" s="60"/>
      <c r="C629" s="60"/>
      <c r="D629" s="60"/>
      <c r="E629" s="60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0"/>
      <c r="AL629" s="60"/>
      <c r="AM629" s="60"/>
      <c r="AN629" s="60"/>
      <c r="AO629" s="62"/>
      <c r="AP629" s="60"/>
      <c r="AQ629" s="60"/>
    </row>
    <row r="630">
      <c r="A630" s="60"/>
      <c r="B630" s="60"/>
      <c r="C630" s="60"/>
      <c r="D630" s="60"/>
      <c r="E630" s="60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0"/>
      <c r="AL630" s="60"/>
      <c r="AM630" s="60"/>
      <c r="AN630" s="60"/>
      <c r="AO630" s="62"/>
      <c r="AP630" s="60"/>
      <c r="AQ630" s="60"/>
    </row>
    <row r="631">
      <c r="A631" s="60"/>
      <c r="B631" s="60"/>
      <c r="C631" s="60"/>
      <c r="D631" s="60"/>
      <c r="E631" s="60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0"/>
      <c r="AL631" s="60"/>
      <c r="AM631" s="60"/>
      <c r="AN631" s="60"/>
      <c r="AO631" s="62"/>
      <c r="AP631" s="60"/>
      <c r="AQ631" s="60"/>
    </row>
    <row r="632">
      <c r="A632" s="60"/>
      <c r="B632" s="60"/>
      <c r="C632" s="60"/>
      <c r="D632" s="60"/>
      <c r="E632" s="60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0"/>
      <c r="AL632" s="60"/>
      <c r="AM632" s="60"/>
      <c r="AN632" s="60"/>
      <c r="AO632" s="62"/>
      <c r="AP632" s="60"/>
      <c r="AQ632" s="60"/>
    </row>
    <row r="633">
      <c r="A633" s="60"/>
      <c r="B633" s="60"/>
      <c r="C633" s="60"/>
      <c r="D633" s="60"/>
      <c r="E633" s="60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0"/>
      <c r="AL633" s="60"/>
      <c r="AM633" s="60"/>
      <c r="AN633" s="60"/>
      <c r="AO633" s="62"/>
      <c r="AP633" s="60"/>
      <c r="AQ633" s="60"/>
    </row>
    <row r="634">
      <c r="A634" s="60"/>
      <c r="B634" s="60"/>
      <c r="C634" s="60"/>
      <c r="D634" s="60"/>
      <c r="E634" s="60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0"/>
      <c r="AL634" s="60"/>
      <c r="AM634" s="60"/>
      <c r="AN634" s="60"/>
      <c r="AO634" s="62"/>
      <c r="AP634" s="60"/>
      <c r="AQ634" s="60"/>
    </row>
    <row r="635">
      <c r="A635" s="60"/>
      <c r="B635" s="60"/>
      <c r="C635" s="60"/>
      <c r="D635" s="60"/>
      <c r="E635" s="60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0"/>
      <c r="AL635" s="60"/>
      <c r="AM635" s="60"/>
      <c r="AN635" s="60"/>
      <c r="AO635" s="62"/>
      <c r="AP635" s="60"/>
      <c r="AQ635" s="60"/>
    </row>
    <row r="636">
      <c r="A636" s="60"/>
      <c r="B636" s="60"/>
      <c r="C636" s="60"/>
      <c r="D636" s="60"/>
      <c r="E636" s="60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0"/>
      <c r="AL636" s="60"/>
      <c r="AM636" s="60"/>
      <c r="AN636" s="60"/>
      <c r="AO636" s="62"/>
      <c r="AP636" s="60"/>
      <c r="AQ636" s="60"/>
    </row>
    <row r="637">
      <c r="A637" s="60"/>
      <c r="B637" s="60"/>
      <c r="C637" s="60"/>
      <c r="D637" s="60"/>
      <c r="E637" s="60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0"/>
      <c r="AL637" s="60"/>
      <c r="AM637" s="60"/>
      <c r="AN637" s="60"/>
      <c r="AO637" s="62"/>
      <c r="AP637" s="60"/>
      <c r="AQ637" s="60"/>
    </row>
    <row r="638">
      <c r="A638" s="60"/>
      <c r="B638" s="60"/>
      <c r="C638" s="60"/>
      <c r="D638" s="60"/>
      <c r="E638" s="60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0"/>
      <c r="AL638" s="60"/>
      <c r="AM638" s="60"/>
      <c r="AN638" s="60"/>
      <c r="AO638" s="62"/>
      <c r="AP638" s="60"/>
      <c r="AQ638" s="60"/>
    </row>
    <row r="639">
      <c r="A639" s="60"/>
      <c r="B639" s="60"/>
      <c r="C639" s="60"/>
      <c r="D639" s="60"/>
      <c r="E639" s="60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0"/>
      <c r="AL639" s="60"/>
      <c r="AM639" s="60"/>
      <c r="AN639" s="60"/>
      <c r="AO639" s="62"/>
      <c r="AP639" s="60"/>
      <c r="AQ639" s="60"/>
    </row>
    <row r="640">
      <c r="A640" s="60"/>
      <c r="B640" s="60"/>
      <c r="C640" s="60"/>
      <c r="D640" s="60"/>
      <c r="E640" s="60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0"/>
      <c r="AL640" s="60"/>
      <c r="AM640" s="60"/>
      <c r="AN640" s="60"/>
      <c r="AO640" s="62"/>
      <c r="AP640" s="60"/>
      <c r="AQ640" s="60"/>
    </row>
    <row r="641">
      <c r="A641" s="60"/>
      <c r="B641" s="60"/>
      <c r="C641" s="60"/>
      <c r="D641" s="60"/>
      <c r="E641" s="60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0"/>
      <c r="AL641" s="60"/>
      <c r="AM641" s="60"/>
      <c r="AN641" s="60"/>
      <c r="AO641" s="62"/>
      <c r="AP641" s="60"/>
      <c r="AQ641" s="60"/>
    </row>
    <row r="642">
      <c r="A642" s="60"/>
      <c r="B642" s="60"/>
      <c r="C642" s="60"/>
      <c r="D642" s="60"/>
      <c r="E642" s="60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0"/>
      <c r="AL642" s="60"/>
      <c r="AM642" s="60"/>
      <c r="AN642" s="60"/>
      <c r="AO642" s="62"/>
      <c r="AP642" s="60"/>
      <c r="AQ642" s="60"/>
    </row>
    <row r="643">
      <c r="A643" s="60"/>
      <c r="B643" s="60"/>
      <c r="C643" s="60"/>
      <c r="D643" s="60"/>
      <c r="E643" s="60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0"/>
      <c r="AL643" s="60"/>
      <c r="AM643" s="60"/>
      <c r="AN643" s="60"/>
      <c r="AO643" s="62"/>
      <c r="AP643" s="60"/>
      <c r="AQ643" s="60"/>
    </row>
    <row r="644">
      <c r="A644" s="60"/>
      <c r="B644" s="60"/>
      <c r="C644" s="60"/>
      <c r="D644" s="60"/>
      <c r="E644" s="60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0"/>
      <c r="AL644" s="60"/>
      <c r="AM644" s="60"/>
      <c r="AN644" s="60"/>
      <c r="AO644" s="62"/>
      <c r="AP644" s="60"/>
      <c r="AQ644" s="60"/>
    </row>
    <row r="645">
      <c r="A645" s="60"/>
      <c r="B645" s="60"/>
      <c r="C645" s="60"/>
      <c r="D645" s="60"/>
      <c r="E645" s="60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0"/>
      <c r="AL645" s="60"/>
      <c r="AM645" s="60"/>
      <c r="AN645" s="60"/>
      <c r="AO645" s="62"/>
      <c r="AP645" s="60"/>
      <c r="AQ645" s="60"/>
    </row>
    <row r="646">
      <c r="A646" s="60"/>
      <c r="B646" s="60"/>
      <c r="C646" s="60"/>
      <c r="D646" s="60"/>
      <c r="E646" s="60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0"/>
      <c r="AL646" s="60"/>
      <c r="AM646" s="60"/>
      <c r="AN646" s="60"/>
      <c r="AO646" s="62"/>
      <c r="AP646" s="60"/>
      <c r="AQ646" s="60"/>
    </row>
    <row r="647">
      <c r="A647" s="60"/>
      <c r="B647" s="60"/>
      <c r="C647" s="60"/>
      <c r="D647" s="60"/>
      <c r="E647" s="60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0"/>
      <c r="AL647" s="60"/>
      <c r="AM647" s="60"/>
      <c r="AN647" s="60"/>
      <c r="AO647" s="62"/>
      <c r="AP647" s="60"/>
      <c r="AQ647" s="60"/>
    </row>
    <row r="648">
      <c r="A648" s="60"/>
      <c r="B648" s="60"/>
      <c r="C648" s="60"/>
      <c r="D648" s="60"/>
      <c r="E648" s="60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0"/>
      <c r="AL648" s="60"/>
      <c r="AM648" s="60"/>
      <c r="AN648" s="60"/>
      <c r="AO648" s="62"/>
      <c r="AP648" s="60"/>
      <c r="AQ648" s="60"/>
    </row>
    <row r="649">
      <c r="A649" s="60"/>
      <c r="B649" s="60"/>
      <c r="C649" s="60"/>
      <c r="D649" s="60"/>
      <c r="E649" s="60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0"/>
      <c r="AL649" s="60"/>
      <c r="AM649" s="60"/>
      <c r="AN649" s="60"/>
      <c r="AO649" s="62"/>
      <c r="AP649" s="60"/>
      <c r="AQ649" s="60"/>
    </row>
    <row r="650">
      <c r="A650" s="60"/>
      <c r="B650" s="60"/>
      <c r="C650" s="60"/>
      <c r="D650" s="60"/>
      <c r="E650" s="60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0"/>
      <c r="AL650" s="60"/>
      <c r="AM650" s="60"/>
      <c r="AN650" s="60"/>
      <c r="AO650" s="62"/>
      <c r="AP650" s="60"/>
      <c r="AQ650" s="60"/>
    </row>
    <row r="651">
      <c r="A651" s="60"/>
      <c r="B651" s="60"/>
      <c r="C651" s="60"/>
      <c r="D651" s="60"/>
      <c r="E651" s="60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0"/>
      <c r="AL651" s="60"/>
      <c r="AM651" s="60"/>
      <c r="AN651" s="60"/>
      <c r="AO651" s="62"/>
      <c r="AP651" s="60"/>
      <c r="AQ651" s="60"/>
    </row>
    <row r="652">
      <c r="A652" s="60"/>
      <c r="B652" s="60"/>
      <c r="C652" s="60"/>
      <c r="D652" s="60"/>
      <c r="E652" s="60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0"/>
      <c r="AL652" s="60"/>
      <c r="AM652" s="60"/>
      <c r="AN652" s="60"/>
      <c r="AO652" s="62"/>
      <c r="AP652" s="60"/>
      <c r="AQ652" s="60"/>
    </row>
    <row r="653">
      <c r="A653" s="60"/>
      <c r="B653" s="60"/>
      <c r="C653" s="60"/>
      <c r="D653" s="60"/>
      <c r="E653" s="60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0"/>
      <c r="AL653" s="60"/>
      <c r="AM653" s="60"/>
      <c r="AN653" s="60"/>
      <c r="AO653" s="62"/>
      <c r="AP653" s="60"/>
      <c r="AQ653" s="60"/>
    </row>
    <row r="654">
      <c r="A654" s="60"/>
      <c r="B654" s="60"/>
      <c r="C654" s="60"/>
      <c r="D654" s="60"/>
      <c r="E654" s="60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0"/>
      <c r="AL654" s="60"/>
      <c r="AM654" s="60"/>
      <c r="AN654" s="60"/>
      <c r="AO654" s="62"/>
      <c r="AP654" s="60"/>
      <c r="AQ654" s="60"/>
    </row>
    <row r="655">
      <c r="A655" s="60"/>
      <c r="B655" s="60"/>
      <c r="C655" s="60"/>
      <c r="D655" s="60"/>
      <c r="E655" s="60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0"/>
      <c r="AL655" s="60"/>
      <c r="AM655" s="60"/>
      <c r="AN655" s="60"/>
      <c r="AO655" s="62"/>
      <c r="AP655" s="60"/>
      <c r="AQ655" s="60"/>
    </row>
    <row r="656">
      <c r="A656" s="60"/>
      <c r="B656" s="60"/>
      <c r="C656" s="60"/>
      <c r="D656" s="60"/>
      <c r="E656" s="60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0"/>
      <c r="AL656" s="60"/>
      <c r="AM656" s="60"/>
      <c r="AN656" s="60"/>
      <c r="AO656" s="62"/>
      <c r="AP656" s="60"/>
      <c r="AQ656" s="60"/>
    </row>
    <row r="657">
      <c r="A657" s="60"/>
      <c r="B657" s="60"/>
      <c r="C657" s="60"/>
      <c r="D657" s="60"/>
      <c r="E657" s="60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0"/>
      <c r="AL657" s="60"/>
      <c r="AM657" s="60"/>
      <c r="AN657" s="60"/>
      <c r="AO657" s="62"/>
      <c r="AP657" s="60"/>
      <c r="AQ657" s="60"/>
    </row>
    <row r="658">
      <c r="A658" s="60"/>
      <c r="B658" s="60"/>
      <c r="C658" s="60"/>
      <c r="D658" s="60"/>
      <c r="E658" s="60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0"/>
      <c r="AL658" s="60"/>
      <c r="AM658" s="60"/>
      <c r="AN658" s="60"/>
      <c r="AO658" s="62"/>
      <c r="AP658" s="60"/>
      <c r="AQ658" s="60"/>
    </row>
    <row r="659">
      <c r="A659" s="60"/>
      <c r="B659" s="60"/>
      <c r="C659" s="60"/>
      <c r="D659" s="60"/>
      <c r="E659" s="60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0"/>
      <c r="AL659" s="60"/>
      <c r="AM659" s="60"/>
      <c r="AN659" s="60"/>
      <c r="AO659" s="62"/>
      <c r="AP659" s="60"/>
      <c r="AQ659" s="60"/>
    </row>
    <row r="660">
      <c r="A660" s="60"/>
      <c r="B660" s="60"/>
      <c r="C660" s="60"/>
      <c r="D660" s="60"/>
      <c r="E660" s="60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0"/>
      <c r="AL660" s="60"/>
      <c r="AM660" s="60"/>
      <c r="AN660" s="60"/>
      <c r="AO660" s="62"/>
      <c r="AP660" s="60"/>
      <c r="AQ660" s="60"/>
    </row>
    <row r="661">
      <c r="A661" s="60"/>
      <c r="B661" s="60"/>
      <c r="C661" s="60"/>
      <c r="D661" s="60"/>
      <c r="E661" s="60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0"/>
      <c r="AL661" s="60"/>
      <c r="AM661" s="60"/>
      <c r="AN661" s="60"/>
      <c r="AO661" s="62"/>
      <c r="AP661" s="60"/>
      <c r="AQ661" s="60"/>
    </row>
    <row r="662">
      <c r="A662" s="60"/>
      <c r="B662" s="60"/>
      <c r="C662" s="60"/>
      <c r="D662" s="60"/>
      <c r="E662" s="60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0"/>
      <c r="AL662" s="60"/>
      <c r="AM662" s="60"/>
      <c r="AN662" s="60"/>
      <c r="AO662" s="62"/>
      <c r="AP662" s="60"/>
      <c r="AQ662" s="60"/>
    </row>
    <row r="663">
      <c r="A663" s="60"/>
      <c r="B663" s="60"/>
      <c r="C663" s="60"/>
      <c r="D663" s="60"/>
      <c r="E663" s="60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0"/>
      <c r="AL663" s="60"/>
      <c r="AM663" s="60"/>
      <c r="AN663" s="60"/>
      <c r="AO663" s="62"/>
      <c r="AP663" s="60"/>
      <c r="AQ663" s="60"/>
    </row>
    <row r="664">
      <c r="A664" s="60"/>
      <c r="B664" s="60"/>
      <c r="C664" s="60"/>
      <c r="D664" s="60"/>
      <c r="E664" s="60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0"/>
      <c r="AL664" s="60"/>
      <c r="AM664" s="60"/>
      <c r="AN664" s="60"/>
      <c r="AO664" s="62"/>
      <c r="AP664" s="60"/>
      <c r="AQ664" s="60"/>
    </row>
    <row r="665">
      <c r="A665" s="60"/>
      <c r="B665" s="60"/>
      <c r="C665" s="60"/>
      <c r="D665" s="60"/>
      <c r="E665" s="60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0"/>
      <c r="AL665" s="60"/>
      <c r="AM665" s="60"/>
      <c r="AN665" s="60"/>
      <c r="AO665" s="62"/>
      <c r="AP665" s="60"/>
      <c r="AQ665" s="60"/>
    </row>
    <row r="666">
      <c r="A666" s="60"/>
      <c r="B666" s="60"/>
      <c r="C666" s="60"/>
      <c r="D666" s="60"/>
      <c r="E666" s="60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0"/>
      <c r="AL666" s="60"/>
      <c r="AM666" s="60"/>
      <c r="AN666" s="60"/>
      <c r="AO666" s="62"/>
      <c r="AP666" s="60"/>
      <c r="AQ666" s="60"/>
    </row>
    <row r="667">
      <c r="A667" s="60"/>
      <c r="B667" s="60"/>
      <c r="C667" s="60"/>
      <c r="D667" s="60"/>
      <c r="E667" s="60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0"/>
      <c r="AL667" s="60"/>
      <c r="AM667" s="60"/>
      <c r="AN667" s="60"/>
      <c r="AO667" s="62"/>
      <c r="AP667" s="60"/>
      <c r="AQ667" s="60"/>
    </row>
    <row r="668">
      <c r="A668" s="60"/>
      <c r="B668" s="60"/>
      <c r="C668" s="60"/>
      <c r="D668" s="60"/>
      <c r="E668" s="60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0"/>
      <c r="AL668" s="60"/>
      <c r="AM668" s="60"/>
      <c r="AN668" s="60"/>
      <c r="AO668" s="62"/>
      <c r="AP668" s="60"/>
      <c r="AQ668" s="60"/>
    </row>
    <row r="669">
      <c r="A669" s="60"/>
      <c r="B669" s="60"/>
      <c r="C669" s="60"/>
      <c r="D669" s="60"/>
      <c r="E669" s="60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0"/>
      <c r="AL669" s="60"/>
      <c r="AM669" s="60"/>
      <c r="AN669" s="60"/>
      <c r="AO669" s="62"/>
      <c r="AP669" s="60"/>
      <c r="AQ669" s="60"/>
    </row>
    <row r="670">
      <c r="A670" s="60"/>
      <c r="B670" s="60"/>
      <c r="C670" s="60"/>
      <c r="D670" s="60"/>
      <c r="E670" s="60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0"/>
      <c r="AL670" s="60"/>
      <c r="AM670" s="60"/>
      <c r="AN670" s="60"/>
      <c r="AO670" s="62"/>
      <c r="AP670" s="60"/>
      <c r="AQ670" s="60"/>
    </row>
    <row r="671">
      <c r="A671" s="60"/>
      <c r="B671" s="60"/>
      <c r="C671" s="60"/>
      <c r="D671" s="60"/>
      <c r="E671" s="60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0"/>
      <c r="AL671" s="60"/>
      <c r="AM671" s="60"/>
      <c r="AN671" s="60"/>
      <c r="AO671" s="62"/>
      <c r="AP671" s="60"/>
      <c r="AQ671" s="60"/>
    </row>
    <row r="672">
      <c r="A672" s="60"/>
      <c r="B672" s="60"/>
      <c r="C672" s="60"/>
      <c r="D672" s="60"/>
      <c r="E672" s="60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0"/>
      <c r="AL672" s="60"/>
      <c r="AM672" s="60"/>
      <c r="AN672" s="60"/>
      <c r="AO672" s="62"/>
      <c r="AP672" s="60"/>
      <c r="AQ672" s="60"/>
    </row>
    <row r="673">
      <c r="A673" s="60"/>
      <c r="B673" s="60"/>
      <c r="C673" s="60"/>
      <c r="D673" s="60"/>
      <c r="E673" s="60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0"/>
      <c r="AL673" s="60"/>
      <c r="AM673" s="60"/>
      <c r="AN673" s="60"/>
      <c r="AO673" s="62"/>
      <c r="AP673" s="60"/>
      <c r="AQ673" s="60"/>
    </row>
    <row r="674">
      <c r="A674" s="60"/>
      <c r="B674" s="60"/>
      <c r="C674" s="60"/>
      <c r="D674" s="60"/>
      <c r="E674" s="60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0"/>
      <c r="AL674" s="60"/>
      <c r="AM674" s="60"/>
      <c r="AN674" s="60"/>
      <c r="AO674" s="62"/>
      <c r="AP674" s="60"/>
      <c r="AQ674" s="60"/>
    </row>
    <row r="675">
      <c r="A675" s="60"/>
      <c r="B675" s="60"/>
      <c r="C675" s="60"/>
      <c r="D675" s="60"/>
      <c r="E675" s="60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0"/>
      <c r="AL675" s="60"/>
      <c r="AM675" s="60"/>
      <c r="AN675" s="60"/>
      <c r="AO675" s="62"/>
      <c r="AP675" s="60"/>
      <c r="AQ675" s="60"/>
    </row>
    <row r="676">
      <c r="A676" s="60"/>
      <c r="B676" s="60"/>
      <c r="C676" s="60"/>
      <c r="D676" s="60"/>
      <c r="E676" s="60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0"/>
      <c r="AL676" s="60"/>
      <c r="AM676" s="60"/>
      <c r="AN676" s="60"/>
      <c r="AO676" s="62"/>
      <c r="AP676" s="60"/>
      <c r="AQ676" s="60"/>
    </row>
    <row r="677">
      <c r="A677" s="60"/>
      <c r="B677" s="60"/>
      <c r="C677" s="60"/>
      <c r="D677" s="60"/>
      <c r="E677" s="60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0"/>
      <c r="AL677" s="60"/>
      <c r="AM677" s="60"/>
      <c r="AN677" s="60"/>
      <c r="AO677" s="62"/>
      <c r="AP677" s="60"/>
      <c r="AQ677" s="60"/>
    </row>
    <row r="678">
      <c r="A678" s="60"/>
      <c r="B678" s="60"/>
      <c r="C678" s="60"/>
      <c r="D678" s="60"/>
      <c r="E678" s="60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0"/>
      <c r="AL678" s="60"/>
      <c r="AM678" s="60"/>
      <c r="AN678" s="60"/>
      <c r="AO678" s="62"/>
      <c r="AP678" s="60"/>
      <c r="AQ678" s="60"/>
    </row>
    <row r="679">
      <c r="A679" s="60"/>
      <c r="B679" s="60"/>
      <c r="C679" s="60"/>
      <c r="D679" s="60"/>
      <c r="E679" s="60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0"/>
      <c r="AL679" s="60"/>
      <c r="AM679" s="60"/>
      <c r="AN679" s="60"/>
      <c r="AO679" s="62"/>
      <c r="AP679" s="60"/>
      <c r="AQ679" s="60"/>
    </row>
    <row r="680">
      <c r="A680" s="60"/>
      <c r="B680" s="60"/>
      <c r="C680" s="60"/>
      <c r="D680" s="60"/>
      <c r="E680" s="60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0"/>
      <c r="AL680" s="60"/>
      <c r="AM680" s="60"/>
      <c r="AN680" s="60"/>
      <c r="AO680" s="62"/>
      <c r="AP680" s="60"/>
      <c r="AQ680" s="60"/>
    </row>
    <row r="681">
      <c r="A681" s="60"/>
      <c r="B681" s="60"/>
      <c r="C681" s="60"/>
      <c r="D681" s="60"/>
      <c r="E681" s="60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0"/>
      <c r="AL681" s="60"/>
      <c r="AM681" s="60"/>
      <c r="AN681" s="60"/>
      <c r="AO681" s="62"/>
      <c r="AP681" s="60"/>
      <c r="AQ681" s="60"/>
    </row>
    <row r="682">
      <c r="A682" s="60"/>
      <c r="B682" s="60"/>
      <c r="C682" s="60"/>
      <c r="D682" s="60"/>
      <c r="E682" s="60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0"/>
      <c r="AL682" s="60"/>
      <c r="AM682" s="60"/>
      <c r="AN682" s="60"/>
      <c r="AO682" s="62"/>
      <c r="AP682" s="60"/>
      <c r="AQ682" s="60"/>
    </row>
    <row r="683">
      <c r="A683" s="60"/>
      <c r="B683" s="60"/>
      <c r="C683" s="60"/>
      <c r="D683" s="60"/>
      <c r="E683" s="60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0"/>
      <c r="AL683" s="60"/>
      <c r="AM683" s="60"/>
      <c r="AN683" s="60"/>
      <c r="AO683" s="62"/>
      <c r="AP683" s="60"/>
      <c r="AQ683" s="60"/>
    </row>
    <row r="684">
      <c r="A684" s="60"/>
      <c r="B684" s="60"/>
      <c r="C684" s="60"/>
      <c r="D684" s="60"/>
      <c r="E684" s="60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0"/>
      <c r="AL684" s="60"/>
      <c r="AM684" s="60"/>
      <c r="AN684" s="60"/>
      <c r="AO684" s="62"/>
      <c r="AP684" s="60"/>
      <c r="AQ684" s="60"/>
    </row>
    <row r="685">
      <c r="A685" s="60"/>
      <c r="B685" s="60"/>
      <c r="C685" s="60"/>
      <c r="D685" s="60"/>
      <c r="E685" s="60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0"/>
      <c r="AL685" s="60"/>
      <c r="AM685" s="60"/>
      <c r="AN685" s="60"/>
      <c r="AO685" s="62"/>
      <c r="AP685" s="60"/>
      <c r="AQ685" s="60"/>
    </row>
    <row r="686">
      <c r="A686" s="60"/>
      <c r="B686" s="60"/>
      <c r="C686" s="60"/>
      <c r="D686" s="60"/>
      <c r="E686" s="60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0"/>
      <c r="AL686" s="60"/>
      <c r="AM686" s="60"/>
      <c r="AN686" s="60"/>
      <c r="AO686" s="62"/>
      <c r="AP686" s="60"/>
      <c r="AQ686" s="60"/>
    </row>
    <row r="687">
      <c r="A687" s="60"/>
      <c r="B687" s="60"/>
      <c r="C687" s="60"/>
      <c r="D687" s="60"/>
      <c r="E687" s="60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0"/>
      <c r="AL687" s="60"/>
      <c r="AM687" s="60"/>
      <c r="AN687" s="60"/>
      <c r="AO687" s="62"/>
      <c r="AP687" s="60"/>
      <c r="AQ687" s="60"/>
    </row>
    <row r="688">
      <c r="A688" s="60"/>
      <c r="B688" s="60"/>
      <c r="C688" s="60"/>
      <c r="D688" s="60"/>
      <c r="E688" s="60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0"/>
      <c r="AL688" s="60"/>
      <c r="AM688" s="60"/>
      <c r="AN688" s="60"/>
      <c r="AO688" s="62"/>
      <c r="AP688" s="60"/>
      <c r="AQ688" s="60"/>
    </row>
    <row r="689">
      <c r="A689" s="60"/>
      <c r="B689" s="60"/>
      <c r="C689" s="60"/>
      <c r="D689" s="60"/>
      <c r="E689" s="60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0"/>
      <c r="AL689" s="60"/>
      <c r="AM689" s="60"/>
      <c r="AN689" s="60"/>
      <c r="AO689" s="62"/>
      <c r="AP689" s="60"/>
      <c r="AQ689" s="60"/>
    </row>
    <row r="690">
      <c r="A690" s="60"/>
      <c r="B690" s="60"/>
      <c r="C690" s="60"/>
      <c r="D690" s="60"/>
      <c r="E690" s="60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0"/>
      <c r="AL690" s="60"/>
      <c r="AM690" s="60"/>
      <c r="AN690" s="60"/>
      <c r="AO690" s="62"/>
      <c r="AP690" s="60"/>
      <c r="AQ690" s="60"/>
    </row>
    <row r="691">
      <c r="A691" s="60"/>
      <c r="B691" s="60"/>
      <c r="C691" s="60"/>
      <c r="D691" s="60"/>
      <c r="E691" s="60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0"/>
      <c r="AL691" s="60"/>
      <c r="AM691" s="60"/>
      <c r="AN691" s="60"/>
      <c r="AO691" s="62"/>
      <c r="AP691" s="60"/>
      <c r="AQ691" s="60"/>
    </row>
    <row r="692">
      <c r="A692" s="60"/>
      <c r="B692" s="60"/>
      <c r="C692" s="60"/>
      <c r="D692" s="60"/>
      <c r="E692" s="60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0"/>
      <c r="AL692" s="60"/>
      <c r="AM692" s="60"/>
      <c r="AN692" s="60"/>
      <c r="AO692" s="62"/>
      <c r="AP692" s="60"/>
      <c r="AQ692" s="60"/>
    </row>
    <row r="693">
      <c r="A693" s="60"/>
      <c r="B693" s="60"/>
      <c r="C693" s="60"/>
      <c r="D693" s="60"/>
      <c r="E693" s="60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0"/>
      <c r="AL693" s="60"/>
      <c r="AM693" s="60"/>
      <c r="AN693" s="60"/>
      <c r="AO693" s="62"/>
      <c r="AP693" s="60"/>
      <c r="AQ693" s="60"/>
    </row>
    <row r="694">
      <c r="A694" s="60"/>
      <c r="B694" s="60"/>
      <c r="C694" s="60"/>
      <c r="D694" s="60"/>
      <c r="E694" s="60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0"/>
      <c r="AL694" s="60"/>
      <c r="AM694" s="60"/>
      <c r="AN694" s="60"/>
      <c r="AO694" s="62"/>
      <c r="AP694" s="60"/>
      <c r="AQ694" s="60"/>
    </row>
    <row r="695">
      <c r="A695" s="60"/>
      <c r="B695" s="60"/>
      <c r="C695" s="60"/>
      <c r="D695" s="60"/>
      <c r="E695" s="60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0"/>
      <c r="AL695" s="60"/>
      <c r="AM695" s="60"/>
      <c r="AN695" s="60"/>
      <c r="AO695" s="62"/>
      <c r="AP695" s="60"/>
      <c r="AQ695" s="60"/>
    </row>
    <row r="696">
      <c r="A696" s="60"/>
      <c r="B696" s="60"/>
      <c r="C696" s="60"/>
      <c r="D696" s="60"/>
      <c r="E696" s="60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0"/>
      <c r="AL696" s="60"/>
      <c r="AM696" s="60"/>
      <c r="AN696" s="60"/>
      <c r="AO696" s="62"/>
      <c r="AP696" s="60"/>
      <c r="AQ696" s="60"/>
    </row>
    <row r="697">
      <c r="A697" s="60"/>
      <c r="B697" s="60"/>
      <c r="C697" s="60"/>
      <c r="D697" s="60"/>
      <c r="E697" s="60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0"/>
      <c r="AL697" s="60"/>
      <c r="AM697" s="60"/>
      <c r="AN697" s="60"/>
      <c r="AO697" s="62"/>
      <c r="AP697" s="60"/>
      <c r="AQ697" s="60"/>
    </row>
    <row r="698">
      <c r="A698" s="60"/>
      <c r="B698" s="60"/>
      <c r="C698" s="60"/>
      <c r="D698" s="60"/>
      <c r="E698" s="60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0"/>
      <c r="AL698" s="60"/>
      <c r="AM698" s="60"/>
      <c r="AN698" s="60"/>
      <c r="AO698" s="62"/>
      <c r="AP698" s="60"/>
      <c r="AQ698" s="60"/>
    </row>
    <row r="699">
      <c r="A699" s="60"/>
      <c r="B699" s="60"/>
      <c r="C699" s="60"/>
      <c r="D699" s="60"/>
      <c r="E699" s="60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0"/>
      <c r="AL699" s="60"/>
      <c r="AM699" s="60"/>
      <c r="AN699" s="60"/>
      <c r="AO699" s="62"/>
      <c r="AP699" s="60"/>
      <c r="AQ699" s="60"/>
    </row>
    <row r="700">
      <c r="A700" s="60"/>
      <c r="B700" s="60"/>
      <c r="C700" s="60"/>
      <c r="D700" s="60"/>
      <c r="E700" s="60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0"/>
      <c r="AL700" s="60"/>
      <c r="AM700" s="60"/>
      <c r="AN700" s="60"/>
      <c r="AO700" s="62"/>
      <c r="AP700" s="60"/>
      <c r="AQ700" s="60"/>
    </row>
    <row r="701">
      <c r="A701" s="60"/>
      <c r="B701" s="60"/>
      <c r="C701" s="60"/>
      <c r="D701" s="60"/>
      <c r="E701" s="60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0"/>
      <c r="AL701" s="60"/>
      <c r="AM701" s="60"/>
      <c r="AN701" s="60"/>
      <c r="AO701" s="62"/>
      <c r="AP701" s="60"/>
      <c r="AQ701" s="60"/>
    </row>
    <row r="702">
      <c r="A702" s="60"/>
      <c r="B702" s="60"/>
      <c r="C702" s="60"/>
      <c r="D702" s="60"/>
      <c r="E702" s="60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0"/>
      <c r="AL702" s="60"/>
      <c r="AM702" s="60"/>
      <c r="AN702" s="60"/>
      <c r="AO702" s="62"/>
      <c r="AP702" s="60"/>
      <c r="AQ702" s="60"/>
    </row>
    <row r="703">
      <c r="A703" s="60"/>
      <c r="B703" s="60"/>
      <c r="C703" s="60"/>
      <c r="D703" s="60"/>
      <c r="E703" s="60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0"/>
      <c r="AL703" s="60"/>
      <c r="AM703" s="60"/>
      <c r="AN703" s="60"/>
      <c r="AO703" s="62"/>
      <c r="AP703" s="60"/>
      <c r="AQ703" s="60"/>
    </row>
    <row r="704">
      <c r="A704" s="60"/>
      <c r="B704" s="60"/>
      <c r="C704" s="60"/>
      <c r="D704" s="60"/>
      <c r="E704" s="60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0"/>
      <c r="AL704" s="60"/>
      <c r="AM704" s="60"/>
      <c r="AN704" s="60"/>
      <c r="AO704" s="62"/>
      <c r="AP704" s="60"/>
      <c r="AQ704" s="60"/>
    </row>
    <row r="705">
      <c r="A705" s="60"/>
      <c r="B705" s="60"/>
      <c r="C705" s="60"/>
      <c r="D705" s="60"/>
      <c r="E705" s="60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0"/>
      <c r="AL705" s="60"/>
      <c r="AM705" s="60"/>
      <c r="AN705" s="60"/>
      <c r="AO705" s="62"/>
      <c r="AP705" s="60"/>
      <c r="AQ705" s="60"/>
    </row>
    <row r="706">
      <c r="A706" s="60"/>
      <c r="B706" s="60"/>
      <c r="C706" s="60"/>
      <c r="D706" s="60"/>
      <c r="E706" s="60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0"/>
      <c r="AL706" s="60"/>
      <c r="AM706" s="60"/>
      <c r="AN706" s="60"/>
      <c r="AO706" s="62"/>
      <c r="AP706" s="60"/>
      <c r="AQ706" s="60"/>
    </row>
    <row r="707">
      <c r="A707" s="60"/>
      <c r="B707" s="60"/>
      <c r="C707" s="60"/>
      <c r="D707" s="60"/>
      <c r="E707" s="60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0"/>
      <c r="AL707" s="60"/>
      <c r="AM707" s="60"/>
      <c r="AN707" s="60"/>
      <c r="AO707" s="62"/>
      <c r="AP707" s="60"/>
      <c r="AQ707" s="60"/>
    </row>
    <row r="708">
      <c r="A708" s="60"/>
      <c r="B708" s="60"/>
      <c r="C708" s="60"/>
      <c r="D708" s="60"/>
      <c r="E708" s="60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0"/>
      <c r="AL708" s="60"/>
      <c r="AM708" s="60"/>
      <c r="AN708" s="60"/>
      <c r="AO708" s="62"/>
      <c r="AP708" s="60"/>
      <c r="AQ708" s="60"/>
    </row>
    <row r="709">
      <c r="A709" s="60"/>
      <c r="B709" s="60"/>
      <c r="C709" s="60"/>
      <c r="D709" s="60"/>
      <c r="E709" s="60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0"/>
      <c r="AL709" s="60"/>
      <c r="AM709" s="60"/>
      <c r="AN709" s="60"/>
      <c r="AO709" s="62"/>
      <c r="AP709" s="60"/>
      <c r="AQ709" s="60"/>
    </row>
    <row r="710">
      <c r="A710" s="60"/>
      <c r="B710" s="60"/>
      <c r="C710" s="60"/>
      <c r="D710" s="60"/>
      <c r="E710" s="60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0"/>
      <c r="AL710" s="60"/>
      <c r="AM710" s="60"/>
      <c r="AN710" s="60"/>
      <c r="AO710" s="62"/>
      <c r="AP710" s="60"/>
      <c r="AQ710" s="60"/>
    </row>
    <row r="711">
      <c r="A711" s="60"/>
      <c r="B711" s="60"/>
      <c r="C711" s="60"/>
      <c r="D711" s="60"/>
      <c r="E711" s="60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0"/>
      <c r="AL711" s="60"/>
      <c r="AM711" s="60"/>
      <c r="AN711" s="60"/>
      <c r="AO711" s="62"/>
      <c r="AP711" s="60"/>
      <c r="AQ711" s="60"/>
    </row>
    <row r="712">
      <c r="A712" s="60"/>
      <c r="B712" s="60"/>
      <c r="C712" s="60"/>
      <c r="D712" s="60"/>
      <c r="E712" s="60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0"/>
      <c r="AL712" s="60"/>
      <c r="AM712" s="60"/>
      <c r="AN712" s="60"/>
      <c r="AO712" s="62"/>
      <c r="AP712" s="60"/>
      <c r="AQ712" s="60"/>
    </row>
    <row r="713">
      <c r="A713" s="60"/>
      <c r="B713" s="60"/>
      <c r="C713" s="60"/>
      <c r="D713" s="60"/>
      <c r="E713" s="60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0"/>
      <c r="AL713" s="60"/>
      <c r="AM713" s="60"/>
      <c r="AN713" s="60"/>
      <c r="AO713" s="62"/>
      <c r="AP713" s="60"/>
      <c r="AQ713" s="60"/>
    </row>
    <row r="714">
      <c r="A714" s="60"/>
      <c r="B714" s="60"/>
      <c r="C714" s="60"/>
      <c r="D714" s="60"/>
      <c r="E714" s="60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0"/>
      <c r="AL714" s="60"/>
      <c r="AM714" s="60"/>
      <c r="AN714" s="60"/>
      <c r="AO714" s="62"/>
      <c r="AP714" s="60"/>
      <c r="AQ714" s="60"/>
    </row>
    <row r="715">
      <c r="A715" s="60"/>
      <c r="B715" s="60"/>
      <c r="C715" s="60"/>
      <c r="D715" s="60"/>
      <c r="E715" s="60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0"/>
      <c r="AL715" s="60"/>
      <c r="AM715" s="60"/>
      <c r="AN715" s="60"/>
      <c r="AO715" s="62"/>
      <c r="AP715" s="60"/>
      <c r="AQ715" s="60"/>
    </row>
    <row r="716">
      <c r="A716" s="60"/>
      <c r="B716" s="60"/>
      <c r="C716" s="60"/>
      <c r="D716" s="60"/>
      <c r="E716" s="60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0"/>
      <c r="AL716" s="60"/>
      <c r="AM716" s="60"/>
      <c r="AN716" s="60"/>
      <c r="AO716" s="62"/>
      <c r="AP716" s="60"/>
      <c r="AQ716" s="60"/>
    </row>
    <row r="717">
      <c r="A717" s="60"/>
      <c r="B717" s="60"/>
      <c r="C717" s="60"/>
      <c r="D717" s="60"/>
      <c r="E717" s="60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0"/>
      <c r="AL717" s="60"/>
      <c r="AM717" s="60"/>
      <c r="AN717" s="60"/>
      <c r="AO717" s="62"/>
      <c r="AP717" s="60"/>
      <c r="AQ717" s="60"/>
    </row>
    <row r="718">
      <c r="A718" s="60"/>
      <c r="B718" s="60"/>
      <c r="C718" s="60"/>
      <c r="D718" s="60"/>
      <c r="E718" s="60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0"/>
      <c r="AL718" s="60"/>
      <c r="AM718" s="60"/>
      <c r="AN718" s="60"/>
      <c r="AO718" s="62"/>
      <c r="AP718" s="60"/>
      <c r="AQ718" s="60"/>
    </row>
    <row r="719">
      <c r="A719" s="60"/>
      <c r="B719" s="60"/>
      <c r="C719" s="60"/>
      <c r="D719" s="60"/>
      <c r="E719" s="60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0"/>
      <c r="AL719" s="60"/>
      <c r="AM719" s="60"/>
      <c r="AN719" s="60"/>
      <c r="AO719" s="62"/>
      <c r="AP719" s="60"/>
      <c r="AQ719" s="60"/>
    </row>
    <row r="720">
      <c r="A720" s="60"/>
      <c r="B720" s="60"/>
      <c r="C720" s="60"/>
      <c r="D720" s="60"/>
      <c r="E720" s="60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0"/>
      <c r="AL720" s="60"/>
      <c r="AM720" s="60"/>
      <c r="AN720" s="60"/>
      <c r="AO720" s="62"/>
      <c r="AP720" s="60"/>
      <c r="AQ720" s="60"/>
    </row>
    <row r="721">
      <c r="A721" s="60"/>
      <c r="B721" s="60"/>
      <c r="C721" s="60"/>
      <c r="D721" s="60"/>
      <c r="E721" s="60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0"/>
      <c r="AL721" s="60"/>
      <c r="AM721" s="60"/>
      <c r="AN721" s="60"/>
      <c r="AO721" s="62"/>
      <c r="AP721" s="60"/>
      <c r="AQ721" s="60"/>
    </row>
    <row r="722">
      <c r="A722" s="60"/>
      <c r="B722" s="60"/>
      <c r="C722" s="60"/>
      <c r="D722" s="60"/>
      <c r="E722" s="60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0"/>
      <c r="AL722" s="60"/>
      <c r="AM722" s="60"/>
      <c r="AN722" s="60"/>
      <c r="AO722" s="62"/>
      <c r="AP722" s="60"/>
      <c r="AQ722" s="60"/>
    </row>
    <row r="723">
      <c r="A723" s="60"/>
      <c r="B723" s="60"/>
      <c r="C723" s="60"/>
      <c r="D723" s="60"/>
      <c r="E723" s="60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0"/>
      <c r="AL723" s="60"/>
      <c r="AM723" s="60"/>
      <c r="AN723" s="60"/>
      <c r="AO723" s="62"/>
      <c r="AP723" s="60"/>
      <c r="AQ723" s="60"/>
    </row>
    <row r="724">
      <c r="A724" s="60"/>
      <c r="B724" s="60"/>
      <c r="C724" s="60"/>
      <c r="D724" s="60"/>
      <c r="E724" s="60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0"/>
      <c r="AL724" s="60"/>
      <c r="AM724" s="60"/>
      <c r="AN724" s="60"/>
      <c r="AO724" s="62"/>
      <c r="AP724" s="60"/>
      <c r="AQ724" s="60"/>
    </row>
    <row r="725">
      <c r="A725" s="60"/>
      <c r="B725" s="60"/>
      <c r="C725" s="60"/>
      <c r="D725" s="60"/>
      <c r="E725" s="60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0"/>
      <c r="AL725" s="60"/>
      <c r="AM725" s="60"/>
      <c r="AN725" s="60"/>
      <c r="AO725" s="62"/>
      <c r="AP725" s="60"/>
      <c r="AQ725" s="60"/>
    </row>
    <row r="726">
      <c r="A726" s="60"/>
      <c r="B726" s="60"/>
      <c r="C726" s="60"/>
      <c r="D726" s="60"/>
      <c r="E726" s="60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0"/>
      <c r="AL726" s="60"/>
      <c r="AM726" s="60"/>
      <c r="AN726" s="60"/>
      <c r="AO726" s="62"/>
      <c r="AP726" s="60"/>
      <c r="AQ726" s="60"/>
    </row>
    <row r="727">
      <c r="A727" s="60"/>
      <c r="B727" s="60"/>
      <c r="C727" s="60"/>
      <c r="D727" s="60"/>
      <c r="E727" s="60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0"/>
      <c r="AL727" s="60"/>
      <c r="AM727" s="60"/>
      <c r="AN727" s="60"/>
      <c r="AO727" s="62"/>
      <c r="AP727" s="60"/>
      <c r="AQ727" s="60"/>
    </row>
    <row r="728">
      <c r="A728" s="60"/>
      <c r="B728" s="60"/>
      <c r="C728" s="60"/>
      <c r="D728" s="60"/>
      <c r="E728" s="60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0"/>
      <c r="AL728" s="60"/>
      <c r="AM728" s="60"/>
      <c r="AN728" s="60"/>
      <c r="AO728" s="62"/>
      <c r="AP728" s="60"/>
      <c r="AQ728" s="60"/>
    </row>
    <row r="729">
      <c r="A729" s="60"/>
      <c r="B729" s="60"/>
      <c r="C729" s="60"/>
      <c r="D729" s="60"/>
      <c r="E729" s="60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0"/>
      <c r="AL729" s="60"/>
      <c r="AM729" s="60"/>
      <c r="AN729" s="60"/>
      <c r="AO729" s="62"/>
      <c r="AP729" s="60"/>
      <c r="AQ729" s="60"/>
    </row>
    <row r="730">
      <c r="A730" s="60"/>
      <c r="B730" s="60"/>
      <c r="C730" s="60"/>
      <c r="D730" s="60"/>
      <c r="E730" s="60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0"/>
      <c r="AL730" s="60"/>
      <c r="AM730" s="60"/>
      <c r="AN730" s="60"/>
      <c r="AO730" s="62"/>
      <c r="AP730" s="60"/>
      <c r="AQ730" s="60"/>
    </row>
    <row r="731">
      <c r="A731" s="60"/>
      <c r="B731" s="60"/>
      <c r="C731" s="60"/>
      <c r="D731" s="60"/>
      <c r="E731" s="60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0"/>
      <c r="AL731" s="60"/>
      <c r="AM731" s="60"/>
      <c r="AN731" s="60"/>
      <c r="AO731" s="62"/>
      <c r="AP731" s="60"/>
      <c r="AQ731" s="60"/>
    </row>
    <row r="732">
      <c r="A732" s="60"/>
      <c r="B732" s="60"/>
      <c r="C732" s="60"/>
      <c r="D732" s="60"/>
      <c r="E732" s="60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0"/>
      <c r="AL732" s="60"/>
      <c r="AM732" s="60"/>
      <c r="AN732" s="60"/>
      <c r="AO732" s="62"/>
      <c r="AP732" s="60"/>
      <c r="AQ732" s="60"/>
    </row>
    <row r="733">
      <c r="A733" s="60"/>
      <c r="B733" s="60"/>
      <c r="C733" s="60"/>
      <c r="D733" s="60"/>
      <c r="E733" s="60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0"/>
      <c r="AL733" s="60"/>
      <c r="AM733" s="60"/>
      <c r="AN733" s="60"/>
      <c r="AO733" s="62"/>
      <c r="AP733" s="60"/>
      <c r="AQ733" s="60"/>
    </row>
    <row r="734">
      <c r="A734" s="60"/>
      <c r="B734" s="60"/>
      <c r="C734" s="60"/>
      <c r="D734" s="60"/>
      <c r="E734" s="60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0"/>
      <c r="AL734" s="60"/>
      <c r="AM734" s="60"/>
      <c r="AN734" s="60"/>
      <c r="AO734" s="62"/>
      <c r="AP734" s="60"/>
      <c r="AQ734" s="60"/>
    </row>
    <row r="735">
      <c r="A735" s="60"/>
      <c r="B735" s="60"/>
      <c r="C735" s="60"/>
      <c r="D735" s="60"/>
      <c r="E735" s="60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0"/>
      <c r="AL735" s="60"/>
      <c r="AM735" s="60"/>
      <c r="AN735" s="60"/>
      <c r="AO735" s="62"/>
      <c r="AP735" s="60"/>
      <c r="AQ735" s="60"/>
    </row>
    <row r="736">
      <c r="A736" s="60"/>
      <c r="B736" s="60"/>
      <c r="C736" s="60"/>
      <c r="D736" s="60"/>
      <c r="E736" s="60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0"/>
      <c r="AL736" s="60"/>
      <c r="AM736" s="60"/>
      <c r="AN736" s="60"/>
      <c r="AO736" s="62"/>
      <c r="AP736" s="60"/>
      <c r="AQ736" s="60"/>
    </row>
    <row r="737">
      <c r="A737" s="60"/>
      <c r="B737" s="60"/>
      <c r="C737" s="60"/>
      <c r="D737" s="60"/>
      <c r="E737" s="60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0"/>
      <c r="AL737" s="60"/>
      <c r="AM737" s="60"/>
      <c r="AN737" s="60"/>
      <c r="AO737" s="62"/>
      <c r="AP737" s="60"/>
      <c r="AQ737" s="60"/>
    </row>
    <row r="738">
      <c r="A738" s="60"/>
      <c r="B738" s="60"/>
      <c r="C738" s="60"/>
      <c r="D738" s="60"/>
      <c r="E738" s="60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0"/>
      <c r="AL738" s="60"/>
      <c r="AM738" s="60"/>
      <c r="AN738" s="60"/>
      <c r="AO738" s="62"/>
      <c r="AP738" s="60"/>
      <c r="AQ738" s="60"/>
    </row>
    <row r="739">
      <c r="A739" s="60"/>
      <c r="B739" s="60"/>
      <c r="C739" s="60"/>
      <c r="D739" s="60"/>
      <c r="E739" s="60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0"/>
      <c r="AL739" s="60"/>
      <c r="AM739" s="60"/>
      <c r="AN739" s="60"/>
      <c r="AO739" s="62"/>
      <c r="AP739" s="60"/>
      <c r="AQ739" s="60"/>
    </row>
    <row r="740">
      <c r="A740" s="60"/>
      <c r="B740" s="60"/>
      <c r="C740" s="60"/>
      <c r="D740" s="60"/>
      <c r="E740" s="60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0"/>
      <c r="AL740" s="60"/>
      <c r="AM740" s="60"/>
      <c r="AN740" s="60"/>
      <c r="AO740" s="62"/>
      <c r="AP740" s="60"/>
      <c r="AQ740" s="60"/>
    </row>
    <row r="741">
      <c r="A741" s="60"/>
      <c r="B741" s="60"/>
      <c r="C741" s="60"/>
      <c r="D741" s="60"/>
      <c r="E741" s="60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0"/>
      <c r="AL741" s="60"/>
      <c r="AM741" s="60"/>
      <c r="AN741" s="60"/>
      <c r="AO741" s="62"/>
      <c r="AP741" s="60"/>
      <c r="AQ741" s="60"/>
    </row>
    <row r="742">
      <c r="A742" s="60"/>
      <c r="B742" s="60"/>
      <c r="C742" s="60"/>
      <c r="D742" s="60"/>
      <c r="E742" s="60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0"/>
      <c r="AL742" s="60"/>
      <c r="AM742" s="60"/>
      <c r="AN742" s="60"/>
      <c r="AO742" s="62"/>
      <c r="AP742" s="60"/>
      <c r="AQ742" s="60"/>
    </row>
    <row r="743">
      <c r="A743" s="60"/>
      <c r="B743" s="60"/>
      <c r="C743" s="60"/>
      <c r="D743" s="60"/>
      <c r="E743" s="60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0"/>
      <c r="AL743" s="60"/>
      <c r="AM743" s="60"/>
      <c r="AN743" s="60"/>
      <c r="AO743" s="62"/>
      <c r="AP743" s="60"/>
      <c r="AQ743" s="60"/>
    </row>
    <row r="744">
      <c r="A744" s="60"/>
      <c r="B744" s="60"/>
      <c r="C744" s="60"/>
      <c r="D744" s="60"/>
      <c r="E744" s="60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0"/>
      <c r="AL744" s="60"/>
      <c r="AM744" s="60"/>
      <c r="AN744" s="60"/>
      <c r="AO744" s="62"/>
      <c r="AP744" s="60"/>
      <c r="AQ744" s="60"/>
    </row>
    <row r="745">
      <c r="A745" s="60"/>
      <c r="B745" s="60"/>
      <c r="C745" s="60"/>
      <c r="D745" s="60"/>
      <c r="E745" s="60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0"/>
      <c r="AL745" s="60"/>
      <c r="AM745" s="60"/>
      <c r="AN745" s="60"/>
      <c r="AO745" s="62"/>
      <c r="AP745" s="60"/>
      <c r="AQ745" s="60"/>
    </row>
    <row r="746">
      <c r="A746" s="60"/>
      <c r="B746" s="60"/>
      <c r="C746" s="60"/>
      <c r="D746" s="60"/>
      <c r="E746" s="60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0"/>
      <c r="AL746" s="60"/>
      <c r="AM746" s="60"/>
      <c r="AN746" s="60"/>
      <c r="AO746" s="62"/>
      <c r="AP746" s="60"/>
      <c r="AQ746" s="60"/>
    </row>
    <row r="747">
      <c r="A747" s="60"/>
      <c r="B747" s="60"/>
      <c r="C747" s="60"/>
      <c r="D747" s="60"/>
      <c r="E747" s="60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0"/>
      <c r="AL747" s="60"/>
      <c r="AM747" s="60"/>
      <c r="AN747" s="60"/>
      <c r="AO747" s="62"/>
      <c r="AP747" s="60"/>
      <c r="AQ747" s="60"/>
    </row>
    <row r="748">
      <c r="A748" s="60"/>
      <c r="B748" s="60"/>
      <c r="C748" s="60"/>
      <c r="D748" s="60"/>
      <c r="E748" s="60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0"/>
      <c r="AL748" s="60"/>
      <c r="AM748" s="60"/>
      <c r="AN748" s="60"/>
      <c r="AO748" s="62"/>
      <c r="AP748" s="60"/>
      <c r="AQ748" s="60"/>
    </row>
    <row r="749">
      <c r="A749" s="60"/>
      <c r="B749" s="60"/>
      <c r="C749" s="60"/>
      <c r="D749" s="60"/>
      <c r="E749" s="60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0"/>
      <c r="AL749" s="60"/>
      <c r="AM749" s="60"/>
      <c r="AN749" s="60"/>
      <c r="AO749" s="62"/>
      <c r="AP749" s="60"/>
      <c r="AQ749" s="60"/>
    </row>
    <row r="750">
      <c r="A750" s="60"/>
      <c r="B750" s="60"/>
      <c r="C750" s="60"/>
      <c r="D750" s="60"/>
      <c r="E750" s="60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0"/>
      <c r="AL750" s="60"/>
      <c r="AM750" s="60"/>
      <c r="AN750" s="60"/>
      <c r="AO750" s="62"/>
      <c r="AP750" s="60"/>
      <c r="AQ750" s="60"/>
    </row>
    <row r="751">
      <c r="A751" s="60"/>
      <c r="B751" s="60"/>
      <c r="C751" s="60"/>
      <c r="D751" s="60"/>
      <c r="E751" s="60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0"/>
      <c r="AL751" s="60"/>
      <c r="AM751" s="60"/>
      <c r="AN751" s="60"/>
      <c r="AO751" s="62"/>
      <c r="AP751" s="60"/>
      <c r="AQ751" s="60"/>
    </row>
    <row r="752">
      <c r="A752" s="60"/>
      <c r="B752" s="60"/>
      <c r="C752" s="60"/>
      <c r="D752" s="60"/>
      <c r="E752" s="60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0"/>
      <c r="AL752" s="60"/>
      <c r="AM752" s="60"/>
      <c r="AN752" s="60"/>
      <c r="AO752" s="62"/>
      <c r="AP752" s="60"/>
      <c r="AQ752" s="60"/>
    </row>
    <row r="753">
      <c r="A753" s="60"/>
      <c r="B753" s="60"/>
      <c r="C753" s="60"/>
      <c r="D753" s="60"/>
      <c r="E753" s="60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0"/>
      <c r="AL753" s="60"/>
      <c r="AM753" s="60"/>
      <c r="AN753" s="60"/>
      <c r="AO753" s="62"/>
      <c r="AP753" s="60"/>
      <c r="AQ753" s="60"/>
    </row>
    <row r="754">
      <c r="A754" s="60"/>
      <c r="B754" s="60"/>
      <c r="C754" s="60"/>
      <c r="D754" s="60"/>
      <c r="E754" s="60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0"/>
      <c r="AL754" s="60"/>
      <c r="AM754" s="60"/>
      <c r="AN754" s="60"/>
      <c r="AO754" s="62"/>
      <c r="AP754" s="60"/>
      <c r="AQ754" s="60"/>
    </row>
    <row r="755">
      <c r="A755" s="60"/>
      <c r="B755" s="60"/>
      <c r="C755" s="60"/>
      <c r="D755" s="60"/>
      <c r="E755" s="60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0"/>
      <c r="AL755" s="60"/>
      <c r="AM755" s="60"/>
      <c r="AN755" s="60"/>
      <c r="AO755" s="62"/>
      <c r="AP755" s="60"/>
      <c r="AQ755" s="60"/>
    </row>
    <row r="756">
      <c r="A756" s="60"/>
      <c r="B756" s="60"/>
      <c r="C756" s="60"/>
      <c r="D756" s="60"/>
      <c r="E756" s="60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0"/>
      <c r="AL756" s="60"/>
      <c r="AM756" s="60"/>
      <c r="AN756" s="60"/>
      <c r="AO756" s="62"/>
      <c r="AP756" s="60"/>
      <c r="AQ756" s="60"/>
    </row>
    <row r="757">
      <c r="A757" s="60"/>
      <c r="B757" s="60"/>
      <c r="C757" s="60"/>
      <c r="D757" s="60"/>
      <c r="E757" s="60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0"/>
      <c r="AL757" s="60"/>
      <c r="AM757" s="60"/>
      <c r="AN757" s="60"/>
      <c r="AO757" s="62"/>
      <c r="AP757" s="60"/>
      <c r="AQ757" s="60"/>
    </row>
    <row r="758">
      <c r="A758" s="60"/>
      <c r="B758" s="60"/>
      <c r="C758" s="60"/>
      <c r="D758" s="60"/>
      <c r="E758" s="60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0"/>
      <c r="AL758" s="60"/>
      <c r="AM758" s="60"/>
      <c r="AN758" s="60"/>
      <c r="AO758" s="62"/>
      <c r="AP758" s="60"/>
      <c r="AQ758" s="60"/>
    </row>
    <row r="759">
      <c r="A759" s="60"/>
      <c r="B759" s="60"/>
      <c r="C759" s="60"/>
      <c r="D759" s="60"/>
      <c r="E759" s="60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0"/>
      <c r="AL759" s="60"/>
      <c r="AM759" s="60"/>
      <c r="AN759" s="60"/>
      <c r="AO759" s="62"/>
      <c r="AP759" s="60"/>
      <c r="AQ759" s="60"/>
    </row>
    <row r="760">
      <c r="A760" s="60"/>
      <c r="B760" s="60"/>
      <c r="C760" s="60"/>
      <c r="D760" s="60"/>
      <c r="E760" s="60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0"/>
      <c r="AL760" s="60"/>
      <c r="AM760" s="60"/>
      <c r="AN760" s="60"/>
      <c r="AO760" s="62"/>
      <c r="AP760" s="60"/>
      <c r="AQ760" s="60"/>
    </row>
    <row r="761">
      <c r="A761" s="60"/>
      <c r="B761" s="60"/>
      <c r="C761" s="60"/>
      <c r="D761" s="60"/>
      <c r="E761" s="60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0"/>
      <c r="AL761" s="60"/>
      <c r="AM761" s="60"/>
      <c r="AN761" s="60"/>
      <c r="AO761" s="62"/>
      <c r="AP761" s="60"/>
      <c r="AQ761" s="60"/>
    </row>
    <row r="762">
      <c r="A762" s="60"/>
      <c r="B762" s="60"/>
      <c r="C762" s="60"/>
      <c r="D762" s="60"/>
      <c r="E762" s="60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0"/>
      <c r="AL762" s="60"/>
      <c r="AM762" s="60"/>
      <c r="AN762" s="60"/>
      <c r="AO762" s="62"/>
      <c r="AP762" s="60"/>
      <c r="AQ762" s="60"/>
    </row>
    <row r="763">
      <c r="A763" s="60"/>
      <c r="B763" s="60"/>
      <c r="C763" s="60"/>
      <c r="D763" s="60"/>
      <c r="E763" s="60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0"/>
      <c r="AL763" s="60"/>
      <c r="AM763" s="60"/>
      <c r="AN763" s="60"/>
      <c r="AO763" s="62"/>
      <c r="AP763" s="60"/>
      <c r="AQ763" s="60"/>
    </row>
    <row r="764">
      <c r="A764" s="60"/>
      <c r="B764" s="60"/>
      <c r="C764" s="60"/>
      <c r="D764" s="60"/>
      <c r="E764" s="60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0"/>
      <c r="AL764" s="60"/>
      <c r="AM764" s="60"/>
      <c r="AN764" s="60"/>
      <c r="AO764" s="62"/>
      <c r="AP764" s="60"/>
      <c r="AQ764" s="60"/>
    </row>
    <row r="765">
      <c r="A765" s="60"/>
      <c r="B765" s="60"/>
      <c r="C765" s="60"/>
      <c r="D765" s="60"/>
      <c r="E765" s="60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0"/>
      <c r="AL765" s="60"/>
      <c r="AM765" s="60"/>
      <c r="AN765" s="60"/>
      <c r="AO765" s="62"/>
      <c r="AP765" s="60"/>
      <c r="AQ765" s="60"/>
    </row>
    <row r="766">
      <c r="A766" s="60"/>
      <c r="B766" s="60"/>
      <c r="C766" s="60"/>
      <c r="D766" s="60"/>
      <c r="E766" s="60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0"/>
      <c r="AL766" s="60"/>
      <c r="AM766" s="60"/>
      <c r="AN766" s="60"/>
      <c r="AO766" s="62"/>
      <c r="AP766" s="60"/>
      <c r="AQ766" s="60"/>
    </row>
    <row r="767">
      <c r="A767" s="60"/>
      <c r="B767" s="60"/>
      <c r="C767" s="60"/>
      <c r="D767" s="60"/>
      <c r="E767" s="60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0"/>
      <c r="AL767" s="60"/>
      <c r="AM767" s="60"/>
      <c r="AN767" s="60"/>
      <c r="AO767" s="62"/>
      <c r="AP767" s="60"/>
      <c r="AQ767" s="60"/>
    </row>
    <row r="768">
      <c r="A768" s="60"/>
      <c r="B768" s="60"/>
      <c r="C768" s="60"/>
      <c r="D768" s="60"/>
      <c r="E768" s="60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0"/>
      <c r="AL768" s="60"/>
      <c r="AM768" s="60"/>
      <c r="AN768" s="60"/>
      <c r="AO768" s="62"/>
      <c r="AP768" s="60"/>
      <c r="AQ768" s="60"/>
    </row>
    <row r="769">
      <c r="A769" s="60"/>
      <c r="B769" s="60"/>
      <c r="C769" s="60"/>
      <c r="D769" s="60"/>
      <c r="E769" s="60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0"/>
      <c r="AL769" s="60"/>
      <c r="AM769" s="60"/>
      <c r="AN769" s="60"/>
      <c r="AO769" s="62"/>
      <c r="AP769" s="60"/>
      <c r="AQ769" s="60"/>
    </row>
    <row r="770">
      <c r="A770" s="60"/>
      <c r="B770" s="60"/>
      <c r="C770" s="60"/>
      <c r="D770" s="60"/>
      <c r="E770" s="60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0"/>
      <c r="AL770" s="60"/>
      <c r="AM770" s="60"/>
      <c r="AN770" s="60"/>
      <c r="AO770" s="62"/>
      <c r="AP770" s="60"/>
      <c r="AQ770" s="60"/>
    </row>
    <row r="771">
      <c r="A771" s="60"/>
      <c r="B771" s="60"/>
      <c r="C771" s="60"/>
      <c r="D771" s="60"/>
      <c r="E771" s="60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0"/>
      <c r="AL771" s="60"/>
      <c r="AM771" s="60"/>
      <c r="AN771" s="60"/>
      <c r="AO771" s="62"/>
      <c r="AP771" s="60"/>
      <c r="AQ771" s="60"/>
    </row>
    <row r="772">
      <c r="A772" s="60"/>
      <c r="B772" s="60"/>
      <c r="C772" s="60"/>
      <c r="D772" s="60"/>
      <c r="E772" s="60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0"/>
      <c r="AL772" s="60"/>
      <c r="AM772" s="60"/>
      <c r="AN772" s="60"/>
      <c r="AO772" s="62"/>
      <c r="AP772" s="60"/>
      <c r="AQ772" s="60"/>
    </row>
    <row r="773">
      <c r="A773" s="60"/>
      <c r="B773" s="60"/>
      <c r="C773" s="60"/>
      <c r="D773" s="60"/>
      <c r="E773" s="60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0"/>
      <c r="AL773" s="60"/>
      <c r="AM773" s="60"/>
      <c r="AN773" s="60"/>
      <c r="AO773" s="62"/>
      <c r="AP773" s="60"/>
      <c r="AQ773" s="60"/>
    </row>
    <row r="774">
      <c r="A774" s="60"/>
      <c r="B774" s="60"/>
      <c r="C774" s="60"/>
      <c r="D774" s="60"/>
      <c r="E774" s="60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0"/>
      <c r="AL774" s="60"/>
      <c r="AM774" s="60"/>
      <c r="AN774" s="60"/>
      <c r="AO774" s="62"/>
      <c r="AP774" s="60"/>
      <c r="AQ774" s="60"/>
    </row>
    <row r="775">
      <c r="A775" s="60"/>
      <c r="B775" s="60"/>
      <c r="C775" s="60"/>
      <c r="D775" s="60"/>
      <c r="E775" s="60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0"/>
      <c r="AL775" s="60"/>
      <c r="AM775" s="60"/>
      <c r="AN775" s="60"/>
      <c r="AO775" s="62"/>
      <c r="AP775" s="60"/>
      <c r="AQ775" s="60"/>
    </row>
    <row r="776">
      <c r="A776" s="60"/>
      <c r="B776" s="60"/>
      <c r="C776" s="60"/>
      <c r="D776" s="60"/>
      <c r="E776" s="60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0"/>
      <c r="AL776" s="60"/>
      <c r="AM776" s="60"/>
      <c r="AN776" s="60"/>
      <c r="AO776" s="62"/>
      <c r="AP776" s="60"/>
      <c r="AQ776" s="60"/>
    </row>
    <row r="777">
      <c r="A777" s="60"/>
      <c r="B777" s="60"/>
      <c r="C777" s="60"/>
      <c r="D777" s="60"/>
      <c r="E777" s="60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0"/>
      <c r="AL777" s="60"/>
      <c r="AM777" s="60"/>
      <c r="AN777" s="60"/>
      <c r="AO777" s="62"/>
      <c r="AP777" s="60"/>
      <c r="AQ777" s="60"/>
    </row>
    <row r="778">
      <c r="A778" s="60"/>
      <c r="B778" s="60"/>
      <c r="C778" s="60"/>
      <c r="D778" s="60"/>
      <c r="E778" s="60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0"/>
      <c r="AL778" s="60"/>
      <c r="AM778" s="60"/>
      <c r="AN778" s="60"/>
      <c r="AO778" s="62"/>
      <c r="AP778" s="60"/>
      <c r="AQ778" s="60"/>
    </row>
    <row r="779">
      <c r="A779" s="60"/>
      <c r="B779" s="60"/>
      <c r="C779" s="60"/>
      <c r="D779" s="60"/>
      <c r="E779" s="60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0"/>
      <c r="AL779" s="60"/>
      <c r="AM779" s="60"/>
      <c r="AN779" s="60"/>
      <c r="AO779" s="62"/>
      <c r="AP779" s="60"/>
      <c r="AQ779" s="60"/>
    </row>
    <row r="780">
      <c r="A780" s="60"/>
      <c r="B780" s="60"/>
      <c r="C780" s="60"/>
      <c r="D780" s="60"/>
      <c r="E780" s="60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0"/>
      <c r="AL780" s="60"/>
      <c r="AM780" s="60"/>
      <c r="AN780" s="60"/>
      <c r="AO780" s="62"/>
      <c r="AP780" s="60"/>
      <c r="AQ780" s="60"/>
    </row>
    <row r="781">
      <c r="A781" s="60"/>
      <c r="B781" s="60"/>
      <c r="C781" s="60"/>
      <c r="D781" s="60"/>
      <c r="E781" s="60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0"/>
      <c r="AL781" s="60"/>
      <c r="AM781" s="60"/>
      <c r="AN781" s="60"/>
      <c r="AO781" s="62"/>
      <c r="AP781" s="60"/>
      <c r="AQ781" s="60"/>
    </row>
    <row r="782">
      <c r="A782" s="60"/>
      <c r="B782" s="60"/>
      <c r="C782" s="60"/>
      <c r="D782" s="60"/>
      <c r="E782" s="60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0"/>
      <c r="AL782" s="60"/>
      <c r="AM782" s="60"/>
      <c r="AN782" s="60"/>
      <c r="AO782" s="62"/>
      <c r="AP782" s="60"/>
      <c r="AQ782" s="60"/>
    </row>
    <row r="783">
      <c r="A783" s="60"/>
      <c r="B783" s="60"/>
      <c r="C783" s="60"/>
      <c r="D783" s="60"/>
      <c r="E783" s="60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0"/>
      <c r="AL783" s="60"/>
      <c r="AM783" s="60"/>
      <c r="AN783" s="60"/>
      <c r="AO783" s="62"/>
      <c r="AP783" s="60"/>
      <c r="AQ783" s="60"/>
    </row>
    <row r="784">
      <c r="A784" s="60"/>
      <c r="B784" s="60"/>
      <c r="C784" s="60"/>
      <c r="D784" s="60"/>
      <c r="E784" s="60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0"/>
      <c r="AL784" s="60"/>
      <c r="AM784" s="60"/>
      <c r="AN784" s="60"/>
      <c r="AO784" s="62"/>
      <c r="AP784" s="60"/>
      <c r="AQ784" s="60"/>
    </row>
    <row r="785">
      <c r="A785" s="60"/>
      <c r="B785" s="60"/>
      <c r="C785" s="60"/>
      <c r="D785" s="60"/>
      <c r="E785" s="60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0"/>
      <c r="AL785" s="60"/>
      <c r="AM785" s="60"/>
      <c r="AN785" s="60"/>
      <c r="AO785" s="62"/>
      <c r="AP785" s="60"/>
      <c r="AQ785" s="60"/>
    </row>
    <row r="786">
      <c r="A786" s="60"/>
      <c r="B786" s="60"/>
      <c r="C786" s="60"/>
      <c r="D786" s="60"/>
      <c r="E786" s="60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0"/>
      <c r="AL786" s="60"/>
      <c r="AM786" s="60"/>
      <c r="AN786" s="60"/>
      <c r="AO786" s="62"/>
      <c r="AP786" s="60"/>
      <c r="AQ786" s="60"/>
    </row>
    <row r="787">
      <c r="A787" s="60"/>
      <c r="B787" s="60"/>
      <c r="C787" s="60"/>
      <c r="D787" s="60"/>
      <c r="E787" s="60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0"/>
      <c r="AL787" s="60"/>
      <c r="AM787" s="60"/>
      <c r="AN787" s="60"/>
      <c r="AO787" s="62"/>
      <c r="AP787" s="60"/>
      <c r="AQ787" s="60"/>
    </row>
    <row r="788">
      <c r="A788" s="60"/>
      <c r="B788" s="60"/>
      <c r="C788" s="60"/>
      <c r="D788" s="60"/>
      <c r="E788" s="60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0"/>
      <c r="AL788" s="60"/>
      <c r="AM788" s="60"/>
      <c r="AN788" s="60"/>
      <c r="AO788" s="62"/>
      <c r="AP788" s="60"/>
      <c r="AQ788" s="60"/>
    </row>
    <row r="789">
      <c r="A789" s="60"/>
      <c r="B789" s="60"/>
      <c r="C789" s="60"/>
      <c r="D789" s="60"/>
      <c r="E789" s="60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0"/>
      <c r="AL789" s="60"/>
      <c r="AM789" s="60"/>
      <c r="AN789" s="60"/>
      <c r="AO789" s="62"/>
      <c r="AP789" s="60"/>
      <c r="AQ789" s="60"/>
    </row>
    <row r="790">
      <c r="A790" s="60"/>
      <c r="B790" s="60"/>
      <c r="C790" s="60"/>
      <c r="D790" s="60"/>
      <c r="E790" s="60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0"/>
      <c r="AL790" s="60"/>
      <c r="AM790" s="60"/>
      <c r="AN790" s="60"/>
      <c r="AO790" s="62"/>
      <c r="AP790" s="60"/>
      <c r="AQ790" s="60"/>
    </row>
    <row r="791">
      <c r="A791" s="60"/>
      <c r="B791" s="60"/>
      <c r="C791" s="60"/>
      <c r="D791" s="60"/>
      <c r="E791" s="60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0"/>
      <c r="AL791" s="60"/>
      <c r="AM791" s="60"/>
      <c r="AN791" s="60"/>
      <c r="AO791" s="62"/>
      <c r="AP791" s="60"/>
      <c r="AQ791" s="60"/>
    </row>
    <row r="792">
      <c r="A792" s="60"/>
      <c r="B792" s="60"/>
      <c r="C792" s="60"/>
      <c r="D792" s="60"/>
      <c r="E792" s="60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0"/>
      <c r="AL792" s="60"/>
      <c r="AM792" s="60"/>
      <c r="AN792" s="60"/>
      <c r="AO792" s="62"/>
      <c r="AP792" s="60"/>
      <c r="AQ792" s="60"/>
    </row>
    <row r="793">
      <c r="A793" s="60"/>
      <c r="B793" s="60"/>
      <c r="C793" s="60"/>
      <c r="D793" s="60"/>
      <c r="E793" s="60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0"/>
      <c r="AL793" s="60"/>
      <c r="AM793" s="60"/>
      <c r="AN793" s="60"/>
      <c r="AO793" s="62"/>
      <c r="AP793" s="60"/>
      <c r="AQ793" s="60"/>
    </row>
    <row r="794">
      <c r="A794" s="60"/>
      <c r="B794" s="60"/>
      <c r="C794" s="60"/>
      <c r="D794" s="60"/>
      <c r="E794" s="60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0"/>
      <c r="AL794" s="60"/>
      <c r="AM794" s="60"/>
      <c r="AN794" s="60"/>
      <c r="AO794" s="62"/>
      <c r="AP794" s="60"/>
      <c r="AQ794" s="60"/>
    </row>
    <row r="795">
      <c r="A795" s="60"/>
      <c r="B795" s="60"/>
      <c r="C795" s="60"/>
      <c r="D795" s="60"/>
      <c r="E795" s="60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0"/>
      <c r="AL795" s="60"/>
      <c r="AM795" s="60"/>
      <c r="AN795" s="60"/>
      <c r="AO795" s="62"/>
      <c r="AP795" s="60"/>
      <c r="AQ795" s="60"/>
    </row>
    <row r="796">
      <c r="A796" s="60"/>
      <c r="B796" s="60"/>
      <c r="C796" s="60"/>
      <c r="D796" s="60"/>
      <c r="E796" s="60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0"/>
      <c r="AL796" s="60"/>
      <c r="AM796" s="60"/>
      <c r="AN796" s="60"/>
      <c r="AO796" s="62"/>
      <c r="AP796" s="60"/>
      <c r="AQ796" s="60"/>
    </row>
    <row r="797">
      <c r="A797" s="60"/>
      <c r="B797" s="60"/>
      <c r="C797" s="60"/>
      <c r="D797" s="60"/>
      <c r="E797" s="60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0"/>
      <c r="AL797" s="60"/>
      <c r="AM797" s="60"/>
      <c r="AN797" s="60"/>
      <c r="AO797" s="62"/>
      <c r="AP797" s="60"/>
      <c r="AQ797" s="60"/>
    </row>
    <row r="798">
      <c r="A798" s="60"/>
      <c r="B798" s="60"/>
      <c r="C798" s="60"/>
      <c r="D798" s="60"/>
      <c r="E798" s="60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0"/>
      <c r="AL798" s="60"/>
      <c r="AM798" s="60"/>
      <c r="AN798" s="60"/>
      <c r="AO798" s="62"/>
      <c r="AP798" s="60"/>
      <c r="AQ798" s="60"/>
    </row>
    <row r="799">
      <c r="A799" s="60"/>
      <c r="B799" s="60"/>
      <c r="C799" s="60"/>
      <c r="D799" s="60"/>
      <c r="E799" s="60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0"/>
      <c r="AL799" s="60"/>
      <c r="AM799" s="60"/>
      <c r="AN799" s="60"/>
      <c r="AO799" s="62"/>
      <c r="AP799" s="60"/>
      <c r="AQ799" s="60"/>
    </row>
    <row r="800">
      <c r="A800" s="60"/>
      <c r="B800" s="60"/>
      <c r="C800" s="60"/>
      <c r="D800" s="60"/>
      <c r="E800" s="60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0"/>
      <c r="AL800" s="60"/>
      <c r="AM800" s="60"/>
      <c r="AN800" s="60"/>
      <c r="AO800" s="62"/>
      <c r="AP800" s="60"/>
      <c r="AQ800" s="60"/>
    </row>
    <row r="801">
      <c r="A801" s="60"/>
      <c r="B801" s="60"/>
      <c r="C801" s="60"/>
      <c r="D801" s="60"/>
      <c r="E801" s="60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0"/>
      <c r="AL801" s="60"/>
      <c r="AM801" s="60"/>
      <c r="AN801" s="60"/>
      <c r="AO801" s="62"/>
      <c r="AP801" s="60"/>
      <c r="AQ801" s="60"/>
    </row>
    <row r="802">
      <c r="A802" s="60"/>
      <c r="B802" s="60"/>
      <c r="C802" s="60"/>
      <c r="D802" s="60"/>
      <c r="E802" s="60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0"/>
      <c r="AL802" s="60"/>
      <c r="AM802" s="60"/>
      <c r="AN802" s="60"/>
      <c r="AO802" s="62"/>
      <c r="AP802" s="60"/>
      <c r="AQ802" s="60"/>
    </row>
    <row r="803">
      <c r="A803" s="60"/>
      <c r="B803" s="60"/>
      <c r="C803" s="60"/>
      <c r="D803" s="60"/>
      <c r="E803" s="60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0"/>
      <c r="AL803" s="60"/>
      <c r="AM803" s="60"/>
      <c r="AN803" s="60"/>
      <c r="AO803" s="62"/>
      <c r="AP803" s="60"/>
      <c r="AQ803" s="60"/>
    </row>
    <row r="804">
      <c r="A804" s="60"/>
      <c r="B804" s="60"/>
      <c r="C804" s="60"/>
      <c r="D804" s="60"/>
      <c r="E804" s="60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0"/>
      <c r="AL804" s="60"/>
      <c r="AM804" s="60"/>
      <c r="AN804" s="60"/>
      <c r="AO804" s="62"/>
      <c r="AP804" s="60"/>
      <c r="AQ804" s="60"/>
    </row>
    <row r="805">
      <c r="A805" s="60"/>
      <c r="B805" s="60"/>
      <c r="C805" s="60"/>
      <c r="D805" s="60"/>
      <c r="E805" s="60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0"/>
      <c r="AL805" s="60"/>
      <c r="AM805" s="60"/>
      <c r="AN805" s="60"/>
      <c r="AO805" s="62"/>
      <c r="AP805" s="60"/>
      <c r="AQ805" s="60"/>
    </row>
    <row r="806">
      <c r="A806" s="60"/>
      <c r="B806" s="60"/>
      <c r="C806" s="60"/>
      <c r="D806" s="60"/>
      <c r="E806" s="60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0"/>
      <c r="AL806" s="60"/>
      <c r="AM806" s="60"/>
      <c r="AN806" s="60"/>
      <c r="AO806" s="62"/>
      <c r="AP806" s="60"/>
      <c r="AQ806" s="60"/>
    </row>
    <row r="807">
      <c r="A807" s="60"/>
      <c r="B807" s="60"/>
      <c r="C807" s="60"/>
      <c r="D807" s="60"/>
      <c r="E807" s="60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0"/>
      <c r="AL807" s="60"/>
      <c r="AM807" s="60"/>
      <c r="AN807" s="60"/>
      <c r="AO807" s="62"/>
      <c r="AP807" s="60"/>
      <c r="AQ807" s="60"/>
    </row>
    <row r="808">
      <c r="A808" s="60"/>
      <c r="B808" s="60"/>
      <c r="C808" s="60"/>
      <c r="D808" s="60"/>
      <c r="E808" s="60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0"/>
      <c r="AL808" s="60"/>
      <c r="AM808" s="60"/>
      <c r="AN808" s="60"/>
      <c r="AO808" s="62"/>
      <c r="AP808" s="60"/>
      <c r="AQ808" s="60"/>
    </row>
    <row r="809">
      <c r="A809" s="60"/>
      <c r="B809" s="60"/>
      <c r="C809" s="60"/>
      <c r="D809" s="60"/>
      <c r="E809" s="60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0"/>
      <c r="AL809" s="60"/>
      <c r="AM809" s="60"/>
      <c r="AN809" s="60"/>
      <c r="AO809" s="62"/>
      <c r="AP809" s="60"/>
      <c r="AQ809" s="60"/>
    </row>
    <row r="810">
      <c r="A810" s="60"/>
      <c r="B810" s="60"/>
      <c r="C810" s="60"/>
      <c r="D810" s="60"/>
      <c r="E810" s="60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0"/>
      <c r="AL810" s="60"/>
      <c r="AM810" s="60"/>
      <c r="AN810" s="60"/>
      <c r="AO810" s="62"/>
      <c r="AP810" s="60"/>
      <c r="AQ810" s="60"/>
    </row>
    <row r="811">
      <c r="A811" s="60"/>
      <c r="B811" s="60"/>
      <c r="C811" s="60"/>
      <c r="D811" s="60"/>
      <c r="E811" s="60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0"/>
      <c r="AL811" s="60"/>
      <c r="AM811" s="60"/>
      <c r="AN811" s="60"/>
      <c r="AO811" s="62"/>
      <c r="AP811" s="60"/>
      <c r="AQ811" s="60"/>
    </row>
    <row r="812">
      <c r="A812" s="60"/>
      <c r="B812" s="60"/>
      <c r="C812" s="60"/>
      <c r="D812" s="60"/>
      <c r="E812" s="60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0"/>
      <c r="AL812" s="60"/>
      <c r="AM812" s="60"/>
      <c r="AN812" s="60"/>
      <c r="AO812" s="62"/>
      <c r="AP812" s="60"/>
      <c r="AQ812" s="60"/>
    </row>
    <row r="813">
      <c r="A813" s="60"/>
      <c r="B813" s="60"/>
      <c r="C813" s="60"/>
      <c r="D813" s="60"/>
      <c r="E813" s="60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0"/>
      <c r="AL813" s="60"/>
      <c r="AM813" s="60"/>
      <c r="AN813" s="60"/>
      <c r="AO813" s="62"/>
      <c r="AP813" s="60"/>
      <c r="AQ813" s="60"/>
    </row>
    <row r="814">
      <c r="A814" s="60"/>
      <c r="B814" s="60"/>
      <c r="C814" s="60"/>
      <c r="D814" s="60"/>
      <c r="E814" s="60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0"/>
      <c r="AL814" s="60"/>
      <c r="AM814" s="60"/>
      <c r="AN814" s="60"/>
      <c r="AO814" s="62"/>
      <c r="AP814" s="60"/>
      <c r="AQ814" s="60"/>
    </row>
    <row r="815">
      <c r="A815" s="60"/>
      <c r="B815" s="60"/>
      <c r="C815" s="60"/>
      <c r="D815" s="60"/>
      <c r="E815" s="60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0"/>
      <c r="AL815" s="60"/>
      <c r="AM815" s="60"/>
      <c r="AN815" s="60"/>
      <c r="AO815" s="62"/>
      <c r="AP815" s="60"/>
      <c r="AQ815" s="60"/>
    </row>
    <row r="816">
      <c r="A816" s="60"/>
      <c r="B816" s="60"/>
      <c r="C816" s="60"/>
      <c r="D816" s="60"/>
      <c r="E816" s="60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0"/>
      <c r="AL816" s="60"/>
      <c r="AM816" s="60"/>
      <c r="AN816" s="60"/>
      <c r="AO816" s="62"/>
      <c r="AP816" s="60"/>
      <c r="AQ816" s="60"/>
    </row>
    <row r="817">
      <c r="A817" s="60"/>
      <c r="B817" s="60"/>
      <c r="C817" s="60"/>
      <c r="D817" s="60"/>
      <c r="E817" s="60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0"/>
      <c r="AL817" s="60"/>
      <c r="AM817" s="60"/>
      <c r="AN817" s="60"/>
      <c r="AO817" s="62"/>
      <c r="AP817" s="60"/>
      <c r="AQ817" s="60"/>
    </row>
    <row r="818">
      <c r="A818" s="60"/>
      <c r="B818" s="60"/>
      <c r="C818" s="60"/>
      <c r="D818" s="60"/>
      <c r="E818" s="60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0"/>
      <c r="AL818" s="60"/>
      <c r="AM818" s="60"/>
      <c r="AN818" s="60"/>
      <c r="AO818" s="62"/>
      <c r="AP818" s="60"/>
      <c r="AQ818" s="60"/>
    </row>
    <row r="819">
      <c r="A819" s="60"/>
      <c r="B819" s="60"/>
      <c r="C819" s="60"/>
      <c r="D819" s="60"/>
      <c r="E819" s="60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0"/>
      <c r="AL819" s="60"/>
      <c r="AM819" s="60"/>
      <c r="AN819" s="60"/>
      <c r="AO819" s="62"/>
      <c r="AP819" s="60"/>
      <c r="AQ819" s="60"/>
    </row>
    <row r="820">
      <c r="A820" s="60"/>
      <c r="B820" s="60"/>
      <c r="C820" s="60"/>
      <c r="D820" s="60"/>
      <c r="E820" s="60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0"/>
      <c r="AL820" s="60"/>
      <c r="AM820" s="60"/>
      <c r="AN820" s="60"/>
      <c r="AO820" s="62"/>
      <c r="AP820" s="60"/>
      <c r="AQ820" s="60"/>
    </row>
    <row r="821">
      <c r="A821" s="60"/>
      <c r="B821" s="60"/>
      <c r="C821" s="60"/>
      <c r="D821" s="60"/>
      <c r="E821" s="60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0"/>
      <c r="AL821" s="60"/>
      <c r="AM821" s="60"/>
      <c r="AN821" s="60"/>
      <c r="AO821" s="62"/>
      <c r="AP821" s="60"/>
      <c r="AQ821" s="60"/>
    </row>
    <row r="822">
      <c r="A822" s="60"/>
      <c r="B822" s="60"/>
      <c r="C822" s="60"/>
      <c r="D822" s="60"/>
      <c r="E822" s="60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0"/>
      <c r="AL822" s="60"/>
      <c r="AM822" s="60"/>
      <c r="AN822" s="60"/>
      <c r="AO822" s="62"/>
      <c r="AP822" s="60"/>
      <c r="AQ822" s="60"/>
    </row>
    <row r="823">
      <c r="A823" s="60"/>
      <c r="B823" s="60"/>
      <c r="C823" s="60"/>
      <c r="D823" s="60"/>
      <c r="E823" s="60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0"/>
      <c r="AL823" s="60"/>
      <c r="AM823" s="60"/>
      <c r="AN823" s="60"/>
      <c r="AO823" s="62"/>
      <c r="AP823" s="60"/>
      <c r="AQ823" s="60"/>
    </row>
    <row r="824">
      <c r="A824" s="60"/>
      <c r="B824" s="60"/>
      <c r="C824" s="60"/>
      <c r="D824" s="60"/>
      <c r="E824" s="60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0"/>
      <c r="AL824" s="60"/>
      <c r="AM824" s="60"/>
      <c r="AN824" s="60"/>
      <c r="AO824" s="62"/>
      <c r="AP824" s="60"/>
      <c r="AQ824" s="60"/>
    </row>
    <row r="825">
      <c r="A825" s="60"/>
      <c r="B825" s="60"/>
      <c r="C825" s="60"/>
      <c r="D825" s="60"/>
      <c r="E825" s="60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0"/>
      <c r="AL825" s="60"/>
      <c r="AM825" s="60"/>
      <c r="AN825" s="60"/>
      <c r="AO825" s="62"/>
      <c r="AP825" s="60"/>
      <c r="AQ825" s="60"/>
    </row>
    <row r="826">
      <c r="A826" s="60"/>
      <c r="B826" s="60"/>
      <c r="C826" s="60"/>
      <c r="D826" s="60"/>
      <c r="E826" s="60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0"/>
      <c r="AL826" s="60"/>
      <c r="AM826" s="60"/>
      <c r="AN826" s="60"/>
      <c r="AO826" s="62"/>
      <c r="AP826" s="60"/>
      <c r="AQ826" s="60"/>
    </row>
    <row r="827">
      <c r="A827" s="60"/>
      <c r="B827" s="60"/>
      <c r="C827" s="60"/>
      <c r="D827" s="60"/>
      <c r="E827" s="60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0"/>
      <c r="AL827" s="60"/>
      <c r="AM827" s="60"/>
      <c r="AN827" s="60"/>
      <c r="AO827" s="62"/>
      <c r="AP827" s="60"/>
      <c r="AQ827" s="60"/>
    </row>
    <row r="828">
      <c r="A828" s="60"/>
      <c r="B828" s="60"/>
      <c r="C828" s="60"/>
      <c r="D828" s="60"/>
      <c r="E828" s="60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0"/>
      <c r="AL828" s="60"/>
      <c r="AM828" s="60"/>
      <c r="AN828" s="60"/>
      <c r="AO828" s="62"/>
      <c r="AP828" s="60"/>
      <c r="AQ828" s="60"/>
    </row>
    <row r="829">
      <c r="A829" s="60"/>
      <c r="B829" s="60"/>
      <c r="C829" s="60"/>
      <c r="D829" s="60"/>
      <c r="E829" s="60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0"/>
      <c r="AL829" s="60"/>
      <c r="AM829" s="60"/>
      <c r="AN829" s="60"/>
      <c r="AO829" s="62"/>
      <c r="AP829" s="60"/>
      <c r="AQ829" s="60"/>
    </row>
    <row r="830">
      <c r="A830" s="60"/>
      <c r="B830" s="60"/>
      <c r="C830" s="60"/>
      <c r="D830" s="60"/>
      <c r="E830" s="60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0"/>
      <c r="AL830" s="60"/>
      <c r="AM830" s="60"/>
      <c r="AN830" s="60"/>
      <c r="AO830" s="62"/>
      <c r="AP830" s="60"/>
      <c r="AQ830" s="60"/>
    </row>
    <row r="831">
      <c r="A831" s="60"/>
      <c r="B831" s="60"/>
      <c r="C831" s="60"/>
      <c r="D831" s="60"/>
      <c r="E831" s="60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0"/>
      <c r="AL831" s="60"/>
      <c r="AM831" s="60"/>
      <c r="AN831" s="60"/>
      <c r="AO831" s="62"/>
      <c r="AP831" s="60"/>
      <c r="AQ831" s="60"/>
    </row>
    <row r="832">
      <c r="A832" s="60"/>
      <c r="B832" s="60"/>
      <c r="C832" s="60"/>
      <c r="D832" s="60"/>
      <c r="E832" s="60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0"/>
      <c r="AL832" s="60"/>
      <c r="AM832" s="60"/>
      <c r="AN832" s="60"/>
      <c r="AO832" s="62"/>
      <c r="AP832" s="60"/>
      <c r="AQ832" s="60"/>
    </row>
    <row r="833">
      <c r="A833" s="60"/>
      <c r="B833" s="60"/>
      <c r="C833" s="60"/>
      <c r="D833" s="60"/>
      <c r="E833" s="60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0"/>
      <c r="AL833" s="60"/>
      <c r="AM833" s="60"/>
      <c r="AN833" s="60"/>
      <c r="AO833" s="62"/>
      <c r="AP833" s="60"/>
      <c r="AQ833" s="60"/>
    </row>
    <row r="834">
      <c r="A834" s="60"/>
      <c r="B834" s="60"/>
      <c r="C834" s="60"/>
      <c r="D834" s="60"/>
      <c r="E834" s="60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0"/>
      <c r="AL834" s="60"/>
      <c r="AM834" s="60"/>
      <c r="AN834" s="60"/>
      <c r="AO834" s="62"/>
      <c r="AP834" s="60"/>
      <c r="AQ834" s="60"/>
    </row>
    <row r="835">
      <c r="A835" s="60"/>
      <c r="B835" s="60"/>
      <c r="C835" s="60"/>
      <c r="D835" s="60"/>
      <c r="E835" s="60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0"/>
      <c r="AL835" s="60"/>
      <c r="AM835" s="60"/>
      <c r="AN835" s="60"/>
      <c r="AO835" s="62"/>
      <c r="AP835" s="60"/>
      <c r="AQ835" s="60"/>
    </row>
    <row r="836">
      <c r="A836" s="60"/>
      <c r="B836" s="60"/>
      <c r="C836" s="60"/>
      <c r="D836" s="60"/>
      <c r="E836" s="60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0"/>
      <c r="AL836" s="60"/>
      <c r="AM836" s="60"/>
      <c r="AN836" s="60"/>
      <c r="AO836" s="62"/>
      <c r="AP836" s="60"/>
      <c r="AQ836" s="60"/>
    </row>
    <row r="837">
      <c r="A837" s="60"/>
      <c r="B837" s="60"/>
      <c r="C837" s="60"/>
      <c r="D837" s="60"/>
      <c r="E837" s="60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0"/>
      <c r="AL837" s="60"/>
      <c r="AM837" s="60"/>
      <c r="AN837" s="60"/>
      <c r="AO837" s="62"/>
      <c r="AP837" s="60"/>
      <c r="AQ837" s="60"/>
    </row>
    <row r="838">
      <c r="A838" s="60"/>
      <c r="B838" s="60"/>
      <c r="C838" s="60"/>
      <c r="D838" s="60"/>
      <c r="E838" s="60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0"/>
      <c r="AL838" s="60"/>
      <c r="AM838" s="60"/>
      <c r="AN838" s="60"/>
      <c r="AO838" s="62"/>
      <c r="AP838" s="60"/>
      <c r="AQ838" s="60"/>
    </row>
    <row r="839">
      <c r="A839" s="60"/>
      <c r="B839" s="60"/>
      <c r="C839" s="60"/>
      <c r="D839" s="60"/>
      <c r="E839" s="60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0"/>
      <c r="AL839" s="60"/>
      <c r="AM839" s="60"/>
      <c r="AN839" s="60"/>
      <c r="AO839" s="62"/>
      <c r="AP839" s="60"/>
      <c r="AQ839" s="60"/>
    </row>
    <row r="840">
      <c r="A840" s="60"/>
      <c r="B840" s="60"/>
      <c r="C840" s="60"/>
      <c r="D840" s="60"/>
      <c r="E840" s="60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0"/>
      <c r="AL840" s="60"/>
      <c r="AM840" s="60"/>
      <c r="AN840" s="60"/>
      <c r="AO840" s="62"/>
      <c r="AP840" s="60"/>
      <c r="AQ840" s="60"/>
    </row>
    <row r="841">
      <c r="A841" s="60"/>
      <c r="B841" s="60"/>
      <c r="C841" s="60"/>
      <c r="D841" s="60"/>
      <c r="E841" s="60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0"/>
      <c r="AL841" s="60"/>
      <c r="AM841" s="60"/>
      <c r="AN841" s="60"/>
      <c r="AO841" s="62"/>
      <c r="AP841" s="60"/>
      <c r="AQ841" s="60"/>
    </row>
    <row r="842">
      <c r="A842" s="60"/>
      <c r="B842" s="60"/>
      <c r="C842" s="60"/>
      <c r="D842" s="60"/>
      <c r="E842" s="60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0"/>
      <c r="AL842" s="60"/>
      <c r="AM842" s="60"/>
      <c r="AN842" s="60"/>
      <c r="AO842" s="62"/>
      <c r="AP842" s="60"/>
      <c r="AQ842" s="60"/>
    </row>
    <row r="843">
      <c r="A843" s="60"/>
      <c r="B843" s="60"/>
      <c r="C843" s="60"/>
      <c r="D843" s="60"/>
      <c r="E843" s="60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0"/>
      <c r="AL843" s="60"/>
      <c r="AM843" s="60"/>
      <c r="AN843" s="60"/>
      <c r="AO843" s="62"/>
      <c r="AP843" s="60"/>
      <c r="AQ843" s="60"/>
    </row>
    <row r="844">
      <c r="A844" s="60"/>
      <c r="B844" s="60"/>
      <c r="C844" s="60"/>
      <c r="D844" s="60"/>
      <c r="E844" s="60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0"/>
      <c r="AL844" s="60"/>
      <c r="AM844" s="60"/>
      <c r="AN844" s="60"/>
      <c r="AO844" s="62"/>
      <c r="AP844" s="60"/>
      <c r="AQ844" s="60"/>
    </row>
    <row r="845">
      <c r="A845" s="60"/>
      <c r="B845" s="60"/>
      <c r="C845" s="60"/>
      <c r="D845" s="60"/>
      <c r="E845" s="60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0"/>
      <c r="AL845" s="60"/>
      <c r="AM845" s="60"/>
      <c r="AN845" s="60"/>
      <c r="AO845" s="62"/>
      <c r="AP845" s="60"/>
      <c r="AQ845" s="60"/>
    </row>
    <row r="846">
      <c r="A846" s="60"/>
      <c r="B846" s="60"/>
      <c r="C846" s="60"/>
      <c r="D846" s="60"/>
      <c r="E846" s="60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0"/>
      <c r="AL846" s="60"/>
      <c r="AM846" s="60"/>
      <c r="AN846" s="60"/>
      <c r="AO846" s="62"/>
      <c r="AP846" s="60"/>
      <c r="AQ846" s="60"/>
    </row>
    <row r="847">
      <c r="A847" s="60"/>
      <c r="B847" s="60"/>
      <c r="C847" s="60"/>
      <c r="D847" s="60"/>
      <c r="E847" s="60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0"/>
      <c r="AL847" s="60"/>
      <c r="AM847" s="60"/>
      <c r="AN847" s="60"/>
      <c r="AO847" s="62"/>
      <c r="AP847" s="60"/>
      <c r="AQ847" s="60"/>
    </row>
    <row r="848">
      <c r="A848" s="60"/>
      <c r="B848" s="60"/>
      <c r="C848" s="60"/>
      <c r="D848" s="60"/>
      <c r="E848" s="60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0"/>
      <c r="AL848" s="60"/>
      <c r="AM848" s="60"/>
      <c r="AN848" s="60"/>
      <c r="AO848" s="62"/>
      <c r="AP848" s="60"/>
      <c r="AQ848" s="60"/>
    </row>
    <row r="849">
      <c r="A849" s="60"/>
      <c r="B849" s="60"/>
      <c r="C849" s="60"/>
      <c r="D849" s="60"/>
      <c r="E849" s="60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0"/>
      <c r="AL849" s="60"/>
      <c r="AM849" s="60"/>
      <c r="AN849" s="60"/>
      <c r="AO849" s="62"/>
      <c r="AP849" s="60"/>
      <c r="AQ849" s="60"/>
    </row>
    <row r="850">
      <c r="A850" s="60"/>
      <c r="B850" s="60"/>
      <c r="C850" s="60"/>
      <c r="D850" s="60"/>
      <c r="E850" s="60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0"/>
      <c r="AL850" s="60"/>
      <c r="AM850" s="60"/>
      <c r="AN850" s="60"/>
      <c r="AO850" s="62"/>
      <c r="AP850" s="60"/>
      <c r="AQ850" s="60"/>
    </row>
    <row r="851">
      <c r="A851" s="60"/>
      <c r="B851" s="60"/>
      <c r="C851" s="60"/>
      <c r="D851" s="60"/>
      <c r="E851" s="60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0"/>
      <c r="AL851" s="60"/>
      <c r="AM851" s="60"/>
      <c r="AN851" s="60"/>
      <c r="AO851" s="62"/>
      <c r="AP851" s="60"/>
      <c r="AQ851" s="60"/>
    </row>
    <row r="852">
      <c r="A852" s="60"/>
      <c r="B852" s="60"/>
      <c r="C852" s="60"/>
      <c r="D852" s="60"/>
      <c r="E852" s="60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0"/>
      <c r="AL852" s="60"/>
      <c r="AM852" s="60"/>
      <c r="AN852" s="60"/>
      <c r="AO852" s="62"/>
      <c r="AP852" s="60"/>
      <c r="AQ852" s="60"/>
    </row>
    <row r="853">
      <c r="A853" s="60"/>
      <c r="B853" s="60"/>
      <c r="C853" s="60"/>
      <c r="D853" s="60"/>
      <c r="E853" s="60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0"/>
      <c r="AL853" s="60"/>
      <c r="AM853" s="60"/>
      <c r="AN853" s="60"/>
      <c r="AO853" s="62"/>
      <c r="AP853" s="60"/>
      <c r="AQ853" s="60"/>
    </row>
    <row r="854">
      <c r="A854" s="60"/>
      <c r="B854" s="60"/>
      <c r="C854" s="60"/>
      <c r="D854" s="60"/>
      <c r="E854" s="60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0"/>
      <c r="AL854" s="60"/>
      <c r="AM854" s="60"/>
      <c r="AN854" s="60"/>
      <c r="AO854" s="62"/>
      <c r="AP854" s="60"/>
      <c r="AQ854" s="60"/>
    </row>
    <row r="855">
      <c r="A855" s="60"/>
      <c r="B855" s="60"/>
      <c r="C855" s="60"/>
      <c r="D855" s="60"/>
      <c r="E855" s="60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0"/>
      <c r="AL855" s="60"/>
      <c r="AM855" s="60"/>
      <c r="AN855" s="60"/>
      <c r="AO855" s="62"/>
      <c r="AP855" s="60"/>
      <c r="AQ855" s="60"/>
    </row>
    <row r="856">
      <c r="A856" s="60"/>
      <c r="B856" s="60"/>
      <c r="C856" s="60"/>
      <c r="D856" s="60"/>
      <c r="E856" s="60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0"/>
      <c r="AL856" s="60"/>
      <c r="AM856" s="60"/>
      <c r="AN856" s="60"/>
      <c r="AO856" s="62"/>
      <c r="AP856" s="60"/>
      <c r="AQ856" s="60"/>
    </row>
    <row r="857">
      <c r="A857" s="60"/>
      <c r="B857" s="60"/>
      <c r="C857" s="60"/>
      <c r="D857" s="60"/>
      <c r="E857" s="60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0"/>
      <c r="AL857" s="60"/>
      <c r="AM857" s="60"/>
      <c r="AN857" s="60"/>
      <c r="AO857" s="62"/>
      <c r="AP857" s="60"/>
      <c r="AQ857" s="60"/>
    </row>
    <row r="858">
      <c r="A858" s="60"/>
      <c r="B858" s="60"/>
      <c r="C858" s="60"/>
      <c r="D858" s="60"/>
      <c r="E858" s="60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0"/>
      <c r="AL858" s="60"/>
      <c r="AM858" s="60"/>
      <c r="AN858" s="60"/>
      <c r="AO858" s="62"/>
      <c r="AP858" s="60"/>
      <c r="AQ858" s="60"/>
    </row>
    <row r="859">
      <c r="A859" s="60"/>
      <c r="B859" s="60"/>
      <c r="C859" s="60"/>
      <c r="D859" s="60"/>
      <c r="E859" s="60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0"/>
      <c r="AL859" s="60"/>
      <c r="AM859" s="60"/>
      <c r="AN859" s="60"/>
      <c r="AO859" s="62"/>
      <c r="AP859" s="60"/>
      <c r="AQ859" s="60"/>
    </row>
    <row r="860">
      <c r="A860" s="60"/>
      <c r="B860" s="60"/>
      <c r="C860" s="60"/>
      <c r="D860" s="60"/>
      <c r="E860" s="60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0"/>
      <c r="AL860" s="60"/>
      <c r="AM860" s="60"/>
      <c r="AN860" s="60"/>
      <c r="AO860" s="62"/>
      <c r="AP860" s="60"/>
      <c r="AQ860" s="60"/>
    </row>
    <row r="861">
      <c r="A861" s="60"/>
      <c r="B861" s="60"/>
      <c r="C861" s="60"/>
      <c r="D861" s="60"/>
      <c r="E861" s="60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0"/>
      <c r="AL861" s="60"/>
      <c r="AM861" s="60"/>
      <c r="AN861" s="60"/>
      <c r="AO861" s="62"/>
      <c r="AP861" s="60"/>
      <c r="AQ861" s="60"/>
    </row>
    <row r="862">
      <c r="A862" s="60"/>
      <c r="B862" s="60"/>
      <c r="C862" s="60"/>
      <c r="D862" s="60"/>
      <c r="E862" s="60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0"/>
      <c r="AL862" s="60"/>
      <c r="AM862" s="60"/>
      <c r="AN862" s="60"/>
      <c r="AO862" s="62"/>
      <c r="AP862" s="60"/>
      <c r="AQ862" s="60"/>
    </row>
    <row r="863">
      <c r="A863" s="60"/>
      <c r="B863" s="60"/>
      <c r="C863" s="60"/>
      <c r="D863" s="60"/>
      <c r="E863" s="60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0"/>
      <c r="AL863" s="60"/>
      <c r="AM863" s="60"/>
      <c r="AN863" s="60"/>
      <c r="AO863" s="62"/>
      <c r="AP863" s="60"/>
      <c r="AQ863" s="60"/>
    </row>
    <row r="864">
      <c r="A864" s="60"/>
      <c r="B864" s="60"/>
      <c r="C864" s="60"/>
      <c r="D864" s="60"/>
      <c r="E864" s="60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0"/>
      <c r="AL864" s="60"/>
      <c r="AM864" s="60"/>
      <c r="AN864" s="60"/>
      <c r="AO864" s="62"/>
      <c r="AP864" s="60"/>
      <c r="AQ864" s="60"/>
    </row>
    <row r="865">
      <c r="A865" s="60"/>
      <c r="B865" s="60"/>
      <c r="C865" s="60"/>
      <c r="D865" s="60"/>
      <c r="E865" s="60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0"/>
      <c r="AL865" s="60"/>
      <c r="AM865" s="60"/>
      <c r="AN865" s="60"/>
      <c r="AO865" s="62"/>
      <c r="AP865" s="60"/>
      <c r="AQ865" s="60"/>
    </row>
    <row r="866">
      <c r="A866" s="60"/>
      <c r="B866" s="60"/>
      <c r="C866" s="60"/>
      <c r="D866" s="60"/>
      <c r="E866" s="60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0"/>
      <c r="AL866" s="60"/>
      <c r="AM866" s="60"/>
      <c r="AN866" s="60"/>
      <c r="AO866" s="62"/>
      <c r="AP866" s="60"/>
      <c r="AQ866" s="60"/>
    </row>
    <row r="867">
      <c r="A867" s="60"/>
      <c r="B867" s="60"/>
      <c r="C867" s="60"/>
      <c r="D867" s="60"/>
      <c r="E867" s="60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0"/>
      <c r="AL867" s="60"/>
      <c r="AM867" s="60"/>
      <c r="AN867" s="60"/>
      <c r="AO867" s="62"/>
      <c r="AP867" s="60"/>
      <c r="AQ867" s="60"/>
    </row>
    <row r="868">
      <c r="A868" s="60"/>
      <c r="B868" s="60"/>
      <c r="C868" s="60"/>
      <c r="D868" s="60"/>
      <c r="E868" s="60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0"/>
      <c r="AL868" s="60"/>
      <c r="AM868" s="60"/>
      <c r="AN868" s="60"/>
      <c r="AO868" s="62"/>
      <c r="AP868" s="60"/>
      <c r="AQ868" s="60"/>
    </row>
    <row r="869">
      <c r="A869" s="60"/>
      <c r="B869" s="60"/>
      <c r="C869" s="60"/>
      <c r="D869" s="60"/>
      <c r="E869" s="60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0"/>
      <c r="AL869" s="60"/>
      <c r="AM869" s="60"/>
      <c r="AN869" s="60"/>
      <c r="AO869" s="62"/>
      <c r="AP869" s="60"/>
      <c r="AQ869" s="60"/>
    </row>
    <row r="870">
      <c r="A870" s="60"/>
      <c r="B870" s="60"/>
      <c r="C870" s="60"/>
      <c r="D870" s="60"/>
      <c r="E870" s="60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0"/>
      <c r="AL870" s="60"/>
      <c r="AM870" s="60"/>
      <c r="AN870" s="60"/>
      <c r="AO870" s="62"/>
      <c r="AP870" s="60"/>
      <c r="AQ870" s="60"/>
    </row>
    <row r="871">
      <c r="A871" s="60"/>
      <c r="B871" s="60"/>
      <c r="C871" s="60"/>
      <c r="D871" s="60"/>
      <c r="E871" s="60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0"/>
      <c r="AL871" s="60"/>
      <c r="AM871" s="60"/>
      <c r="AN871" s="60"/>
      <c r="AO871" s="62"/>
      <c r="AP871" s="60"/>
      <c r="AQ871" s="60"/>
    </row>
    <row r="872">
      <c r="A872" s="60"/>
      <c r="B872" s="60"/>
      <c r="C872" s="60"/>
      <c r="D872" s="60"/>
      <c r="E872" s="60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0"/>
      <c r="AL872" s="60"/>
      <c r="AM872" s="60"/>
      <c r="AN872" s="60"/>
      <c r="AO872" s="62"/>
      <c r="AP872" s="60"/>
      <c r="AQ872" s="60"/>
    </row>
    <row r="873">
      <c r="A873" s="60"/>
      <c r="B873" s="60"/>
      <c r="C873" s="60"/>
      <c r="D873" s="60"/>
      <c r="E873" s="60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0"/>
      <c r="AL873" s="60"/>
      <c r="AM873" s="60"/>
      <c r="AN873" s="60"/>
      <c r="AO873" s="62"/>
      <c r="AP873" s="60"/>
      <c r="AQ873" s="60"/>
    </row>
    <row r="874">
      <c r="A874" s="60"/>
      <c r="B874" s="60"/>
      <c r="C874" s="60"/>
      <c r="D874" s="60"/>
      <c r="E874" s="60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0"/>
      <c r="AL874" s="60"/>
      <c r="AM874" s="60"/>
      <c r="AN874" s="60"/>
      <c r="AO874" s="62"/>
      <c r="AP874" s="60"/>
      <c r="AQ874" s="60"/>
    </row>
    <row r="875">
      <c r="A875" s="60"/>
      <c r="B875" s="60"/>
      <c r="C875" s="60"/>
      <c r="D875" s="60"/>
      <c r="E875" s="60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0"/>
      <c r="AL875" s="60"/>
      <c r="AM875" s="60"/>
      <c r="AN875" s="60"/>
      <c r="AO875" s="62"/>
      <c r="AP875" s="60"/>
      <c r="AQ875" s="60"/>
    </row>
    <row r="876">
      <c r="A876" s="60"/>
      <c r="B876" s="60"/>
      <c r="C876" s="60"/>
      <c r="D876" s="60"/>
      <c r="E876" s="60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0"/>
      <c r="AL876" s="60"/>
      <c r="AM876" s="60"/>
      <c r="AN876" s="60"/>
      <c r="AO876" s="62"/>
      <c r="AP876" s="60"/>
      <c r="AQ876" s="60"/>
    </row>
    <row r="877">
      <c r="A877" s="60"/>
      <c r="B877" s="60"/>
      <c r="C877" s="60"/>
      <c r="D877" s="60"/>
      <c r="E877" s="60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0"/>
      <c r="AL877" s="60"/>
      <c r="AM877" s="60"/>
      <c r="AN877" s="60"/>
      <c r="AO877" s="62"/>
      <c r="AP877" s="60"/>
      <c r="AQ877" s="60"/>
    </row>
    <row r="878">
      <c r="A878" s="60"/>
      <c r="B878" s="60"/>
      <c r="C878" s="60"/>
      <c r="D878" s="60"/>
      <c r="E878" s="60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0"/>
      <c r="AL878" s="60"/>
      <c r="AM878" s="60"/>
      <c r="AN878" s="60"/>
      <c r="AO878" s="62"/>
      <c r="AP878" s="60"/>
      <c r="AQ878" s="60"/>
    </row>
    <row r="879">
      <c r="A879" s="60"/>
      <c r="B879" s="60"/>
      <c r="C879" s="60"/>
      <c r="D879" s="60"/>
      <c r="E879" s="60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0"/>
      <c r="AL879" s="60"/>
      <c r="AM879" s="60"/>
      <c r="AN879" s="60"/>
      <c r="AO879" s="62"/>
      <c r="AP879" s="60"/>
      <c r="AQ879" s="60"/>
    </row>
    <row r="880">
      <c r="A880" s="60"/>
      <c r="B880" s="60"/>
      <c r="C880" s="60"/>
      <c r="D880" s="60"/>
      <c r="E880" s="60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0"/>
      <c r="AL880" s="60"/>
      <c r="AM880" s="60"/>
      <c r="AN880" s="60"/>
      <c r="AO880" s="62"/>
      <c r="AP880" s="60"/>
      <c r="AQ880" s="60"/>
    </row>
    <row r="881">
      <c r="A881" s="60"/>
      <c r="B881" s="60"/>
      <c r="C881" s="60"/>
      <c r="D881" s="60"/>
      <c r="E881" s="60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0"/>
      <c r="AL881" s="60"/>
      <c r="AM881" s="60"/>
      <c r="AN881" s="60"/>
      <c r="AO881" s="62"/>
      <c r="AP881" s="60"/>
      <c r="AQ881" s="60"/>
    </row>
    <row r="882">
      <c r="A882" s="60"/>
      <c r="B882" s="60"/>
      <c r="C882" s="60"/>
      <c r="D882" s="60"/>
      <c r="E882" s="60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0"/>
      <c r="AL882" s="60"/>
      <c r="AM882" s="60"/>
      <c r="AN882" s="60"/>
      <c r="AO882" s="62"/>
      <c r="AP882" s="60"/>
      <c r="AQ882" s="60"/>
    </row>
    <row r="883">
      <c r="A883" s="60"/>
      <c r="B883" s="60"/>
      <c r="C883" s="60"/>
      <c r="D883" s="60"/>
      <c r="E883" s="60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0"/>
      <c r="AL883" s="60"/>
      <c r="AM883" s="60"/>
      <c r="AN883" s="60"/>
      <c r="AO883" s="62"/>
      <c r="AP883" s="60"/>
      <c r="AQ883" s="60"/>
    </row>
    <row r="884">
      <c r="A884" s="60"/>
      <c r="B884" s="60"/>
      <c r="C884" s="60"/>
      <c r="D884" s="60"/>
      <c r="E884" s="60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0"/>
      <c r="AL884" s="60"/>
      <c r="AM884" s="60"/>
      <c r="AN884" s="60"/>
      <c r="AO884" s="62"/>
      <c r="AP884" s="60"/>
      <c r="AQ884" s="60"/>
    </row>
    <row r="885">
      <c r="A885" s="60"/>
      <c r="B885" s="60"/>
      <c r="C885" s="60"/>
      <c r="D885" s="60"/>
      <c r="E885" s="60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0"/>
      <c r="AL885" s="60"/>
      <c r="AM885" s="60"/>
      <c r="AN885" s="60"/>
      <c r="AO885" s="62"/>
      <c r="AP885" s="60"/>
      <c r="AQ885" s="60"/>
    </row>
    <row r="886">
      <c r="A886" s="60"/>
      <c r="B886" s="60"/>
      <c r="C886" s="60"/>
      <c r="D886" s="60"/>
      <c r="E886" s="60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0"/>
      <c r="AL886" s="60"/>
      <c r="AM886" s="60"/>
      <c r="AN886" s="60"/>
      <c r="AO886" s="62"/>
      <c r="AP886" s="60"/>
      <c r="AQ886" s="60"/>
    </row>
    <row r="887">
      <c r="A887" s="60"/>
      <c r="B887" s="60"/>
      <c r="C887" s="60"/>
      <c r="D887" s="60"/>
      <c r="E887" s="60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0"/>
      <c r="AL887" s="60"/>
      <c r="AM887" s="60"/>
      <c r="AN887" s="60"/>
      <c r="AO887" s="62"/>
      <c r="AP887" s="60"/>
      <c r="AQ887" s="60"/>
    </row>
    <row r="888">
      <c r="A888" s="60"/>
      <c r="B888" s="60"/>
      <c r="C888" s="60"/>
      <c r="D888" s="60"/>
      <c r="E888" s="60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0"/>
      <c r="AL888" s="60"/>
      <c r="AM888" s="60"/>
      <c r="AN888" s="60"/>
      <c r="AO888" s="62"/>
      <c r="AP888" s="60"/>
      <c r="AQ888" s="60"/>
    </row>
    <row r="889">
      <c r="A889" s="60"/>
      <c r="B889" s="60"/>
      <c r="C889" s="60"/>
      <c r="D889" s="60"/>
      <c r="E889" s="60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0"/>
      <c r="AL889" s="60"/>
      <c r="AM889" s="60"/>
      <c r="AN889" s="60"/>
      <c r="AO889" s="62"/>
      <c r="AP889" s="60"/>
      <c r="AQ889" s="60"/>
    </row>
    <row r="890">
      <c r="A890" s="60"/>
      <c r="B890" s="60"/>
      <c r="C890" s="60"/>
      <c r="D890" s="60"/>
      <c r="E890" s="60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0"/>
      <c r="AL890" s="60"/>
      <c r="AM890" s="60"/>
      <c r="AN890" s="60"/>
      <c r="AO890" s="62"/>
      <c r="AP890" s="60"/>
      <c r="AQ890" s="60"/>
    </row>
    <row r="891">
      <c r="A891" s="60"/>
      <c r="B891" s="60"/>
      <c r="C891" s="60"/>
      <c r="D891" s="60"/>
      <c r="E891" s="60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0"/>
      <c r="AL891" s="60"/>
      <c r="AM891" s="60"/>
      <c r="AN891" s="60"/>
      <c r="AO891" s="62"/>
      <c r="AP891" s="60"/>
      <c r="AQ891" s="60"/>
    </row>
    <row r="892">
      <c r="A892" s="60"/>
      <c r="B892" s="60"/>
      <c r="C892" s="60"/>
      <c r="D892" s="60"/>
      <c r="E892" s="60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0"/>
      <c r="AL892" s="60"/>
      <c r="AM892" s="60"/>
      <c r="AN892" s="60"/>
      <c r="AO892" s="62"/>
      <c r="AP892" s="60"/>
      <c r="AQ892" s="60"/>
    </row>
    <row r="893">
      <c r="A893" s="60"/>
      <c r="B893" s="60"/>
      <c r="C893" s="60"/>
      <c r="D893" s="60"/>
      <c r="E893" s="60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0"/>
      <c r="AL893" s="60"/>
      <c r="AM893" s="60"/>
      <c r="AN893" s="60"/>
      <c r="AO893" s="62"/>
      <c r="AP893" s="60"/>
      <c r="AQ893" s="60"/>
    </row>
    <row r="894">
      <c r="A894" s="60"/>
      <c r="B894" s="60"/>
      <c r="C894" s="60"/>
      <c r="D894" s="60"/>
      <c r="E894" s="60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0"/>
      <c r="AL894" s="60"/>
      <c r="AM894" s="60"/>
      <c r="AN894" s="60"/>
      <c r="AO894" s="62"/>
      <c r="AP894" s="60"/>
      <c r="AQ894" s="60"/>
    </row>
    <row r="895">
      <c r="A895" s="60"/>
      <c r="B895" s="60"/>
      <c r="C895" s="60"/>
      <c r="D895" s="60"/>
      <c r="E895" s="60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0"/>
      <c r="AL895" s="60"/>
      <c r="AM895" s="60"/>
      <c r="AN895" s="60"/>
      <c r="AO895" s="62"/>
      <c r="AP895" s="60"/>
      <c r="AQ895" s="60"/>
    </row>
    <row r="896">
      <c r="A896" s="60"/>
      <c r="B896" s="60"/>
      <c r="C896" s="60"/>
      <c r="D896" s="60"/>
      <c r="E896" s="60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0"/>
      <c r="AL896" s="60"/>
      <c r="AM896" s="60"/>
      <c r="AN896" s="60"/>
      <c r="AO896" s="62"/>
      <c r="AP896" s="60"/>
      <c r="AQ896" s="60"/>
    </row>
    <row r="897">
      <c r="A897" s="60"/>
      <c r="B897" s="60"/>
      <c r="C897" s="60"/>
      <c r="D897" s="60"/>
      <c r="E897" s="60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0"/>
      <c r="AL897" s="60"/>
      <c r="AM897" s="60"/>
      <c r="AN897" s="60"/>
      <c r="AO897" s="62"/>
      <c r="AP897" s="60"/>
      <c r="AQ897" s="60"/>
    </row>
    <row r="898">
      <c r="A898" s="60"/>
      <c r="B898" s="60"/>
      <c r="C898" s="60"/>
      <c r="D898" s="60"/>
      <c r="E898" s="60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0"/>
      <c r="AL898" s="60"/>
      <c r="AM898" s="60"/>
      <c r="AN898" s="60"/>
      <c r="AO898" s="62"/>
      <c r="AP898" s="60"/>
      <c r="AQ898" s="60"/>
    </row>
    <row r="899">
      <c r="A899" s="60"/>
      <c r="B899" s="60"/>
      <c r="C899" s="60"/>
      <c r="D899" s="60"/>
      <c r="E899" s="60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0"/>
      <c r="AL899" s="60"/>
      <c r="AM899" s="60"/>
      <c r="AN899" s="60"/>
      <c r="AO899" s="62"/>
      <c r="AP899" s="60"/>
      <c r="AQ899" s="60"/>
    </row>
    <row r="900">
      <c r="A900" s="60"/>
      <c r="B900" s="60"/>
      <c r="C900" s="60"/>
      <c r="D900" s="60"/>
      <c r="E900" s="60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0"/>
      <c r="AL900" s="60"/>
      <c r="AM900" s="60"/>
      <c r="AN900" s="60"/>
      <c r="AO900" s="62"/>
      <c r="AP900" s="60"/>
      <c r="AQ900" s="60"/>
    </row>
    <row r="901">
      <c r="A901" s="60"/>
      <c r="B901" s="60"/>
      <c r="C901" s="60"/>
      <c r="D901" s="60"/>
      <c r="E901" s="60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0"/>
      <c r="AL901" s="60"/>
      <c r="AM901" s="60"/>
      <c r="AN901" s="60"/>
      <c r="AO901" s="62"/>
      <c r="AP901" s="60"/>
      <c r="AQ901" s="60"/>
    </row>
    <row r="902">
      <c r="A902" s="60"/>
      <c r="B902" s="60"/>
      <c r="C902" s="60"/>
      <c r="D902" s="60"/>
      <c r="E902" s="60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0"/>
      <c r="AL902" s="60"/>
      <c r="AM902" s="60"/>
      <c r="AN902" s="60"/>
      <c r="AO902" s="62"/>
      <c r="AP902" s="60"/>
      <c r="AQ902" s="60"/>
    </row>
    <row r="903">
      <c r="A903" s="60"/>
      <c r="B903" s="60"/>
      <c r="C903" s="60"/>
      <c r="D903" s="60"/>
      <c r="E903" s="60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0"/>
      <c r="AL903" s="60"/>
      <c r="AM903" s="60"/>
      <c r="AN903" s="60"/>
      <c r="AO903" s="62"/>
      <c r="AP903" s="60"/>
      <c r="AQ903" s="60"/>
    </row>
    <row r="904">
      <c r="A904" s="60"/>
      <c r="B904" s="60"/>
      <c r="C904" s="60"/>
      <c r="D904" s="60"/>
      <c r="E904" s="60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0"/>
      <c r="AL904" s="60"/>
      <c r="AM904" s="60"/>
      <c r="AN904" s="60"/>
      <c r="AO904" s="62"/>
      <c r="AP904" s="60"/>
      <c r="AQ904" s="60"/>
    </row>
    <row r="905">
      <c r="A905" s="60"/>
      <c r="B905" s="60"/>
      <c r="C905" s="60"/>
      <c r="D905" s="60"/>
      <c r="E905" s="60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0"/>
      <c r="AL905" s="60"/>
      <c r="AM905" s="60"/>
      <c r="AN905" s="60"/>
      <c r="AO905" s="62"/>
      <c r="AP905" s="60"/>
      <c r="AQ905" s="60"/>
    </row>
    <row r="906">
      <c r="A906" s="60"/>
      <c r="B906" s="60"/>
      <c r="C906" s="60"/>
      <c r="D906" s="60"/>
      <c r="E906" s="60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0"/>
      <c r="AL906" s="60"/>
      <c r="AM906" s="60"/>
      <c r="AN906" s="60"/>
      <c r="AO906" s="62"/>
      <c r="AP906" s="60"/>
      <c r="AQ906" s="60"/>
    </row>
    <row r="907">
      <c r="A907" s="60"/>
      <c r="B907" s="60"/>
      <c r="C907" s="60"/>
      <c r="D907" s="60"/>
      <c r="E907" s="60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0"/>
      <c r="AL907" s="60"/>
      <c r="AM907" s="60"/>
      <c r="AN907" s="60"/>
      <c r="AO907" s="62"/>
      <c r="AP907" s="60"/>
      <c r="AQ907" s="60"/>
    </row>
    <row r="908">
      <c r="A908" s="60"/>
      <c r="B908" s="60"/>
      <c r="C908" s="60"/>
      <c r="D908" s="60"/>
      <c r="E908" s="60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0"/>
      <c r="AL908" s="60"/>
      <c r="AM908" s="60"/>
      <c r="AN908" s="60"/>
      <c r="AO908" s="62"/>
      <c r="AP908" s="60"/>
      <c r="AQ908" s="60"/>
    </row>
    <row r="909">
      <c r="A909" s="60"/>
      <c r="B909" s="60"/>
      <c r="C909" s="60"/>
      <c r="D909" s="60"/>
      <c r="E909" s="60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0"/>
      <c r="AL909" s="60"/>
      <c r="AM909" s="60"/>
      <c r="AN909" s="60"/>
      <c r="AO909" s="62"/>
      <c r="AP909" s="60"/>
      <c r="AQ909" s="60"/>
    </row>
    <row r="910">
      <c r="A910" s="60"/>
      <c r="B910" s="60"/>
      <c r="C910" s="60"/>
      <c r="D910" s="60"/>
      <c r="E910" s="60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0"/>
      <c r="AL910" s="60"/>
      <c r="AM910" s="60"/>
      <c r="AN910" s="60"/>
      <c r="AO910" s="62"/>
      <c r="AP910" s="60"/>
      <c r="AQ910" s="60"/>
    </row>
    <row r="911">
      <c r="A911" s="60"/>
      <c r="B911" s="60"/>
      <c r="C911" s="60"/>
      <c r="D911" s="60"/>
      <c r="E911" s="60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0"/>
      <c r="AL911" s="60"/>
      <c r="AM911" s="60"/>
      <c r="AN911" s="60"/>
      <c r="AO911" s="62"/>
      <c r="AP911" s="60"/>
      <c r="AQ911" s="60"/>
    </row>
    <row r="912">
      <c r="A912" s="60"/>
      <c r="B912" s="60"/>
      <c r="C912" s="60"/>
      <c r="D912" s="60"/>
      <c r="E912" s="60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0"/>
      <c r="AL912" s="60"/>
      <c r="AM912" s="60"/>
      <c r="AN912" s="60"/>
      <c r="AO912" s="62"/>
      <c r="AP912" s="60"/>
      <c r="AQ912" s="60"/>
    </row>
    <row r="913">
      <c r="A913" s="60"/>
      <c r="B913" s="60"/>
      <c r="C913" s="60"/>
      <c r="D913" s="60"/>
      <c r="E913" s="60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0"/>
      <c r="AL913" s="60"/>
      <c r="AM913" s="60"/>
      <c r="AN913" s="60"/>
      <c r="AO913" s="62"/>
      <c r="AP913" s="60"/>
      <c r="AQ913" s="60"/>
    </row>
    <row r="914">
      <c r="A914" s="60"/>
      <c r="B914" s="60"/>
      <c r="C914" s="60"/>
      <c r="D914" s="60"/>
      <c r="E914" s="60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0"/>
      <c r="AL914" s="60"/>
      <c r="AM914" s="60"/>
      <c r="AN914" s="60"/>
      <c r="AO914" s="62"/>
      <c r="AP914" s="60"/>
      <c r="AQ914" s="60"/>
    </row>
    <row r="915">
      <c r="A915" s="60"/>
      <c r="B915" s="60"/>
      <c r="C915" s="60"/>
      <c r="D915" s="60"/>
      <c r="E915" s="60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0"/>
      <c r="AL915" s="60"/>
      <c r="AM915" s="60"/>
      <c r="AN915" s="60"/>
      <c r="AO915" s="62"/>
      <c r="AP915" s="60"/>
      <c r="AQ915" s="60"/>
    </row>
    <row r="916">
      <c r="A916" s="60"/>
      <c r="B916" s="60"/>
      <c r="C916" s="60"/>
      <c r="D916" s="60"/>
      <c r="E916" s="60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0"/>
      <c r="AL916" s="60"/>
      <c r="AM916" s="60"/>
      <c r="AN916" s="60"/>
      <c r="AO916" s="62"/>
      <c r="AP916" s="60"/>
      <c r="AQ916" s="60"/>
    </row>
    <row r="917">
      <c r="A917" s="60"/>
      <c r="B917" s="60"/>
      <c r="C917" s="60"/>
      <c r="D917" s="60"/>
      <c r="E917" s="60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0"/>
      <c r="AL917" s="60"/>
      <c r="AM917" s="60"/>
      <c r="AN917" s="60"/>
      <c r="AO917" s="62"/>
      <c r="AP917" s="60"/>
      <c r="AQ917" s="60"/>
    </row>
    <row r="918">
      <c r="A918" s="60"/>
      <c r="B918" s="60"/>
      <c r="C918" s="60"/>
      <c r="D918" s="60"/>
      <c r="E918" s="60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0"/>
      <c r="AL918" s="60"/>
      <c r="AM918" s="60"/>
      <c r="AN918" s="60"/>
      <c r="AO918" s="62"/>
      <c r="AP918" s="60"/>
      <c r="AQ918" s="60"/>
    </row>
    <row r="919">
      <c r="A919" s="60"/>
      <c r="B919" s="60"/>
      <c r="C919" s="60"/>
      <c r="D919" s="60"/>
      <c r="E919" s="60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0"/>
      <c r="AL919" s="60"/>
      <c r="AM919" s="60"/>
      <c r="AN919" s="60"/>
      <c r="AO919" s="62"/>
      <c r="AP919" s="60"/>
      <c r="AQ919" s="60"/>
    </row>
    <row r="920">
      <c r="A920" s="60"/>
      <c r="B920" s="60"/>
      <c r="C920" s="60"/>
      <c r="D920" s="60"/>
      <c r="E920" s="60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0"/>
      <c r="AL920" s="60"/>
      <c r="AM920" s="60"/>
      <c r="AN920" s="60"/>
      <c r="AO920" s="62"/>
      <c r="AP920" s="60"/>
      <c r="AQ920" s="60"/>
    </row>
    <row r="921">
      <c r="A921" s="60"/>
      <c r="B921" s="60"/>
      <c r="C921" s="60"/>
      <c r="D921" s="60"/>
      <c r="E921" s="60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0"/>
      <c r="AL921" s="60"/>
      <c r="AM921" s="60"/>
      <c r="AN921" s="60"/>
      <c r="AO921" s="62"/>
      <c r="AP921" s="60"/>
      <c r="AQ921" s="60"/>
    </row>
    <row r="922">
      <c r="A922" s="60"/>
      <c r="B922" s="60"/>
      <c r="C922" s="60"/>
      <c r="D922" s="60"/>
      <c r="E922" s="60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0"/>
      <c r="AL922" s="60"/>
      <c r="AM922" s="60"/>
      <c r="AN922" s="60"/>
      <c r="AO922" s="62"/>
      <c r="AP922" s="60"/>
      <c r="AQ922" s="60"/>
    </row>
    <row r="923">
      <c r="A923" s="60"/>
      <c r="B923" s="60"/>
      <c r="C923" s="60"/>
      <c r="D923" s="60"/>
      <c r="E923" s="60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0"/>
      <c r="AL923" s="60"/>
      <c r="AM923" s="60"/>
      <c r="AN923" s="60"/>
      <c r="AO923" s="62"/>
      <c r="AP923" s="60"/>
      <c r="AQ923" s="60"/>
    </row>
    <row r="924">
      <c r="A924" s="60"/>
      <c r="B924" s="60"/>
      <c r="C924" s="60"/>
      <c r="D924" s="60"/>
      <c r="E924" s="60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0"/>
      <c r="AL924" s="60"/>
      <c r="AM924" s="60"/>
      <c r="AN924" s="60"/>
      <c r="AO924" s="62"/>
      <c r="AP924" s="60"/>
      <c r="AQ924" s="60"/>
    </row>
    <row r="925">
      <c r="A925" s="60"/>
      <c r="B925" s="60"/>
      <c r="C925" s="60"/>
      <c r="D925" s="60"/>
      <c r="E925" s="60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0"/>
      <c r="AL925" s="60"/>
      <c r="AM925" s="60"/>
      <c r="AN925" s="60"/>
      <c r="AO925" s="62"/>
      <c r="AP925" s="60"/>
      <c r="AQ925" s="60"/>
    </row>
    <row r="926">
      <c r="A926" s="60"/>
      <c r="B926" s="60"/>
      <c r="C926" s="60"/>
      <c r="D926" s="60"/>
      <c r="E926" s="60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0"/>
      <c r="AL926" s="60"/>
      <c r="AM926" s="60"/>
      <c r="AN926" s="60"/>
      <c r="AO926" s="62"/>
      <c r="AP926" s="60"/>
      <c r="AQ926" s="60"/>
    </row>
    <row r="927">
      <c r="A927" s="60"/>
      <c r="B927" s="60"/>
      <c r="C927" s="60"/>
      <c r="D927" s="60"/>
      <c r="E927" s="60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0"/>
      <c r="AL927" s="60"/>
      <c r="AM927" s="60"/>
      <c r="AN927" s="60"/>
      <c r="AO927" s="62"/>
      <c r="AP927" s="60"/>
      <c r="AQ927" s="60"/>
    </row>
    <row r="928">
      <c r="A928" s="60"/>
      <c r="B928" s="60"/>
      <c r="C928" s="60"/>
      <c r="D928" s="60"/>
      <c r="E928" s="60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0"/>
      <c r="AL928" s="60"/>
      <c r="AM928" s="60"/>
      <c r="AN928" s="60"/>
      <c r="AO928" s="62"/>
      <c r="AP928" s="60"/>
      <c r="AQ928" s="60"/>
    </row>
    <row r="929">
      <c r="A929" s="60"/>
      <c r="B929" s="60"/>
      <c r="C929" s="60"/>
      <c r="D929" s="60"/>
      <c r="E929" s="60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0"/>
      <c r="AL929" s="60"/>
      <c r="AM929" s="60"/>
      <c r="AN929" s="60"/>
      <c r="AO929" s="62"/>
      <c r="AP929" s="60"/>
      <c r="AQ929" s="60"/>
    </row>
    <row r="930">
      <c r="A930" s="60"/>
      <c r="B930" s="60"/>
      <c r="C930" s="60"/>
      <c r="D930" s="60"/>
      <c r="E930" s="60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0"/>
      <c r="AL930" s="60"/>
      <c r="AM930" s="60"/>
      <c r="AN930" s="60"/>
      <c r="AO930" s="62"/>
      <c r="AP930" s="60"/>
      <c r="AQ930" s="60"/>
    </row>
    <row r="931">
      <c r="A931" s="60"/>
      <c r="B931" s="60"/>
      <c r="C931" s="60"/>
      <c r="D931" s="60"/>
      <c r="E931" s="60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0"/>
      <c r="AL931" s="60"/>
      <c r="AM931" s="60"/>
      <c r="AN931" s="60"/>
      <c r="AO931" s="62"/>
      <c r="AP931" s="60"/>
      <c r="AQ931" s="60"/>
    </row>
    <row r="932">
      <c r="A932" s="60"/>
      <c r="B932" s="60"/>
      <c r="C932" s="60"/>
      <c r="D932" s="60"/>
      <c r="E932" s="60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0"/>
      <c r="AL932" s="60"/>
      <c r="AM932" s="60"/>
      <c r="AN932" s="60"/>
      <c r="AO932" s="62"/>
      <c r="AP932" s="60"/>
      <c r="AQ932" s="60"/>
    </row>
    <row r="933">
      <c r="A933" s="60"/>
      <c r="B933" s="60"/>
      <c r="C933" s="60"/>
      <c r="D933" s="60"/>
      <c r="E933" s="60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0"/>
      <c r="AL933" s="60"/>
      <c r="AM933" s="60"/>
      <c r="AN933" s="60"/>
      <c r="AO933" s="62"/>
      <c r="AP933" s="60"/>
      <c r="AQ933" s="60"/>
    </row>
    <row r="934">
      <c r="A934" s="60"/>
      <c r="B934" s="60"/>
      <c r="C934" s="60"/>
      <c r="D934" s="60"/>
      <c r="E934" s="60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0"/>
      <c r="AL934" s="60"/>
      <c r="AM934" s="60"/>
      <c r="AN934" s="60"/>
      <c r="AO934" s="62"/>
      <c r="AP934" s="60"/>
      <c r="AQ934" s="60"/>
    </row>
    <row r="935">
      <c r="A935" s="60"/>
      <c r="B935" s="60"/>
      <c r="C935" s="60"/>
      <c r="D935" s="60"/>
      <c r="E935" s="60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0"/>
      <c r="AL935" s="60"/>
      <c r="AM935" s="60"/>
      <c r="AN935" s="60"/>
      <c r="AO935" s="62"/>
      <c r="AP935" s="60"/>
      <c r="AQ935" s="60"/>
    </row>
    <row r="936">
      <c r="A936" s="60"/>
      <c r="B936" s="60"/>
      <c r="C936" s="60"/>
      <c r="D936" s="60"/>
      <c r="E936" s="60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0"/>
      <c r="AL936" s="60"/>
      <c r="AM936" s="60"/>
      <c r="AN936" s="60"/>
      <c r="AO936" s="62"/>
      <c r="AP936" s="60"/>
      <c r="AQ936" s="60"/>
    </row>
    <row r="937">
      <c r="A937" s="60"/>
      <c r="B937" s="60"/>
      <c r="C937" s="60"/>
      <c r="D937" s="60"/>
      <c r="E937" s="60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0"/>
      <c r="AL937" s="60"/>
      <c r="AM937" s="60"/>
      <c r="AN937" s="60"/>
      <c r="AO937" s="62"/>
      <c r="AP937" s="60"/>
      <c r="AQ937" s="60"/>
    </row>
    <row r="938">
      <c r="A938" s="60"/>
      <c r="B938" s="60"/>
      <c r="C938" s="60"/>
      <c r="D938" s="60"/>
      <c r="E938" s="60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0"/>
      <c r="AL938" s="60"/>
      <c r="AM938" s="60"/>
      <c r="AN938" s="60"/>
      <c r="AO938" s="62"/>
      <c r="AP938" s="60"/>
      <c r="AQ938" s="60"/>
    </row>
    <row r="939">
      <c r="A939" s="60"/>
      <c r="B939" s="60"/>
      <c r="C939" s="60"/>
      <c r="D939" s="60"/>
      <c r="E939" s="60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0"/>
      <c r="AL939" s="60"/>
      <c r="AM939" s="60"/>
      <c r="AN939" s="60"/>
      <c r="AO939" s="62"/>
      <c r="AP939" s="60"/>
      <c r="AQ939" s="60"/>
    </row>
    <row r="940">
      <c r="A940" s="60"/>
      <c r="B940" s="60"/>
      <c r="C940" s="60"/>
      <c r="D940" s="60"/>
      <c r="E940" s="60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0"/>
      <c r="AL940" s="60"/>
      <c r="AM940" s="60"/>
      <c r="AN940" s="60"/>
      <c r="AO940" s="62"/>
      <c r="AP940" s="60"/>
      <c r="AQ940" s="60"/>
    </row>
    <row r="941">
      <c r="A941" s="60"/>
      <c r="B941" s="60"/>
      <c r="C941" s="60"/>
      <c r="D941" s="60"/>
      <c r="E941" s="60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0"/>
      <c r="AL941" s="60"/>
      <c r="AM941" s="60"/>
      <c r="AN941" s="60"/>
      <c r="AO941" s="62"/>
      <c r="AP941" s="60"/>
      <c r="AQ941" s="60"/>
    </row>
    <row r="942">
      <c r="A942" s="60"/>
      <c r="B942" s="60"/>
      <c r="C942" s="60"/>
      <c r="D942" s="60"/>
      <c r="E942" s="60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0"/>
      <c r="AL942" s="60"/>
      <c r="AM942" s="60"/>
      <c r="AN942" s="60"/>
      <c r="AO942" s="62"/>
      <c r="AP942" s="60"/>
      <c r="AQ942" s="60"/>
    </row>
    <row r="943">
      <c r="A943" s="60"/>
      <c r="B943" s="60"/>
      <c r="C943" s="60"/>
      <c r="D943" s="60"/>
      <c r="E943" s="60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0"/>
      <c r="AL943" s="60"/>
      <c r="AM943" s="60"/>
      <c r="AN943" s="60"/>
      <c r="AO943" s="62"/>
      <c r="AP943" s="60"/>
      <c r="AQ943" s="60"/>
    </row>
    <row r="944">
      <c r="A944" s="60"/>
      <c r="B944" s="60"/>
      <c r="C944" s="60"/>
      <c r="D944" s="60"/>
      <c r="E944" s="60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0"/>
      <c r="AL944" s="60"/>
      <c r="AM944" s="60"/>
      <c r="AN944" s="60"/>
      <c r="AO944" s="62"/>
      <c r="AP944" s="60"/>
      <c r="AQ944" s="60"/>
    </row>
    <row r="945">
      <c r="A945" s="60"/>
      <c r="B945" s="60"/>
      <c r="C945" s="60"/>
      <c r="D945" s="60"/>
      <c r="E945" s="60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0"/>
      <c r="AL945" s="60"/>
      <c r="AM945" s="60"/>
      <c r="AN945" s="60"/>
      <c r="AO945" s="62"/>
      <c r="AP945" s="60"/>
      <c r="AQ945" s="60"/>
    </row>
    <row r="946">
      <c r="A946" s="60"/>
      <c r="B946" s="60"/>
      <c r="C946" s="60"/>
      <c r="D946" s="60"/>
      <c r="E946" s="60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0"/>
      <c r="AL946" s="60"/>
      <c r="AM946" s="60"/>
      <c r="AN946" s="60"/>
      <c r="AO946" s="62"/>
      <c r="AP946" s="60"/>
      <c r="AQ946" s="60"/>
    </row>
    <row r="947">
      <c r="A947" s="60"/>
      <c r="B947" s="60"/>
      <c r="C947" s="60"/>
      <c r="D947" s="60"/>
      <c r="E947" s="60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0"/>
      <c r="AL947" s="60"/>
      <c r="AM947" s="60"/>
      <c r="AN947" s="60"/>
      <c r="AO947" s="62"/>
      <c r="AP947" s="60"/>
      <c r="AQ947" s="60"/>
    </row>
    <row r="948">
      <c r="A948" s="60"/>
      <c r="B948" s="60"/>
      <c r="C948" s="60"/>
      <c r="D948" s="60"/>
      <c r="E948" s="60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0"/>
      <c r="AL948" s="60"/>
      <c r="AM948" s="60"/>
      <c r="AN948" s="60"/>
      <c r="AO948" s="62"/>
      <c r="AP948" s="60"/>
      <c r="AQ948" s="60"/>
    </row>
    <row r="949">
      <c r="A949" s="60"/>
      <c r="B949" s="60"/>
      <c r="C949" s="60"/>
      <c r="D949" s="60"/>
      <c r="E949" s="60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0"/>
      <c r="AL949" s="60"/>
      <c r="AM949" s="60"/>
      <c r="AN949" s="60"/>
      <c r="AO949" s="62"/>
      <c r="AP949" s="60"/>
      <c r="AQ949" s="60"/>
    </row>
    <row r="950">
      <c r="A950" s="60"/>
      <c r="B950" s="60"/>
      <c r="C950" s="60"/>
      <c r="D950" s="60"/>
      <c r="E950" s="60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0"/>
      <c r="AL950" s="60"/>
      <c r="AM950" s="60"/>
      <c r="AN950" s="60"/>
      <c r="AO950" s="62"/>
      <c r="AP950" s="60"/>
      <c r="AQ950" s="60"/>
    </row>
    <row r="951">
      <c r="A951" s="60"/>
      <c r="B951" s="60"/>
      <c r="C951" s="60"/>
      <c r="D951" s="60"/>
      <c r="E951" s="60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0"/>
      <c r="AL951" s="60"/>
      <c r="AM951" s="60"/>
      <c r="AN951" s="60"/>
      <c r="AO951" s="62"/>
      <c r="AP951" s="60"/>
      <c r="AQ951" s="60"/>
    </row>
    <row r="952">
      <c r="A952" s="60"/>
      <c r="B952" s="60"/>
      <c r="C952" s="60"/>
      <c r="D952" s="60"/>
      <c r="E952" s="60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0"/>
      <c r="AL952" s="60"/>
      <c r="AM952" s="60"/>
      <c r="AN952" s="60"/>
      <c r="AO952" s="62"/>
      <c r="AP952" s="60"/>
      <c r="AQ952" s="60"/>
    </row>
    <row r="953">
      <c r="A953" s="60"/>
      <c r="B953" s="60"/>
      <c r="C953" s="60"/>
      <c r="D953" s="60"/>
      <c r="E953" s="60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0"/>
      <c r="AL953" s="60"/>
      <c r="AM953" s="60"/>
      <c r="AN953" s="60"/>
      <c r="AO953" s="62"/>
      <c r="AP953" s="60"/>
      <c r="AQ953" s="60"/>
    </row>
    <row r="954">
      <c r="A954" s="60"/>
      <c r="B954" s="60"/>
      <c r="C954" s="60"/>
      <c r="D954" s="60"/>
      <c r="E954" s="60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0"/>
      <c r="AL954" s="60"/>
      <c r="AM954" s="60"/>
      <c r="AN954" s="60"/>
      <c r="AO954" s="62"/>
      <c r="AP954" s="60"/>
      <c r="AQ954" s="60"/>
    </row>
    <row r="955">
      <c r="A955" s="60"/>
      <c r="B955" s="60"/>
      <c r="C955" s="60"/>
      <c r="D955" s="60"/>
      <c r="E955" s="60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0"/>
      <c r="AL955" s="60"/>
      <c r="AM955" s="60"/>
      <c r="AN955" s="60"/>
      <c r="AO955" s="62"/>
      <c r="AP955" s="60"/>
      <c r="AQ955" s="60"/>
    </row>
    <row r="956">
      <c r="A956" s="60"/>
      <c r="B956" s="60"/>
      <c r="C956" s="60"/>
      <c r="D956" s="60"/>
      <c r="E956" s="60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0"/>
      <c r="AL956" s="60"/>
      <c r="AM956" s="60"/>
      <c r="AN956" s="60"/>
      <c r="AO956" s="62"/>
      <c r="AP956" s="60"/>
      <c r="AQ956" s="60"/>
    </row>
    <row r="957">
      <c r="A957" s="60"/>
      <c r="B957" s="60"/>
      <c r="C957" s="60"/>
      <c r="D957" s="60"/>
      <c r="E957" s="60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0"/>
      <c r="AL957" s="60"/>
      <c r="AM957" s="60"/>
      <c r="AN957" s="60"/>
      <c r="AO957" s="62"/>
      <c r="AP957" s="60"/>
      <c r="AQ957" s="60"/>
    </row>
    <row r="958">
      <c r="A958" s="60"/>
      <c r="B958" s="60"/>
      <c r="C958" s="60"/>
      <c r="D958" s="60"/>
      <c r="E958" s="60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0"/>
      <c r="AL958" s="60"/>
      <c r="AM958" s="60"/>
      <c r="AN958" s="60"/>
      <c r="AO958" s="62"/>
      <c r="AP958" s="60"/>
      <c r="AQ958" s="60"/>
    </row>
    <row r="959">
      <c r="A959" s="60"/>
      <c r="B959" s="60"/>
      <c r="C959" s="60"/>
      <c r="D959" s="60"/>
      <c r="E959" s="60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0"/>
      <c r="AL959" s="60"/>
      <c r="AM959" s="60"/>
      <c r="AN959" s="60"/>
      <c r="AO959" s="62"/>
      <c r="AP959" s="60"/>
      <c r="AQ959" s="60"/>
    </row>
    <row r="960">
      <c r="A960" s="60"/>
      <c r="B960" s="60"/>
      <c r="C960" s="60"/>
      <c r="D960" s="60"/>
      <c r="E960" s="60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0"/>
      <c r="AL960" s="60"/>
      <c r="AM960" s="60"/>
      <c r="AN960" s="60"/>
      <c r="AO960" s="62"/>
      <c r="AP960" s="60"/>
      <c r="AQ960" s="60"/>
    </row>
    <row r="961">
      <c r="A961" s="60"/>
      <c r="B961" s="60"/>
      <c r="C961" s="60"/>
      <c r="D961" s="60"/>
      <c r="E961" s="60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0"/>
      <c r="AL961" s="60"/>
      <c r="AM961" s="60"/>
      <c r="AN961" s="60"/>
      <c r="AO961" s="62"/>
      <c r="AP961" s="60"/>
      <c r="AQ961" s="60"/>
    </row>
    <row r="962">
      <c r="A962" s="60"/>
      <c r="B962" s="60"/>
      <c r="C962" s="60"/>
      <c r="D962" s="60"/>
      <c r="E962" s="60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0"/>
      <c r="AL962" s="60"/>
      <c r="AM962" s="60"/>
      <c r="AN962" s="60"/>
      <c r="AO962" s="62"/>
      <c r="AP962" s="60"/>
      <c r="AQ962" s="60"/>
    </row>
    <row r="963">
      <c r="A963" s="60"/>
      <c r="B963" s="60"/>
      <c r="C963" s="60"/>
      <c r="D963" s="60"/>
      <c r="E963" s="60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0"/>
      <c r="AL963" s="60"/>
      <c r="AM963" s="60"/>
      <c r="AN963" s="60"/>
      <c r="AO963" s="62"/>
      <c r="AP963" s="60"/>
      <c r="AQ963" s="60"/>
    </row>
    <row r="964">
      <c r="A964" s="60"/>
      <c r="B964" s="60"/>
      <c r="C964" s="60"/>
      <c r="D964" s="60"/>
      <c r="E964" s="60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0"/>
      <c r="AL964" s="60"/>
      <c r="AM964" s="60"/>
      <c r="AN964" s="60"/>
      <c r="AO964" s="62"/>
      <c r="AP964" s="60"/>
      <c r="AQ964" s="60"/>
    </row>
    <row r="965">
      <c r="A965" s="60"/>
      <c r="B965" s="60"/>
      <c r="C965" s="60"/>
      <c r="D965" s="60"/>
      <c r="E965" s="60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0"/>
      <c r="AL965" s="60"/>
      <c r="AM965" s="60"/>
      <c r="AN965" s="60"/>
      <c r="AO965" s="62"/>
      <c r="AP965" s="60"/>
      <c r="AQ965" s="60"/>
    </row>
    <row r="966">
      <c r="A966" s="60"/>
      <c r="B966" s="60"/>
      <c r="C966" s="60"/>
      <c r="D966" s="60"/>
      <c r="E966" s="60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0"/>
      <c r="AL966" s="60"/>
      <c r="AM966" s="60"/>
      <c r="AN966" s="60"/>
      <c r="AO966" s="62"/>
      <c r="AP966" s="60"/>
      <c r="AQ966" s="60"/>
    </row>
    <row r="967">
      <c r="A967" s="60"/>
      <c r="B967" s="60"/>
      <c r="C967" s="60"/>
      <c r="D967" s="60"/>
      <c r="E967" s="60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0"/>
      <c r="AL967" s="60"/>
      <c r="AM967" s="60"/>
      <c r="AN967" s="60"/>
      <c r="AO967" s="62"/>
      <c r="AP967" s="60"/>
      <c r="AQ967" s="60"/>
    </row>
    <row r="968">
      <c r="A968" s="60"/>
      <c r="B968" s="60"/>
      <c r="C968" s="60"/>
      <c r="D968" s="60"/>
      <c r="E968" s="60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0"/>
      <c r="AL968" s="60"/>
      <c r="AM968" s="60"/>
      <c r="AN968" s="60"/>
      <c r="AO968" s="62"/>
      <c r="AP968" s="60"/>
      <c r="AQ968" s="60"/>
    </row>
    <row r="969">
      <c r="A969" s="60"/>
      <c r="B969" s="60"/>
      <c r="C969" s="60"/>
      <c r="D969" s="60"/>
      <c r="E969" s="60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0"/>
      <c r="AL969" s="60"/>
      <c r="AM969" s="60"/>
      <c r="AN969" s="60"/>
      <c r="AO969" s="62"/>
      <c r="AP969" s="60"/>
      <c r="AQ969" s="60"/>
    </row>
    <row r="970">
      <c r="A970" s="60"/>
      <c r="B970" s="60"/>
      <c r="C970" s="60"/>
      <c r="D970" s="60"/>
      <c r="E970" s="60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0"/>
      <c r="AL970" s="60"/>
      <c r="AM970" s="60"/>
      <c r="AN970" s="60"/>
      <c r="AO970" s="62"/>
      <c r="AP970" s="60"/>
      <c r="AQ970" s="60"/>
    </row>
    <row r="971">
      <c r="A971" s="60"/>
      <c r="B971" s="60"/>
      <c r="C971" s="60"/>
      <c r="D971" s="60"/>
      <c r="E971" s="60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0"/>
      <c r="AL971" s="60"/>
      <c r="AM971" s="60"/>
      <c r="AN971" s="60"/>
      <c r="AO971" s="62"/>
      <c r="AP971" s="60"/>
      <c r="AQ971" s="60"/>
    </row>
    <row r="972">
      <c r="A972" s="60"/>
      <c r="B972" s="60"/>
      <c r="C972" s="60"/>
      <c r="D972" s="60"/>
      <c r="E972" s="60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0"/>
      <c r="AL972" s="60"/>
      <c r="AM972" s="60"/>
      <c r="AN972" s="60"/>
      <c r="AO972" s="62"/>
      <c r="AP972" s="60"/>
      <c r="AQ972" s="60"/>
    </row>
    <row r="973">
      <c r="A973" s="60"/>
      <c r="B973" s="60"/>
      <c r="C973" s="60"/>
      <c r="D973" s="60"/>
      <c r="E973" s="60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0"/>
      <c r="AL973" s="60"/>
      <c r="AM973" s="60"/>
      <c r="AN973" s="60"/>
      <c r="AO973" s="62"/>
      <c r="AP973" s="60"/>
      <c r="AQ973" s="60"/>
    </row>
    <row r="974">
      <c r="A974" s="60"/>
      <c r="B974" s="60"/>
      <c r="C974" s="60"/>
      <c r="D974" s="60"/>
      <c r="E974" s="60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0"/>
      <c r="AL974" s="60"/>
      <c r="AM974" s="60"/>
      <c r="AN974" s="60"/>
      <c r="AO974" s="62"/>
      <c r="AP974" s="60"/>
      <c r="AQ974" s="60"/>
    </row>
    <row r="975">
      <c r="A975" s="60"/>
      <c r="B975" s="60"/>
      <c r="C975" s="60"/>
      <c r="D975" s="60"/>
      <c r="E975" s="60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0"/>
      <c r="AL975" s="60"/>
      <c r="AM975" s="60"/>
      <c r="AN975" s="60"/>
      <c r="AO975" s="62"/>
      <c r="AP975" s="60"/>
      <c r="AQ975" s="60"/>
    </row>
    <row r="976">
      <c r="A976" s="60"/>
      <c r="B976" s="60"/>
      <c r="C976" s="60"/>
      <c r="D976" s="60"/>
      <c r="E976" s="60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0"/>
      <c r="AL976" s="60"/>
      <c r="AM976" s="60"/>
      <c r="AN976" s="60"/>
      <c r="AO976" s="62"/>
      <c r="AP976" s="60"/>
      <c r="AQ976" s="60"/>
    </row>
    <row r="977">
      <c r="A977" s="60"/>
      <c r="B977" s="60"/>
      <c r="C977" s="60"/>
      <c r="D977" s="60"/>
      <c r="E977" s="60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0"/>
      <c r="AL977" s="60"/>
      <c r="AM977" s="60"/>
      <c r="AN977" s="60"/>
      <c r="AO977" s="62"/>
      <c r="AP977" s="60"/>
      <c r="AQ977" s="60"/>
    </row>
    <row r="978">
      <c r="A978" s="60"/>
      <c r="B978" s="60"/>
      <c r="C978" s="60"/>
      <c r="D978" s="60"/>
      <c r="E978" s="60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0"/>
      <c r="AL978" s="60"/>
      <c r="AM978" s="60"/>
      <c r="AN978" s="60"/>
      <c r="AO978" s="62"/>
      <c r="AP978" s="60"/>
      <c r="AQ978" s="60"/>
    </row>
    <row r="979">
      <c r="A979" s="60"/>
      <c r="B979" s="60"/>
      <c r="C979" s="60"/>
      <c r="D979" s="60"/>
      <c r="E979" s="60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0"/>
      <c r="AL979" s="60"/>
      <c r="AM979" s="60"/>
      <c r="AN979" s="60"/>
      <c r="AO979" s="62"/>
      <c r="AP979" s="60"/>
      <c r="AQ979" s="60"/>
    </row>
    <row r="980">
      <c r="A980" s="60"/>
      <c r="B980" s="60"/>
      <c r="C980" s="60"/>
      <c r="D980" s="60"/>
      <c r="E980" s="60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0"/>
      <c r="AL980" s="60"/>
      <c r="AM980" s="60"/>
      <c r="AN980" s="60"/>
      <c r="AO980" s="62"/>
      <c r="AP980" s="60"/>
      <c r="AQ980" s="60"/>
    </row>
    <row r="981">
      <c r="A981" s="60"/>
      <c r="B981" s="60"/>
      <c r="C981" s="60"/>
      <c r="D981" s="60"/>
      <c r="E981" s="60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0"/>
      <c r="AL981" s="60"/>
      <c r="AM981" s="60"/>
      <c r="AN981" s="60"/>
      <c r="AO981" s="62"/>
      <c r="AP981" s="60"/>
      <c r="AQ981" s="60"/>
    </row>
    <row r="982">
      <c r="A982" s="60"/>
      <c r="B982" s="60"/>
      <c r="C982" s="60"/>
      <c r="D982" s="60"/>
      <c r="E982" s="60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0"/>
      <c r="AL982" s="60"/>
      <c r="AM982" s="60"/>
      <c r="AN982" s="60"/>
      <c r="AO982" s="62"/>
      <c r="AP982" s="60"/>
      <c r="AQ982" s="60"/>
    </row>
    <row r="983">
      <c r="A983" s="60"/>
      <c r="B983" s="60"/>
      <c r="C983" s="60"/>
      <c r="D983" s="60"/>
      <c r="E983" s="60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0"/>
      <c r="AL983" s="60"/>
      <c r="AM983" s="60"/>
      <c r="AN983" s="60"/>
      <c r="AO983" s="62"/>
      <c r="AP983" s="60"/>
      <c r="AQ983" s="60"/>
    </row>
    <row r="984">
      <c r="A984" s="60"/>
      <c r="B984" s="60"/>
      <c r="C984" s="60"/>
      <c r="D984" s="60"/>
      <c r="E984" s="60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0"/>
      <c r="AL984" s="60"/>
      <c r="AM984" s="60"/>
      <c r="AN984" s="60"/>
      <c r="AO984" s="62"/>
      <c r="AP984" s="60"/>
      <c r="AQ984" s="60"/>
    </row>
    <row r="985">
      <c r="A985" s="60"/>
      <c r="B985" s="60"/>
      <c r="C985" s="60"/>
      <c r="D985" s="60"/>
      <c r="E985" s="60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0"/>
      <c r="AL985" s="60"/>
      <c r="AM985" s="60"/>
      <c r="AN985" s="60"/>
      <c r="AO985" s="62"/>
      <c r="AP985" s="60"/>
      <c r="AQ985" s="60"/>
    </row>
    <row r="986">
      <c r="A986" s="60"/>
      <c r="B986" s="60"/>
      <c r="C986" s="60"/>
      <c r="D986" s="60"/>
      <c r="E986" s="60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0"/>
      <c r="AL986" s="60"/>
      <c r="AM986" s="60"/>
      <c r="AN986" s="60"/>
      <c r="AO986" s="62"/>
      <c r="AP986" s="60"/>
      <c r="AQ986" s="60"/>
    </row>
    <row r="987">
      <c r="A987" s="60"/>
      <c r="B987" s="60"/>
      <c r="C987" s="60"/>
      <c r="D987" s="60"/>
      <c r="E987" s="60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0"/>
      <c r="AL987" s="60"/>
      <c r="AM987" s="60"/>
      <c r="AN987" s="60"/>
      <c r="AO987" s="62"/>
      <c r="AP987" s="60"/>
      <c r="AQ987" s="60"/>
    </row>
    <row r="988">
      <c r="A988" s="60"/>
      <c r="B988" s="60"/>
      <c r="C988" s="60"/>
      <c r="D988" s="60"/>
      <c r="E988" s="60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0"/>
      <c r="AL988" s="60"/>
      <c r="AM988" s="60"/>
      <c r="AN988" s="60"/>
      <c r="AO988" s="62"/>
      <c r="AP988" s="60"/>
      <c r="AQ988" s="60"/>
    </row>
    <row r="989">
      <c r="A989" s="60"/>
      <c r="B989" s="60"/>
      <c r="C989" s="60"/>
      <c r="D989" s="60"/>
      <c r="E989" s="60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0"/>
      <c r="AL989" s="60"/>
      <c r="AM989" s="60"/>
      <c r="AN989" s="60"/>
      <c r="AO989" s="62"/>
      <c r="AP989" s="60"/>
      <c r="AQ989" s="60"/>
    </row>
    <row r="990">
      <c r="A990" s="60"/>
      <c r="B990" s="60"/>
      <c r="C990" s="60"/>
      <c r="D990" s="60"/>
      <c r="E990" s="60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0"/>
      <c r="AL990" s="60"/>
      <c r="AM990" s="60"/>
      <c r="AN990" s="60"/>
      <c r="AO990" s="62"/>
      <c r="AP990" s="60"/>
      <c r="AQ990" s="60"/>
    </row>
    <row r="991">
      <c r="A991" s="60"/>
      <c r="B991" s="60"/>
      <c r="C991" s="60"/>
      <c r="D991" s="60"/>
      <c r="E991" s="60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0"/>
      <c r="AL991" s="60"/>
      <c r="AM991" s="60"/>
      <c r="AN991" s="60"/>
      <c r="AO991" s="62"/>
      <c r="AP991" s="60"/>
      <c r="AQ991" s="60"/>
    </row>
    <row r="992">
      <c r="A992" s="60"/>
      <c r="B992" s="60"/>
      <c r="C992" s="60"/>
      <c r="D992" s="60"/>
      <c r="E992" s="60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0"/>
      <c r="AL992" s="60"/>
      <c r="AM992" s="60"/>
      <c r="AN992" s="60"/>
      <c r="AO992" s="62"/>
      <c r="AP992" s="60"/>
      <c r="AQ992" s="60"/>
    </row>
    <row r="993">
      <c r="A993" s="60"/>
      <c r="B993" s="60"/>
      <c r="C993" s="60"/>
      <c r="D993" s="60"/>
      <c r="E993" s="60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0"/>
      <c r="AL993" s="60"/>
      <c r="AM993" s="60"/>
      <c r="AN993" s="60"/>
      <c r="AO993" s="62"/>
      <c r="AP993" s="60"/>
      <c r="AQ993" s="60"/>
    </row>
    <row r="994">
      <c r="A994" s="60"/>
      <c r="B994" s="60"/>
      <c r="C994" s="60"/>
      <c r="D994" s="60"/>
      <c r="E994" s="60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0"/>
      <c r="AL994" s="60"/>
      <c r="AM994" s="60"/>
      <c r="AN994" s="60"/>
      <c r="AO994" s="62"/>
      <c r="AP994" s="60"/>
      <c r="AQ994" s="60"/>
    </row>
    <row r="995">
      <c r="A995" s="60"/>
      <c r="B995" s="60"/>
      <c r="C995" s="60"/>
      <c r="D995" s="60"/>
      <c r="E995" s="60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0"/>
      <c r="AL995" s="60"/>
      <c r="AM995" s="60"/>
      <c r="AN995" s="60"/>
      <c r="AO995" s="62"/>
      <c r="AP995" s="60"/>
      <c r="AQ995" s="60"/>
    </row>
    <row r="996">
      <c r="A996" s="60"/>
      <c r="B996" s="60"/>
      <c r="C996" s="60"/>
      <c r="D996" s="60"/>
      <c r="E996" s="60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0"/>
      <c r="AL996" s="60"/>
      <c r="AM996" s="60"/>
      <c r="AN996" s="60"/>
      <c r="AO996" s="62"/>
      <c r="AP996" s="60"/>
      <c r="AQ996" s="60"/>
    </row>
    <row r="997">
      <c r="A997" s="60"/>
      <c r="B997" s="60"/>
      <c r="C997" s="60"/>
      <c r="D997" s="60"/>
      <c r="E997" s="60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0"/>
      <c r="AL997" s="60"/>
      <c r="AM997" s="60"/>
      <c r="AN997" s="60"/>
      <c r="AO997" s="62"/>
      <c r="AP997" s="60"/>
      <c r="AQ997" s="60"/>
    </row>
    <row r="998">
      <c r="A998" s="60"/>
      <c r="B998" s="60"/>
      <c r="C998" s="60"/>
      <c r="D998" s="60"/>
      <c r="E998" s="60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0"/>
      <c r="AL998" s="60"/>
      <c r="AM998" s="60"/>
      <c r="AN998" s="60"/>
      <c r="AO998" s="62"/>
      <c r="AP998" s="60"/>
      <c r="AQ998" s="60"/>
    </row>
    <row r="999">
      <c r="A999" s="60"/>
      <c r="B999" s="60"/>
      <c r="C999" s="60"/>
      <c r="D999" s="60"/>
      <c r="E999" s="60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0"/>
      <c r="AL999" s="60"/>
      <c r="AM999" s="60"/>
      <c r="AN999" s="60"/>
      <c r="AO999" s="62"/>
      <c r="AP999" s="60"/>
      <c r="AQ999" s="60"/>
    </row>
    <row r="1000">
      <c r="A1000" s="60"/>
      <c r="B1000" s="60"/>
      <c r="C1000" s="60"/>
      <c r="D1000" s="60"/>
      <c r="E1000" s="60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0"/>
      <c r="AL1000" s="60"/>
      <c r="AM1000" s="60"/>
      <c r="AN1000" s="60"/>
      <c r="AO1000" s="62"/>
      <c r="AP1000" s="60"/>
      <c r="AQ1000" s="60"/>
    </row>
    <row r="1001">
      <c r="A1001" s="60"/>
      <c r="B1001" s="60"/>
      <c r="C1001" s="60"/>
      <c r="D1001" s="60"/>
      <c r="E1001" s="60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0"/>
      <c r="AL1001" s="60"/>
      <c r="AM1001" s="60"/>
      <c r="AN1001" s="60"/>
      <c r="AO1001" s="62"/>
      <c r="AP1001" s="60"/>
      <c r="AQ1001" s="60"/>
    </row>
    <row r="1002">
      <c r="A1002" s="60"/>
      <c r="B1002" s="60"/>
      <c r="C1002" s="60"/>
      <c r="D1002" s="60"/>
      <c r="E1002" s="60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0"/>
      <c r="AL1002" s="60"/>
      <c r="AM1002" s="60"/>
      <c r="AN1002" s="60"/>
      <c r="AO1002" s="62"/>
      <c r="AP1002" s="60"/>
      <c r="AQ1002" s="60"/>
    </row>
  </sheetData>
  <mergeCells count="13">
    <mergeCell ref="AL5:AL6"/>
    <mergeCell ref="AM5:AM6"/>
    <mergeCell ref="AN5:AN6"/>
    <mergeCell ref="AO5:AO6"/>
    <mergeCell ref="B87:E87"/>
    <mergeCell ref="B155:E155"/>
    <mergeCell ref="A5:A6"/>
    <mergeCell ref="B5:B6"/>
    <mergeCell ref="C5:C6"/>
    <mergeCell ref="D5:D6"/>
    <mergeCell ref="E5:E6"/>
    <mergeCell ref="F5:AG5"/>
    <mergeCell ref="AK5:AK6"/>
  </mergeCells>
  <printOptions/>
  <pageMargins bottom="0.75" footer="0.0" header="0.0" left="0.7" right="0.7" top="0.75"/>
  <pageSetup orientation="portrait"/>
  <drawing r:id="rId1"/>
</worksheet>
</file>