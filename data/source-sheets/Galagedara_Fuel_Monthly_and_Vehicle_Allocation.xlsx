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E869E20C-DD86-4042-BC13-968543DBF637}" xr6:coauthVersionLast="47" xr6:coauthVersionMax="47" xr10:uidLastSave="{00000000-0000-0000-0000-000000000000}"/>
  <bookViews>
    <workbookView xWindow="-108" yWindow="-108" windowWidth="23256" windowHeight="12456" tabRatio="500" xr2:uid="{00000000-000D-0000-FFFF-FFFF00000000}"/>
  </bookViews>
  <sheets>
    <sheet name="Fuel Issues" sheetId="1" r:id="rId1"/>
    <sheet name="Receipts" sheetId="2" r:id="rId2"/>
    <sheet name="Allocation Register" sheetId="3" r:id="rId3"/>
    <sheet name="Monthly Issues" sheetId="4" r:id="rId4"/>
    <sheet name="Monthly Allocations" sheetId="5" r:id="rId5"/>
    <sheet name="Vehicle x Month" sheetId="6" r:id="rId6"/>
    <sheet name="Summary" sheetId="7" r:id="rId7"/>
    <sheet name="Sources &amp; Name Map" sheetId="8" r:id="rId8"/>
  </sheets>
  <definedNames>
    <definedName name="_xlnm._FilterDatabase" localSheetId="0" hidden="1">'Fuel Issues'!$A$4:$F$440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40" i="7" l="1"/>
  <c r="C40" i="7"/>
  <c r="D39" i="7"/>
  <c r="C39" i="7"/>
  <c r="D38" i="7"/>
  <c r="C38" i="7"/>
  <c r="D37" i="7"/>
  <c r="C37" i="7"/>
  <c r="D36" i="7"/>
  <c r="C36" i="7"/>
  <c r="D35" i="7"/>
  <c r="C35" i="7"/>
  <c r="E35" i="7" s="1"/>
  <c r="D34" i="7"/>
  <c r="C34" i="7"/>
  <c r="D33" i="7"/>
  <c r="C33" i="7"/>
  <c r="D32" i="7"/>
  <c r="C32" i="7"/>
  <c r="E32" i="7" s="1"/>
  <c r="D31" i="7"/>
  <c r="C31" i="7"/>
  <c r="E31" i="7" s="1"/>
  <c r="B16" i="7"/>
  <c r="B12" i="7"/>
  <c r="B10" i="7"/>
  <c r="B13" i="7" s="1"/>
  <c r="B9" i="7"/>
  <c r="B7" i="7"/>
  <c r="B14" i="7" s="1"/>
  <c r="B6" i="7"/>
  <c r="B5" i="7"/>
  <c r="H42" i="6"/>
  <c r="G42" i="6"/>
  <c r="F42" i="6"/>
  <c r="E42" i="6"/>
  <c r="D42" i="6"/>
  <c r="C42" i="6"/>
  <c r="B42" i="6"/>
  <c r="H41" i="6"/>
  <c r="G41" i="6"/>
  <c r="F41" i="6"/>
  <c r="E41" i="6"/>
  <c r="D41" i="6"/>
  <c r="C41" i="6"/>
  <c r="B41" i="6"/>
  <c r="H40" i="6"/>
  <c r="G40" i="6"/>
  <c r="F40" i="6"/>
  <c r="E40" i="6"/>
  <c r="D40" i="6"/>
  <c r="C40" i="6"/>
  <c r="B40" i="6"/>
  <c r="H39" i="6"/>
  <c r="G39" i="6"/>
  <c r="F39" i="6"/>
  <c r="E39" i="6"/>
  <c r="D39" i="6"/>
  <c r="C39" i="6"/>
  <c r="B39" i="6"/>
  <c r="H38" i="6"/>
  <c r="G38" i="6"/>
  <c r="F38" i="6"/>
  <c r="E38" i="6"/>
  <c r="D38" i="6"/>
  <c r="C38" i="6"/>
  <c r="B38" i="6"/>
  <c r="H37" i="6"/>
  <c r="G37" i="6"/>
  <c r="F37" i="6"/>
  <c r="E37" i="6"/>
  <c r="D37" i="6"/>
  <c r="C37" i="6"/>
  <c r="B37" i="6"/>
  <c r="H36" i="6"/>
  <c r="G36" i="6"/>
  <c r="F36" i="6"/>
  <c r="E36" i="6"/>
  <c r="D36" i="6"/>
  <c r="C36" i="6"/>
  <c r="B36" i="6"/>
  <c r="H35" i="6"/>
  <c r="G35" i="6"/>
  <c r="F35" i="6"/>
  <c r="E35" i="6"/>
  <c r="D35" i="6"/>
  <c r="C35" i="6"/>
  <c r="B35" i="6"/>
  <c r="H34" i="6"/>
  <c r="G34" i="6"/>
  <c r="F34" i="6"/>
  <c r="E34" i="6"/>
  <c r="D34" i="6"/>
  <c r="C34" i="6"/>
  <c r="B34" i="6"/>
  <c r="H33" i="6"/>
  <c r="G33" i="6"/>
  <c r="F33" i="6"/>
  <c r="E33" i="6"/>
  <c r="D33" i="6"/>
  <c r="C33" i="6"/>
  <c r="B33" i="6"/>
  <c r="H32" i="6"/>
  <c r="G32" i="6"/>
  <c r="F32" i="6"/>
  <c r="E32" i="6"/>
  <c r="D32" i="6"/>
  <c r="C32" i="6"/>
  <c r="B32" i="6"/>
  <c r="H31" i="6"/>
  <c r="G31" i="6"/>
  <c r="F31" i="6"/>
  <c r="E31" i="6"/>
  <c r="D31" i="6"/>
  <c r="C31" i="6"/>
  <c r="B31" i="6"/>
  <c r="H30" i="6"/>
  <c r="G30" i="6"/>
  <c r="F30" i="6"/>
  <c r="E30" i="6"/>
  <c r="D30" i="6"/>
  <c r="C30" i="6"/>
  <c r="B30" i="6"/>
  <c r="H29" i="6"/>
  <c r="G29" i="6"/>
  <c r="F29" i="6"/>
  <c r="E29" i="6"/>
  <c r="D29" i="6"/>
  <c r="C29" i="6"/>
  <c r="B29" i="6"/>
  <c r="H28" i="6"/>
  <c r="G28" i="6"/>
  <c r="F28" i="6"/>
  <c r="E28" i="6"/>
  <c r="D28" i="6"/>
  <c r="C28" i="6"/>
  <c r="B28" i="6"/>
  <c r="H27" i="6"/>
  <c r="G27" i="6"/>
  <c r="F27" i="6"/>
  <c r="E27" i="6"/>
  <c r="D27" i="6"/>
  <c r="C27" i="6"/>
  <c r="B27" i="6"/>
  <c r="H26" i="6"/>
  <c r="G26" i="6"/>
  <c r="F26" i="6"/>
  <c r="E26" i="6"/>
  <c r="D26" i="6"/>
  <c r="C26" i="6"/>
  <c r="B26" i="6"/>
  <c r="H25" i="6"/>
  <c r="G25" i="6"/>
  <c r="F25" i="6"/>
  <c r="E25" i="6"/>
  <c r="D25" i="6"/>
  <c r="C25" i="6"/>
  <c r="B25" i="6"/>
  <c r="H24" i="6"/>
  <c r="G24" i="6"/>
  <c r="F24" i="6"/>
  <c r="E24" i="6"/>
  <c r="D24" i="6"/>
  <c r="C24" i="6"/>
  <c r="B24" i="6"/>
  <c r="H23" i="6"/>
  <c r="G23" i="6"/>
  <c r="F23" i="6"/>
  <c r="E23" i="6"/>
  <c r="D23" i="6"/>
  <c r="C23" i="6"/>
  <c r="B23" i="6"/>
  <c r="H22" i="6"/>
  <c r="G22" i="6"/>
  <c r="F22" i="6"/>
  <c r="E22" i="6"/>
  <c r="D22" i="6"/>
  <c r="C22" i="6"/>
  <c r="B22" i="6"/>
  <c r="H21" i="6"/>
  <c r="G21" i="6"/>
  <c r="F21" i="6"/>
  <c r="E21" i="6"/>
  <c r="D21" i="6"/>
  <c r="C21" i="6"/>
  <c r="B21" i="6"/>
  <c r="H20" i="6"/>
  <c r="G20" i="6"/>
  <c r="F20" i="6"/>
  <c r="E20" i="6"/>
  <c r="D20" i="6"/>
  <c r="C20" i="6"/>
  <c r="B20" i="6"/>
  <c r="H19" i="6"/>
  <c r="G19" i="6"/>
  <c r="F19" i="6"/>
  <c r="E19" i="6"/>
  <c r="D19" i="6"/>
  <c r="C19" i="6"/>
  <c r="B19" i="6"/>
  <c r="H18" i="6"/>
  <c r="G18" i="6"/>
  <c r="F18" i="6"/>
  <c r="E18" i="6"/>
  <c r="D18" i="6"/>
  <c r="C18" i="6"/>
  <c r="B18" i="6"/>
  <c r="H17" i="6"/>
  <c r="G17" i="6"/>
  <c r="F17" i="6"/>
  <c r="E17" i="6"/>
  <c r="D17" i="6"/>
  <c r="C17" i="6"/>
  <c r="B17" i="6"/>
  <c r="H16" i="6"/>
  <c r="G16" i="6"/>
  <c r="F16" i="6"/>
  <c r="E16" i="6"/>
  <c r="D16" i="6"/>
  <c r="C16" i="6"/>
  <c r="B16" i="6"/>
  <c r="H15" i="6"/>
  <c r="G15" i="6"/>
  <c r="F15" i="6"/>
  <c r="E15" i="6"/>
  <c r="D15" i="6"/>
  <c r="C15" i="6"/>
  <c r="B15" i="6"/>
  <c r="H14" i="6"/>
  <c r="G14" i="6"/>
  <c r="F14" i="6"/>
  <c r="E14" i="6"/>
  <c r="D14" i="6"/>
  <c r="C14" i="6"/>
  <c r="B14" i="6"/>
  <c r="H13" i="6"/>
  <c r="G13" i="6"/>
  <c r="F13" i="6"/>
  <c r="E13" i="6"/>
  <c r="D13" i="6"/>
  <c r="C13" i="6"/>
  <c r="B13" i="6"/>
  <c r="H12" i="6"/>
  <c r="G12" i="6"/>
  <c r="F12" i="6"/>
  <c r="E12" i="6"/>
  <c r="D12" i="6"/>
  <c r="C12" i="6"/>
  <c r="B12" i="6"/>
  <c r="H11" i="6"/>
  <c r="G11" i="6"/>
  <c r="F11" i="6"/>
  <c r="E11" i="6"/>
  <c r="D11" i="6"/>
  <c r="C11" i="6"/>
  <c r="B11" i="6"/>
  <c r="H10" i="6"/>
  <c r="G10" i="6"/>
  <c r="F10" i="6"/>
  <c r="E10" i="6"/>
  <c r="D10" i="6"/>
  <c r="C10" i="6"/>
  <c r="B10" i="6"/>
  <c r="H9" i="6"/>
  <c r="G9" i="6"/>
  <c r="F9" i="6"/>
  <c r="E9" i="6"/>
  <c r="D9" i="6"/>
  <c r="C9" i="6"/>
  <c r="B9" i="6"/>
  <c r="H8" i="6"/>
  <c r="G8" i="6"/>
  <c r="F8" i="6"/>
  <c r="E8" i="6"/>
  <c r="D8" i="6"/>
  <c r="C8" i="6"/>
  <c r="B8" i="6"/>
  <c r="H7" i="6"/>
  <c r="G7" i="6"/>
  <c r="F7" i="6"/>
  <c r="E7" i="6"/>
  <c r="D7" i="6"/>
  <c r="C7" i="6"/>
  <c r="B7" i="6"/>
  <c r="H6" i="6"/>
  <c r="G6" i="6"/>
  <c r="F6" i="6"/>
  <c r="E6" i="6"/>
  <c r="D6" i="6"/>
  <c r="C6" i="6"/>
  <c r="B6" i="6"/>
  <c r="H5" i="6"/>
  <c r="G5" i="6"/>
  <c r="F5" i="6"/>
  <c r="F43" i="6" s="1"/>
  <c r="E5" i="6"/>
  <c r="D5" i="6"/>
  <c r="C5" i="6"/>
  <c r="B5" i="6"/>
  <c r="F58" i="5"/>
  <c r="E58" i="5"/>
  <c r="D58" i="5"/>
  <c r="F57" i="5"/>
  <c r="E57" i="5"/>
  <c r="D57" i="5"/>
  <c r="F56" i="5"/>
  <c r="E56" i="5"/>
  <c r="D56" i="5"/>
  <c r="F50" i="5"/>
  <c r="E50" i="5"/>
  <c r="D50" i="5"/>
  <c r="F49" i="5"/>
  <c r="E49" i="5"/>
  <c r="D49" i="5"/>
  <c r="F48" i="5"/>
  <c r="E48" i="5"/>
  <c r="D48" i="5"/>
  <c r="F47" i="5"/>
  <c r="E47" i="5"/>
  <c r="D47" i="5"/>
  <c r="F46" i="5"/>
  <c r="E46" i="5"/>
  <c r="D46" i="5"/>
  <c r="F45" i="5"/>
  <c r="E45" i="5"/>
  <c r="D45" i="5"/>
  <c r="F44" i="5"/>
  <c r="E44" i="5"/>
  <c r="D44" i="5"/>
  <c r="F43" i="5"/>
  <c r="E43" i="5"/>
  <c r="D43" i="5"/>
  <c r="F42" i="5"/>
  <c r="E42" i="5"/>
  <c r="D42" i="5"/>
  <c r="F41" i="5"/>
  <c r="E41" i="5"/>
  <c r="D41" i="5"/>
  <c r="F40" i="5"/>
  <c r="E40" i="5"/>
  <c r="D40" i="5"/>
  <c r="F39" i="5"/>
  <c r="E39" i="5"/>
  <c r="D39" i="5"/>
  <c r="F38" i="5"/>
  <c r="E38" i="5"/>
  <c r="D38" i="5"/>
  <c r="F37" i="5"/>
  <c r="E37" i="5"/>
  <c r="D37" i="5"/>
  <c r="F36" i="5"/>
  <c r="E36" i="5"/>
  <c r="D36" i="5"/>
  <c r="F35" i="5"/>
  <c r="E35" i="5"/>
  <c r="D35" i="5"/>
  <c r="F34" i="5"/>
  <c r="E34" i="5"/>
  <c r="D34" i="5"/>
  <c r="F33" i="5"/>
  <c r="E33" i="5"/>
  <c r="D33" i="5"/>
  <c r="F32" i="5"/>
  <c r="E32" i="5"/>
  <c r="D32" i="5"/>
  <c r="F31" i="5"/>
  <c r="E31" i="5"/>
  <c r="D31" i="5"/>
  <c r="F30" i="5"/>
  <c r="E30" i="5"/>
  <c r="D30" i="5"/>
  <c r="F29" i="5"/>
  <c r="E29" i="5"/>
  <c r="D29" i="5"/>
  <c r="F28" i="5"/>
  <c r="E28" i="5"/>
  <c r="D28" i="5"/>
  <c r="F27" i="5"/>
  <c r="E27" i="5"/>
  <c r="D27" i="5"/>
  <c r="F21" i="5"/>
  <c r="E21" i="5"/>
  <c r="D21" i="5"/>
  <c r="F20" i="5"/>
  <c r="E20" i="5"/>
  <c r="D20" i="5"/>
  <c r="F19" i="5"/>
  <c r="E19" i="5"/>
  <c r="D19" i="5"/>
  <c r="F18" i="5"/>
  <c r="E18" i="5"/>
  <c r="D18" i="5"/>
  <c r="F17" i="5"/>
  <c r="E17" i="5"/>
  <c r="D17" i="5"/>
  <c r="F16" i="5"/>
  <c r="E16" i="5"/>
  <c r="D16" i="5"/>
  <c r="F15" i="5"/>
  <c r="E15" i="5"/>
  <c r="D15" i="5"/>
  <c r="F14" i="5"/>
  <c r="E14" i="5"/>
  <c r="D14" i="5"/>
  <c r="F13" i="5"/>
  <c r="E13" i="5"/>
  <c r="D13" i="5"/>
  <c r="F12" i="5"/>
  <c r="E12" i="5"/>
  <c r="D12" i="5"/>
  <c r="F6" i="5"/>
  <c r="F7" i="5" s="1"/>
  <c r="E6" i="5"/>
  <c r="E7" i="5" s="1"/>
  <c r="D6" i="5"/>
  <c r="E9" i="4"/>
  <c r="D8" i="4"/>
  <c r="C8" i="4"/>
  <c r="I8" i="4" s="1"/>
  <c r="B8" i="4"/>
  <c r="B9" i="4" s="1"/>
  <c r="D7" i="4"/>
  <c r="C7" i="4"/>
  <c r="D26" i="7" s="1"/>
  <c r="B7" i="4"/>
  <c r="D6" i="4"/>
  <c r="C6" i="4"/>
  <c r="D25" i="7" s="1"/>
  <c r="B6" i="4"/>
  <c r="D5" i="4"/>
  <c r="D9" i="4" s="1"/>
  <c r="C5" i="4"/>
  <c r="D24" i="7" s="1"/>
  <c r="B5" i="4"/>
  <c r="J42" i="3"/>
  <c r="I42" i="3"/>
  <c r="E42" i="3"/>
  <c r="G42" i="3" s="1"/>
  <c r="H42" i="3" s="1"/>
  <c r="C42" i="3"/>
  <c r="D42" i="3" s="1"/>
  <c r="J41" i="3"/>
  <c r="K41" i="3" s="1"/>
  <c r="I41" i="3"/>
  <c r="E41" i="3"/>
  <c r="F41" i="3" s="1"/>
  <c r="C41" i="3"/>
  <c r="D41" i="3" s="1"/>
  <c r="J40" i="3"/>
  <c r="I40" i="3"/>
  <c r="K40" i="3" s="1"/>
  <c r="E40" i="3"/>
  <c r="D40" i="3"/>
  <c r="C40" i="3"/>
  <c r="J39" i="3"/>
  <c r="I39" i="3"/>
  <c r="E39" i="3"/>
  <c r="G39" i="3" s="1"/>
  <c r="H39" i="3" s="1"/>
  <c r="C39" i="3"/>
  <c r="D39" i="3" s="1"/>
  <c r="J38" i="3"/>
  <c r="I38" i="3"/>
  <c r="K38" i="3" s="1"/>
  <c r="G38" i="3"/>
  <c r="H38" i="3" s="1"/>
  <c r="F38" i="3"/>
  <c r="E38" i="3"/>
  <c r="C38" i="3"/>
  <c r="D38" i="3" s="1"/>
  <c r="J37" i="3"/>
  <c r="I37" i="3"/>
  <c r="K37" i="3" s="1"/>
  <c r="G37" i="3"/>
  <c r="H37" i="3" s="1"/>
  <c r="E37" i="3"/>
  <c r="F37" i="3" s="1"/>
  <c r="C37" i="3"/>
  <c r="D37" i="3" s="1"/>
  <c r="J36" i="3"/>
  <c r="I36" i="3"/>
  <c r="K36" i="3" s="1"/>
  <c r="E36" i="3"/>
  <c r="C36" i="3"/>
  <c r="D36" i="3" s="1"/>
  <c r="J35" i="3"/>
  <c r="I35" i="3"/>
  <c r="E35" i="3"/>
  <c r="G35" i="3" s="1"/>
  <c r="H35" i="3" s="1"/>
  <c r="C35" i="3"/>
  <c r="D35" i="3" s="1"/>
  <c r="J34" i="3"/>
  <c r="I34" i="3"/>
  <c r="K34" i="3" s="1"/>
  <c r="E34" i="3"/>
  <c r="G34" i="3" s="1"/>
  <c r="H34" i="3" s="1"/>
  <c r="C34" i="3"/>
  <c r="D34" i="3" s="1"/>
  <c r="K33" i="3"/>
  <c r="J33" i="3"/>
  <c r="I33" i="3"/>
  <c r="E33" i="3"/>
  <c r="C33" i="3"/>
  <c r="D33" i="3" s="1"/>
  <c r="J32" i="3"/>
  <c r="I32" i="3"/>
  <c r="K32" i="3" s="1"/>
  <c r="E32" i="3"/>
  <c r="D32" i="3"/>
  <c r="C32" i="3"/>
  <c r="J31" i="3"/>
  <c r="I31" i="3"/>
  <c r="K31" i="3" s="1"/>
  <c r="E31" i="3"/>
  <c r="G31" i="3" s="1"/>
  <c r="H31" i="3" s="1"/>
  <c r="C31" i="3"/>
  <c r="D31" i="3" s="1"/>
  <c r="J30" i="3"/>
  <c r="I30" i="3"/>
  <c r="K30" i="3" s="1"/>
  <c r="G30" i="3"/>
  <c r="H30" i="3" s="1"/>
  <c r="F30" i="3"/>
  <c r="E30" i="3"/>
  <c r="C30" i="3"/>
  <c r="D30" i="3" s="1"/>
  <c r="J29" i="3"/>
  <c r="I29" i="3"/>
  <c r="K29" i="3" s="1"/>
  <c r="E29" i="3"/>
  <c r="F29" i="3" s="1"/>
  <c r="C29" i="3"/>
  <c r="D29" i="3" s="1"/>
  <c r="J28" i="3"/>
  <c r="I28" i="3"/>
  <c r="E28" i="3"/>
  <c r="C28" i="3"/>
  <c r="D28" i="3" s="1"/>
  <c r="J27" i="3"/>
  <c r="I27" i="3"/>
  <c r="K27" i="3" s="1"/>
  <c r="E27" i="3"/>
  <c r="G27" i="3" s="1"/>
  <c r="H27" i="3" s="1"/>
  <c r="C27" i="3"/>
  <c r="D27" i="3" s="1"/>
  <c r="J26" i="3"/>
  <c r="K26" i="3" s="1"/>
  <c r="I26" i="3"/>
  <c r="E26" i="3"/>
  <c r="G26" i="3" s="1"/>
  <c r="H26" i="3" s="1"/>
  <c r="C26" i="3"/>
  <c r="D26" i="3" s="1"/>
  <c r="J25" i="3"/>
  <c r="I25" i="3"/>
  <c r="K25" i="3" s="1"/>
  <c r="E25" i="3"/>
  <c r="D25" i="3"/>
  <c r="C25" i="3"/>
  <c r="J24" i="3"/>
  <c r="I24" i="3"/>
  <c r="K24" i="3" s="1"/>
  <c r="E24" i="3"/>
  <c r="C24" i="3"/>
  <c r="D24" i="3" s="1"/>
  <c r="J23" i="3"/>
  <c r="I23" i="3"/>
  <c r="E23" i="3"/>
  <c r="G23" i="3" s="1"/>
  <c r="H23" i="3" s="1"/>
  <c r="C23" i="3"/>
  <c r="D23" i="3" s="1"/>
  <c r="J22" i="3"/>
  <c r="I22" i="3"/>
  <c r="K22" i="3" s="1"/>
  <c r="G22" i="3"/>
  <c r="H22" i="3" s="1"/>
  <c r="F22" i="3"/>
  <c r="E22" i="3"/>
  <c r="C22" i="3"/>
  <c r="D22" i="3" s="1"/>
  <c r="J21" i="3"/>
  <c r="I21" i="3"/>
  <c r="G21" i="3"/>
  <c r="H21" i="3" s="1"/>
  <c r="E21" i="3"/>
  <c r="F21" i="3" s="1"/>
  <c r="C21" i="3"/>
  <c r="D21" i="3" s="1"/>
  <c r="J20" i="3"/>
  <c r="I20" i="3"/>
  <c r="K20" i="3" s="1"/>
  <c r="E20" i="3"/>
  <c r="G20" i="3" s="1"/>
  <c r="H20" i="3" s="1"/>
  <c r="C20" i="3"/>
  <c r="J19" i="3"/>
  <c r="I19" i="3"/>
  <c r="E19" i="3"/>
  <c r="G19" i="3" s="1"/>
  <c r="H19" i="3" s="1"/>
  <c r="C19" i="3"/>
  <c r="D19" i="3" s="1"/>
  <c r="J18" i="3"/>
  <c r="I18" i="3"/>
  <c r="E18" i="3"/>
  <c r="G18" i="3" s="1"/>
  <c r="H18" i="3" s="1"/>
  <c r="C18" i="3"/>
  <c r="D18" i="3" s="1"/>
  <c r="J17" i="3"/>
  <c r="K17" i="3" s="1"/>
  <c r="I17" i="3"/>
  <c r="E17" i="3"/>
  <c r="G17" i="3" s="1"/>
  <c r="H17" i="3" s="1"/>
  <c r="C17" i="3"/>
  <c r="D17" i="3" s="1"/>
  <c r="J16" i="3"/>
  <c r="I16" i="3"/>
  <c r="K16" i="3" s="1"/>
  <c r="E16" i="3"/>
  <c r="C16" i="3"/>
  <c r="D16" i="3" s="1"/>
  <c r="J15" i="3"/>
  <c r="I15" i="3"/>
  <c r="E15" i="3"/>
  <c r="G15" i="3" s="1"/>
  <c r="H15" i="3" s="1"/>
  <c r="C15" i="3"/>
  <c r="D15" i="3" s="1"/>
  <c r="J14" i="3"/>
  <c r="I14" i="3"/>
  <c r="K14" i="3" s="1"/>
  <c r="G14" i="3"/>
  <c r="H14" i="3" s="1"/>
  <c r="F14" i="3"/>
  <c r="E14" i="3"/>
  <c r="C14" i="3"/>
  <c r="D14" i="3" s="1"/>
  <c r="J13" i="3"/>
  <c r="I13" i="3"/>
  <c r="G13" i="3"/>
  <c r="H13" i="3" s="1"/>
  <c r="E13" i="3"/>
  <c r="F13" i="3" s="1"/>
  <c r="C13" i="3"/>
  <c r="D13" i="3" s="1"/>
  <c r="J12" i="3"/>
  <c r="I12" i="3"/>
  <c r="E12" i="3"/>
  <c r="G12" i="3" s="1"/>
  <c r="H12" i="3" s="1"/>
  <c r="C12" i="3"/>
  <c r="J11" i="3"/>
  <c r="I11" i="3"/>
  <c r="K11" i="3" s="1"/>
  <c r="E11" i="3"/>
  <c r="G11" i="3" s="1"/>
  <c r="H11" i="3" s="1"/>
  <c r="C11" i="3"/>
  <c r="D11" i="3" s="1"/>
  <c r="J10" i="3"/>
  <c r="I10" i="3"/>
  <c r="E10" i="3"/>
  <c r="C10" i="3"/>
  <c r="D10" i="3" s="1"/>
  <c r="J9" i="3"/>
  <c r="I9" i="3"/>
  <c r="K9" i="3" s="1"/>
  <c r="E9" i="3"/>
  <c r="C9" i="3"/>
  <c r="D9" i="3" s="1"/>
  <c r="J8" i="3"/>
  <c r="I8" i="3"/>
  <c r="K8" i="3" s="1"/>
  <c r="E8" i="3"/>
  <c r="G8" i="3" s="1"/>
  <c r="H8" i="3" s="1"/>
  <c r="D8" i="3"/>
  <c r="C8" i="3"/>
  <c r="J7" i="3"/>
  <c r="I7" i="3"/>
  <c r="E7" i="3"/>
  <c r="G7" i="3" s="1"/>
  <c r="H7" i="3" s="1"/>
  <c r="C7" i="3"/>
  <c r="D7" i="3" s="1"/>
  <c r="J6" i="3"/>
  <c r="I6" i="3"/>
  <c r="K6" i="3" s="1"/>
  <c r="G6" i="3"/>
  <c r="H6" i="3" s="1"/>
  <c r="F6" i="3"/>
  <c r="E6" i="3"/>
  <c r="C6" i="3"/>
  <c r="D6" i="3" s="1"/>
  <c r="J5" i="3"/>
  <c r="I5" i="3"/>
  <c r="E5" i="3"/>
  <c r="F5" i="3" s="1"/>
  <c r="C5" i="3"/>
  <c r="D5" i="3" s="1"/>
  <c r="D38" i="2"/>
  <c r="B37" i="2"/>
  <c r="B36" i="2"/>
  <c r="B35" i="2"/>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E441" i="1"/>
  <c r="B440" i="1"/>
  <c r="B439" i="1"/>
  <c r="B438" i="1"/>
  <c r="B437" i="1"/>
  <c r="B436" i="1"/>
  <c r="B435" i="1"/>
  <c r="B434" i="1"/>
  <c r="B433" i="1"/>
  <c r="B432" i="1"/>
  <c r="B431" i="1"/>
  <c r="B430" i="1"/>
  <c r="B429" i="1"/>
  <c r="B428" i="1"/>
  <c r="B427" i="1"/>
  <c r="B426" i="1"/>
  <c r="B425" i="1"/>
  <c r="B424" i="1"/>
  <c r="B423" i="1"/>
  <c r="B422" i="1"/>
  <c r="B421" i="1"/>
  <c r="B420" i="1"/>
  <c r="B419" i="1"/>
  <c r="B418" i="1"/>
  <c r="B417" i="1"/>
  <c r="B416" i="1"/>
  <c r="B415" i="1"/>
  <c r="B414" i="1"/>
  <c r="B413" i="1"/>
  <c r="B412" i="1"/>
  <c r="B411" i="1"/>
  <c r="B410" i="1"/>
  <c r="B409" i="1"/>
  <c r="B408" i="1"/>
  <c r="B407" i="1"/>
  <c r="B406" i="1"/>
  <c r="B405" i="1"/>
  <c r="B404" i="1"/>
  <c r="B403" i="1"/>
  <c r="B402" i="1"/>
  <c r="B401" i="1"/>
  <c r="B400" i="1"/>
  <c r="B399" i="1"/>
  <c r="B398" i="1"/>
  <c r="B397" i="1"/>
  <c r="B396" i="1"/>
  <c r="B395" i="1"/>
  <c r="B394" i="1"/>
  <c r="B393" i="1"/>
  <c r="B392" i="1"/>
  <c r="B391" i="1"/>
  <c r="B390" i="1"/>
  <c r="B389" i="1"/>
  <c r="B388" i="1"/>
  <c r="B387" i="1"/>
  <c r="B386" i="1"/>
  <c r="B385" i="1"/>
  <c r="B384" i="1"/>
  <c r="B383" i="1"/>
  <c r="B382" i="1"/>
  <c r="B381" i="1"/>
  <c r="B380" i="1"/>
  <c r="B379" i="1"/>
  <c r="B378" i="1"/>
  <c r="B377" i="1"/>
  <c r="B376" i="1"/>
  <c r="B375" i="1"/>
  <c r="B374" i="1"/>
  <c r="B373" i="1"/>
  <c r="B372" i="1"/>
  <c r="B371" i="1"/>
  <c r="B370" i="1"/>
  <c r="B369" i="1"/>
  <c r="B368" i="1"/>
  <c r="B367" i="1"/>
  <c r="B366" i="1"/>
  <c r="B365" i="1"/>
  <c r="B364" i="1"/>
  <c r="B363" i="1"/>
  <c r="B362" i="1"/>
  <c r="B361" i="1"/>
  <c r="B360" i="1"/>
  <c r="B359" i="1"/>
  <c r="B358" i="1"/>
  <c r="B357" i="1"/>
  <c r="B356" i="1"/>
  <c r="B355" i="1"/>
  <c r="B354" i="1"/>
  <c r="B353" i="1"/>
  <c r="B352" i="1"/>
  <c r="B351" i="1"/>
  <c r="B350" i="1"/>
  <c r="B349" i="1"/>
  <c r="B348" i="1"/>
  <c r="B347" i="1"/>
  <c r="B346" i="1"/>
  <c r="B345" i="1"/>
  <c r="B344" i="1"/>
  <c r="B343" i="1"/>
  <c r="B342" i="1"/>
  <c r="B341" i="1"/>
  <c r="B340" i="1"/>
  <c r="B339" i="1"/>
  <c r="B338" i="1"/>
  <c r="B337" i="1"/>
  <c r="B336" i="1"/>
  <c r="B335" i="1"/>
  <c r="B334" i="1"/>
  <c r="B333" i="1"/>
  <c r="B332" i="1"/>
  <c r="B331" i="1"/>
  <c r="B330" i="1"/>
  <c r="B329" i="1"/>
  <c r="B328" i="1"/>
  <c r="B327" i="1"/>
  <c r="B326" i="1"/>
  <c r="B325" i="1"/>
  <c r="B324" i="1"/>
  <c r="B323" i="1"/>
  <c r="B322" i="1"/>
  <c r="B321" i="1"/>
  <c r="B320" i="1"/>
  <c r="B319" i="1"/>
  <c r="B318" i="1"/>
  <c r="B317" i="1"/>
  <c r="B316" i="1"/>
  <c r="B315" i="1"/>
  <c r="B314" i="1"/>
  <c r="B313" i="1"/>
  <c r="B312" i="1"/>
  <c r="B311" i="1"/>
  <c r="B310" i="1"/>
  <c r="B309" i="1"/>
  <c r="B308" i="1"/>
  <c r="B307" i="1"/>
  <c r="B306" i="1"/>
  <c r="B305" i="1"/>
  <c r="B304" i="1"/>
  <c r="B303" i="1"/>
  <c r="B302" i="1"/>
  <c r="B301" i="1"/>
  <c r="B300" i="1"/>
  <c r="B299" i="1"/>
  <c r="B298" i="1"/>
  <c r="B297" i="1"/>
  <c r="B296" i="1"/>
  <c r="B295" i="1"/>
  <c r="B294" i="1"/>
  <c r="B293" i="1"/>
  <c r="B292" i="1"/>
  <c r="B291" i="1"/>
  <c r="B290" i="1"/>
  <c r="B289" i="1"/>
  <c r="B288" i="1"/>
  <c r="B287" i="1"/>
  <c r="B286" i="1"/>
  <c r="B285" i="1"/>
  <c r="B284" i="1"/>
  <c r="B283" i="1"/>
  <c r="B282" i="1"/>
  <c r="B281" i="1"/>
  <c r="B280" i="1"/>
  <c r="B279" i="1"/>
  <c r="B278" i="1"/>
  <c r="B277" i="1"/>
  <c r="B276" i="1"/>
  <c r="B275" i="1"/>
  <c r="B274" i="1"/>
  <c r="B273" i="1"/>
  <c r="B272" i="1"/>
  <c r="B271" i="1"/>
  <c r="B270" i="1"/>
  <c r="B269" i="1"/>
  <c r="B268" i="1"/>
  <c r="B267" i="1"/>
  <c r="B266" i="1"/>
  <c r="B265" i="1"/>
  <c r="B264" i="1"/>
  <c r="B263" i="1"/>
  <c r="B262" i="1"/>
  <c r="B261" i="1"/>
  <c r="B260" i="1"/>
  <c r="B259" i="1"/>
  <c r="B258" i="1"/>
  <c r="B257" i="1"/>
  <c r="B256" i="1"/>
  <c r="B255" i="1"/>
  <c r="B254" i="1"/>
  <c r="B253" i="1"/>
  <c r="B252" i="1"/>
  <c r="B251" i="1"/>
  <c r="B250" i="1"/>
  <c r="B249" i="1"/>
  <c r="B248" i="1"/>
  <c r="B247" i="1"/>
  <c r="B246" i="1"/>
  <c r="B245" i="1"/>
  <c r="B244" i="1"/>
  <c r="B243" i="1"/>
  <c r="B242" i="1"/>
  <c r="B241" i="1"/>
  <c r="B240" i="1"/>
  <c r="B239" i="1"/>
  <c r="B238" i="1"/>
  <c r="B237" i="1"/>
  <c r="B236" i="1"/>
  <c r="B235" i="1"/>
  <c r="B234" i="1"/>
  <c r="B233" i="1"/>
  <c r="B232" i="1"/>
  <c r="B231" i="1"/>
  <c r="B230" i="1"/>
  <c r="B229" i="1"/>
  <c r="B228" i="1"/>
  <c r="B227" i="1"/>
  <c r="B226" i="1"/>
  <c r="B225" i="1"/>
  <c r="B224" i="1"/>
  <c r="B223" i="1"/>
  <c r="B222" i="1"/>
  <c r="B221" i="1"/>
  <c r="B220" i="1"/>
  <c r="B219" i="1"/>
  <c r="B218" i="1"/>
  <c r="B217" i="1"/>
  <c r="B216" i="1"/>
  <c r="B215" i="1"/>
  <c r="B214" i="1"/>
  <c r="B213" i="1"/>
  <c r="B212" i="1"/>
  <c r="B211" i="1"/>
  <c r="B210" i="1"/>
  <c r="B209" i="1"/>
  <c r="B208" i="1"/>
  <c r="B207" i="1"/>
  <c r="B206" i="1"/>
  <c r="B205" i="1"/>
  <c r="B204" i="1"/>
  <c r="B203" i="1"/>
  <c r="B202" i="1"/>
  <c r="B201" i="1"/>
  <c r="B200" i="1"/>
  <c r="B199" i="1"/>
  <c r="B198" i="1"/>
  <c r="B197" i="1"/>
  <c r="B196" i="1"/>
  <c r="B195" i="1"/>
  <c r="B194" i="1"/>
  <c r="B193" i="1"/>
  <c r="B192" i="1"/>
  <c r="B191" i="1"/>
  <c r="B190" i="1"/>
  <c r="B189" i="1"/>
  <c r="B188" i="1"/>
  <c r="B187" i="1"/>
  <c r="B186" i="1"/>
  <c r="B185" i="1"/>
  <c r="B184" i="1"/>
  <c r="B183" i="1"/>
  <c r="B182" i="1"/>
  <c r="B181" i="1"/>
  <c r="B180" i="1"/>
  <c r="B179" i="1"/>
  <c r="B178" i="1"/>
  <c r="B177" i="1"/>
  <c r="B176" i="1"/>
  <c r="B175" i="1"/>
  <c r="B174" i="1"/>
  <c r="B173" i="1"/>
  <c r="B172" i="1"/>
  <c r="B171" i="1"/>
  <c r="B170" i="1"/>
  <c r="B169" i="1"/>
  <c r="B168" i="1"/>
  <c r="B167" i="1"/>
  <c r="B166" i="1"/>
  <c r="B165" i="1"/>
  <c r="B164" i="1"/>
  <c r="B163" i="1"/>
  <c r="B162" i="1"/>
  <c r="B161" i="1"/>
  <c r="B160" i="1"/>
  <c r="B159" i="1"/>
  <c r="B158" i="1"/>
  <c r="B157" i="1"/>
  <c r="B156" i="1"/>
  <c r="B155" i="1"/>
  <c r="B154" i="1"/>
  <c r="B153" i="1"/>
  <c r="B152" i="1"/>
  <c r="B151" i="1"/>
  <c r="B150" i="1"/>
  <c r="B149" i="1"/>
  <c r="B148" i="1"/>
  <c r="B147" i="1"/>
  <c r="B146" i="1"/>
  <c r="B145" i="1"/>
  <c r="B144" i="1"/>
  <c r="B143" i="1"/>
  <c r="B142" i="1"/>
  <c r="B141" i="1"/>
  <c r="B140" i="1"/>
  <c r="B139" i="1"/>
  <c r="B138"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72" i="1"/>
  <c r="B71" i="1"/>
  <c r="B70" i="1"/>
  <c r="B69"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I37" i="6" l="1"/>
  <c r="G29" i="3"/>
  <c r="H29" i="3" s="1"/>
  <c r="I5" i="4"/>
  <c r="G43" i="6"/>
  <c r="I12" i="6"/>
  <c r="I20" i="6"/>
  <c r="I28" i="6"/>
  <c r="I36" i="6"/>
  <c r="B11" i="7"/>
  <c r="E37" i="7"/>
  <c r="I29" i="6"/>
  <c r="G5" i="3"/>
  <c r="H5" i="3" s="1"/>
  <c r="F8" i="3"/>
  <c r="F12" i="3"/>
  <c r="K13" i="3"/>
  <c r="F20" i="3"/>
  <c r="K21" i="3"/>
  <c r="J7" i="4"/>
  <c r="F22" i="5"/>
  <c r="E22" i="5"/>
  <c r="I11" i="6"/>
  <c r="I19" i="6"/>
  <c r="I27" i="6"/>
  <c r="I35" i="6"/>
  <c r="I13" i="6"/>
  <c r="F36" i="3"/>
  <c r="I10" i="6"/>
  <c r="I18" i="6"/>
  <c r="I26" i="6"/>
  <c r="I34" i="6"/>
  <c r="I42" i="6"/>
  <c r="E34" i="7"/>
  <c r="E38" i="7"/>
  <c r="F28" i="3"/>
  <c r="F39" i="3"/>
  <c r="B43" i="6"/>
  <c r="I9" i="6"/>
  <c r="I17" i="6"/>
  <c r="I25" i="6"/>
  <c r="I33" i="6"/>
  <c r="I41" i="6"/>
  <c r="K7" i="3"/>
  <c r="K10" i="3"/>
  <c r="F15" i="3"/>
  <c r="K18" i="3"/>
  <c r="F23" i="3"/>
  <c r="K28" i="3"/>
  <c r="F33" i="3"/>
  <c r="K39" i="3"/>
  <c r="K42" i="3"/>
  <c r="I6" i="4"/>
  <c r="F59" i="5"/>
  <c r="I8" i="6"/>
  <c r="I16" i="6"/>
  <c r="I24" i="6"/>
  <c r="I32" i="6"/>
  <c r="I40" i="6"/>
  <c r="E39" i="7"/>
  <c r="I21" i="6"/>
  <c r="K15" i="3"/>
  <c r="K23" i="3"/>
  <c r="J6" i="4"/>
  <c r="C9" i="4"/>
  <c r="D43" i="6"/>
  <c r="I7" i="6"/>
  <c r="I15" i="6"/>
  <c r="I23" i="6"/>
  <c r="I31" i="6"/>
  <c r="I39" i="6"/>
  <c r="E43" i="6"/>
  <c r="I6" i="6"/>
  <c r="I14" i="6"/>
  <c r="I22" i="6"/>
  <c r="I30" i="6"/>
  <c r="I38" i="6"/>
  <c r="E36" i="7"/>
  <c r="E40" i="7"/>
  <c r="G32" i="3"/>
  <c r="H32" i="3" s="1"/>
  <c r="F32" i="3"/>
  <c r="K35" i="3"/>
  <c r="F10" i="3"/>
  <c r="E59" i="5"/>
  <c r="F7" i="3"/>
  <c r="E51" i="5"/>
  <c r="G6" i="4"/>
  <c r="B25" i="7" s="1"/>
  <c r="G40" i="3"/>
  <c r="H40" i="3" s="1"/>
  <c r="F40" i="3"/>
  <c r="F51" i="5"/>
  <c r="C43" i="6"/>
  <c r="G9" i="3"/>
  <c r="H9" i="3" s="1"/>
  <c r="F9" i="3"/>
  <c r="G16" i="3"/>
  <c r="H16" i="3" s="1"/>
  <c r="F16" i="3"/>
  <c r="K19" i="3"/>
  <c r="F25" i="3"/>
  <c r="F31" i="3"/>
  <c r="G24" i="3"/>
  <c r="H24" i="3" s="1"/>
  <c r="F24" i="3"/>
  <c r="I43" i="3"/>
  <c r="B19" i="7"/>
  <c r="B20" i="7" s="1"/>
  <c r="K5" i="3"/>
  <c r="J43" i="3"/>
  <c r="K12" i="3"/>
  <c r="F17" i="3"/>
  <c r="G28" i="3"/>
  <c r="H28" i="3" s="1"/>
  <c r="G36" i="3"/>
  <c r="H36" i="3" s="1"/>
  <c r="I7" i="4"/>
  <c r="J8" i="4"/>
  <c r="I5" i="6"/>
  <c r="D27" i="7"/>
  <c r="E33" i="7"/>
  <c r="J5" i="4"/>
  <c r="J9" i="4" s="1"/>
  <c r="D12" i="3"/>
  <c r="G7" i="4" s="1"/>
  <c r="B26" i="7" s="1"/>
  <c r="F18" i="3"/>
  <c r="D20" i="3"/>
  <c r="G25" i="3"/>
  <c r="H25" i="3" s="1"/>
  <c r="F26" i="3"/>
  <c r="G33" i="3"/>
  <c r="H33" i="3" s="1"/>
  <c r="F34" i="3"/>
  <c r="G41" i="3"/>
  <c r="H41" i="3" s="1"/>
  <c r="F42" i="3"/>
  <c r="G10" i="3"/>
  <c r="H10" i="3" s="1"/>
  <c r="F11" i="3"/>
  <c r="F19" i="3"/>
  <c r="F27" i="3"/>
  <c r="F35" i="3"/>
  <c r="I43" i="6" l="1"/>
  <c r="B17" i="7"/>
  <c r="B18" i="7"/>
  <c r="G5" i="4"/>
  <c r="G8" i="4"/>
  <c r="B27" i="7" s="1"/>
  <c r="H7" i="4" l="1"/>
  <c r="C26" i="7" s="1"/>
  <c r="B24" i="7"/>
  <c r="H8" i="4"/>
  <c r="C27" i="7" s="1"/>
  <c r="G9" i="4"/>
  <c r="H6" i="4"/>
  <c r="C25" i="7" s="1"/>
  <c r="H5" i="4"/>
  <c r="C24" i="7" s="1"/>
</calcChain>
</file>

<file path=xl/sharedStrings.xml><?xml version="1.0" encoding="utf-8"?>
<sst xmlns="http://schemas.openxmlformats.org/spreadsheetml/2006/main" count="1682" uniqueCount="180">
  <si>
    <t>All Diesel Issues - Galagedara Site</t>
  </si>
  <si>
    <t>Every issue from the first day on site to yesterday. Three sources combined; 26/07 taken from the stock book only, to avoid double counting.</t>
  </si>
  <si>
    <t>Date</t>
  </si>
  <si>
    <t>Month</t>
  </si>
  <si>
    <t>Vehicle / Unit</t>
  </si>
  <si>
    <t>As Written on Record</t>
  </si>
  <si>
    <t>Qty (L)</t>
  </si>
  <si>
    <t>Source Record</t>
  </si>
  <si>
    <t>2B-1980</t>
  </si>
  <si>
    <t>ZB-1980</t>
  </si>
  <si>
    <t>Stock book</t>
  </si>
  <si>
    <t>D4D-01</t>
  </si>
  <si>
    <t>D4D1</t>
  </si>
  <si>
    <t>59-5421</t>
  </si>
  <si>
    <t>D4D-02</t>
  </si>
  <si>
    <t>D4D2</t>
  </si>
  <si>
    <t>HEX-45</t>
  </si>
  <si>
    <t>EXCAVETORHEX-45</t>
  </si>
  <si>
    <t>D4D-2</t>
  </si>
  <si>
    <t>D4D-03</t>
  </si>
  <si>
    <t>HEX-01</t>
  </si>
  <si>
    <t>PJ-6376</t>
  </si>
  <si>
    <t>SR-13</t>
  </si>
  <si>
    <t>MG-07</t>
  </si>
  <si>
    <t>D4D-3</t>
  </si>
  <si>
    <t>PE-3723</t>
  </si>
  <si>
    <t>PE-3723(MRCHINTHAKASURVEYOROFFICER)</t>
  </si>
  <si>
    <t>LB-21</t>
  </si>
  <si>
    <t>LB-21REPAIR</t>
  </si>
  <si>
    <t>LO-7181</t>
  </si>
  <si>
    <t>HEX-26</t>
  </si>
  <si>
    <t>LB-25</t>
  </si>
  <si>
    <t>DAH-2491</t>
  </si>
  <si>
    <t>LA-1359</t>
  </si>
  <si>
    <t>LP-1709</t>
  </si>
  <si>
    <t>PH-9072</t>
  </si>
  <si>
    <t>DAG-4969</t>
  </si>
  <si>
    <t>VR-59</t>
  </si>
  <si>
    <t>325-1030</t>
  </si>
  <si>
    <t>HEX-33</t>
  </si>
  <si>
    <t>LO-4925</t>
  </si>
  <si>
    <t>LL-0920</t>
  </si>
  <si>
    <t>D2D-02</t>
  </si>
  <si>
    <t>HEX-23</t>
  </si>
  <si>
    <t>DAG-4929</t>
  </si>
  <si>
    <t>LC-0434</t>
  </si>
  <si>
    <t>HEX-37</t>
  </si>
  <si>
    <t>SR-12</t>
  </si>
  <si>
    <t>LP-1574</t>
  </si>
  <si>
    <t>LP-1713</t>
  </si>
  <si>
    <t>PC-1094</t>
  </si>
  <si>
    <t>LO-8349</t>
  </si>
  <si>
    <t>LO-8350</t>
  </si>
  <si>
    <t>WG-13</t>
  </si>
  <si>
    <t>2B-4606</t>
  </si>
  <si>
    <t>ZB-4606</t>
  </si>
  <si>
    <t>Issue log</t>
  </si>
  <si>
    <t>ZA-4344</t>
  </si>
  <si>
    <t>D4D-II</t>
  </si>
  <si>
    <t>PE-3729</t>
  </si>
  <si>
    <t>Aug photo sheets</t>
  </si>
  <si>
    <t>HEX-42</t>
  </si>
  <si>
    <t>GE-M47</t>
  </si>
  <si>
    <t>LK-5041</t>
  </si>
  <si>
    <t>Total</t>
  </si>
  <si>
    <t>Diesel Received on Site</t>
  </si>
  <si>
    <t>From the stock book and the issue log. No receipt figures were recorded on the 02/08 to 05/08 sheets, so August is understated.</t>
  </si>
  <si>
    <t>Description</t>
  </si>
  <si>
    <t>Received cep-03 site</t>
  </si>
  <si>
    <t>Received Filling station</t>
  </si>
  <si>
    <t>Received Filling station ( Petty Cash )</t>
  </si>
  <si>
    <t>Received Filling station 11455</t>
  </si>
  <si>
    <t>Received Filling station 11457</t>
  </si>
  <si>
    <t>Received Filling station 11459</t>
  </si>
  <si>
    <t>Received Filling station 11461</t>
  </si>
  <si>
    <t>Received Filling station 11462</t>
  </si>
  <si>
    <t>Received Filling station 11464</t>
  </si>
  <si>
    <t>Received Filling station 11466</t>
  </si>
  <si>
    <t>Received (issue log)</t>
  </si>
  <si>
    <t>Vehicle Allocation Register</t>
  </si>
  <si>
    <t>Position as at</t>
  </si>
  <si>
    <t>#</t>
  </si>
  <si>
    <t>Allocation Date (1st Fuel Issue)</t>
  </si>
  <si>
    <t>Allocation Month</t>
  </si>
  <si>
    <t>Last Fuel Issue</t>
  </si>
  <si>
    <t>Days on Site</t>
  </si>
  <si>
    <t>Days Since Last Issue</t>
  </si>
  <si>
    <t>Status</t>
  </si>
  <si>
    <t>Total Diesel (L)</t>
  </si>
  <si>
    <t>No. of Issues</t>
  </si>
  <si>
    <t>Avg L per Issue</t>
  </si>
  <si>
    <t>Recorded As</t>
  </si>
  <si>
    <t>2B-1980, LB-21, LB-21REPAIR, ZB-1980</t>
  </si>
  <si>
    <t>D2D-02, D4D-02, D4D-2, D4D-II, D4D-TJ, D4D2</t>
  </si>
  <si>
    <t>EXCAVETORHEX-45, HEX-45, HEX-46</t>
  </si>
  <si>
    <t>D4D-03, D4D-3</t>
  </si>
  <si>
    <t>MG-07, ZA-4344</t>
  </si>
  <si>
    <t>PE-3723, PE-3723(MRCHINTHAKASURVEYOROFFICER), PE-3729</t>
  </si>
  <si>
    <t>DAC-4967, DAG-4929, DAG-4969</t>
  </si>
  <si>
    <t>HEX-37, HEX-39</t>
  </si>
  <si>
    <t>NC-1094, PC-1094</t>
  </si>
  <si>
    <t>2B-4606, ZB-4606</t>
  </si>
  <si>
    <t>Month-wise Diesel Issues and Fleet Build-up</t>
  </si>
  <si>
    <t>August 2026 covers 01 to 05 August only.</t>
  </si>
  <si>
    <t>Diesel Received (L)</t>
  </si>
  <si>
    <t>Diesel Issued (L)</t>
  </si>
  <si>
    <t>Days with Issues</t>
  </si>
  <si>
    <t>Units Fuelled in Month</t>
  </si>
  <si>
    <t>New Units Allocated</t>
  </si>
  <si>
    <t>Cumulative Fleet on Site</t>
  </si>
  <si>
    <t>Share of Total Issued</t>
  </si>
  <si>
    <t>Vehicles Allocated to Site, by Month</t>
  </si>
  <si>
    <t>A unit is listed in the month of its first diesel issue. Each unit appears once only.</t>
  </si>
  <si>
    <t>May 2026   -   1 unit(s) allocated</t>
  </si>
  <si>
    <t>Allocation Date</t>
  </si>
  <si>
    <t>Day</t>
  </si>
  <si>
    <t>Diesel in That Month (L)</t>
  </si>
  <si>
    <t>Total Diesel to Date (L)</t>
  </si>
  <si>
    <t>Month subtotal</t>
  </si>
  <si>
    <t>Jun 2026   -   10 unit(s) allocated</t>
  </si>
  <si>
    <t>Jul 2026   -   24 unit(s) allocated</t>
  </si>
  <si>
    <t>Aug 2026   -   3 unit(s) allocated</t>
  </si>
  <si>
    <t>Diesel Issued by Unit and Month (L)</t>
  </si>
  <si>
    <t>Sorted by total issued. A blank month means the unit drew no fuel that month.</t>
  </si>
  <si>
    <t>May 2026</t>
  </si>
  <si>
    <t>Jun 2026</t>
  </si>
  <si>
    <t>Jul 2026</t>
  </si>
  <si>
    <t>Aug 2026</t>
  </si>
  <si>
    <t>Total (L)</t>
  </si>
  <si>
    <t>Share</t>
  </si>
  <si>
    <t>Galagedara Site - Diesel and Fleet Summary</t>
  </si>
  <si>
    <t>Period covered: 11 May 2026 to 05 Aug 2026</t>
  </si>
  <si>
    <t>Period</t>
  </si>
  <si>
    <t>First issue on site</t>
  </si>
  <si>
    <t>Latest issue recorded</t>
  </si>
  <si>
    <t>Calendar days covered</t>
  </si>
  <si>
    <t>Fuel</t>
  </si>
  <si>
    <t>Total diesel received (L)</t>
  </si>
  <si>
    <t>Total diesel issued (L)</t>
  </si>
  <si>
    <t>Difference, received less issued (L)</t>
  </si>
  <si>
    <t>Number of issue transactions</t>
  </si>
  <si>
    <t>Average issue size (L)</t>
  </si>
  <si>
    <t>Average issued per calendar day (L)</t>
  </si>
  <si>
    <t>Fleet</t>
  </si>
  <si>
    <t>Distinct units fuelled on site</t>
  </si>
  <si>
    <t>Units with an issue in the last 7 days</t>
  </si>
  <si>
    <t>Units idle more than 7 days</t>
  </si>
  <si>
    <t>Largest single consumer (L)</t>
  </si>
  <si>
    <t>Largest single consumer</t>
  </si>
  <si>
    <t>Fleet build-up by month</t>
  </si>
  <si>
    <t>Cumulative Fleet</t>
  </si>
  <si>
    <t>Top 10 units by diesel drawn</t>
  </si>
  <si>
    <t>Rank</t>
  </si>
  <si>
    <t>Share of Total</t>
  </si>
  <si>
    <t>Sources, Method and Vehicle Name Decisions</t>
  </si>
  <si>
    <t>Sources combined</t>
  </si>
  <si>
    <t>Diesel stock book, 11 May 2026 to 26 Jul 2026. 347 issue rows, 13,817 L. This is the site's own stock book and is the only source for May and June.</t>
  </si>
  <si>
    <t>Fuel &amp; Lubricant issue log (Galagedara), 26 Jul 2026 to 01 Aug 2026. The 26 Jul entries in this log are the same twelve issues already in the stock book, so 26 Jul has been taken from the stock book only. 51 rows kept, 2,483 L.</t>
  </si>
  <si>
    <t>Daily Fuel &amp; Lubricant Issue sheets, 02 Aug to 05 Aug 2026, transcribed from photographs earlier today. 39 rows, 2,163 L. These carry the site forward to yesterday.</t>
  </si>
  <si>
    <t>The three sources join cleanly. Meter readings chain across the joins: HEX-26 10409.7, HEX-33 8966.7, PJ-6376 309005, 59-5421 247404 and LO-8349 92638 all carry from 01 Aug into the 02 Aug sheet, which confirms the August photographs are from this same site.</t>
  </si>
  <si>
    <t>Allocation date</t>
  </si>
  <si>
    <t>Allocation date is the unit's first diesel issue on this site, as you instructed. It is a good proxy but it will read late for any machine that arrived and sat idle before its first fill, and it cannot see a unit that was on site and never fuelled here.</t>
  </si>
  <si>
    <t>Days on Site counts from the first issue to the last issue inclusive. Days Since Last Issue is measured against the date in cell B2 of the Allocation Register, which you can change to re-date the whole sheet.</t>
  </si>
  <si>
    <t>Vehicle names merged</t>
  </si>
  <si>
    <t>The same machine is written differently across the three records. Before any counting, names were normalised. A merge was only applied where the two spellings never appear on the same day, since a unit cannot draw fuel twice under two names in one day. Merges applied:</t>
  </si>
  <si>
    <t>HEX-39 to HEX-37. The meter runs 7364.5, 7371.8, 7378.9, 7384.7, 7394.9 without a break, so the 02 to 05 Aug sheets were reading 37 as 39.</t>
  </si>
  <si>
    <t>HEX-46 to HEX-45, one row on 03 Aug. EXCAVETOR HEX-45 to HEX-45.</t>
  </si>
  <si>
    <t>ZB-1980, LB-21 and LB-21 Repair to 2B-1980. Meter 2315.9 on 26 Jul carries to 2320.5 on 29 Jul across the LB-21 and ZB-1980 spellings.</t>
  </si>
  <si>
    <t>ZB-4606 to 2B-4606. ZA-4344 to MG-07, which the 27 Jul sheet itself notes in a circle. NC-1094 to PC-1094. LO-4025 to LO-4925. LO-8360 to LO-8350. LA-0920 to LL-0920. WCA-13 to WG-13.</t>
  </si>
  <si>
    <t>D 4 D 2, D 4 D -2, D4D-II, D2D-02 and D4D-TJ all to D4D-02. The meter runs 5228.5, 5237.5, 5243.1, 5247, 5250.7, 5257.7, 5262.5 unbroken across every one of those spellings. D 4 D 1 to D4D-01 and D 4 D -3 to D4D-03.</t>
  </si>
  <si>
    <t>PE-3729 and PE-3723 (Mr Chinthaka Surveyor Officer) to PE-3723. DAG-4929 and DAC-4967 to DAG-4969.</t>
  </si>
  <si>
    <t>Names deliberately kept apart</t>
  </si>
  <si>
    <t>HEX-23 and HEX-33 both drew fuel on the same day twelve times, so they are two different excavators despite the similar number.</t>
  </si>
  <si>
    <t>LA-1359 and PH-9072 both drew fuel on 06 Jul, so they are two different units, even though the issue log noted a matching meter chain between them on 28 Jul and 01 Aug. That meter note looks like an entry error rather than an alias.</t>
  </si>
  <si>
    <t>SR-12 and SR-13 never clash on a date, but two clearly different meter ranges appear under the SR-12 name: about 2,730 hours and about 3,880 hours. That means the plate is being written inconsistently in both directions. They have been left as two units. This one is worth settling from the machine plates.</t>
  </si>
  <si>
    <t>GE-M47 and LK-5041 appear once each, on 05 Aug, and match nothing else in the records. Both plates were unclear in the photograph. They show as August allocations, which may be wrong.</t>
  </si>
  <si>
    <t>What is missing</t>
  </si>
  <si>
    <t>Receipts are complete only to 01 Aug. The 02 to 05 Aug sheets left the balance forward, issued and stock lines blank, so August receipts are understated and the received less issued figure on the Summary tab should not be read as a stock position.</t>
  </si>
  <si>
    <t>The 03 Aug sheet does not reconcile: rows total 365 L, the written issued figure reads 305 L, and the stock movement implies 344 L. HEX-37 at 120 L that day is the likely cause and is the one figure worth checking against the original.</t>
  </si>
  <si>
    <t>GE-47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</si>
</sst>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0.0"/>
    <numFmt numFmtId="166" formatCode="0.0%"/>
  </numFmts>
  <fonts count="13"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sz val="10"/>
      <name val="Arial"/>
      <charset val="1"/>
    </font>
    <font>
      <b/>
      <sz val="10"/>
      <name val="Arial"/>
      <charset val="1"/>
    </font>
    <font>
      <b/>
      <sz val="9"/>
      <color rgb="FF0000FF"/>
      <name val="Arial"/>
      <charset val="1"/>
    </font>
    <font>
      <b/>
      <sz val="11"/>
      <color rgb="FFFFFFFF"/>
      <name val="Arial"/>
      <charset val="1"/>
    </font>
    <font>
      <b/>
      <sz val="9"/>
      <color rgb="FF1F3864"/>
      <name val="Arial"/>
      <charset val="1"/>
    </font>
    <font>
      <b/>
      <sz val="9"/>
      <name val="Arial"/>
      <charset val="1"/>
    </font>
    <font>
      <b/>
      <sz val="11"/>
      <color rgb="FF1F3864"/>
      <name val="Arial"/>
      <charset val="1"/>
    </font>
    <font>
      <sz val="10"/>
      <color rgb="FFFF0000"/>
      <name val="Arial"/>
      <family val="2"/>
    </font>
    <font>
      <sz val="10"/>
      <name val="Arial"/>
      <family val="2"/>
    </font>
  </fonts>
  <fills count="8">
    <fill>
      <patternFill patternType="none"/>
    </fill>
    <fill>
      <patternFill patternType="gray125"/>
    </fill>
    <fill>
      <patternFill patternType="solid">
        <fgColor rgb="FF1F3864"/>
        <bgColor rgb="FF333333"/>
      </patternFill>
    </fill>
    <fill>
      <patternFill patternType="solid">
        <fgColor rgb="FFFFF2CC"/>
        <bgColor rgb="FFFCE4D6"/>
      </patternFill>
    </fill>
    <fill>
      <patternFill patternType="solid">
        <fgColor rgb="FFD9E2F3"/>
        <bgColor rgb="FFD9D9D9"/>
      </patternFill>
    </fill>
    <fill>
      <patternFill patternType="solid">
        <fgColor rgb="FFFFFF00"/>
        <bgColor rgb="FFFFFF00"/>
      </patternFill>
    </fill>
    <fill>
      <patternFill patternType="solid">
        <fgColor rgb="FFF2F2F2"/>
        <bgColor rgb="FFF9F9F9"/>
      </patternFill>
    </fill>
    <fill>
      <patternFill patternType="solid">
        <fgColor rgb="FFFFFF00"/>
        <bgColor indexed="64"/>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14" fontId="4" fillId="0" borderId="1" xfId="0" applyNumberFormat="1" applyFont="1" applyBorder="1" applyAlignment="1">
      <alignment horizontal="center"/>
    </xf>
    <xf numFmtId="164" fontId="4" fillId="0" borderId="1" xfId="0" applyNumberFormat="1" applyFont="1" applyBorder="1" applyAlignment="1">
      <alignment horizontal="center"/>
    </xf>
    <xf numFmtId="0" fontId="4" fillId="0" borderId="1" xfId="0" applyFont="1" applyBorder="1"/>
    <xf numFmtId="0" fontId="4" fillId="3" borderId="1" xfId="0" applyFont="1" applyFill="1" applyBorder="1"/>
    <xf numFmtId="3" fontId="4" fillId="0" borderId="1" xfId="0" applyNumberFormat="1" applyFont="1" applyBorder="1" applyAlignment="1">
      <alignment horizontal="center"/>
    </xf>
    <xf numFmtId="0" fontId="4" fillId="0" borderId="1" xfId="0" applyFont="1" applyBorder="1" applyAlignment="1">
      <alignment horizontal="center"/>
    </xf>
    <xf numFmtId="0" fontId="0" fillId="4" borderId="1" xfId="0" applyFill="1" applyBorder="1"/>
    <xf numFmtId="0" fontId="5" fillId="4" borderId="1" xfId="0" applyFont="1" applyFill="1" applyBorder="1"/>
    <xf numFmtId="3" fontId="5" fillId="4" borderId="1" xfId="0" applyNumberFormat="1" applyFont="1" applyFill="1" applyBorder="1"/>
    <xf numFmtId="14" fontId="6" fillId="5" borderId="0" xfId="0" applyNumberFormat="1" applyFont="1" applyFill="1"/>
    <xf numFmtId="165" fontId="4" fillId="0" borderId="1" xfId="0" applyNumberFormat="1" applyFont="1" applyBorder="1" applyAlignment="1">
      <alignment horizontal="center"/>
    </xf>
    <xf numFmtId="166" fontId="4" fillId="0" borderId="1" xfId="0" applyNumberFormat="1" applyFont="1" applyBorder="1" applyAlignment="1">
      <alignment horizontal="center"/>
    </xf>
    <xf numFmtId="3" fontId="5" fillId="4" borderId="1" xfId="0" applyNumberFormat="1" applyFont="1" applyFill="1" applyBorder="1" applyAlignment="1">
      <alignment horizontal="center"/>
    </xf>
    <xf numFmtId="166" fontId="5" fillId="4" borderId="1" xfId="0" applyNumberFormat="1" applyFont="1" applyFill="1" applyBorder="1" applyAlignment="1">
      <alignment horizontal="center"/>
    </xf>
    <xf numFmtId="0" fontId="7" fillId="2" borderId="1" xfId="0" applyFont="1" applyFill="1" applyBorder="1"/>
    <xf numFmtId="0" fontId="0" fillId="2" borderId="1" xfId="0" applyFill="1" applyBorder="1"/>
    <xf numFmtId="0" fontId="8" fillId="4" borderId="1" xfId="0" applyFont="1" applyFill="1" applyBorder="1" applyAlignment="1">
      <alignment horizontal="center" vertical="center" wrapText="1"/>
    </xf>
    <xf numFmtId="0" fontId="0" fillId="6" borderId="1" xfId="0" applyFill="1" applyBorder="1"/>
    <xf numFmtId="0" fontId="9" fillId="6" borderId="1" xfId="0" applyFont="1" applyFill="1" applyBorder="1"/>
    <xf numFmtId="3" fontId="9" fillId="6" borderId="1" xfId="0" applyNumberFormat="1" applyFont="1" applyFill="1" applyBorder="1" applyAlignment="1">
      <alignment horizontal="center"/>
    </xf>
    <xf numFmtId="14" fontId="5" fillId="0" borderId="1" xfId="0" applyNumberFormat="1" applyFont="1" applyBorder="1" applyAlignment="1">
      <alignment horizontal="center"/>
    </xf>
    <xf numFmtId="3" fontId="5" fillId="0" borderId="1" xfId="0" applyNumberFormat="1" applyFont="1" applyBorder="1" applyAlignment="1">
      <alignment horizontal="center"/>
    </xf>
    <xf numFmtId="165" fontId="5" fillId="0" borderId="1" xfId="0" applyNumberFormat="1" applyFont="1" applyBorder="1" applyAlignment="1">
      <alignment horizontal="center"/>
    </xf>
    <xf numFmtId="0" fontId="5" fillId="0" borderId="1" xfId="0" applyFont="1" applyBorder="1" applyAlignment="1">
      <alignment horizontal="center"/>
    </xf>
    <xf numFmtId="0" fontId="10" fillId="0" borderId="0" xfId="0" applyFont="1"/>
    <xf numFmtId="0" fontId="3" fillId="2" borderId="1" xfId="0" applyFont="1" applyFill="1" applyBorder="1" applyAlignment="1">
      <alignment horizontal="center" wrapText="1"/>
    </xf>
    <xf numFmtId="0" fontId="10" fillId="6" borderId="0" xfId="0" applyFont="1" applyFill="1"/>
    <xf numFmtId="0" fontId="0" fillId="6" borderId="0" xfId="0" applyFill="1"/>
    <xf numFmtId="0" fontId="4" fillId="0" borderId="0" xfId="0" applyFont="1" applyAlignment="1">
      <alignment vertical="top" wrapText="1"/>
    </xf>
    <xf numFmtId="0" fontId="11" fillId="7" borderId="1" xfId="0" applyFont="1" applyFill="1" applyBorder="1"/>
    <xf numFmtId="0" fontId="12" fillId="3" borderId="1" xfId="0" applyFont="1" applyFill="1" applyBorder="1"/>
  </cellXfs>
  <cellStyles count="1">
    <cellStyle name="Normal" xfId="0" builtinId="0"/>
  </cellStyles>
  <dxfs count="1">
    <dxf>
      <fill>
        <patternFill>
          <bgColor rgb="FFFCE4D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2F3"/>
      <rgbColor rgb="FFF9F9F9"/>
      <rgbColor rgb="FFFFFF99"/>
      <rgbColor rgb="FF99CCFF"/>
      <rgbColor rgb="FFFF99CC"/>
      <rgbColor rgb="FFCC99FF"/>
      <rgbColor rgb="FFFCE4D6"/>
      <rgbColor rgb="FF4F81BD"/>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sz="1800" b="1" strike="noStrike" spc="-1">
                <a:solidFill>
                  <a:srgbClr val="000000"/>
                </a:solidFill>
                <a:latin typeface="Calibri"/>
              </a:rPr>
              <a:t>Diesel Issued by Month (L)</a:t>
            </a:r>
          </a:p>
        </c:rich>
      </c:tx>
      <c:overlay val="0"/>
      <c:spPr>
        <a:noFill/>
        <a:ln w="0">
          <a:noFill/>
        </a:ln>
      </c:spPr>
    </c:title>
    <c:autoTitleDeleted val="0"/>
    <c:plotArea>
      <c:layout/>
      <c:barChart>
        <c:barDir val="col"/>
        <c:grouping val="clustered"/>
        <c:varyColors val="0"/>
        <c:ser>
          <c:idx val="0"/>
          <c:order val="0"/>
          <c:tx>
            <c:strRef>
              <c:f>'Monthly Issues'!$C$4</c:f>
              <c:strCache>
                <c:ptCount val="1"/>
                <c:pt idx="0">
                  <c:v>Diesel Issued (L)</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'Monthly Issues'!$A$5:$A$8</c:f>
              <c:numCache>
                <c:formatCode>mmm\ yyyy</c:formatCode>
                <c:ptCount val="4"/>
                <c:pt idx="0">
                  <c:v>46143</c:v>
                </c:pt>
                <c:pt idx="1">
                  <c:v>46174</c:v>
                </c:pt>
                <c:pt idx="2">
                  <c:v>46204</c:v>
                </c:pt>
                <c:pt idx="3">
                  <c:v>46235</c:v>
                </c:pt>
              </c:numCache>
            </c:numRef>
          </c:cat>
          <c:val>
            <c:numRef>
              <c:f>'Monthly Issues'!$C$5:$C$8</c:f>
              <c:numCache>
                <c:formatCode>#,##0</c:formatCode>
                <c:ptCount val="4"/>
                <c:pt idx="0">
                  <c:v>240</c:v>
                </c:pt>
                <c:pt idx="1">
                  <c:v>2455</c:v>
                </c:pt>
                <c:pt idx="2">
                  <c:v>13053</c:v>
                </c:pt>
                <c:pt idx="3">
                  <c:v>2655</c:v>
                </c:pt>
              </c:numCache>
            </c:numRef>
          </c:val>
          <c:extLst>
            <c:ext xmlns:c16="http://schemas.microsoft.com/office/drawing/2014/chart" uri="{C3380CC4-5D6E-409C-BE32-E72D297353CC}">
              <c16:uniqueId val="{00000000-3A3D-4A45-9354-A14CEB865D2F}"/>
            </c:ext>
          </c:extLst>
        </c:ser>
        <c:dLbls>
          <c:showLegendKey val="0"/>
          <c:showVal val="0"/>
          <c:showCatName val="0"/>
          <c:showSerName val="0"/>
          <c:showPercent val="0"/>
          <c:showBubbleSize val="0"/>
        </c:dLbls>
        <c:gapWidth val="150"/>
        <c:axId val="79997897"/>
        <c:axId val="76973096"/>
      </c:barChart>
      <c:dateAx>
        <c:axId val="79997897"/>
        <c:scaling>
          <c:orientation val="minMax"/>
        </c:scaling>
        <c:delete val="0"/>
        <c:axPos val="b"/>
        <c:numFmt formatCode="mmm\ yyyy"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6973096"/>
        <c:crosses val="autoZero"/>
        <c:auto val="1"/>
        <c:lblOffset val="100"/>
        <c:baseTimeUnit val="months"/>
      </c:dateAx>
      <c:valAx>
        <c:axId val="769730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sz="1000" b="1" strike="noStrike" spc="-1">
                    <a:solidFill>
                      <a:srgbClr val="000000"/>
                    </a:solidFill>
                    <a:latin typeface="Calibri"/>
                  </a:rPr>
                  <a:t>Litres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999789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160560</xdr:rowOff>
    </xdr:from>
    <xdr:to>
      <xdr:col>5</xdr:col>
      <xdr:colOff>888480</xdr:colOff>
      <xdr:row>25</xdr:row>
      <xdr:rowOff>2520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1"/>
  <sheetViews>
    <sheetView showGridLines="0" tabSelected="1" zoomScaleNormal="100" workbookViewId="0">
      <pane ySplit="4" topLeftCell="A422" activePane="bottomLeft" state="frozen"/>
      <selection pane="bottomLeft" activeCell="H433" sqref="H433"/>
    </sheetView>
  </sheetViews>
  <sheetFormatPr defaultColWidth="8.6640625" defaultRowHeight="14.4" x14ac:dyDescent="0.3"/>
  <cols>
    <col min="1" max="2" width="12" customWidth="1"/>
    <col min="3" max="3" width="18" customWidth="1"/>
    <col min="4" max="4" width="34" customWidth="1"/>
    <col min="5" max="5" width="10" customWidth="1"/>
    <col min="6" max="6" width="18" customWidth="1"/>
  </cols>
  <sheetData>
    <row r="1" spans="1:6" ht="17.399999999999999" x14ac:dyDescent="0.3">
      <c r="A1" s="1" t="s">
        <v>0</v>
      </c>
    </row>
    <row r="2" spans="1:6" x14ac:dyDescent="0.3">
      <c r="A2" s="2" t="s">
        <v>1</v>
      </c>
    </row>
    <row r="4" spans="1:6" ht="30" customHeight="1" x14ac:dyDescent="0.3">
      <c r="A4" s="3" t="s">
        <v>2</v>
      </c>
      <c r="B4" s="3" t="s">
        <v>3</v>
      </c>
      <c r="C4" s="3" t="s">
        <v>4</v>
      </c>
      <c r="D4" s="3" t="s">
        <v>5</v>
      </c>
      <c r="E4" s="3" t="s">
        <v>6</v>
      </c>
      <c r="F4" s="3" t="s">
        <v>7</v>
      </c>
    </row>
    <row r="5" spans="1:6" x14ac:dyDescent="0.3">
      <c r="A5" s="4">
        <v>46153</v>
      </c>
      <c r="B5" s="5">
        <f t="shared" ref="B5:B68" si="0">DATE(YEAR(A5),MONTH(A5),1)</f>
        <v>46143</v>
      </c>
      <c r="C5" s="6" t="s">
        <v>8</v>
      </c>
      <c r="D5" s="7" t="s">
        <v>9</v>
      </c>
      <c r="E5" s="8">
        <v>20</v>
      </c>
      <c r="F5" s="9" t="s">
        <v>10</v>
      </c>
    </row>
    <row r="6" spans="1:6" x14ac:dyDescent="0.3">
      <c r="A6" s="4">
        <v>46156</v>
      </c>
      <c r="B6" s="5">
        <f t="shared" si="0"/>
        <v>46143</v>
      </c>
      <c r="C6" s="6" t="s">
        <v>8</v>
      </c>
      <c r="D6" s="7" t="s">
        <v>9</v>
      </c>
      <c r="E6" s="8">
        <v>60</v>
      </c>
      <c r="F6" s="9" t="s">
        <v>10</v>
      </c>
    </row>
    <row r="7" spans="1:6" x14ac:dyDescent="0.3">
      <c r="A7" s="4">
        <v>46162</v>
      </c>
      <c r="B7" s="5">
        <f t="shared" si="0"/>
        <v>46143</v>
      </c>
      <c r="C7" s="6" t="s">
        <v>8</v>
      </c>
      <c r="D7" s="7" t="s">
        <v>9</v>
      </c>
      <c r="E7" s="8">
        <v>60</v>
      </c>
      <c r="F7" s="9" t="s">
        <v>10</v>
      </c>
    </row>
    <row r="8" spans="1:6" x14ac:dyDescent="0.3">
      <c r="A8" s="4">
        <v>46165</v>
      </c>
      <c r="B8" s="5">
        <f t="shared" si="0"/>
        <v>46143</v>
      </c>
      <c r="C8" s="6" t="s">
        <v>8</v>
      </c>
      <c r="D8" s="7" t="s">
        <v>9</v>
      </c>
      <c r="E8" s="8">
        <v>40</v>
      </c>
      <c r="F8" s="9" t="s">
        <v>10</v>
      </c>
    </row>
    <row r="9" spans="1:6" x14ac:dyDescent="0.3">
      <c r="A9" s="4">
        <v>46166</v>
      </c>
      <c r="B9" s="5">
        <f t="shared" si="0"/>
        <v>46143</v>
      </c>
      <c r="C9" s="6" t="s">
        <v>8</v>
      </c>
      <c r="D9" s="7" t="s">
        <v>9</v>
      </c>
      <c r="E9" s="8">
        <v>60</v>
      </c>
      <c r="F9" s="9" t="s">
        <v>10</v>
      </c>
    </row>
    <row r="10" spans="1:6" x14ac:dyDescent="0.3">
      <c r="A10" s="4">
        <v>46177</v>
      </c>
      <c r="B10" s="5">
        <f t="shared" si="0"/>
        <v>46174</v>
      </c>
      <c r="C10" s="6" t="s">
        <v>8</v>
      </c>
      <c r="D10" s="7" t="s">
        <v>9</v>
      </c>
      <c r="E10" s="8">
        <v>20</v>
      </c>
      <c r="F10" s="9" t="s">
        <v>10</v>
      </c>
    </row>
    <row r="11" spans="1:6" x14ac:dyDescent="0.3">
      <c r="A11" s="4">
        <v>46177</v>
      </c>
      <c r="B11" s="5">
        <f t="shared" si="0"/>
        <v>46174</v>
      </c>
      <c r="C11" s="6" t="s">
        <v>11</v>
      </c>
      <c r="D11" s="7" t="s">
        <v>12</v>
      </c>
      <c r="E11" s="8">
        <v>40</v>
      </c>
      <c r="F11" s="9" t="s">
        <v>10</v>
      </c>
    </row>
    <row r="12" spans="1:6" x14ac:dyDescent="0.3">
      <c r="A12" s="4">
        <v>46178</v>
      </c>
      <c r="B12" s="5">
        <f t="shared" si="0"/>
        <v>46174</v>
      </c>
      <c r="C12" s="6" t="s">
        <v>8</v>
      </c>
      <c r="D12" s="7" t="s">
        <v>9</v>
      </c>
      <c r="E12" s="8">
        <v>20</v>
      </c>
      <c r="F12" s="9" t="s">
        <v>10</v>
      </c>
    </row>
    <row r="13" spans="1:6" x14ac:dyDescent="0.3">
      <c r="A13" s="4">
        <v>46178</v>
      </c>
      <c r="B13" s="5">
        <f t="shared" si="0"/>
        <v>46174</v>
      </c>
      <c r="C13" s="6" t="s">
        <v>11</v>
      </c>
      <c r="D13" s="7" t="s">
        <v>12</v>
      </c>
      <c r="E13" s="8">
        <v>40</v>
      </c>
      <c r="F13" s="9" t="s">
        <v>10</v>
      </c>
    </row>
    <row r="14" spans="1:6" x14ac:dyDescent="0.3">
      <c r="A14" s="4">
        <v>46179</v>
      </c>
      <c r="B14" s="5">
        <f t="shared" si="0"/>
        <v>46174</v>
      </c>
      <c r="C14" s="6" t="s">
        <v>13</v>
      </c>
      <c r="D14" s="6" t="s">
        <v>13</v>
      </c>
      <c r="E14" s="8">
        <v>5</v>
      </c>
      <c r="F14" s="9" t="s">
        <v>10</v>
      </c>
    </row>
    <row r="15" spans="1:6" x14ac:dyDescent="0.3">
      <c r="A15" s="4">
        <v>46181</v>
      </c>
      <c r="B15" s="5">
        <f t="shared" si="0"/>
        <v>46174</v>
      </c>
      <c r="C15" s="6" t="s">
        <v>13</v>
      </c>
      <c r="D15" s="6" t="s">
        <v>13</v>
      </c>
      <c r="E15" s="8">
        <v>10</v>
      </c>
      <c r="F15" s="9" t="s">
        <v>10</v>
      </c>
    </row>
    <row r="16" spans="1:6" x14ac:dyDescent="0.3">
      <c r="A16" s="4">
        <v>46181</v>
      </c>
      <c r="B16" s="5">
        <f t="shared" si="0"/>
        <v>46174</v>
      </c>
      <c r="C16" s="6" t="s">
        <v>14</v>
      </c>
      <c r="D16" s="7" t="s">
        <v>15</v>
      </c>
      <c r="E16" s="8">
        <v>60</v>
      </c>
      <c r="F16" s="9" t="s">
        <v>10</v>
      </c>
    </row>
    <row r="17" spans="1:6" x14ac:dyDescent="0.3">
      <c r="A17" s="4">
        <v>46182</v>
      </c>
      <c r="B17" s="5">
        <f t="shared" si="0"/>
        <v>46174</v>
      </c>
      <c r="C17" s="6" t="s">
        <v>14</v>
      </c>
      <c r="D17" s="7" t="s">
        <v>15</v>
      </c>
      <c r="E17" s="8">
        <v>20</v>
      </c>
      <c r="F17" s="9" t="s">
        <v>10</v>
      </c>
    </row>
    <row r="18" spans="1:6" x14ac:dyDescent="0.3">
      <c r="A18" s="4">
        <v>46182</v>
      </c>
      <c r="B18" s="5">
        <f t="shared" si="0"/>
        <v>46174</v>
      </c>
      <c r="C18" s="6" t="s">
        <v>16</v>
      </c>
      <c r="D18" s="7" t="s">
        <v>17</v>
      </c>
      <c r="E18" s="8">
        <v>60</v>
      </c>
      <c r="F18" s="9" t="s">
        <v>10</v>
      </c>
    </row>
    <row r="19" spans="1:6" x14ac:dyDescent="0.3">
      <c r="A19" s="4">
        <v>46183</v>
      </c>
      <c r="B19" s="5">
        <f t="shared" si="0"/>
        <v>46174</v>
      </c>
      <c r="C19" s="6" t="s">
        <v>8</v>
      </c>
      <c r="D19" s="7" t="s">
        <v>9</v>
      </c>
      <c r="E19" s="8">
        <v>30</v>
      </c>
      <c r="F19" s="9" t="s">
        <v>10</v>
      </c>
    </row>
    <row r="20" spans="1:6" x14ac:dyDescent="0.3">
      <c r="A20" s="4">
        <v>46183</v>
      </c>
      <c r="B20" s="5">
        <f t="shared" si="0"/>
        <v>46174</v>
      </c>
      <c r="C20" s="6" t="s">
        <v>14</v>
      </c>
      <c r="D20" s="7" t="s">
        <v>18</v>
      </c>
      <c r="E20" s="8">
        <v>60</v>
      </c>
      <c r="F20" s="9" t="s">
        <v>10</v>
      </c>
    </row>
    <row r="21" spans="1:6" x14ac:dyDescent="0.3">
      <c r="A21" s="4">
        <v>46183</v>
      </c>
      <c r="B21" s="5">
        <f t="shared" si="0"/>
        <v>46174</v>
      </c>
      <c r="C21" s="6" t="s">
        <v>16</v>
      </c>
      <c r="D21" s="7" t="s">
        <v>17</v>
      </c>
      <c r="E21" s="8">
        <v>40</v>
      </c>
      <c r="F21" s="9" t="s">
        <v>10</v>
      </c>
    </row>
    <row r="22" spans="1:6" x14ac:dyDescent="0.3">
      <c r="A22" s="4">
        <v>46185</v>
      </c>
      <c r="B22" s="5">
        <f t="shared" si="0"/>
        <v>46174</v>
      </c>
      <c r="C22" s="6" t="s">
        <v>13</v>
      </c>
      <c r="D22" s="6" t="s">
        <v>13</v>
      </c>
      <c r="E22" s="8">
        <v>10</v>
      </c>
      <c r="F22" s="9" t="s">
        <v>10</v>
      </c>
    </row>
    <row r="23" spans="1:6" x14ac:dyDescent="0.3">
      <c r="A23" s="4">
        <v>46185</v>
      </c>
      <c r="B23" s="5">
        <f t="shared" si="0"/>
        <v>46174</v>
      </c>
      <c r="C23" s="6" t="s">
        <v>16</v>
      </c>
      <c r="D23" s="6" t="s">
        <v>16</v>
      </c>
      <c r="E23" s="8">
        <v>60</v>
      </c>
      <c r="F23" s="9" t="s">
        <v>10</v>
      </c>
    </row>
    <row r="24" spans="1:6" x14ac:dyDescent="0.3">
      <c r="A24" s="4">
        <v>46186</v>
      </c>
      <c r="B24" s="5">
        <f t="shared" si="0"/>
        <v>46174</v>
      </c>
      <c r="C24" s="6" t="s">
        <v>13</v>
      </c>
      <c r="D24" s="6" t="s">
        <v>13</v>
      </c>
      <c r="E24" s="8">
        <v>10</v>
      </c>
      <c r="F24" s="9" t="s">
        <v>10</v>
      </c>
    </row>
    <row r="25" spans="1:6" x14ac:dyDescent="0.3">
      <c r="A25" s="4">
        <v>46186</v>
      </c>
      <c r="B25" s="5">
        <f t="shared" si="0"/>
        <v>46174</v>
      </c>
      <c r="C25" s="6" t="s">
        <v>14</v>
      </c>
      <c r="D25" s="7" t="s">
        <v>18</v>
      </c>
      <c r="E25" s="8">
        <v>20</v>
      </c>
      <c r="F25" s="9" t="s">
        <v>10</v>
      </c>
    </row>
    <row r="26" spans="1:6" x14ac:dyDescent="0.3">
      <c r="A26" s="4">
        <v>46187</v>
      </c>
      <c r="B26" s="5">
        <f t="shared" si="0"/>
        <v>46174</v>
      </c>
      <c r="C26" s="6" t="s">
        <v>8</v>
      </c>
      <c r="D26" s="7" t="s">
        <v>9</v>
      </c>
      <c r="E26" s="8">
        <v>20</v>
      </c>
      <c r="F26" s="9" t="s">
        <v>10</v>
      </c>
    </row>
    <row r="27" spans="1:6" x14ac:dyDescent="0.3">
      <c r="A27" s="4">
        <v>46187</v>
      </c>
      <c r="B27" s="5">
        <f t="shared" si="0"/>
        <v>46174</v>
      </c>
      <c r="C27" s="6" t="s">
        <v>14</v>
      </c>
      <c r="D27" s="6" t="s">
        <v>14</v>
      </c>
      <c r="E27" s="8">
        <v>20</v>
      </c>
      <c r="F27" s="9" t="s">
        <v>10</v>
      </c>
    </row>
    <row r="28" spans="1:6" x14ac:dyDescent="0.3">
      <c r="A28" s="4">
        <v>46187</v>
      </c>
      <c r="B28" s="5">
        <f t="shared" si="0"/>
        <v>46174</v>
      </c>
      <c r="C28" s="6" t="s">
        <v>19</v>
      </c>
      <c r="D28" s="6" t="s">
        <v>19</v>
      </c>
      <c r="E28" s="8">
        <v>40</v>
      </c>
      <c r="F28" s="9" t="s">
        <v>10</v>
      </c>
    </row>
    <row r="29" spans="1:6" x14ac:dyDescent="0.3">
      <c r="A29" s="4">
        <v>46187</v>
      </c>
      <c r="B29" s="5">
        <f t="shared" si="0"/>
        <v>46174</v>
      </c>
      <c r="C29" s="6" t="s">
        <v>16</v>
      </c>
      <c r="D29" s="6" t="s">
        <v>16</v>
      </c>
      <c r="E29" s="8">
        <v>40</v>
      </c>
      <c r="F29" s="9" t="s">
        <v>10</v>
      </c>
    </row>
    <row r="30" spans="1:6" x14ac:dyDescent="0.3">
      <c r="A30" s="4">
        <v>46188</v>
      </c>
      <c r="B30" s="5">
        <f t="shared" si="0"/>
        <v>46174</v>
      </c>
      <c r="C30" s="6" t="s">
        <v>13</v>
      </c>
      <c r="D30" s="6" t="s">
        <v>13</v>
      </c>
      <c r="E30" s="8">
        <v>10</v>
      </c>
      <c r="F30" s="9" t="s">
        <v>10</v>
      </c>
    </row>
    <row r="31" spans="1:6" x14ac:dyDescent="0.3">
      <c r="A31" s="4">
        <v>46188</v>
      </c>
      <c r="B31" s="5">
        <f t="shared" si="0"/>
        <v>46174</v>
      </c>
      <c r="C31" s="6" t="s">
        <v>14</v>
      </c>
      <c r="D31" s="6" t="s">
        <v>14</v>
      </c>
      <c r="E31" s="8">
        <v>30</v>
      </c>
      <c r="F31" s="9" t="s">
        <v>10</v>
      </c>
    </row>
    <row r="32" spans="1:6" x14ac:dyDescent="0.3">
      <c r="A32" s="4">
        <v>46188</v>
      </c>
      <c r="B32" s="5">
        <f t="shared" si="0"/>
        <v>46174</v>
      </c>
      <c r="C32" s="6" t="s">
        <v>19</v>
      </c>
      <c r="D32" s="6" t="s">
        <v>19</v>
      </c>
      <c r="E32" s="8">
        <v>30</v>
      </c>
      <c r="F32" s="9" t="s">
        <v>10</v>
      </c>
    </row>
    <row r="33" spans="1:6" x14ac:dyDescent="0.3">
      <c r="A33" s="4">
        <v>46188</v>
      </c>
      <c r="B33" s="5">
        <f t="shared" si="0"/>
        <v>46174</v>
      </c>
      <c r="C33" s="6" t="s">
        <v>16</v>
      </c>
      <c r="D33" s="6" t="s">
        <v>16</v>
      </c>
      <c r="E33" s="8">
        <v>30</v>
      </c>
      <c r="F33" s="9" t="s">
        <v>10</v>
      </c>
    </row>
    <row r="34" spans="1:6" x14ac:dyDescent="0.3">
      <c r="A34" s="4">
        <v>46189</v>
      </c>
      <c r="B34" s="5">
        <f t="shared" si="0"/>
        <v>46174</v>
      </c>
      <c r="C34" s="6" t="s">
        <v>13</v>
      </c>
      <c r="D34" s="6" t="s">
        <v>13</v>
      </c>
      <c r="E34" s="8">
        <v>10</v>
      </c>
      <c r="F34" s="9" t="s">
        <v>10</v>
      </c>
    </row>
    <row r="35" spans="1:6" x14ac:dyDescent="0.3">
      <c r="A35" s="4">
        <v>46189</v>
      </c>
      <c r="B35" s="5">
        <f t="shared" si="0"/>
        <v>46174</v>
      </c>
      <c r="C35" s="6" t="s">
        <v>19</v>
      </c>
      <c r="D35" s="6" t="s">
        <v>19</v>
      </c>
      <c r="E35" s="8">
        <v>20</v>
      </c>
      <c r="F35" s="9" t="s">
        <v>10</v>
      </c>
    </row>
    <row r="36" spans="1:6" x14ac:dyDescent="0.3">
      <c r="A36" s="4">
        <v>46189</v>
      </c>
      <c r="B36" s="5">
        <f t="shared" si="0"/>
        <v>46174</v>
      </c>
      <c r="C36" s="6" t="s">
        <v>16</v>
      </c>
      <c r="D36" s="6" t="s">
        <v>16</v>
      </c>
      <c r="E36" s="8">
        <v>40</v>
      </c>
      <c r="F36" s="9" t="s">
        <v>10</v>
      </c>
    </row>
    <row r="37" spans="1:6" x14ac:dyDescent="0.3">
      <c r="A37" s="4">
        <v>46189</v>
      </c>
      <c r="B37" s="5">
        <f t="shared" si="0"/>
        <v>46174</v>
      </c>
      <c r="C37" s="6" t="s">
        <v>16</v>
      </c>
      <c r="D37" s="6" t="s">
        <v>16</v>
      </c>
      <c r="E37" s="8">
        <v>40</v>
      </c>
      <c r="F37" s="9" t="s">
        <v>10</v>
      </c>
    </row>
    <row r="38" spans="1:6" x14ac:dyDescent="0.3">
      <c r="A38" s="4">
        <v>46190</v>
      </c>
      <c r="B38" s="5">
        <f t="shared" si="0"/>
        <v>46174</v>
      </c>
      <c r="C38" s="6" t="s">
        <v>13</v>
      </c>
      <c r="D38" s="6" t="s">
        <v>13</v>
      </c>
      <c r="E38" s="8">
        <v>10</v>
      </c>
      <c r="F38" s="9" t="s">
        <v>10</v>
      </c>
    </row>
    <row r="39" spans="1:6" x14ac:dyDescent="0.3">
      <c r="A39" s="4">
        <v>46190</v>
      </c>
      <c r="B39" s="5">
        <f t="shared" si="0"/>
        <v>46174</v>
      </c>
      <c r="C39" s="6" t="s">
        <v>20</v>
      </c>
      <c r="D39" s="6" t="s">
        <v>20</v>
      </c>
      <c r="E39" s="8">
        <v>80</v>
      </c>
      <c r="F39" s="9" t="s">
        <v>10</v>
      </c>
    </row>
    <row r="40" spans="1:6" x14ac:dyDescent="0.3">
      <c r="A40" s="4">
        <v>46190</v>
      </c>
      <c r="B40" s="5">
        <f t="shared" si="0"/>
        <v>46174</v>
      </c>
      <c r="C40" s="6" t="s">
        <v>16</v>
      </c>
      <c r="D40" s="6" t="s">
        <v>16</v>
      </c>
      <c r="E40" s="8">
        <v>80</v>
      </c>
      <c r="F40" s="9" t="s">
        <v>10</v>
      </c>
    </row>
    <row r="41" spans="1:6" x14ac:dyDescent="0.3">
      <c r="A41" s="4">
        <v>46192</v>
      </c>
      <c r="B41" s="5">
        <f t="shared" si="0"/>
        <v>46174</v>
      </c>
      <c r="C41" s="6" t="s">
        <v>8</v>
      </c>
      <c r="D41" s="7" t="s">
        <v>9</v>
      </c>
      <c r="E41" s="8">
        <v>40</v>
      </c>
      <c r="F41" s="9" t="s">
        <v>10</v>
      </c>
    </row>
    <row r="42" spans="1:6" x14ac:dyDescent="0.3">
      <c r="A42" s="4">
        <v>46192</v>
      </c>
      <c r="B42" s="5">
        <f t="shared" si="0"/>
        <v>46174</v>
      </c>
      <c r="C42" s="6" t="s">
        <v>13</v>
      </c>
      <c r="D42" s="6" t="s">
        <v>13</v>
      </c>
      <c r="E42" s="8">
        <v>10</v>
      </c>
      <c r="F42" s="9" t="s">
        <v>10</v>
      </c>
    </row>
    <row r="43" spans="1:6" x14ac:dyDescent="0.3">
      <c r="A43" s="4">
        <v>46193</v>
      </c>
      <c r="B43" s="5">
        <f t="shared" si="0"/>
        <v>46174</v>
      </c>
      <c r="C43" s="6" t="s">
        <v>14</v>
      </c>
      <c r="D43" s="6" t="s">
        <v>14</v>
      </c>
      <c r="E43" s="8">
        <v>20</v>
      </c>
      <c r="F43" s="9" t="s">
        <v>10</v>
      </c>
    </row>
    <row r="44" spans="1:6" x14ac:dyDescent="0.3">
      <c r="A44" s="4">
        <v>46193</v>
      </c>
      <c r="B44" s="5">
        <f t="shared" si="0"/>
        <v>46174</v>
      </c>
      <c r="C44" s="6" t="s">
        <v>19</v>
      </c>
      <c r="D44" s="6" t="s">
        <v>19</v>
      </c>
      <c r="E44" s="8">
        <v>40</v>
      </c>
      <c r="F44" s="9" t="s">
        <v>10</v>
      </c>
    </row>
    <row r="45" spans="1:6" x14ac:dyDescent="0.3">
      <c r="A45" s="4">
        <v>46193</v>
      </c>
      <c r="B45" s="5">
        <f t="shared" si="0"/>
        <v>46174</v>
      </c>
      <c r="C45" s="6" t="s">
        <v>16</v>
      </c>
      <c r="D45" s="6" t="s">
        <v>16</v>
      </c>
      <c r="E45" s="8">
        <v>60</v>
      </c>
      <c r="F45" s="9" t="s">
        <v>10</v>
      </c>
    </row>
    <row r="46" spans="1:6" x14ac:dyDescent="0.3">
      <c r="A46" s="4">
        <v>46193</v>
      </c>
      <c r="B46" s="5">
        <f t="shared" si="0"/>
        <v>46174</v>
      </c>
      <c r="C46" s="6" t="s">
        <v>21</v>
      </c>
      <c r="D46" s="6" t="s">
        <v>21</v>
      </c>
      <c r="E46" s="8">
        <v>10</v>
      </c>
      <c r="F46" s="9" t="s">
        <v>10</v>
      </c>
    </row>
    <row r="47" spans="1:6" x14ac:dyDescent="0.3">
      <c r="A47" s="4">
        <v>46194</v>
      </c>
      <c r="B47" s="5">
        <f t="shared" si="0"/>
        <v>46174</v>
      </c>
      <c r="C47" s="6" t="s">
        <v>13</v>
      </c>
      <c r="D47" s="6" t="s">
        <v>13</v>
      </c>
      <c r="E47" s="8">
        <v>10</v>
      </c>
      <c r="F47" s="9" t="s">
        <v>10</v>
      </c>
    </row>
    <row r="48" spans="1:6" x14ac:dyDescent="0.3">
      <c r="A48" s="4">
        <v>46194</v>
      </c>
      <c r="B48" s="5">
        <f t="shared" si="0"/>
        <v>46174</v>
      </c>
      <c r="C48" s="6" t="s">
        <v>14</v>
      </c>
      <c r="D48" s="6" t="s">
        <v>14</v>
      </c>
      <c r="E48" s="8">
        <v>40</v>
      </c>
      <c r="F48" s="9" t="s">
        <v>10</v>
      </c>
    </row>
    <row r="49" spans="1:6" x14ac:dyDescent="0.3">
      <c r="A49" s="4">
        <v>46194</v>
      </c>
      <c r="B49" s="5">
        <f t="shared" si="0"/>
        <v>46174</v>
      </c>
      <c r="C49" s="6" t="s">
        <v>19</v>
      </c>
      <c r="D49" s="6" t="s">
        <v>19</v>
      </c>
      <c r="E49" s="8">
        <v>40</v>
      </c>
      <c r="F49" s="9" t="s">
        <v>10</v>
      </c>
    </row>
    <row r="50" spans="1:6" x14ac:dyDescent="0.3">
      <c r="A50" s="4">
        <v>46194</v>
      </c>
      <c r="B50" s="5">
        <f t="shared" si="0"/>
        <v>46174</v>
      </c>
      <c r="C50" s="6" t="s">
        <v>20</v>
      </c>
      <c r="D50" s="6" t="s">
        <v>20</v>
      </c>
      <c r="E50" s="8">
        <v>70</v>
      </c>
      <c r="F50" s="9" t="s">
        <v>10</v>
      </c>
    </row>
    <row r="51" spans="1:6" x14ac:dyDescent="0.3">
      <c r="A51" s="4">
        <v>46194</v>
      </c>
      <c r="B51" s="5">
        <f t="shared" si="0"/>
        <v>46174</v>
      </c>
      <c r="C51" s="6" t="s">
        <v>16</v>
      </c>
      <c r="D51" s="6" t="s">
        <v>16</v>
      </c>
      <c r="E51" s="8">
        <v>70</v>
      </c>
      <c r="F51" s="9" t="s">
        <v>10</v>
      </c>
    </row>
    <row r="52" spans="1:6" x14ac:dyDescent="0.3">
      <c r="A52" s="4">
        <v>46194</v>
      </c>
      <c r="B52" s="5">
        <f t="shared" si="0"/>
        <v>46174</v>
      </c>
      <c r="C52" s="6" t="s">
        <v>21</v>
      </c>
      <c r="D52" s="6" t="s">
        <v>21</v>
      </c>
      <c r="E52" s="8">
        <v>10</v>
      </c>
      <c r="F52" s="9" t="s">
        <v>10</v>
      </c>
    </row>
    <row r="53" spans="1:6" x14ac:dyDescent="0.3">
      <c r="A53" s="4">
        <v>46195</v>
      </c>
      <c r="B53" s="5">
        <f t="shared" si="0"/>
        <v>46174</v>
      </c>
      <c r="C53" s="6" t="s">
        <v>13</v>
      </c>
      <c r="D53" s="6" t="s">
        <v>13</v>
      </c>
      <c r="E53" s="8">
        <v>10</v>
      </c>
      <c r="F53" s="9" t="s">
        <v>10</v>
      </c>
    </row>
    <row r="54" spans="1:6" x14ac:dyDescent="0.3">
      <c r="A54" s="4">
        <v>46195</v>
      </c>
      <c r="B54" s="5">
        <f t="shared" si="0"/>
        <v>46174</v>
      </c>
      <c r="C54" s="6" t="s">
        <v>14</v>
      </c>
      <c r="D54" s="6" t="s">
        <v>14</v>
      </c>
      <c r="E54" s="8">
        <v>40</v>
      </c>
      <c r="F54" s="9" t="s">
        <v>10</v>
      </c>
    </row>
    <row r="55" spans="1:6" x14ac:dyDescent="0.3">
      <c r="A55" s="4">
        <v>46195</v>
      </c>
      <c r="B55" s="5">
        <f t="shared" si="0"/>
        <v>46174</v>
      </c>
      <c r="C55" s="6" t="s">
        <v>21</v>
      </c>
      <c r="D55" s="6" t="s">
        <v>21</v>
      </c>
      <c r="E55" s="8">
        <v>20</v>
      </c>
      <c r="F55" s="9" t="s">
        <v>10</v>
      </c>
    </row>
    <row r="56" spans="1:6" x14ac:dyDescent="0.3">
      <c r="A56" s="4">
        <v>46195</v>
      </c>
      <c r="B56" s="5">
        <f t="shared" si="0"/>
        <v>46174</v>
      </c>
      <c r="C56" s="6" t="s">
        <v>22</v>
      </c>
      <c r="D56" s="6" t="s">
        <v>22</v>
      </c>
      <c r="E56" s="8">
        <v>20</v>
      </c>
      <c r="F56" s="9" t="s">
        <v>10</v>
      </c>
    </row>
    <row r="57" spans="1:6" x14ac:dyDescent="0.3">
      <c r="A57" s="4">
        <v>46196</v>
      </c>
      <c r="B57" s="5">
        <f t="shared" si="0"/>
        <v>46174</v>
      </c>
      <c r="C57" s="6" t="s">
        <v>20</v>
      </c>
      <c r="D57" s="6" t="s">
        <v>20</v>
      </c>
      <c r="E57" s="8">
        <v>50</v>
      </c>
      <c r="F57" s="9" t="s">
        <v>10</v>
      </c>
    </row>
    <row r="58" spans="1:6" x14ac:dyDescent="0.3">
      <c r="A58" s="4">
        <v>46196</v>
      </c>
      <c r="B58" s="5">
        <f t="shared" si="0"/>
        <v>46174</v>
      </c>
      <c r="C58" s="6" t="s">
        <v>16</v>
      </c>
      <c r="D58" s="6" t="s">
        <v>16</v>
      </c>
      <c r="E58" s="8">
        <v>80</v>
      </c>
      <c r="F58" s="9" t="s">
        <v>10</v>
      </c>
    </row>
    <row r="59" spans="1:6" x14ac:dyDescent="0.3">
      <c r="A59" s="4">
        <v>46196</v>
      </c>
      <c r="B59" s="5">
        <f t="shared" si="0"/>
        <v>46174</v>
      </c>
      <c r="C59" s="6" t="s">
        <v>21</v>
      </c>
      <c r="D59" s="6" t="s">
        <v>21</v>
      </c>
      <c r="E59" s="8">
        <v>10</v>
      </c>
      <c r="F59" s="9" t="s">
        <v>10</v>
      </c>
    </row>
    <row r="60" spans="1:6" x14ac:dyDescent="0.3">
      <c r="A60" s="4">
        <v>46197</v>
      </c>
      <c r="B60" s="5">
        <f t="shared" si="0"/>
        <v>46174</v>
      </c>
      <c r="C60" s="6" t="s">
        <v>13</v>
      </c>
      <c r="D60" s="6" t="s">
        <v>13</v>
      </c>
      <c r="E60" s="8">
        <v>10</v>
      </c>
      <c r="F60" s="9" t="s">
        <v>10</v>
      </c>
    </row>
    <row r="61" spans="1:6" x14ac:dyDescent="0.3">
      <c r="A61" s="4">
        <v>46197</v>
      </c>
      <c r="B61" s="5">
        <f t="shared" si="0"/>
        <v>46174</v>
      </c>
      <c r="C61" s="6" t="s">
        <v>20</v>
      </c>
      <c r="D61" s="6" t="s">
        <v>20</v>
      </c>
      <c r="E61" s="8">
        <v>60</v>
      </c>
      <c r="F61" s="9" t="s">
        <v>10</v>
      </c>
    </row>
    <row r="62" spans="1:6" x14ac:dyDescent="0.3">
      <c r="A62" s="4">
        <v>46197</v>
      </c>
      <c r="B62" s="5">
        <f t="shared" si="0"/>
        <v>46174</v>
      </c>
      <c r="C62" s="6" t="s">
        <v>23</v>
      </c>
      <c r="D62" s="6" t="s">
        <v>23</v>
      </c>
      <c r="E62" s="8">
        <v>30</v>
      </c>
      <c r="F62" s="9" t="s">
        <v>10</v>
      </c>
    </row>
    <row r="63" spans="1:6" x14ac:dyDescent="0.3">
      <c r="A63" s="4">
        <v>46197</v>
      </c>
      <c r="B63" s="5">
        <f t="shared" si="0"/>
        <v>46174</v>
      </c>
      <c r="C63" s="6" t="s">
        <v>21</v>
      </c>
      <c r="D63" s="6" t="s">
        <v>21</v>
      </c>
      <c r="E63" s="8">
        <v>20</v>
      </c>
      <c r="F63" s="9" t="s">
        <v>10</v>
      </c>
    </row>
    <row r="64" spans="1:6" x14ac:dyDescent="0.3">
      <c r="A64" s="4">
        <v>46198</v>
      </c>
      <c r="B64" s="5">
        <f t="shared" si="0"/>
        <v>46174</v>
      </c>
      <c r="C64" s="6" t="s">
        <v>19</v>
      </c>
      <c r="D64" s="7" t="s">
        <v>24</v>
      </c>
      <c r="E64" s="8">
        <v>30</v>
      </c>
      <c r="F64" s="9" t="s">
        <v>10</v>
      </c>
    </row>
    <row r="65" spans="1:6" x14ac:dyDescent="0.3">
      <c r="A65" s="4">
        <v>46198</v>
      </c>
      <c r="B65" s="5">
        <f t="shared" si="0"/>
        <v>46174</v>
      </c>
      <c r="C65" s="6" t="s">
        <v>20</v>
      </c>
      <c r="D65" s="6" t="s">
        <v>20</v>
      </c>
      <c r="E65" s="8">
        <v>80</v>
      </c>
      <c r="F65" s="9" t="s">
        <v>10</v>
      </c>
    </row>
    <row r="66" spans="1:6" x14ac:dyDescent="0.3">
      <c r="A66" s="4">
        <v>46198</v>
      </c>
      <c r="B66" s="5">
        <f t="shared" si="0"/>
        <v>46174</v>
      </c>
      <c r="C66" s="6" t="s">
        <v>16</v>
      </c>
      <c r="D66" s="6" t="s">
        <v>16</v>
      </c>
      <c r="E66" s="8">
        <v>60</v>
      </c>
      <c r="F66" s="9" t="s">
        <v>10</v>
      </c>
    </row>
    <row r="67" spans="1:6" x14ac:dyDescent="0.3">
      <c r="A67" s="4">
        <v>46198</v>
      </c>
      <c r="B67" s="5">
        <f t="shared" si="0"/>
        <v>46174</v>
      </c>
      <c r="C67" s="6" t="s">
        <v>21</v>
      </c>
      <c r="D67" s="6" t="s">
        <v>21</v>
      </c>
      <c r="E67" s="8">
        <v>10</v>
      </c>
      <c r="F67" s="9" t="s">
        <v>10</v>
      </c>
    </row>
    <row r="68" spans="1:6" x14ac:dyDescent="0.3">
      <c r="A68" s="4">
        <v>46198</v>
      </c>
      <c r="B68" s="5">
        <f t="shared" si="0"/>
        <v>46174</v>
      </c>
      <c r="C68" s="6" t="s">
        <v>22</v>
      </c>
      <c r="D68" s="6" t="s">
        <v>22</v>
      </c>
      <c r="E68" s="8">
        <v>30</v>
      </c>
      <c r="F68" s="9" t="s">
        <v>10</v>
      </c>
    </row>
    <row r="69" spans="1:6" x14ac:dyDescent="0.3">
      <c r="A69" s="4">
        <v>46199</v>
      </c>
      <c r="B69" s="5">
        <f t="shared" ref="B69:B132" si="1">DATE(YEAR(A69),MONTH(A69),1)</f>
        <v>46174</v>
      </c>
      <c r="C69" s="6" t="s">
        <v>13</v>
      </c>
      <c r="D69" s="6" t="s">
        <v>13</v>
      </c>
      <c r="E69" s="8">
        <v>10</v>
      </c>
      <c r="F69" s="9" t="s">
        <v>10</v>
      </c>
    </row>
    <row r="70" spans="1:6" x14ac:dyDescent="0.3">
      <c r="A70" s="4">
        <v>46199</v>
      </c>
      <c r="B70" s="5">
        <f t="shared" si="1"/>
        <v>46174</v>
      </c>
      <c r="C70" s="6" t="s">
        <v>14</v>
      </c>
      <c r="D70" s="7" t="s">
        <v>18</v>
      </c>
      <c r="E70" s="8">
        <v>40</v>
      </c>
      <c r="F70" s="9" t="s">
        <v>10</v>
      </c>
    </row>
    <row r="71" spans="1:6" x14ac:dyDescent="0.3">
      <c r="A71" s="4">
        <v>46199</v>
      </c>
      <c r="B71" s="5">
        <f t="shared" si="1"/>
        <v>46174</v>
      </c>
      <c r="C71" s="6" t="s">
        <v>20</v>
      </c>
      <c r="D71" s="6" t="s">
        <v>20</v>
      </c>
      <c r="E71" s="8">
        <v>80</v>
      </c>
      <c r="F71" s="9" t="s">
        <v>10</v>
      </c>
    </row>
    <row r="72" spans="1:6" x14ac:dyDescent="0.3">
      <c r="A72" s="4">
        <v>46199</v>
      </c>
      <c r="B72" s="5">
        <f t="shared" si="1"/>
        <v>46174</v>
      </c>
      <c r="C72" s="6" t="s">
        <v>16</v>
      </c>
      <c r="D72" s="6" t="s">
        <v>16</v>
      </c>
      <c r="E72" s="8">
        <v>80</v>
      </c>
      <c r="F72" s="9" t="s">
        <v>10</v>
      </c>
    </row>
    <row r="73" spans="1:6" x14ac:dyDescent="0.3">
      <c r="A73" s="4">
        <v>46199</v>
      </c>
      <c r="B73" s="5">
        <f t="shared" si="1"/>
        <v>46174</v>
      </c>
      <c r="C73" s="6" t="s">
        <v>23</v>
      </c>
      <c r="D73" s="6" t="s">
        <v>23</v>
      </c>
      <c r="E73" s="8">
        <v>30</v>
      </c>
      <c r="F73" s="9" t="s">
        <v>10</v>
      </c>
    </row>
    <row r="74" spans="1:6" x14ac:dyDescent="0.3">
      <c r="A74" s="4">
        <v>46199</v>
      </c>
      <c r="B74" s="5">
        <f t="shared" si="1"/>
        <v>46174</v>
      </c>
      <c r="C74" s="6" t="s">
        <v>21</v>
      </c>
      <c r="D74" s="6" t="s">
        <v>21</v>
      </c>
      <c r="E74" s="8">
        <v>20</v>
      </c>
      <c r="F74" s="9" t="s">
        <v>10</v>
      </c>
    </row>
    <row r="75" spans="1:6" x14ac:dyDescent="0.3">
      <c r="A75" s="4">
        <v>46200</v>
      </c>
      <c r="B75" s="5">
        <f t="shared" si="1"/>
        <v>46174</v>
      </c>
      <c r="C75" s="6" t="s">
        <v>14</v>
      </c>
      <c r="D75" s="7" t="s">
        <v>18</v>
      </c>
      <c r="E75" s="8">
        <v>30</v>
      </c>
      <c r="F75" s="9" t="s">
        <v>10</v>
      </c>
    </row>
    <row r="76" spans="1:6" x14ac:dyDescent="0.3">
      <c r="A76" s="4">
        <v>46200</v>
      </c>
      <c r="B76" s="5">
        <f t="shared" si="1"/>
        <v>46174</v>
      </c>
      <c r="C76" s="6" t="s">
        <v>20</v>
      </c>
      <c r="D76" s="6" t="s">
        <v>20</v>
      </c>
      <c r="E76" s="8">
        <v>40</v>
      </c>
      <c r="F76" s="9" t="s">
        <v>10</v>
      </c>
    </row>
    <row r="77" spans="1:6" x14ac:dyDescent="0.3">
      <c r="A77" s="4">
        <v>46200</v>
      </c>
      <c r="B77" s="5">
        <f t="shared" si="1"/>
        <v>46174</v>
      </c>
      <c r="C77" s="6" t="s">
        <v>16</v>
      </c>
      <c r="D77" s="6" t="s">
        <v>16</v>
      </c>
      <c r="E77" s="8">
        <v>60</v>
      </c>
      <c r="F77" s="9" t="s">
        <v>10</v>
      </c>
    </row>
    <row r="78" spans="1:6" x14ac:dyDescent="0.3">
      <c r="A78" s="4">
        <v>46200</v>
      </c>
      <c r="B78" s="5">
        <f t="shared" si="1"/>
        <v>46174</v>
      </c>
      <c r="C78" s="6" t="s">
        <v>25</v>
      </c>
      <c r="D78" s="7" t="s">
        <v>26</v>
      </c>
      <c r="E78" s="8">
        <v>20</v>
      </c>
      <c r="F78" s="9" t="s">
        <v>10</v>
      </c>
    </row>
    <row r="79" spans="1:6" x14ac:dyDescent="0.3">
      <c r="A79" s="4">
        <v>46203</v>
      </c>
      <c r="B79" s="5">
        <f t="shared" si="1"/>
        <v>46174</v>
      </c>
      <c r="C79" s="6" t="s">
        <v>13</v>
      </c>
      <c r="D79" s="6" t="s">
        <v>13</v>
      </c>
      <c r="E79" s="8">
        <v>10</v>
      </c>
      <c r="F79" s="9" t="s">
        <v>10</v>
      </c>
    </row>
    <row r="80" spans="1:6" x14ac:dyDescent="0.3">
      <c r="A80" s="4">
        <v>46203</v>
      </c>
      <c r="B80" s="5">
        <f t="shared" si="1"/>
        <v>46174</v>
      </c>
      <c r="C80" s="6" t="s">
        <v>20</v>
      </c>
      <c r="D80" s="6" t="s">
        <v>20</v>
      </c>
      <c r="E80" s="8">
        <v>40</v>
      </c>
      <c r="F80" s="9" t="s">
        <v>10</v>
      </c>
    </row>
    <row r="81" spans="1:6" x14ac:dyDescent="0.3">
      <c r="A81" s="4">
        <v>46203</v>
      </c>
      <c r="B81" s="5">
        <f t="shared" si="1"/>
        <v>46174</v>
      </c>
      <c r="C81" s="6" t="s">
        <v>21</v>
      </c>
      <c r="D81" s="6" t="s">
        <v>21</v>
      </c>
      <c r="E81" s="8">
        <v>10</v>
      </c>
      <c r="F81" s="9" t="s">
        <v>10</v>
      </c>
    </row>
    <row r="82" spans="1:6" x14ac:dyDescent="0.3">
      <c r="A82" s="4">
        <v>46204</v>
      </c>
      <c r="B82" s="5">
        <f t="shared" si="1"/>
        <v>46204</v>
      </c>
      <c r="C82" s="6" t="s">
        <v>8</v>
      </c>
      <c r="D82" s="7" t="s">
        <v>27</v>
      </c>
      <c r="E82" s="8">
        <v>20</v>
      </c>
      <c r="F82" s="9" t="s">
        <v>10</v>
      </c>
    </row>
    <row r="83" spans="1:6" x14ac:dyDescent="0.3">
      <c r="A83" s="4">
        <v>46204</v>
      </c>
      <c r="B83" s="5">
        <f t="shared" si="1"/>
        <v>46204</v>
      </c>
      <c r="C83" s="6" t="s">
        <v>8</v>
      </c>
      <c r="D83" s="7" t="s">
        <v>28</v>
      </c>
      <c r="E83" s="8">
        <v>3</v>
      </c>
      <c r="F83" s="9" t="s">
        <v>10</v>
      </c>
    </row>
    <row r="84" spans="1:6" x14ac:dyDescent="0.3">
      <c r="A84" s="4">
        <v>46204</v>
      </c>
      <c r="B84" s="5">
        <f t="shared" si="1"/>
        <v>46204</v>
      </c>
      <c r="C84" s="6" t="s">
        <v>14</v>
      </c>
      <c r="D84" s="6" t="s">
        <v>14</v>
      </c>
      <c r="E84" s="8">
        <v>20</v>
      </c>
      <c r="F84" s="9" t="s">
        <v>10</v>
      </c>
    </row>
    <row r="85" spans="1:6" x14ac:dyDescent="0.3">
      <c r="A85" s="4">
        <v>46204</v>
      </c>
      <c r="B85" s="5">
        <f t="shared" si="1"/>
        <v>46204</v>
      </c>
      <c r="C85" s="6" t="s">
        <v>20</v>
      </c>
      <c r="D85" s="6" t="s">
        <v>20</v>
      </c>
      <c r="E85" s="8">
        <v>80</v>
      </c>
      <c r="F85" s="9" t="s">
        <v>10</v>
      </c>
    </row>
    <row r="86" spans="1:6" x14ac:dyDescent="0.3">
      <c r="A86" s="4">
        <v>46204</v>
      </c>
      <c r="B86" s="5">
        <f t="shared" si="1"/>
        <v>46204</v>
      </c>
      <c r="C86" s="6" t="s">
        <v>16</v>
      </c>
      <c r="D86" s="6" t="s">
        <v>16</v>
      </c>
      <c r="E86" s="8">
        <v>80</v>
      </c>
      <c r="F86" s="9" t="s">
        <v>10</v>
      </c>
    </row>
    <row r="87" spans="1:6" x14ac:dyDescent="0.3">
      <c r="A87" s="4">
        <v>46204</v>
      </c>
      <c r="B87" s="5">
        <f t="shared" si="1"/>
        <v>46204</v>
      </c>
      <c r="C87" s="6" t="s">
        <v>23</v>
      </c>
      <c r="D87" s="6" t="s">
        <v>23</v>
      </c>
      <c r="E87" s="8">
        <v>20</v>
      </c>
      <c r="F87" s="9" t="s">
        <v>10</v>
      </c>
    </row>
    <row r="88" spans="1:6" x14ac:dyDescent="0.3">
      <c r="A88" s="4">
        <v>46204</v>
      </c>
      <c r="B88" s="5">
        <f t="shared" si="1"/>
        <v>46204</v>
      </c>
      <c r="C88" s="6" t="s">
        <v>25</v>
      </c>
      <c r="D88" s="7" t="s">
        <v>26</v>
      </c>
      <c r="E88" s="8">
        <v>10</v>
      </c>
      <c r="F88" s="9" t="s">
        <v>10</v>
      </c>
    </row>
    <row r="89" spans="1:6" x14ac:dyDescent="0.3">
      <c r="A89" s="4">
        <v>46204</v>
      </c>
      <c r="B89" s="5">
        <f t="shared" si="1"/>
        <v>46204</v>
      </c>
      <c r="C89" s="6" t="s">
        <v>22</v>
      </c>
      <c r="D89" s="6" t="s">
        <v>22</v>
      </c>
      <c r="E89" s="8">
        <v>20</v>
      </c>
      <c r="F89" s="9" t="s">
        <v>10</v>
      </c>
    </row>
    <row r="90" spans="1:6" x14ac:dyDescent="0.3">
      <c r="A90" s="4">
        <v>46205</v>
      </c>
      <c r="B90" s="5">
        <f t="shared" si="1"/>
        <v>46204</v>
      </c>
      <c r="C90" s="6" t="s">
        <v>13</v>
      </c>
      <c r="D90" s="6" t="s">
        <v>13</v>
      </c>
      <c r="E90" s="8">
        <v>10</v>
      </c>
      <c r="F90" s="9" t="s">
        <v>10</v>
      </c>
    </row>
    <row r="91" spans="1:6" x14ac:dyDescent="0.3">
      <c r="A91" s="4">
        <v>46205</v>
      </c>
      <c r="B91" s="5">
        <f t="shared" si="1"/>
        <v>46204</v>
      </c>
      <c r="C91" s="6" t="s">
        <v>14</v>
      </c>
      <c r="D91" s="6" t="s">
        <v>14</v>
      </c>
      <c r="E91" s="8">
        <v>30</v>
      </c>
      <c r="F91" s="9" t="s">
        <v>10</v>
      </c>
    </row>
    <row r="92" spans="1:6" x14ac:dyDescent="0.3">
      <c r="A92" s="4">
        <v>46205</v>
      </c>
      <c r="B92" s="5">
        <f t="shared" si="1"/>
        <v>46204</v>
      </c>
      <c r="C92" s="6" t="s">
        <v>19</v>
      </c>
      <c r="D92" s="6" t="s">
        <v>19</v>
      </c>
      <c r="E92" s="8">
        <v>30</v>
      </c>
      <c r="F92" s="9" t="s">
        <v>10</v>
      </c>
    </row>
    <row r="93" spans="1:6" x14ac:dyDescent="0.3">
      <c r="A93" s="4">
        <v>46205</v>
      </c>
      <c r="B93" s="5">
        <f t="shared" si="1"/>
        <v>46204</v>
      </c>
      <c r="C93" s="6" t="s">
        <v>20</v>
      </c>
      <c r="D93" s="6" t="s">
        <v>20</v>
      </c>
      <c r="E93" s="8">
        <v>50</v>
      </c>
      <c r="F93" s="9" t="s">
        <v>10</v>
      </c>
    </row>
    <row r="94" spans="1:6" x14ac:dyDescent="0.3">
      <c r="A94" s="4">
        <v>46205</v>
      </c>
      <c r="B94" s="5">
        <f t="shared" si="1"/>
        <v>46204</v>
      </c>
      <c r="C94" s="6" t="s">
        <v>16</v>
      </c>
      <c r="D94" s="6" t="s">
        <v>16</v>
      </c>
      <c r="E94" s="8">
        <v>50</v>
      </c>
      <c r="F94" s="9" t="s">
        <v>10</v>
      </c>
    </row>
    <row r="95" spans="1:6" x14ac:dyDescent="0.3">
      <c r="A95" s="4">
        <v>46205</v>
      </c>
      <c r="B95" s="5">
        <f t="shared" si="1"/>
        <v>46204</v>
      </c>
      <c r="C95" s="6" t="s">
        <v>29</v>
      </c>
      <c r="D95" s="6" t="s">
        <v>29</v>
      </c>
      <c r="E95" s="8">
        <v>10</v>
      </c>
      <c r="F95" s="9" t="s">
        <v>10</v>
      </c>
    </row>
    <row r="96" spans="1:6" x14ac:dyDescent="0.3">
      <c r="A96" s="4">
        <v>46205</v>
      </c>
      <c r="B96" s="5">
        <f t="shared" si="1"/>
        <v>46204</v>
      </c>
      <c r="C96" s="6" t="s">
        <v>23</v>
      </c>
      <c r="D96" s="6" t="s">
        <v>23</v>
      </c>
      <c r="E96" s="8">
        <v>30</v>
      </c>
      <c r="F96" s="9" t="s">
        <v>10</v>
      </c>
    </row>
    <row r="97" spans="1:6" x14ac:dyDescent="0.3">
      <c r="A97" s="4">
        <v>46205</v>
      </c>
      <c r="B97" s="5">
        <f t="shared" si="1"/>
        <v>46204</v>
      </c>
      <c r="C97" s="6" t="s">
        <v>21</v>
      </c>
      <c r="D97" s="6" t="s">
        <v>21</v>
      </c>
      <c r="E97" s="8">
        <v>20</v>
      </c>
      <c r="F97" s="9" t="s">
        <v>10</v>
      </c>
    </row>
    <row r="98" spans="1:6" x14ac:dyDescent="0.3">
      <c r="A98" s="4">
        <v>46206</v>
      </c>
      <c r="B98" s="5">
        <f t="shared" si="1"/>
        <v>46204</v>
      </c>
      <c r="C98" s="6" t="s">
        <v>8</v>
      </c>
      <c r="D98" s="7" t="s">
        <v>27</v>
      </c>
      <c r="E98" s="8">
        <v>23</v>
      </c>
      <c r="F98" s="9" t="s">
        <v>10</v>
      </c>
    </row>
    <row r="99" spans="1:6" x14ac:dyDescent="0.3">
      <c r="A99" s="4">
        <v>46206</v>
      </c>
      <c r="B99" s="5">
        <f t="shared" si="1"/>
        <v>46204</v>
      </c>
      <c r="C99" s="6" t="s">
        <v>13</v>
      </c>
      <c r="D99" s="6" t="s">
        <v>13</v>
      </c>
      <c r="E99" s="8">
        <v>10</v>
      </c>
      <c r="F99" s="9" t="s">
        <v>10</v>
      </c>
    </row>
    <row r="100" spans="1:6" x14ac:dyDescent="0.3">
      <c r="A100" s="4">
        <v>46206</v>
      </c>
      <c r="B100" s="5">
        <f t="shared" si="1"/>
        <v>46204</v>
      </c>
      <c r="C100" s="6" t="s">
        <v>14</v>
      </c>
      <c r="D100" s="6" t="s">
        <v>14</v>
      </c>
      <c r="E100" s="8">
        <v>40</v>
      </c>
      <c r="F100" s="9" t="s">
        <v>10</v>
      </c>
    </row>
    <row r="101" spans="1:6" x14ac:dyDescent="0.3">
      <c r="A101" s="4">
        <v>46206</v>
      </c>
      <c r="B101" s="5">
        <f t="shared" si="1"/>
        <v>46204</v>
      </c>
      <c r="C101" s="6" t="s">
        <v>19</v>
      </c>
      <c r="D101" s="6" t="s">
        <v>19</v>
      </c>
      <c r="E101" s="8">
        <v>40</v>
      </c>
      <c r="F101" s="9" t="s">
        <v>10</v>
      </c>
    </row>
    <row r="102" spans="1:6" x14ac:dyDescent="0.3">
      <c r="A102" s="4">
        <v>46206</v>
      </c>
      <c r="B102" s="5">
        <f t="shared" si="1"/>
        <v>46204</v>
      </c>
      <c r="C102" s="6" t="s">
        <v>20</v>
      </c>
      <c r="D102" s="6" t="s">
        <v>20</v>
      </c>
      <c r="E102" s="8">
        <v>60</v>
      </c>
      <c r="F102" s="9" t="s">
        <v>10</v>
      </c>
    </row>
    <row r="103" spans="1:6" x14ac:dyDescent="0.3">
      <c r="A103" s="4">
        <v>46206</v>
      </c>
      <c r="B103" s="5">
        <f t="shared" si="1"/>
        <v>46204</v>
      </c>
      <c r="C103" s="6" t="s">
        <v>16</v>
      </c>
      <c r="D103" s="6" t="s">
        <v>16</v>
      </c>
      <c r="E103" s="8">
        <v>60</v>
      </c>
      <c r="F103" s="9" t="s">
        <v>10</v>
      </c>
    </row>
    <row r="104" spans="1:6" x14ac:dyDescent="0.3">
      <c r="A104" s="4">
        <v>46206</v>
      </c>
      <c r="B104" s="5">
        <f t="shared" si="1"/>
        <v>46204</v>
      </c>
      <c r="C104" s="6" t="s">
        <v>29</v>
      </c>
      <c r="D104" s="6" t="s">
        <v>29</v>
      </c>
      <c r="E104" s="8">
        <v>20</v>
      </c>
      <c r="F104" s="9" t="s">
        <v>10</v>
      </c>
    </row>
    <row r="105" spans="1:6" x14ac:dyDescent="0.3">
      <c r="A105" s="4">
        <v>46206</v>
      </c>
      <c r="B105" s="5">
        <f t="shared" si="1"/>
        <v>46204</v>
      </c>
      <c r="C105" s="6" t="s">
        <v>23</v>
      </c>
      <c r="D105" s="6" t="s">
        <v>23</v>
      </c>
      <c r="E105" s="8">
        <v>30</v>
      </c>
      <c r="F105" s="9" t="s">
        <v>10</v>
      </c>
    </row>
    <row r="106" spans="1:6" x14ac:dyDescent="0.3">
      <c r="A106" s="4">
        <v>46206</v>
      </c>
      <c r="B106" s="5">
        <f t="shared" si="1"/>
        <v>46204</v>
      </c>
      <c r="C106" s="6" t="s">
        <v>22</v>
      </c>
      <c r="D106" s="6" t="s">
        <v>22</v>
      </c>
      <c r="E106" s="8">
        <v>20</v>
      </c>
      <c r="F106" s="9" t="s">
        <v>10</v>
      </c>
    </row>
    <row r="107" spans="1:6" x14ac:dyDescent="0.3">
      <c r="A107" s="4">
        <v>46208</v>
      </c>
      <c r="B107" s="5">
        <f t="shared" si="1"/>
        <v>46204</v>
      </c>
      <c r="C107" s="6" t="s">
        <v>19</v>
      </c>
      <c r="D107" s="6" t="s">
        <v>19</v>
      </c>
      <c r="E107" s="8">
        <v>30</v>
      </c>
      <c r="F107" s="9" t="s">
        <v>10</v>
      </c>
    </row>
    <row r="108" spans="1:6" x14ac:dyDescent="0.3">
      <c r="A108" s="4">
        <v>46208</v>
      </c>
      <c r="B108" s="5">
        <f t="shared" si="1"/>
        <v>46204</v>
      </c>
      <c r="C108" s="6" t="s">
        <v>20</v>
      </c>
      <c r="D108" s="6" t="s">
        <v>20</v>
      </c>
      <c r="E108" s="8">
        <v>80</v>
      </c>
      <c r="F108" s="9" t="s">
        <v>10</v>
      </c>
    </row>
    <row r="109" spans="1:6" x14ac:dyDescent="0.3">
      <c r="A109" s="4">
        <v>46208</v>
      </c>
      <c r="B109" s="5">
        <f t="shared" si="1"/>
        <v>46204</v>
      </c>
      <c r="C109" s="6" t="s">
        <v>30</v>
      </c>
      <c r="D109" s="6" t="s">
        <v>30</v>
      </c>
      <c r="E109" s="8">
        <v>60</v>
      </c>
      <c r="F109" s="9" t="s">
        <v>10</v>
      </c>
    </row>
    <row r="110" spans="1:6" x14ac:dyDescent="0.3">
      <c r="A110" s="4">
        <v>46208</v>
      </c>
      <c r="B110" s="5">
        <f t="shared" si="1"/>
        <v>46204</v>
      </c>
      <c r="C110" s="6" t="s">
        <v>16</v>
      </c>
      <c r="D110" s="6" t="s">
        <v>16</v>
      </c>
      <c r="E110" s="8">
        <v>80</v>
      </c>
      <c r="F110" s="9" t="s">
        <v>10</v>
      </c>
    </row>
    <row r="111" spans="1:6" x14ac:dyDescent="0.3">
      <c r="A111" s="4">
        <v>46208</v>
      </c>
      <c r="B111" s="5">
        <f t="shared" si="1"/>
        <v>46204</v>
      </c>
      <c r="C111" s="6" t="s">
        <v>31</v>
      </c>
      <c r="D111" s="6" t="s">
        <v>31</v>
      </c>
      <c r="E111" s="8">
        <v>30</v>
      </c>
      <c r="F111" s="9" t="s">
        <v>10</v>
      </c>
    </row>
    <row r="112" spans="1:6" x14ac:dyDescent="0.3">
      <c r="A112" s="4">
        <v>46208</v>
      </c>
      <c r="B112" s="5">
        <f t="shared" si="1"/>
        <v>46204</v>
      </c>
      <c r="C112" s="6" t="s">
        <v>23</v>
      </c>
      <c r="D112" s="6" t="s">
        <v>23</v>
      </c>
      <c r="E112" s="8">
        <v>20</v>
      </c>
      <c r="F112" s="9" t="s">
        <v>10</v>
      </c>
    </row>
    <row r="113" spans="1:6" x14ac:dyDescent="0.3">
      <c r="A113" s="4">
        <v>46208</v>
      </c>
      <c r="B113" s="5">
        <f t="shared" si="1"/>
        <v>46204</v>
      </c>
      <c r="C113" s="6" t="s">
        <v>21</v>
      </c>
      <c r="D113" s="6" t="s">
        <v>21</v>
      </c>
      <c r="E113" s="8">
        <v>20</v>
      </c>
      <c r="F113" s="9" t="s">
        <v>10</v>
      </c>
    </row>
    <row r="114" spans="1:6" x14ac:dyDescent="0.3">
      <c r="A114" s="4">
        <v>46208</v>
      </c>
      <c r="B114" s="5">
        <f t="shared" si="1"/>
        <v>46204</v>
      </c>
      <c r="C114" s="6" t="s">
        <v>22</v>
      </c>
      <c r="D114" s="6" t="s">
        <v>22</v>
      </c>
      <c r="E114" s="8">
        <v>20</v>
      </c>
      <c r="F114" s="9" t="s">
        <v>10</v>
      </c>
    </row>
    <row r="115" spans="1:6" x14ac:dyDescent="0.3">
      <c r="A115" s="4">
        <v>46209</v>
      </c>
      <c r="B115" s="5">
        <f t="shared" si="1"/>
        <v>46204</v>
      </c>
      <c r="C115" s="6" t="s">
        <v>14</v>
      </c>
      <c r="D115" s="6" t="s">
        <v>14</v>
      </c>
      <c r="E115" s="8">
        <v>40</v>
      </c>
      <c r="F115" s="9" t="s">
        <v>10</v>
      </c>
    </row>
    <row r="116" spans="1:6" x14ac:dyDescent="0.3">
      <c r="A116" s="4">
        <v>46209</v>
      </c>
      <c r="B116" s="5">
        <f t="shared" si="1"/>
        <v>46204</v>
      </c>
      <c r="C116" s="6" t="s">
        <v>32</v>
      </c>
      <c r="D116" s="6" t="s">
        <v>32</v>
      </c>
      <c r="E116" s="8">
        <v>38</v>
      </c>
      <c r="F116" s="9" t="s">
        <v>10</v>
      </c>
    </row>
    <row r="117" spans="1:6" x14ac:dyDescent="0.3">
      <c r="A117" s="4">
        <v>46209</v>
      </c>
      <c r="B117" s="5">
        <f t="shared" si="1"/>
        <v>46204</v>
      </c>
      <c r="C117" s="6" t="s">
        <v>20</v>
      </c>
      <c r="D117" s="6" t="s">
        <v>20</v>
      </c>
      <c r="E117" s="8">
        <v>40</v>
      </c>
      <c r="F117" s="9" t="s">
        <v>10</v>
      </c>
    </row>
    <row r="118" spans="1:6" x14ac:dyDescent="0.3">
      <c r="A118" s="4">
        <v>46209</v>
      </c>
      <c r="B118" s="5">
        <f t="shared" si="1"/>
        <v>46204</v>
      </c>
      <c r="C118" s="6" t="s">
        <v>30</v>
      </c>
      <c r="D118" s="6" t="s">
        <v>30</v>
      </c>
      <c r="E118" s="8">
        <v>80</v>
      </c>
      <c r="F118" s="9" t="s">
        <v>10</v>
      </c>
    </row>
    <row r="119" spans="1:6" x14ac:dyDescent="0.3">
      <c r="A119" s="4">
        <v>46209</v>
      </c>
      <c r="B119" s="5">
        <f t="shared" si="1"/>
        <v>46204</v>
      </c>
      <c r="C119" s="6" t="s">
        <v>16</v>
      </c>
      <c r="D119" s="6" t="s">
        <v>16</v>
      </c>
      <c r="E119" s="8">
        <v>40</v>
      </c>
      <c r="F119" s="9" t="s">
        <v>10</v>
      </c>
    </row>
    <row r="120" spans="1:6" x14ac:dyDescent="0.3">
      <c r="A120" s="4">
        <v>46209</v>
      </c>
      <c r="B120" s="5">
        <f t="shared" si="1"/>
        <v>46204</v>
      </c>
      <c r="C120" s="6" t="s">
        <v>33</v>
      </c>
      <c r="D120" s="6" t="s">
        <v>33</v>
      </c>
      <c r="E120" s="8">
        <v>20</v>
      </c>
      <c r="F120" s="9" t="s">
        <v>10</v>
      </c>
    </row>
    <row r="121" spans="1:6" x14ac:dyDescent="0.3">
      <c r="A121" s="4">
        <v>46209</v>
      </c>
      <c r="B121" s="5">
        <f t="shared" si="1"/>
        <v>46204</v>
      </c>
      <c r="C121" s="6" t="s">
        <v>31</v>
      </c>
      <c r="D121" s="6" t="s">
        <v>31</v>
      </c>
      <c r="E121" s="8">
        <v>30</v>
      </c>
      <c r="F121" s="9" t="s">
        <v>10</v>
      </c>
    </row>
    <row r="122" spans="1:6" x14ac:dyDescent="0.3">
      <c r="A122" s="4">
        <v>46209</v>
      </c>
      <c r="B122" s="5">
        <f t="shared" si="1"/>
        <v>46204</v>
      </c>
      <c r="C122" s="6" t="s">
        <v>34</v>
      </c>
      <c r="D122" s="6" t="s">
        <v>34</v>
      </c>
      <c r="E122" s="8">
        <v>30</v>
      </c>
      <c r="F122" s="9" t="s">
        <v>10</v>
      </c>
    </row>
    <row r="123" spans="1:6" x14ac:dyDescent="0.3">
      <c r="A123" s="4">
        <v>46209</v>
      </c>
      <c r="B123" s="5">
        <f t="shared" si="1"/>
        <v>46204</v>
      </c>
      <c r="C123" s="6" t="s">
        <v>23</v>
      </c>
      <c r="D123" s="6" t="s">
        <v>23</v>
      </c>
      <c r="E123" s="8">
        <v>20</v>
      </c>
      <c r="F123" s="9" t="s">
        <v>10</v>
      </c>
    </row>
    <row r="124" spans="1:6" x14ac:dyDescent="0.3">
      <c r="A124" s="4">
        <v>46209</v>
      </c>
      <c r="B124" s="5">
        <f t="shared" si="1"/>
        <v>46204</v>
      </c>
      <c r="C124" s="6" t="s">
        <v>35</v>
      </c>
      <c r="D124" s="6" t="s">
        <v>35</v>
      </c>
      <c r="E124" s="8">
        <v>70</v>
      </c>
      <c r="F124" s="9" t="s">
        <v>10</v>
      </c>
    </row>
    <row r="125" spans="1:6" x14ac:dyDescent="0.3">
      <c r="A125" s="4">
        <v>46209</v>
      </c>
      <c r="B125" s="5">
        <f t="shared" si="1"/>
        <v>46204</v>
      </c>
      <c r="C125" s="6" t="s">
        <v>22</v>
      </c>
      <c r="D125" s="6" t="s">
        <v>22</v>
      </c>
      <c r="E125" s="8">
        <v>20</v>
      </c>
      <c r="F125" s="9" t="s">
        <v>10</v>
      </c>
    </row>
    <row r="126" spans="1:6" x14ac:dyDescent="0.3">
      <c r="A126" s="4">
        <v>46210</v>
      </c>
      <c r="B126" s="5">
        <f t="shared" si="1"/>
        <v>46204</v>
      </c>
      <c r="C126" s="6" t="s">
        <v>14</v>
      </c>
      <c r="D126" s="6" t="s">
        <v>14</v>
      </c>
      <c r="E126" s="8">
        <v>40</v>
      </c>
      <c r="F126" s="9" t="s">
        <v>10</v>
      </c>
    </row>
    <row r="127" spans="1:6" x14ac:dyDescent="0.3">
      <c r="A127" s="4">
        <v>46210</v>
      </c>
      <c r="B127" s="5">
        <f t="shared" si="1"/>
        <v>46204</v>
      </c>
      <c r="C127" s="6" t="s">
        <v>19</v>
      </c>
      <c r="D127" s="6" t="s">
        <v>19</v>
      </c>
      <c r="E127" s="8">
        <v>30</v>
      </c>
      <c r="F127" s="9" t="s">
        <v>10</v>
      </c>
    </row>
    <row r="128" spans="1:6" x14ac:dyDescent="0.3">
      <c r="A128" s="4">
        <v>46210</v>
      </c>
      <c r="B128" s="5">
        <f t="shared" si="1"/>
        <v>46204</v>
      </c>
      <c r="C128" s="6" t="s">
        <v>36</v>
      </c>
      <c r="D128" s="6" t="s">
        <v>36</v>
      </c>
      <c r="E128" s="8">
        <v>20</v>
      </c>
      <c r="F128" s="9" t="s">
        <v>10</v>
      </c>
    </row>
    <row r="129" spans="1:6" x14ac:dyDescent="0.3">
      <c r="A129" s="4">
        <v>46210</v>
      </c>
      <c r="B129" s="5">
        <f t="shared" si="1"/>
        <v>46204</v>
      </c>
      <c r="C129" s="6" t="s">
        <v>30</v>
      </c>
      <c r="D129" s="6" t="s">
        <v>30</v>
      </c>
      <c r="E129" s="8">
        <v>70</v>
      </c>
      <c r="F129" s="9" t="s">
        <v>10</v>
      </c>
    </row>
    <row r="130" spans="1:6" x14ac:dyDescent="0.3">
      <c r="A130" s="4">
        <v>46210</v>
      </c>
      <c r="B130" s="5">
        <f t="shared" si="1"/>
        <v>46204</v>
      </c>
      <c r="C130" s="6" t="s">
        <v>16</v>
      </c>
      <c r="D130" s="6" t="s">
        <v>16</v>
      </c>
      <c r="E130" s="8">
        <v>80</v>
      </c>
      <c r="F130" s="9" t="s">
        <v>10</v>
      </c>
    </row>
    <row r="131" spans="1:6" x14ac:dyDescent="0.3">
      <c r="A131" s="4">
        <v>46210</v>
      </c>
      <c r="B131" s="5">
        <f t="shared" si="1"/>
        <v>46204</v>
      </c>
      <c r="C131" s="6" t="s">
        <v>31</v>
      </c>
      <c r="D131" s="6" t="s">
        <v>31</v>
      </c>
      <c r="E131" s="8">
        <v>15</v>
      </c>
      <c r="F131" s="9" t="s">
        <v>10</v>
      </c>
    </row>
    <row r="132" spans="1:6" x14ac:dyDescent="0.3">
      <c r="A132" s="4">
        <v>46210</v>
      </c>
      <c r="B132" s="5">
        <f t="shared" si="1"/>
        <v>46204</v>
      </c>
      <c r="C132" s="6" t="s">
        <v>21</v>
      </c>
      <c r="D132" s="6" t="s">
        <v>21</v>
      </c>
      <c r="E132" s="8">
        <v>20</v>
      </c>
      <c r="F132" s="9" t="s">
        <v>10</v>
      </c>
    </row>
    <row r="133" spans="1:6" x14ac:dyDescent="0.3">
      <c r="A133" s="4">
        <v>46210</v>
      </c>
      <c r="B133" s="5">
        <f t="shared" ref="B133:B196" si="2">DATE(YEAR(A133),MONTH(A133),1)</f>
        <v>46204</v>
      </c>
      <c r="C133" s="6" t="s">
        <v>37</v>
      </c>
      <c r="D133" s="6" t="s">
        <v>37</v>
      </c>
      <c r="E133" s="8">
        <v>20</v>
      </c>
      <c r="F133" s="9" t="s">
        <v>10</v>
      </c>
    </row>
    <row r="134" spans="1:6" x14ac:dyDescent="0.3">
      <c r="A134" s="4">
        <v>46211</v>
      </c>
      <c r="B134" s="5">
        <f t="shared" si="2"/>
        <v>46204</v>
      </c>
      <c r="C134" s="6" t="s">
        <v>38</v>
      </c>
      <c r="D134" s="6" t="s">
        <v>38</v>
      </c>
      <c r="E134" s="8">
        <v>20</v>
      </c>
      <c r="F134" s="9" t="s">
        <v>10</v>
      </c>
    </row>
    <row r="135" spans="1:6" x14ac:dyDescent="0.3">
      <c r="A135" s="4">
        <v>46211</v>
      </c>
      <c r="B135" s="5">
        <f t="shared" si="2"/>
        <v>46204</v>
      </c>
      <c r="C135" s="6" t="s">
        <v>13</v>
      </c>
      <c r="D135" s="6" t="s">
        <v>13</v>
      </c>
      <c r="E135" s="8">
        <v>20</v>
      </c>
      <c r="F135" s="9" t="s">
        <v>10</v>
      </c>
    </row>
    <row r="136" spans="1:6" x14ac:dyDescent="0.3">
      <c r="A136" s="4">
        <v>46211</v>
      </c>
      <c r="B136" s="5">
        <f t="shared" si="2"/>
        <v>46204</v>
      </c>
      <c r="C136" s="6" t="s">
        <v>14</v>
      </c>
      <c r="D136" s="6" t="s">
        <v>14</v>
      </c>
      <c r="E136" s="8">
        <v>40</v>
      </c>
      <c r="F136" s="9" t="s">
        <v>10</v>
      </c>
    </row>
    <row r="137" spans="1:6" x14ac:dyDescent="0.3">
      <c r="A137" s="4">
        <v>46211</v>
      </c>
      <c r="B137" s="5">
        <f t="shared" si="2"/>
        <v>46204</v>
      </c>
      <c r="C137" s="6" t="s">
        <v>30</v>
      </c>
      <c r="D137" s="6" t="s">
        <v>30</v>
      </c>
      <c r="E137" s="8">
        <v>80</v>
      </c>
      <c r="F137" s="9" t="s">
        <v>10</v>
      </c>
    </row>
    <row r="138" spans="1:6" x14ac:dyDescent="0.3">
      <c r="A138" s="4">
        <v>46211</v>
      </c>
      <c r="B138" s="5">
        <f t="shared" si="2"/>
        <v>46204</v>
      </c>
      <c r="C138" s="6" t="s">
        <v>39</v>
      </c>
      <c r="D138" s="6" t="s">
        <v>39</v>
      </c>
      <c r="E138" s="8">
        <v>80</v>
      </c>
      <c r="F138" s="9" t="s">
        <v>10</v>
      </c>
    </row>
    <row r="139" spans="1:6" x14ac:dyDescent="0.3">
      <c r="A139" s="4">
        <v>46211</v>
      </c>
      <c r="B139" s="5">
        <f t="shared" si="2"/>
        <v>46204</v>
      </c>
      <c r="C139" s="6" t="s">
        <v>16</v>
      </c>
      <c r="D139" s="6" t="s">
        <v>16</v>
      </c>
      <c r="E139" s="8">
        <v>80</v>
      </c>
      <c r="F139" s="9" t="s">
        <v>10</v>
      </c>
    </row>
    <row r="140" spans="1:6" x14ac:dyDescent="0.3">
      <c r="A140" s="4">
        <v>46211</v>
      </c>
      <c r="B140" s="5">
        <f t="shared" si="2"/>
        <v>46204</v>
      </c>
      <c r="C140" s="6" t="s">
        <v>31</v>
      </c>
      <c r="D140" s="6" t="s">
        <v>31</v>
      </c>
      <c r="E140" s="8">
        <v>10</v>
      </c>
      <c r="F140" s="9" t="s">
        <v>10</v>
      </c>
    </row>
    <row r="141" spans="1:6" x14ac:dyDescent="0.3">
      <c r="A141" s="4">
        <v>46211</v>
      </c>
      <c r="B141" s="5">
        <f t="shared" si="2"/>
        <v>46204</v>
      </c>
      <c r="C141" s="6" t="s">
        <v>31</v>
      </c>
      <c r="D141" s="6" t="s">
        <v>31</v>
      </c>
      <c r="E141" s="8">
        <v>20</v>
      </c>
      <c r="F141" s="9" t="s">
        <v>10</v>
      </c>
    </row>
    <row r="142" spans="1:6" x14ac:dyDescent="0.3">
      <c r="A142" s="4">
        <v>46211</v>
      </c>
      <c r="B142" s="5">
        <f t="shared" si="2"/>
        <v>46204</v>
      </c>
      <c r="C142" s="6" t="s">
        <v>25</v>
      </c>
      <c r="D142" s="7" t="s">
        <v>26</v>
      </c>
      <c r="E142" s="8">
        <v>20</v>
      </c>
      <c r="F142" s="9" t="s">
        <v>10</v>
      </c>
    </row>
    <row r="143" spans="1:6" x14ac:dyDescent="0.3">
      <c r="A143" s="4">
        <v>46211</v>
      </c>
      <c r="B143" s="5">
        <f t="shared" si="2"/>
        <v>46204</v>
      </c>
      <c r="C143" s="6" t="s">
        <v>21</v>
      </c>
      <c r="D143" s="6" t="s">
        <v>21</v>
      </c>
      <c r="E143" s="8">
        <v>39</v>
      </c>
      <c r="F143" s="9" t="s">
        <v>10</v>
      </c>
    </row>
    <row r="144" spans="1:6" x14ac:dyDescent="0.3">
      <c r="A144" s="4">
        <v>46212</v>
      </c>
      <c r="B144" s="5">
        <f t="shared" si="2"/>
        <v>46204</v>
      </c>
      <c r="C144" s="6" t="s">
        <v>13</v>
      </c>
      <c r="D144" s="6" t="s">
        <v>13</v>
      </c>
      <c r="E144" s="8">
        <v>11</v>
      </c>
      <c r="F144" s="9" t="s">
        <v>10</v>
      </c>
    </row>
    <row r="145" spans="1:6" x14ac:dyDescent="0.3">
      <c r="A145" s="4">
        <v>46212</v>
      </c>
      <c r="B145" s="5">
        <f t="shared" si="2"/>
        <v>46204</v>
      </c>
      <c r="C145" s="6" t="s">
        <v>14</v>
      </c>
      <c r="D145" s="6" t="s">
        <v>14</v>
      </c>
      <c r="E145" s="8">
        <v>40</v>
      </c>
      <c r="F145" s="9" t="s">
        <v>10</v>
      </c>
    </row>
    <row r="146" spans="1:6" x14ac:dyDescent="0.3">
      <c r="A146" s="4">
        <v>46212</v>
      </c>
      <c r="B146" s="5">
        <f t="shared" si="2"/>
        <v>46204</v>
      </c>
      <c r="C146" s="6" t="s">
        <v>36</v>
      </c>
      <c r="D146" s="6" t="s">
        <v>36</v>
      </c>
      <c r="E146" s="8">
        <v>20</v>
      </c>
      <c r="F146" s="9" t="s">
        <v>10</v>
      </c>
    </row>
    <row r="147" spans="1:6" x14ac:dyDescent="0.3">
      <c r="A147" s="4">
        <v>46212</v>
      </c>
      <c r="B147" s="5">
        <f t="shared" si="2"/>
        <v>46204</v>
      </c>
      <c r="C147" s="6" t="s">
        <v>20</v>
      </c>
      <c r="D147" s="6" t="s">
        <v>20</v>
      </c>
      <c r="E147" s="8">
        <v>80</v>
      </c>
      <c r="F147" s="9" t="s">
        <v>10</v>
      </c>
    </row>
    <row r="148" spans="1:6" x14ac:dyDescent="0.3">
      <c r="A148" s="4">
        <v>46212</v>
      </c>
      <c r="B148" s="5">
        <f t="shared" si="2"/>
        <v>46204</v>
      </c>
      <c r="C148" s="6" t="s">
        <v>30</v>
      </c>
      <c r="D148" s="6" t="s">
        <v>30</v>
      </c>
      <c r="E148" s="8">
        <v>80</v>
      </c>
      <c r="F148" s="9" t="s">
        <v>10</v>
      </c>
    </row>
    <row r="149" spans="1:6" x14ac:dyDescent="0.3">
      <c r="A149" s="4">
        <v>46212</v>
      </c>
      <c r="B149" s="5">
        <f t="shared" si="2"/>
        <v>46204</v>
      </c>
      <c r="C149" s="6" t="s">
        <v>39</v>
      </c>
      <c r="D149" s="6" t="s">
        <v>39</v>
      </c>
      <c r="E149" s="8">
        <v>80</v>
      </c>
      <c r="F149" s="9" t="s">
        <v>10</v>
      </c>
    </row>
    <row r="150" spans="1:6" x14ac:dyDescent="0.3">
      <c r="A150" s="4">
        <v>46212</v>
      </c>
      <c r="B150" s="5">
        <f t="shared" si="2"/>
        <v>46204</v>
      </c>
      <c r="C150" s="6" t="s">
        <v>16</v>
      </c>
      <c r="D150" s="6" t="s">
        <v>16</v>
      </c>
      <c r="E150" s="8">
        <v>100</v>
      </c>
      <c r="F150" s="9" t="s">
        <v>10</v>
      </c>
    </row>
    <row r="151" spans="1:6" x14ac:dyDescent="0.3">
      <c r="A151" s="4">
        <v>46212</v>
      </c>
      <c r="B151" s="5">
        <f t="shared" si="2"/>
        <v>46204</v>
      </c>
      <c r="C151" s="6" t="s">
        <v>31</v>
      </c>
      <c r="D151" s="6" t="s">
        <v>31</v>
      </c>
      <c r="E151" s="8">
        <v>31</v>
      </c>
      <c r="F151" s="9" t="s">
        <v>10</v>
      </c>
    </row>
    <row r="152" spans="1:6" x14ac:dyDescent="0.3">
      <c r="A152" s="4">
        <v>46212</v>
      </c>
      <c r="B152" s="5">
        <f t="shared" si="2"/>
        <v>46204</v>
      </c>
      <c r="C152" s="6" t="s">
        <v>40</v>
      </c>
      <c r="D152" s="6" t="s">
        <v>40</v>
      </c>
      <c r="E152" s="8">
        <v>30</v>
      </c>
      <c r="F152" s="9" t="s">
        <v>10</v>
      </c>
    </row>
    <row r="153" spans="1:6" x14ac:dyDescent="0.3">
      <c r="A153" s="4">
        <v>46212</v>
      </c>
      <c r="B153" s="5">
        <f t="shared" si="2"/>
        <v>46204</v>
      </c>
      <c r="C153" s="6" t="s">
        <v>23</v>
      </c>
      <c r="D153" s="6" t="s">
        <v>23</v>
      </c>
      <c r="E153" s="8">
        <v>30</v>
      </c>
      <c r="F153" s="9" t="s">
        <v>10</v>
      </c>
    </row>
    <row r="154" spans="1:6" x14ac:dyDescent="0.3">
      <c r="A154" s="4">
        <v>46212</v>
      </c>
      <c r="B154" s="5">
        <f t="shared" si="2"/>
        <v>46204</v>
      </c>
      <c r="C154" s="6" t="s">
        <v>35</v>
      </c>
      <c r="D154" s="6" t="s">
        <v>35</v>
      </c>
      <c r="E154" s="8">
        <v>59</v>
      </c>
      <c r="F154" s="9" t="s">
        <v>10</v>
      </c>
    </row>
    <row r="155" spans="1:6" x14ac:dyDescent="0.3">
      <c r="A155" s="4">
        <v>46212</v>
      </c>
      <c r="B155" s="5">
        <f t="shared" si="2"/>
        <v>46204</v>
      </c>
      <c r="C155" s="6" t="s">
        <v>21</v>
      </c>
      <c r="D155" s="6" t="s">
        <v>21</v>
      </c>
      <c r="E155" s="8">
        <v>5</v>
      </c>
      <c r="F155" s="9" t="s">
        <v>10</v>
      </c>
    </row>
    <row r="156" spans="1:6" x14ac:dyDescent="0.3">
      <c r="A156" s="4">
        <v>46212</v>
      </c>
      <c r="B156" s="5">
        <f t="shared" si="2"/>
        <v>46204</v>
      </c>
      <c r="C156" s="6" t="s">
        <v>22</v>
      </c>
      <c r="D156" s="6" t="s">
        <v>22</v>
      </c>
      <c r="E156" s="8">
        <v>20</v>
      </c>
      <c r="F156" s="9" t="s">
        <v>10</v>
      </c>
    </row>
    <row r="157" spans="1:6" x14ac:dyDescent="0.3">
      <c r="A157" s="4">
        <v>46213</v>
      </c>
      <c r="B157" s="5">
        <f t="shared" si="2"/>
        <v>46204</v>
      </c>
      <c r="C157" s="6" t="s">
        <v>38</v>
      </c>
      <c r="D157" s="6" t="s">
        <v>38</v>
      </c>
      <c r="E157" s="8">
        <v>20</v>
      </c>
      <c r="F157" s="9" t="s">
        <v>10</v>
      </c>
    </row>
    <row r="158" spans="1:6" x14ac:dyDescent="0.3">
      <c r="A158" s="4">
        <v>46213</v>
      </c>
      <c r="B158" s="5">
        <f t="shared" si="2"/>
        <v>46204</v>
      </c>
      <c r="C158" s="6" t="s">
        <v>13</v>
      </c>
      <c r="D158" s="6" t="s">
        <v>13</v>
      </c>
      <c r="E158" s="8">
        <v>11</v>
      </c>
      <c r="F158" s="9" t="s">
        <v>10</v>
      </c>
    </row>
    <row r="159" spans="1:6" x14ac:dyDescent="0.3">
      <c r="A159" s="4">
        <v>46213</v>
      </c>
      <c r="B159" s="5">
        <f t="shared" si="2"/>
        <v>46204</v>
      </c>
      <c r="C159" s="6" t="s">
        <v>14</v>
      </c>
      <c r="D159" s="6" t="s">
        <v>14</v>
      </c>
      <c r="E159" s="8">
        <v>40</v>
      </c>
      <c r="F159" s="9" t="s">
        <v>10</v>
      </c>
    </row>
    <row r="160" spans="1:6" x14ac:dyDescent="0.3">
      <c r="A160" s="4">
        <v>46213</v>
      </c>
      <c r="B160" s="5">
        <f t="shared" si="2"/>
        <v>46204</v>
      </c>
      <c r="C160" s="6" t="s">
        <v>30</v>
      </c>
      <c r="D160" s="6" t="s">
        <v>30</v>
      </c>
      <c r="E160" s="8">
        <v>60</v>
      </c>
      <c r="F160" s="9" t="s">
        <v>10</v>
      </c>
    </row>
    <row r="161" spans="1:6" x14ac:dyDescent="0.3">
      <c r="A161" s="4">
        <v>46213</v>
      </c>
      <c r="B161" s="5">
        <f t="shared" si="2"/>
        <v>46204</v>
      </c>
      <c r="C161" s="6" t="s">
        <v>31</v>
      </c>
      <c r="D161" s="6" t="s">
        <v>31</v>
      </c>
      <c r="E161" s="8">
        <v>30</v>
      </c>
      <c r="F161" s="9" t="s">
        <v>10</v>
      </c>
    </row>
    <row r="162" spans="1:6" x14ac:dyDescent="0.3">
      <c r="A162" s="4">
        <v>46213</v>
      </c>
      <c r="B162" s="5">
        <f t="shared" si="2"/>
        <v>46204</v>
      </c>
      <c r="C162" s="6" t="s">
        <v>41</v>
      </c>
      <c r="D162" s="6" t="s">
        <v>41</v>
      </c>
      <c r="E162" s="8">
        <v>10</v>
      </c>
      <c r="F162" s="9" t="s">
        <v>10</v>
      </c>
    </row>
    <row r="163" spans="1:6" x14ac:dyDescent="0.3">
      <c r="A163" s="4">
        <v>46214</v>
      </c>
      <c r="B163" s="5">
        <f t="shared" si="2"/>
        <v>46204</v>
      </c>
      <c r="C163" s="6" t="s">
        <v>13</v>
      </c>
      <c r="D163" s="6" t="s">
        <v>13</v>
      </c>
      <c r="E163" s="8">
        <v>4</v>
      </c>
      <c r="F163" s="9" t="s">
        <v>10</v>
      </c>
    </row>
    <row r="164" spans="1:6" x14ac:dyDescent="0.3">
      <c r="A164" s="4">
        <v>46214</v>
      </c>
      <c r="B164" s="5">
        <f t="shared" si="2"/>
        <v>46204</v>
      </c>
      <c r="C164" s="6" t="s">
        <v>32</v>
      </c>
      <c r="D164" s="6" t="s">
        <v>32</v>
      </c>
      <c r="E164" s="8">
        <v>40</v>
      </c>
      <c r="F164" s="9" t="s">
        <v>10</v>
      </c>
    </row>
    <row r="165" spans="1:6" x14ac:dyDescent="0.3">
      <c r="A165" s="4">
        <v>46214</v>
      </c>
      <c r="B165" s="5">
        <f t="shared" si="2"/>
        <v>46204</v>
      </c>
      <c r="C165" s="6" t="s">
        <v>30</v>
      </c>
      <c r="D165" s="6" t="s">
        <v>30</v>
      </c>
      <c r="E165" s="8">
        <v>50</v>
      </c>
      <c r="F165" s="9" t="s">
        <v>10</v>
      </c>
    </row>
    <row r="166" spans="1:6" x14ac:dyDescent="0.3">
      <c r="A166" s="4">
        <v>46214</v>
      </c>
      <c r="B166" s="5">
        <f t="shared" si="2"/>
        <v>46204</v>
      </c>
      <c r="C166" s="6" t="s">
        <v>30</v>
      </c>
      <c r="D166" s="6" t="s">
        <v>30</v>
      </c>
      <c r="E166" s="8">
        <v>20</v>
      </c>
      <c r="F166" s="9" t="s">
        <v>10</v>
      </c>
    </row>
    <row r="167" spans="1:6" x14ac:dyDescent="0.3">
      <c r="A167" s="4">
        <v>46214</v>
      </c>
      <c r="B167" s="5">
        <f t="shared" si="2"/>
        <v>46204</v>
      </c>
      <c r="C167" s="6" t="s">
        <v>39</v>
      </c>
      <c r="D167" s="6" t="s">
        <v>39</v>
      </c>
      <c r="E167" s="8">
        <v>50</v>
      </c>
      <c r="F167" s="9" t="s">
        <v>10</v>
      </c>
    </row>
    <row r="168" spans="1:6" x14ac:dyDescent="0.3">
      <c r="A168" s="4">
        <v>46214</v>
      </c>
      <c r="B168" s="5">
        <f t="shared" si="2"/>
        <v>46204</v>
      </c>
      <c r="C168" s="6" t="s">
        <v>16</v>
      </c>
      <c r="D168" s="6" t="s">
        <v>16</v>
      </c>
      <c r="E168" s="8">
        <v>70</v>
      </c>
      <c r="F168" s="9" t="s">
        <v>10</v>
      </c>
    </row>
    <row r="169" spans="1:6" x14ac:dyDescent="0.3">
      <c r="A169" s="4">
        <v>46214</v>
      </c>
      <c r="B169" s="5">
        <f t="shared" si="2"/>
        <v>46204</v>
      </c>
      <c r="C169" s="6" t="s">
        <v>23</v>
      </c>
      <c r="D169" s="6" t="s">
        <v>23</v>
      </c>
      <c r="E169" s="8">
        <v>30</v>
      </c>
      <c r="F169" s="9" t="s">
        <v>10</v>
      </c>
    </row>
    <row r="170" spans="1:6" x14ac:dyDescent="0.3">
      <c r="A170" s="4">
        <v>46214</v>
      </c>
      <c r="B170" s="5">
        <f t="shared" si="2"/>
        <v>46204</v>
      </c>
      <c r="C170" s="6" t="s">
        <v>35</v>
      </c>
      <c r="D170" s="6" t="s">
        <v>35</v>
      </c>
      <c r="E170" s="8">
        <v>16</v>
      </c>
      <c r="F170" s="9" t="s">
        <v>10</v>
      </c>
    </row>
    <row r="171" spans="1:6" x14ac:dyDescent="0.3">
      <c r="A171" s="4">
        <v>46214</v>
      </c>
      <c r="B171" s="5">
        <f t="shared" si="2"/>
        <v>46204</v>
      </c>
      <c r="C171" s="6" t="s">
        <v>21</v>
      </c>
      <c r="D171" s="6" t="s">
        <v>21</v>
      </c>
      <c r="E171" s="8">
        <v>15</v>
      </c>
      <c r="F171" s="9" t="s">
        <v>10</v>
      </c>
    </row>
    <row r="172" spans="1:6" x14ac:dyDescent="0.3">
      <c r="A172" s="4">
        <v>46214</v>
      </c>
      <c r="B172" s="5">
        <f t="shared" si="2"/>
        <v>46204</v>
      </c>
      <c r="C172" s="6" t="s">
        <v>21</v>
      </c>
      <c r="D172" s="6" t="s">
        <v>21</v>
      </c>
      <c r="E172" s="8">
        <v>13</v>
      </c>
      <c r="F172" s="9" t="s">
        <v>10</v>
      </c>
    </row>
    <row r="173" spans="1:6" x14ac:dyDescent="0.3">
      <c r="A173" s="4">
        <v>46214</v>
      </c>
      <c r="B173" s="5">
        <f t="shared" si="2"/>
        <v>46204</v>
      </c>
      <c r="C173" s="6" t="s">
        <v>22</v>
      </c>
      <c r="D173" s="6" t="s">
        <v>22</v>
      </c>
      <c r="E173" s="8">
        <v>20</v>
      </c>
      <c r="F173" s="9" t="s">
        <v>10</v>
      </c>
    </row>
    <row r="174" spans="1:6" x14ac:dyDescent="0.3">
      <c r="A174" s="4">
        <v>46214</v>
      </c>
      <c r="B174" s="5">
        <f t="shared" si="2"/>
        <v>46204</v>
      </c>
      <c r="C174" s="6" t="s">
        <v>22</v>
      </c>
      <c r="D174" s="6" t="s">
        <v>22</v>
      </c>
      <c r="E174" s="8">
        <v>20</v>
      </c>
      <c r="F174" s="9" t="s">
        <v>10</v>
      </c>
    </row>
    <row r="175" spans="1:6" x14ac:dyDescent="0.3">
      <c r="A175" s="4">
        <v>46215</v>
      </c>
      <c r="B175" s="5">
        <f t="shared" si="2"/>
        <v>46204</v>
      </c>
      <c r="C175" s="6" t="s">
        <v>38</v>
      </c>
      <c r="D175" s="6" t="s">
        <v>38</v>
      </c>
      <c r="E175" s="8">
        <v>20</v>
      </c>
      <c r="F175" s="9" t="s">
        <v>10</v>
      </c>
    </row>
    <row r="176" spans="1:6" x14ac:dyDescent="0.3">
      <c r="A176" s="4">
        <v>46215</v>
      </c>
      <c r="B176" s="5">
        <f t="shared" si="2"/>
        <v>46204</v>
      </c>
      <c r="C176" s="6" t="s">
        <v>13</v>
      </c>
      <c r="D176" s="6" t="s">
        <v>13</v>
      </c>
      <c r="E176" s="8">
        <v>5</v>
      </c>
      <c r="F176" s="9" t="s">
        <v>10</v>
      </c>
    </row>
    <row r="177" spans="1:6" x14ac:dyDescent="0.3">
      <c r="A177" s="4">
        <v>46215</v>
      </c>
      <c r="B177" s="5">
        <f t="shared" si="2"/>
        <v>46204</v>
      </c>
      <c r="C177" s="6" t="s">
        <v>14</v>
      </c>
      <c r="D177" s="7" t="s">
        <v>42</v>
      </c>
      <c r="E177" s="8">
        <v>40</v>
      </c>
      <c r="F177" s="9" t="s">
        <v>10</v>
      </c>
    </row>
    <row r="178" spans="1:6" x14ac:dyDescent="0.3">
      <c r="A178" s="4">
        <v>46215</v>
      </c>
      <c r="B178" s="5">
        <f t="shared" si="2"/>
        <v>46204</v>
      </c>
      <c r="C178" s="6" t="s">
        <v>43</v>
      </c>
      <c r="D178" s="6" t="s">
        <v>43</v>
      </c>
      <c r="E178" s="8">
        <v>80</v>
      </c>
      <c r="F178" s="9" t="s">
        <v>10</v>
      </c>
    </row>
    <row r="179" spans="1:6" x14ac:dyDescent="0.3">
      <c r="A179" s="4">
        <v>46215</v>
      </c>
      <c r="B179" s="5">
        <f t="shared" si="2"/>
        <v>46204</v>
      </c>
      <c r="C179" s="6" t="s">
        <v>30</v>
      </c>
      <c r="D179" s="6" t="s">
        <v>30</v>
      </c>
      <c r="E179" s="8">
        <v>70</v>
      </c>
      <c r="F179" s="9" t="s">
        <v>10</v>
      </c>
    </row>
    <row r="180" spans="1:6" x14ac:dyDescent="0.3">
      <c r="A180" s="4">
        <v>46215</v>
      </c>
      <c r="B180" s="5">
        <f t="shared" si="2"/>
        <v>46204</v>
      </c>
      <c r="C180" s="6" t="s">
        <v>39</v>
      </c>
      <c r="D180" s="6" t="s">
        <v>39</v>
      </c>
      <c r="E180" s="8">
        <v>70</v>
      </c>
      <c r="F180" s="9" t="s">
        <v>10</v>
      </c>
    </row>
    <row r="181" spans="1:6" x14ac:dyDescent="0.3">
      <c r="A181" s="4">
        <v>46215</v>
      </c>
      <c r="B181" s="5">
        <f t="shared" si="2"/>
        <v>46204</v>
      </c>
      <c r="C181" s="6" t="s">
        <v>16</v>
      </c>
      <c r="D181" s="6" t="s">
        <v>16</v>
      </c>
      <c r="E181" s="8">
        <v>80</v>
      </c>
      <c r="F181" s="9" t="s">
        <v>10</v>
      </c>
    </row>
    <row r="182" spans="1:6" x14ac:dyDescent="0.3">
      <c r="A182" s="4">
        <v>46215</v>
      </c>
      <c r="B182" s="5">
        <f t="shared" si="2"/>
        <v>46204</v>
      </c>
      <c r="C182" s="6" t="s">
        <v>31</v>
      </c>
      <c r="D182" s="6" t="s">
        <v>31</v>
      </c>
      <c r="E182" s="8">
        <v>20</v>
      </c>
      <c r="F182" s="9" t="s">
        <v>10</v>
      </c>
    </row>
    <row r="183" spans="1:6" x14ac:dyDescent="0.3">
      <c r="A183" s="4">
        <v>46215</v>
      </c>
      <c r="B183" s="5">
        <f t="shared" si="2"/>
        <v>46204</v>
      </c>
      <c r="C183" s="6" t="s">
        <v>40</v>
      </c>
      <c r="D183" s="6" t="s">
        <v>40</v>
      </c>
      <c r="E183" s="8">
        <v>20</v>
      </c>
      <c r="F183" s="9" t="s">
        <v>10</v>
      </c>
    </row>
    <row r="184" spans="1:6" x14ac:dyDescent="0.3">
      <c r="A184" s="4">
        <v>46215</v>
      </c>
      <c r="B184" s="5">
        <f t="shared" si="2"/>
        <v>46204</v>
      </c>
      <c r="C184" s="6" t="s">
        <v>29</v>
      </c>
      <c r="D184" s="6" t="s">
        <v>29</v>
      </c>
      <c r="E184" s="8">
        <v>20</v>
      </c>
      <c r="F184" s="9" t="s">
        <v>10</v>
      </c>
    </row>
    <row r="185" spans="1:6" x14ac:dyDescent="0.3">
      <c r="A185" s="4">
        <v>46215</v>
      </c>
      <c r="B185" s="5">
        <f t="shared" si="2"/>
        <v>46204</v>
      </c>
      <c r="C185" s="6" t="s">
        <v>23</v>
      </c>
      <c r="D185" s="6" t="s">
        <v>23</v>
      </c>
      <c r="E185" s="8">
        <v>30</v>
      </c>
      <c r="F185" s="9" t="s">
        <v>10</v>
      </c>
    </row>
    <row r="186" spans="1:6" x14ac:dyDescent="0.3">
      <c r="A186" s="4">
        <v>46216</v>
      </c>
      <c r="B186" s="5">
        <f t="shared" si="2"/>
        <v>46204</v>
      </c>
      <c r="C186" s="6" t="s">
        <v>14</v>
      </c>
      <c r="D186" s="6" t="s">
        <v>14</v>
      </c>
      <c r="E186" s="8">
        <v>30</v>
      </c>
      <c r="F186" s="9" t="s">
        <v>10</v>
      </c>
    </row>
    <row r="187" spans="1:6" x14ac:dyDescent="0.3">
      <c r="A187" s="4">
        <v>46216</v>
      </c>
      <c r="B187" s="5">
        <f t="shared" si="2"/>
        <v>46204</v>
      </c>
      <c r="C187" s="6" t="s">
        <v>32</v>
      </c>
      <c r="D187" s="6" t="s">
        <v>32</v>
      </c>
      <c r="E187" s="8">
        <v>29</v>
      </c>
      <c r="F187" s="9" t="s">
        <v>10</v>
      </c>
    </row>
    <row r="188" spans="1:6" x14ac:dyDescent="0.3">
      <c r="A188" s="4">
        <v>46216</v>
      </c>
      <c r="B188" s="5">
        <f t="shared" si="2"/>
        <v>46204</v>
      </c>
      <c r="C188" s="6" t="s">
        <v>43</v>
      </c>
      <c r="D188" s="6" t="s">
        <v>43</v>
      </c>
      <c r="E188" s="8">
        <v>100</v>
      </c>
      <c r="F188" s="9" t="s">
        <v>10</v>
      </c>
    </row>
    <row r="189" spans="1:6" x14ac:dyDescent="0.3">
      <c r="A189" s="4">
        <v>46216</v>
      </c>
      <c r="B189" s="5">
        <f t="shared" si="2"/>
        <v>46204</v>
      </c>
      <c r="C189" s="6" t="s">
        <v>30</v>
      </c>
      <c r="D189" s="6" t="s">
        <v>30</v>
      </c>
      <c r="E189" s="8">
        <v>60</v>
      </c>
      <c r="F189" s="9" t="s">
        <v>10</v>
      </c>
    </row>
    <row r="190" spans="1:6" x14ac:dyDescent="0.3">
      <c r="A190" s="4">
        <v>46216</v>
      </c>
      <c r="B190" s="5">
        <f t="shared" si="2"/>
        <v>46204</v>
      </c>
      <c r="C190" s="6" t="s">
        <v>39</v>
      </c>
      <c r="D190" s="6" t="s">
        <v>39</v>
      </c>
      <c r="E190" s="8">
        <v>70</v>
      </c>
      <c r="F190" s="9" t="s">
        <v>10</v>
      </c>
    </row>
    <row r="191" spans="1:6" x14ac:dyDescent="0.3">
      <c r="A191" s="4">
        <v>46216</v>
      </c>
      <c r="B191" s="5">
        <f t="shared" si="2"/>
        <v>46204</v>
      </c>
      <c r="C191" s="6" t="s">
        <v>16</v>
      </c>
      <c r="D191" s="6" t="s">
        <v>16</v>
      </c>
      <c r="E191" s="8">
        <v>70</v>
      </c>
      <c r="F191" s="9" t="s">
        <v>10</v>
      </c>
    </row>
    <row r="192" spans="1:6" x14ac:dyDescent="0.3">
      <c r="A192" s="4">
        <v>46216</v>
      </c>
      <c r="B192" s="5">
        <f t="shared" si="2"/>
        <v>46204</v>
      </c>
      <c r="C192" s="6" t="s">
        <v>31</v>
      </c>
      <c r="D192" s="6" t="s">
        <v>31</v>
      </c>
      <c r="E192" s="8">
        <v>20</v>
      </c>
      <c r="F192" s="9" t="s">
        <v>10</v>
      </c>
    </row>
    <row r="193" spans="1:6" x14ac:dyDescent="0.3">
      <c r="A193" s="4">
        <v>46216</v>
      </c>
      <c r="B193" s="5">
        <f t="shared" si="2"/>
        <v>46204</v>
      </c>
      <c r="C193" s="6" t="s">
        <v>23</v>
      </c>
      <c r="D193" s="6" t="s">
        <v>23</v>
      </c>
      <c r="E193" s="8">
        <v>20</v>
      </c>
      <c r="F193" s="9" t="s">
        <v>10</v>
      </c>
    </row>
    <row r="194" spans="1:6" x14ac:dyDescent="0.3">
      <c r="A194" s="4">
        <v>46216</v>
      </c>
      <c r="B194" s="5">
        <f t="shared" si="2"/>
        <v>46204</v>
      </c>
      <c r="C194" s="6" t="s">
        <v>35</v>
      </c>
      <c r="D194" s="6" t="s">
        <v>35</v>
      </c>
      <c r="E194" s="8">
        <v>31</v>
      </c>
      <c r="F194" s="9" t="s">
        <v>10</v>
      </c>
    </row>
    <row r="195" spans="1:6" x14ac:dyDescent="0.3">
      <c r="A195" s="4">
        <v>46216</v>
      </c>
      <c r="B195" s="5">
        <f t="shared" si="2"/>
        <v>46204</v>
      </c>
      <c r="C195" s="6" t="s">
        <v>21</v>
      </c>
      <c r="D195" s="6" t="s">
        <v>21</v>
      </c>
      <c r="E195" s="8">
        <v>29</v>
      </c>
      <c r="F195" s="9" t="s">
        <v>10</v>
      </c>
    </row>
    <row r="196" spans="1:6" x14ac:dyDescent="0.3">
      <c r="A196" s="4">
        <v>46216</v>
      </c>
      <c r="B196" s="5">
        <f t="shared" si="2"/>
        <v>46204</v>
      </c>
      <c r="C196" s="6" t="s">
        <v>22</v>
      </c>
      <c r="D196" s="6" t="s">
        <v>22</v>
      </c>
      <c r="E196" s="8">
        <v>30</v>
      </c>
      <c r="F196" s="9" t="s">
        <v>10</v>
      </c>
    </row>
    <row r="197" spans="1:6" x14ac:dyDescent="0.3">
      <c r="A197" s="4">
        <v>46217</v>
      </c>
      <c r="B197" s="5">
        <f t="shared" ref="B197:B260" si="3">DATE(YEAR(A197),MONTH(A197),1)</f>
        <v>46204</v>
      </c>
      <c r="C197" s="6" t="s">
        <v>38</v>
      </c>
      <c r="D197" s="6" t="s">
        <v>38</v>
      </c>
      <c r="E197" s="8">
        <v>21</v>
      </c>
      <c r="F197" s="9" t="s">
        <v>10</v>
      </c>
    </row>
    <row r="198" spans="1:6" x14ac:dyDescent="0.3">
      <c r="A198" s="4">
        <v>46217</v>
      </c>
      <c r="B198" s="5">
        <f t="shared" si="3"/>
        <v>46204</v>
      </c>
      <c r="C198" s="6" t="s">
        <v>13</v>
      </c>
      <c r="D198" s="6" t="s">
        <v>13</v>
      </c>
      <c r="E198" s="8">
        <v>12</v>
      </c>
      <c r="F198" s="9" t="s">
        <v>10</v>
      </c>
    </row>
    <row r="199" spans="1:6" x14ac:dyDescent="0.3">
      <c r="A199" s="4">
        <v>46217</v>
      </c>
      <c r="B199" s="5">
        <f t="shared" si="3"/>
        <v>46204</v>
      </c>
      <c r="C199" s="6" t="s">
        <v>14</v>
      </c>
      <c r="D199" s="6" t="s">
        <v>14</v>
      </c>
      <c r="E199" s="8">
        <v>40</v>
      </c>
      <c r="F199" s="9" t="s">
        <v>10</v>
      </c>
    </row>
    <row r="200" spans="1:6" x14ac:dyDescent="0.3">
      <c r="A200" s="4">
        <v>46217</v>
      </c>
      <c r="B200" s="5">
        <f t="shared" si="3"/>
        <v>46204</v>
      </c>
      <c r="C200" s="6" t="s">
        <v>36</v>
      </c>
      <c r="D200" s="7" t="s">
        <v>44</v>
      </c>
      <c r="E200" s="8">
        <v>20</v>
      </c>
      <c r="F200" s="9" t="s">
        <v>10</v>
      </c>
    </row>
    <row r="201" spans="1:6" x14ac:dyDescent="0.3">
      <c r="A201" s="4">
        <v>46217</v>
      </c>
      <c r="B201" s="5">
        <f t="shared" si="3"/>
        <v>46204</v>
      </c>
      <c r="C201" s="6" t="s">
        <v>43</v>
      </c>
      <c r="D201" s="6" t="s">
        <v>43</v>
      </c>
      <c r="E201" s="8">
        <v>100</v>
      </c>
      <c r="F201" s="9" t="s">
        <v>10</v>
      </c>
    </row>
    <row r="202" spans="1:6" x14ac:dyDescent="0.3">
      <c r="A202" s="4">
        <v>46217</v>
      </c>
      <c r="B202" s="5">
        <f t="shared" si="3"/>
        <v>46204</v>
      </c>
      <c r="C202" s="6" t="s">
        <v>30</v>
      </c>
      <c r="D202" s="6" t="s">
        <v>30</v>
      </c>
      <c r="E202" s="8">
        <v>70</v>
      </c>
      <c r="F202" s="9" t="s">
        <v>10</v>
      </c>
    </row>
    <row r="203" spans="1:6" x14ac:dyDescent="0.3">
      <c r="A203" s="4">
        <v>46217</v>
      </c>
      <c r="B203" s="5">
        <f t="shared" si="3"/>
        <v>46204</v>
      </c>
      <c r="C203" s="6" t="s">
        <v>39</v>
      </c>
      <c r="D203" s="6" t="s">
        <v>39</v>
      </c>
      <c r="E203" s="8">
        <v>80</v>
      </c>
      <c r="F203" s="9" t="s">
        <v>10</v>
      </c>
    </row>
    <row r="204" spans="1:6" x14ac:dyDescent="0.3">
      <c r="A204" s="4">
        <v>46217</v>
      </c>
      <c r="B204" s="5">
        <f t="shared" si="3"/>
        <v>46204</v>
      </c>
      <c r="C204" s="6" t="s">
        <v>16</v>
      </c>
      <c r="D204" s="6" t="s">
        <v>16</v>
      </c>
      <c r="E204" s="8">
        <v>40</v>
      </c>
      <c r="F204" s="9" t="s">
        <v>10</v>
      </c>
    </row>
    <row r="205" spans="1:6" x14ac:dyDescent="0.3">
      <c r="A205" s="4">
        <v>46217</v>
      </c>
      <c r="B205" s="5">
        <f t="shared" si="3"/>
        <v>46204</v>
      </c>
      <c r="C205" s="6" t="s">
        <v>33</v>
      </c>
      <c r="D205" s="6" t="s">
        <v>33</v>
      </c>
      <c r="E205" s="8">
        <v>20</v>
      </c>
      <c r="F205" s="9" t="s">
        <v>10</v>
      </c>
    </row>
    <row r="206" spans="1:6" x14ac:dyDescent="0.3">
      <c r="A206" s="4">
        <v>46217</v>
      </c>
      <c r="B206" s="5">
        <f t="shared" si="3"/>
        <v>46204</v>
      </c>
      <c r="C206" s="6" t="s">
        <v>40</v>
      </c>
      <c r="D206" s="6" t="s">
        <v>40</v>
      </c>
      <c r="E206" s="8">
        <v>20</v>
      </c>
      <c r="F206" s="9" t="s">
        <v>10</v>
      </c>
    </row>
    <row r="207" spans="1:6" x14ac:dyDescent="0.3">
      <c r="A207" s="4">
        <v>46217</v>
      </c>
      <c r="B207" s="5">
        <f t="shared" si="3"/>
        <v>46204</v>
      </c>
      <c r="C207" s="6" t="s">
        <v>29</v>
      </c>
      <c r="D207" s="6" t="s">
        <v>29</v>
      </c>
      <c r="E207" s="8">
        <v>20</v>
      </c>
      <c r="F207" s="9" t="s">
        <v>10</v>
      </c>
    </row>
    <row r="208" spans="1:6" x14ac:dyDescent="0.3">
      <c r="A208" s="4">
        <v>46217</v>
      </c>
      <c r="B208" s="5">
        <f t="shared" si="3"/>
        <v>46204</v>
      </c>
      <c r="C208" s="6" t="s">
        <v>25</v>
      </c>
      <c r="D208" s="7" t="s">
        <v>26</v>
      </c>
      <c r="E208" s="8">
        <v>20</v>
      </c>
      <c r="F208" s="9" t="s">
        <v>10</v>
      </c>
    </row>
    <row r="209" spans="1:6" x14ac:dyDescent="0.3">
      <c r="A209" s="4">
        <v>46218</v>
      </c>
      <c r="B209" s="5">
        <f t="shared" si="3"/>
        <v>46204</v>
      </c>
      <c r="C209" s="6" t="s">
        <v>14</v>
      </c>
      <c r="D209" s="6" t="s">
        <v>14</v>
      </c>
      <c r="E209" s="8">
        <v>40</v>
      </c>
      <c r="F209" s="9" t="s">
        <v>10</v>
      </c>
    </row>
    <row r="210" spans="1:6" x14ac:dyDescent="0.3">
      <c r="A210" s="4">
        <v>46218</v>
      </c>
      <c r="B210" s="5">
        <f t="shared" si="3"/>
        <v>46204</v>
      </c>
      <c r="C210" s="6" t="s">
        <v>43</v>
      </c>
      <c r="D210" s="6" t="s">
        <v>43</v>
      </c>
      <c r="E210" s="8">
        <v>80</v>
      </c>
      <c r="F210" s="9" t="s">
        <v>10</v>
      </c>
    </row>
    <row r="211" spans="1:6" x14ac:dyDescent="0.3">
      <c r="A211" s="4">
        <v>46218</v>
      </c>
      <c r="B211" s="5">
        <f t="shared" si="3"/>
        <v>46204</v>
      </c>
      <c r="C211" s="6" t="s">
        <v>30</v>
      </c>
      <c r="D211" s="6" t="s">
        <v>30</v>
      </c>
      <c r="E211" s="8">
        <v>80</v>
      </c>
      <c r="F211" s="9" t="s">
        <v>10</v>
      </c>
    </row>
    <row r="212" spans="1:6" x14ac:dyDescent="0.3">
      <c r="A212" s="4">
        <v>46218</v>
      </c>
      <c r="B212" s="5">
        <f t="shared" si="3"/>
        <v>46204</v>
      </c>
      <c r="C212" s="6" t="s">
        <v>39</v>
      </c>
      <c r="D212" s="6" t="s">
        <v>39</v>
      </c>
      <c r="E212" s="8">
        <v>80</v>
      </c>
      <c r="F212" s="9" t="s">
        <v>10</v>
      </c>
    </row>
    <row r="213" spans="1:6" x14ac:dyDescent="0.3">
      <c r="A213" s="4">
        <v>46218</v>
      </c>
      <c r="B213" s="5">
        <f t="shared" si="3"/>
        <v>46204</v>
      </c>
      <c r="C213" s="6" t="s">
        <v>16</v>
      </c>
      <c r="D213" s="6" t="s">
        <v>16</v>
      </c>
      <c r="E213" s="8">
        <v>80</v>
      </c>
      <c r="F213" s="9" t="s">
        <v>10</v>
      </c>
    </row>
    <row r="214" spans="1:6" x14ac:dyDescent="0.3">
      <c r="A214" s="4">
        <v>46218</v>
      </c>
      <c r="B214" s="5">
        <f t="shared" si="3"/>
        <v>46204</v>
      </c>
      <c r="C214" s="6" t="s">
        <v>31</v>
      </c>
      <c r="D214" s="6" t="s">
        <v>31</v>
      </c>
      <c r="E214" s="8">
        <v>20</v>
      </c>
      <c r="F214" s="9" t="s">
        <v>10</v>
      </c>
    </row>
    <row r="215" spans="1:6" x14ac:dyDescent="0.3">
      <c r="A215" s="4">
        <v>46218</v>
      </c>
      <c r="B215" s="5">
        <f t="shared" si="3"/>
        <v>46204</v>
      </c>
      <c r="C215" s="6" t="s">
        <v>31</v>
      </c>
      <c r="D215" s="6" t="s">
        <v>31</v>
      </c>
      <c r="E215" s="8">
        <v>30</v>
      </c>
      <c r="F215" s="9" t="s">
        <v>10</v>
      </c>
    </row>
    <row r="216" spans="1:6" x14ac:dyDescent="0.3">
      <c r="A216" s="4">
        <v>46218</v>
      </c>
      <c r="B216" s="5">
        <f t="shared" si="3"/>
        <v>46204</v>
      </c>
      <c r="C216" s="6" t="s">
        <v>40</v>
      </c>
      <c r="D216" s="6" t="s">
        <v>40</v>
      </c>
      <c r="E216" s="8">
        <v>25</v>
      </c>
      <c r="F216" s="9" t="s">
        <v>10</v>
      </c>
    </row>
    <row r="217" spans="1:6" x14ac:dyDescent="0.3">
      <c r="A217" s="4">
        <v>46218</v>
      </c>
      <c r="B217" s="5">
        <f t="shared" si="3"/>
        <v>46204</v>
      </c>
      <c r="C217" s="6" t="s">
        <v>35</v>
      </c>
      <c r="D217" s="6" t="s">
        <v>35</v>
      </c>
      <c r="E217" s="8">
        <v>47</v>
      </c>
      <c r="F217" s="9" t="s">
        <v>10</v>
      </c>
    </row>
    <row r="218" spans="1:6" x14ac:dyDescent="0.3">
      <c r="A218" s="4">
        <v>46219</v>
      </c>
      <c r="B218" s="5">
        <f t="shared" si="3"/>
        <v>46204</v>
      </c>
      <c r="C218" s="6" t="s">
        <v>38</v>
      </c>
      <c r="D218" s="6" t="s">
        <v>38</v>
      </c>
      <c r="E218" s="8">
        <v>20</v>
      </c>
      <c r="F218" s="9" t="s">
        <v>10</v>
      </c>
    </row>
    <row r="219" spans="1:6" x14ac:dyDescent="0.3">
      <c r="A219" s="4">
        <v>46219</v>
      </c>
      <c r="B219" s="5">
        <f t="shared" si="3"/>
        <v>46204</v>
      </c>
      <c r="C219" s="6" t="s">
        <v>13</v>
      </c>
      <c r="D219" s="6" t="s">
        <v>13</v>
      </c>
      <c r="E219" s="8">
        <v>11</v>
      </c>
      <c r="F219" s="9" t="s">
        <v>10</v>
      </c>
    </row>
    <row r="220" spans="1:6" x14ac:dyDescent="0.3">
      <c r="A220" s="4">
        <v>46219</v>
      </c>
      <c r="B220" s="5">
        <f t="shared" si="3"/>
        <v>46204</v>
      </c>
      <c r="C220" s="6" t="s">
        <v>14</v>
      </c>
      <c r="D220" s="6" t="s">
        <v>14</v>
      </c>
      <c r="E220" s="8">
        <v>50</v>
      </c>
      <c r="F220" s="9" t="s">
        <v>10</v>
      </c>
    </row>
    <row r="221" spans="1:6" x14ac:dyDescent="0.3">
      <c r="A221" s="4">
        <v>46219</v>
      </c>
      <c r="B221" s="5">
        <f t="shared" si="3"/>
        <v>46204</v>
      </c>
      <c r="C221" s="6" t="s">
        <v>36</v>
      </c>
      <c r="D221" s="6" t="s">
        <v>36</v>
      </c>
      <c r="E221" s="8">
        <v>20</v>
      </c>
      <c r="F221" s="9" t="s">
        <v>10</v>
      </c>
    </row>
    <row r="222" spans="1:6" x14ac:dyDescent="0.3">
      <c r="A222" s="4">
        <v>46219</v>
      </c>
      <c r="B222" s="5">
        <f t="shared" si="3"/>
        <v>46204</v>
      </c>
      <c r="C222" s="6" t="s">
        <v>43</v>
      </c>
      <c r="D222" s="6" t="s">
        <v>43</v>
      </c>
      <c r="E222" s="8">
        <v>80</v>
      </c>
      <c r="F222" s="9" t="s">
        <v>10</v>
      </c>
    </row>
    <row r="223" spans="1:6" x14ac:dyDescent="0.3">
      <c r="A223" s="4">
        <v>46219</v>
      </c>
      <c r="B223" s="5">
        <f t="shared" si="3"/>
        <v>46204</v>
      </c>
      <c r="C223" s="6" t="s">
        <v>30</v>
      </c>
      <c r="D223" s="6" t="s">
        <v>30</v>
      </c>
      <c r="E223" s="8">
        <v>70</v>
      </c>
      <c r="F223" s="9" t="s">
        <v>10</v>
      </c>
    </row>
    <row r="224" spans="1:6" x14ac:dyDescent="0.3">
      <c r="A224" s="4">
        <v>46219</v>
      </c>
      <c r="B224" s="5">
        <f t="shared" si="3"/>
        <v>46204</v>
      </c>
      <c r="C224" s="6" t="s">
        <v>39</v>
      </c>
      <c r="D224" s="6" t="s">
        <v>39</v>
      </c>
      <c r="E224" s="8">
        <v>70</v>
      </c>
      <c r="F224" s="9" t="s">
        <v>10</v>
      </c>
    </row>
    <row r="225" spans="1:6" x14ac:dyDescent="0.3">
      <c r="A225" s="4">
        <v>46219</v>
      </c>
      <c r="B225" s="5">
        <f t="shared" si="3"/>
        <v>46204</v>
      </c>
      <c r="C225" s="6" t="s">
        <v>16</v>
      </c>
      <c r="D225" s="6" t="s">
        <v>16</v>
      </c>
      <c r="E225" s="8">
        <v>80</v>
      </c>
      <c r="F225" s="9" t="s">
        <v>10</v>
      </c>
    </row>
    <row r="226" spans="1:6" x14ac:dyDescent="0.3">
      <c r="A226" s="4">
        <v>46219</v>
      </c>
      <c r="B226" s="5">
        <f t="shared" si="3"/>
        <v>46204</v>
      </c>
      <c r="C226" s="6" t="s">
        <v>31</v>
      </c>
      <c r="D226" s="6" t="s">
        <v>31</v>
      </c>
      <c r="E226" s="8">
        <v>30</v>
      </c>
      <c r="F226" s="9" t="s">
        <v>10</v>
      </c>
    </row>
    <row r="227" spans="1:6" x14ac:dyDescent="0.3">
      <c r="A227" s="4">
        <v>46219</v>
      </c>
      <c r="B227" s="5">
        <f t="shared" si="3"/>
        <v>46204</v>
      </c>
      <c r="C227" s="6" t="s">
        <v>41</v>
      </c>
      <c r="D227" s="6" t="s">
        <v>41</v>
      </c>
      <c r="E227" s="8">
        <v>15</v>
      </c>
      <c r="F227" s="9" t="s">
        <v>10</v>
      </c>
    </row>
    <row r="228" spans="1:6" x14ac:dyDescent="0.3">
      <c r="A228" s="4">
        <v>46219</v>
      </c>
      <c r="B228" s="5">
        <f t="shared" si="3"/>
        <v>46204</v>
      </c>
      <c r="C228" s="6" t="s">
        <v>29</v>
      </c>
      <c r="D228" s="6" t="s">
        <v>29</v>
      </c>
      <c r="E228" s="8">
        <v>20</v>
      </c>
      <c r="F228" s="9" t="s">
        <v>10</v>
      </c>
    </row>
    <row r="229" spans="1:6" x14ac:dyDescent="0.3">
      <c r="A229" s="4">
        <v>46219</v>
      </c>
      <c r="B229" s="5">
        <f t="shared" si="3"/>
        <v>46204</v>
      </c>
      <c r="C229" s="6" t="s">
        <v>23</v>
      </c>
      <c r="D229" s="6" t="s">
        <v>23</v>
      </c>
      <c r="E229" s="8">
        <v>30</v>
      </c>
      <c r="F229" s="9" t="s">
        <v>10</v>
      </c>
    </row>
    <row r="230" spans="1:6" x14ac:dyDescent="0.3">
      <c r="A230" s="4">
        <v>46219</v>
      </c>
      <c r="B230" s="5">
        <f t="shared" si="3"/>
        <v>46204</v>
      </c>
      <c r="C230" s="6" t="s">
        <v>37</v>
      </c>
      <c r="D230" s="6" t="s">
        <v>37</v>
      </c>
      <c r="E230" s="8">
        <v>10</v>
      </c>
      <c r="F230" s="9" t="s">
        <v>10</v>
      </c>
    </row>
    <row r="231" spans="1:6" x14ac:dyDescent="0.3">
      <c r="A231" s="4">
        <v>46220</v>
      </c>
      <c r="B231" s="5">
        <f t="shared" si="3"/>
        <v>46204</v>
      </c>
      <c r="C231" s="6" t="s">
        <v>14</v>
      </c>
      <c r="D231" s="6" t="s">
        <v>14</v>
      </c>
      <c r="E231" s="8">
        <v>40</v>
      </c>
      <c r="F231" s="9" t="s">
        <v>10</v>
      </c>
    </row>
    <row r="232" spans="1:6" x14ac:dyDescent="0.3">
      <c r="A232" s="4">
        <v>46220</v>
      </c>
      <c r="B232" s="5">
        <f t="shared" si="3"/>
        <v>46204</v>
      </c>
      <c r="C232" s="6" t="s">
        <v>30</v>
      </c>
      <c r="D232" s="6" t="s">
        <v>30</v>
      </c>
      <c r="E232" s="8">
        <v>60</v>
      </c>
      <c r="F232" s="9" t="s">
        <v>10</v>
      </c>
    </row>
    <row r="233" spans="1:6" x14ac:dyDescent="0.3">
      <c r="A233" s="4">
        <v>46220</v>
      </c>
      <c r="B233" s="5">
        <f t="shared" si="3"/>
        <v>46204</v>
      </c>
      <c r="C233" s="6" t="s">
        <v>39</v>
      </c>
      <c r="D233" s="6" t="s">
        <v>39</v>
      </c>
      <c r="E233" s="8">
        <v>70</v>
      </c>
      <c r="F233" s="9" t="s">
        <v>10</v>
      </c>
    </row>
    <row r="234" spans="1:6" x14ac:dyDescent="0.3">
      <c r="A234" s="4">
        <v>46220</v>
      </c>
      <c r="B234" s="5">
        <f t="shared" si="3"/>
        <v>46204</v>
      </c>
      <c r="C234" s="6" t="s">
        <v>16</v>
      </c>
      <c r="D234" s="6" t="s">
        <v>16</v>
      </c>
      <c r="E234" s="8">
        <v>80</v>
      </c>
      <c r="F234" s="9" t="s">
        <v>10</v>
      </c>
    </row>
    <row r="235" spans="1:6" x14ac:dyDescent="0.3">
      <c r="A235" s="4">
        <v>46220</v>
      </c>
      <c r="B235" s="5">
        <f t="shared" si="3"/>
        <v>46204</v>
      </c>
      <c r="C235" s="6" t="s">
        <v>31</v>
      </c>
      <c r="D235" s="6" t="s">
        <v>31</v>
      </c>
      <c r="E235" s="8">
        <v>30</v>
      </c>
      <c r="F235" s="9" t="s">
        <v>10</v>
      </c>
    </row>
    <row r="236" spans="1:6" x14ac:dyDescent="0.3">
      <c r="A236" s="4">
        <v>46220</v>
      </c>
      <c r="B236" s="5">
        <f t="shared" si="3"/>
        <v>46204</v>
      </c>
      <c r="C236" s="6" t="s">
        <v>45</v>
      </c>
      <c r="D236" s="6" t="s">
        <v>45</v>
      </c>
      <c r="E236" s="8">
        <v>30</v>
      </c>
      <c r="F236" s="9" t="s">
        <v>10</v>
      </c>
    </row>
    <row r="237" spans="1:6" x14ac:dyDescent="0.3">
      <c r="A237" s="4">
        <v>46220</v>
      </c>
      <c r="B237" s="5">
        <f t="shared" si="3"/>
        <v>46204</v>
      </c>
      <c r="C237" s="6" t="s">
        <v>23</v>
      </c>
      <c r="D237" s="6" t="s">
        <v>23</v>
      </c>
      <c r="E237" s="8">
        <v>20</v>
      </c>
      <c r="F237" s="9" t="s">
        <v>10</v>
      </c>
    </row>
    <row r="238" spans="1:6" x14ac:dyDescent="0.3">
      <c r="A238" s="4">
        <v>46220</v>
      </c>
      <c r="B238" s="5">
        <f t="shared" si="3"/>
        <v>46204</v>
      </c>
      <c r="C238" s="6" t="s">
        <v>21</v>
      </c>
      <c r="D238" s="6" t="s">
        <v>21</v>
      </c>
      <c r="E238" s="8">
        <v>30</v>
      </c>
      <c r="F238" s="9" t="s">
        <v>10</v>
      </c>
    </row>
    <row r="239" spans="1:6" x14ac:dyDescent="0.3">
      <c r="A239" s="4">
        <v>46220</v>
      </c>
      <c r="B239" s="5">
        <f t="shared" si="3"/>
        <v>46204</v>
      </c>
      <c r="C239" s="6" t="s">
        <v>22</v>
      </c>
      <c r="D239" s="6" t="s">
        <v>22</v>
      </c>
      <c r="E239" s="8">
        <v>30</v>
      </c>
      <c r="F239" s="9" t="s">
        <v>10</v>
      </c>
    </row>
    <row r="240" spans="1:6" x14ac:dyDescent="0.3">
      <c r="A240" s="4">
        <v>46221</v>
      </c>
      <c r="B240" s="5">
        <f t="shared" si="3"/>
        <v>46204</v>
      </c>
      <c r="C240" s="6" t="s">
        <v>8</v>
      </c>
      <c r="D240" s="7" t="s">
        <v>27</v>
      </c>
      <c r="E240" s="8">
        <v>20</v>
      </c>
      <c r="F240" s="9" t="s">
        <v>10</v>
      </c>
    </row>
    <row r="241" spans="1:6" x14ac:dyDescent="0.3">
      <c r="A241" s="4">
        <v>46221</v>
      </c>
      <c r="B241" s="5">
        <f t="shared" si="3"/>
        <v>46204</v>
      </c>
      <c r="C241" s="6" t="s">
        <v>38</v>
      </c>
      <c r="D241" s="6" t="s">
        <v>38</v>
      </c>
      <c r="E241" s="8">
        <v>20</v>
      </c>
      <c r="F241" s="9" t="s">
        <v>10</v>
      </c>
    </row>
    <row r="242" spans="1:6" x14ac:dyDescent="0.3">
      <c r="A242" s="4">
        <v>46221</v>
      </c>
      <c r="B242" s="5">
        <f t="shared" si="3"/>
        <v>46204</v>
      </c>
      <c r="C242" s="6" t="s">
        <v>13</v>
      </c>
      <c r="D242" s="6" t="s">
        <v>13</v>
      </c>
      <c r="E242" s="8">
        <v>10</v>
      </c>
      <c r="F242" s="9" t="s">
        <v>10</v>
      </c>
    </row>
    <row r="243" spans="1:6" x14ac:dyDescent="0.3">
      <c r="A243" s="4">
        <v>46221</v>
      </c>
      <c r="B243" s="5">
        <f t="shared" si="3"/>
        <v>46204</v>
      </c>
      <c r="C243" s="6" t="s">
        <v>32</v>
      </c>
      <c r="D243" s="6" t="s">
        <v>32</v>
      </c>
      <c r="E243" s="8">
        <v>30</v>
      </c>
      <c r="F243" s="9" t="s">
        <v>10</v>
      </c>
    </row>
    <row r="244" spans="1:6" x14ac:dyDescent="0.3">
      <c r="A244" s="4">
        <v>46221</v>
      </c>
      <c r="B244" s="5">
        <f t="shared" si="3"/>
        <v>46204</v>
      </c>
      <c r="C244" s="6" t="s">
        <v>43</v>
      </c>
      <c r="D244" s="6" t="s">
        <v>43</v>
      </c>
      <c r="E244" s="8">
        <v>60</v>
      </c>
      <c r="F244" s="9" t="s">
        <v>10</v>
      </c>
    </row>
    <row r="245" spans="1:6" x14ac:dyDescent="0.3">
      <c r="A245" s="4">
        <v>46221</v>
      </c>
      <c r="B245" s="5">
        <f t="shared" si="3"/>
        <v>46204</v>
      </c>
      <c r="C245" s="6" t="s">
        <v>30</v>
      </c>
      <c r="D245" s="6" t="s">
        <v>30</v>
      </c>
      <c r="E245" s="8">
        <v>50</v>
      </c>
      <c r="F245" s="9" t="s">
        <v>10</v>
      </c>
    </row>
    <row r="246" spans="1:6" x14ac:dyDescent="0.3">
      <c r="A246" s="4">
        <v>46221</v>
      </c>
      <c r="B246" s="5">
        <f t="shared" si="3"/>
        <v>46204</v>
      </c>
      <c r="C246" s="6" t="s">
        <v>39</v>
      </c>
      <c r="D246" s="6" t="s">
        <v>39</v>
      </c>
      <c r="E246" s="8">
        <v>80</v>
      </c>
      <c r="F246" s="9" t="s">
        <v>10</v>
      </c>
    </row>
    <row r="247" spans="1:6" x14ac:dyDescent="0.3">
      <c r="A247" s="4">
        <v>46221</v>
      </c>
      <c r="B247" s="5">
        <f t="shared" si="3"/>
        <v>46204</v>
      </c>
      <c r="C247" s="6" t="s">
        <v>16</v>
      </c>
      <c r="D247" s="6" t="s">
        <v>16</v>
      </c>
      <c r="E247" s="8">
        <v>80</v>
      </c>
      <c r="F247" s="9" t="s">
        <v>10</v>
      </c>
    </row>
    <row r="248" spans="1:6" x14ac:dyDescent="0.3">
      <c r="A248" s="4">
        <v>46221</v>
      </c>
      <c r="B248" s="5">
        <f t="shared" si="3"/>
        <v>46204</v>
      </c>
      <c r="C248" s="6" t="s">
        <v>31</v>
      </c>
      <c r="D248" s="6" t="s">
        <v>31</v>
      </c>
      <c r="E248" s="8">
        <v>30</v>
      </c>
      <c r="F248" s="9" t="s">
        <v>10</v>
      </c>
    </row>
    <row r="249" spans="1:6" x14ac:dyDescent="0.3">
      <c r="A249" s="4">
        <v>46221</v>
      </c>
      <c r="B249" s="5">
        <f t="shared" si="3"/>
        <v>46204</v>
      </c>
      <c r="C249" s="6" t="s">
        <v>35</v>
      </c>
      <c r="D249" s="6" t="s">
        <v>35</v>
      </c>
      <c r="E249" s="8">
        <v>33</v>
      </c>
      <c r="F249" s="9" t="s">
        <v>10</v>
      </c>
    </row>
    <row r="250" spans="1:6" x14ac:dyDescent="0.3">
      <c r="A250" s="4">
        <v>46222</v>
      </c>
      <c r="B250" s="5">
        <f t="shared" si="3"/>
        <v>46204</v>
      </c>
      <c r="C250" s="6" t="s">
        <v>13</v>
      </c>
      <c r="D250" s="6" t="s">
        <v>13</v>
      </c>
      <c r="E250" s="8">
        <v>12</v>
      </c>
      <c r="F250" s="9" t="s">
        <v>10</v>
      </c>
    </row>
    <row r="251" spans="1:6" x14ac:dyDescent="0.3">
      <c r="A251" s="4">
        <v>46222</v>
      </c>
      <c r="B251" s="5">
        <f t="shared" si="3"/>
        <v>46204</v>
      </c>
      <c r="C251" s="6" t="s">
        <v>14</v>
      </c>
      <c r="D251" s="6" t="s">
        <v>14</v>
      </c>
      <c r="E251" s="8">
        <v>50</v>
      </c>
      <c r="F251" s="9" t="s">
        <v>10</v>
      </c>
    </row>
    <row r="252" spans="1:6" x14ac:dyDescent="0.3">
      <c r="A252" s="4">
        <v>46222</v>
      </c>
      <c r="B252" s="5">
        <f t="shared" si="3"/>
        <v>46204</v>
      </c>
      <c r="C252" s="6" t="s">
        <v>36</v>
      </c>
      <c r="D252" s="6" t="s">
        <v>36</v>
      </c>
      <c r="E252" s="8">
        <v>20</v>
      </c>
      <c r="F252" s="9" t="s">
        <v>10</v>
      </c>
    </row>
    <row r="253" spans="1:6" x14ac:dyDescent="0.3">
      <c r="A253" s="4">
        <v>46222</v>
      </c>
      <c r="B253" s="5">
        <f t="shared" si="3"/>
        <v>46204</v>
      </c>
      <c r="C253" s="6" t="s">
        <v>43</v>
      </c>
      <c r="D253" s="6" t="s">
        <v>43</v>
      </c>
      <c r="E253" s="8">
        <v>60</v>
      </c>
      <c r="F253" s="9" t="s">
        <v>10</v>
      </c>
    </row>
    <row r="254" spans="1:6" x14ac:dyDescent="0.3">
      <c r="A254" s="4">
        <v>46222</v>
      </c>
      <c r="B254" s="5">
        <f t="shared" si="3"/>
        <v>46204</v>
      </c>
      <c r="C254" s="6" t="s">
        <v>30</v>
      </c>
      <c r="D254" s="6" t="s">
        <v>30</v>
      </c>
      <c r="E254" s="8">
        <v>80</v>
      </c>
      <c r="F254" s="9" t="s">
        <v>10</v>
      </c>
    </row>
    <row r="255" spans="1:6" x14ac:dyDescent="0.3">
      <c r="A255" s="4">
        <v>46222</v>
      </c>
      <c r="B255" s="5">
        <f t="shared" si="3"/>
        <v>46204</v>
      </c>
      <c r="C255" s="6" t="s">
        <v>39</v>
      </c>
      <c r="D255" s="6" t="s">
        <v>39</v>
      </c>
      <c r="E255" s="8">
        <v>80</v>
      </c>
      <c r="F255" s="9" t="s">
        <v>10</v>
      </c>
    </row>
    <row r="256" spans="1:6" x14ac:dyDescent="0.3">
      <c r="A256" s="4">
        <v>46222</v>
      </c>
      <c r="B256" s="5">
        <f t="shared" si="3"/>
        <v>46204</v>
      </c>
      <c r="C256" s="6" t="s">
        <v>16</v>
      </c>
      <c r="D256" s="6" t="s">
        <v>16</v>
      </c>
      <c r="E256" s="8">
        <v>80</v>
      </c>
      <c r="F256" s="9" t="s">
        <v>10</v>
      </c>
    </row>
    <row r="257" spans="1:6" x14ac:dyDescent="0.3">
      <c r="A257" s="4">
        <v>46222</v>
      </c>
      <c r="B257" s="5">
        <f t="shared" si="3"/>
        <v>46204</v>
      </c>
      <c r="C257" s="6" t="s">
        <v>33</v>
      </c>
      <c r="D257" s="6" t="s">
        <v>33</v>
      </c>
      <c r="E257" s="8">
        <v>20</v>
      </c>
      <c r="F257" s="9" t="s">
        <v>10</v>
      </c>
    </row>
    <row r="258" spans="1:6" x14ac:dyDescent="0.3">
      <c r="A258" s="4">
        <v>46222</v>
      </c>
      <c r="B258" s="5">
        <f t="shared" si="3"/>
        <v>46204</v>
      </c>
      <c r="C258" s="6" t="s">
        <v>23</v>
      </c>
      <c r="D258" s="6" t="s">
        <v>23</v>
      </c>
      <c r="E258" s="8">
        <v>30</v>
      </c>
      <c r="F258" s="9" t="s">
        <v>10</v>
      </c>
    </row>
    <row r="259" spans="1:6" x14ac:dyDescent="0.3">
      <c r="A259" s="4">
        <v>46223</v>
      </c>
      <c r="B259" s="5">
        <f t="shared" si="3"/>
        <v>46204</v>
      </c>
      <c r="C259" s="6" t="s">
        <v>38</v>
      </c>
      <c r="D259" s="6" t="s">
        <v>38</v>
      </c>
      <c r="E259" s="8">
        <v>20</v>
      </c>
      <c r="F259" s="9" t="s">
        <v>10</v>
      </c>
    </row>
    <row r="260" spans="1:6" x14ac:dyDescent="0.3">
      <c r="A260" s="4">
        <v>46223</v>
      </c>
      <c r="B260" s="5">
        <f t="shared" si="3"/>
        <v>46204</v>
      </c>
      <c r="C260" s="6" t="s">
        <v>13</v>
      </c>
      <c r="D260" s="6" t="s">
        <v>13</v>
      </c>
      <c r="E260" s="8">
        <v>10</v>
      </c>
      <c r="F260" s="9" t="s">
        <v>10</v>
      </c>
    </row>
    <row r="261" spans="1:6" x14ac:dyDescent="0.3">
      <c r="A261" s="4">
        <v>46223</v>
      </c>
      <c r="B261" s="5">
        <f t="shared" ref="B261:B324" si="4">DATE(YEAR(A261),MONTH(A261),1)</f>
        <v>46204</v>
      </c>
      <c r="C261" s="6" t="s">
        <v>32</v>
      </c>
      <c r="D261" s="6" t="s">
        <v>32</v>
      </c>
      <c r="E261" s="8">
        <v>32</v>
      </c>
      <c r="F261" s="9" t="s">
        <v>10</v>
      </c>
    </row>
    <row r="262" spans="1:6" x14ac:dyDescent="0.3">
      <c r="A262" s="4">
        <v>46223</v>
      </c>
      <c r="B262" s="5">
        <f t="shared" si="4"/>
        <v>46204</v>
      </c>
      <c r="C262" s="6" t="s">
        <v>43</v>
      </c>
      <c r="D262" s="6" t="s">
        <v>43</v>
      </c>
      <c r="E262" s="8">
        <v>60</v>
      </c>
      <c r="F262" s="9" t="s">
        <v>10</v>
      </c>
    </row>
    <row r="263" spans="1:6" x14ac:dyDescent="0.3">
      <c r="A263" s="4">
        <v>46223</v>
      </c>
      <c r="B263" s="5">
        <f t="shared" si="4"/>
        <v>46204</v>
      </c>
      <c r="C263" s="6" t="s">
        <v>30</v>
      </c>
      <c r="D263" s="6" t="s">
        <v>30</v>
      </c>
      <c r="E263" s="8">
        <v>70</v>
      </c>
      <c r="F263" s="9" t="s">
        <v>10</v>
      </c>
    </row>
    <row r="264" spans="1:6" x14ac:dyDescent="0.3">
      <c r="A264" s="4">
        <v>46223</v>
      </c>
      <c r="B264" s="5">
        <f t="shared" si="4"/>
        <v>46204</v>
      </c>
      <c r="C264" s="6" t="s">
        <v>39</v>
      </c>
      <c r="D264" s="6" t="s">
        <v>39</v>
      </c>
      <c r="E264" s="8">
        <v>80</v>
      </c>
      <c r="F264" s="9" t="s">
        <v>10</v>
      </c>
    </row>
    <row r="265" spans="1:6" x14ac:dyDescent="0.3">
      <c r="A265" s="4">
        <v>46223</v>
      </c>
      <c r="B265" s="5">
        <f t="shared" si="4"/>
        <v>46204</v>
      </c>
      <c r="C265" s="6" t="s">
        <v>46</v>
      </c>
      <c r="D265" s="6" t="s">
        <v>46</v>
      </c>
      <c r="E265" s="8">
        <v>100</v>
      </c>
      <c r="F265" s="9" t="s">
        <v>10</v>
      </c>
    </row>
    <row r="266" spans="1:6" x14ac:dyDescent="0.3">
      <c r="A266" s="4">
        <v>46223</v>
      </c>
      <c r="B266" s="5">
        <f t="shared" si="4"/>
        <v>46204</v>
      </c>
      <c r="C266" s="6" t="s">
        <v>31</v>
      </c>
      <c r="D266" s="6" t="s">
        <v>31</v>
      </c>
      <c r="E266" s="8">
        <v>30</v>
      </c>
      <c r="F266" s="9" t="s">
        <v>10</v>
      </c>
    </row>
    <row r="267" spans="1:6" x14ac:dyDescent="0.3">
      <c r="A267" s="4">
        <v>46223</v>
      </c>
      <c r="B267" s="5">
        <f t="shared" si="4"/>
        <v>46204</v>
      </c>
      <c r="C267" s="6" t="s">
        <v>23</v>
      </c>
      <c r="D267" s="6" t="s">
        <v>23</v>
      </c>
      <c r="E267" s="8">
        <v>40</v>
      </c>
      <c r="F267" s="9" t="s">
        <v>10</v>
      </c>
    </row>
    <row r="268" spans="1:6" x14ac:dyDescent="0.3">
      <c r="A268" s="4">
        <v>46223</v>
      </c>
      <c r="B268" s="5">
        <f t="shared" si="4"/>
        <v>46204</v>
      </c>
      <c r="C268" s="6" t="s">
        <v>21</v>
      </c>
      <c r="D268" s="6" t="s">
        <v>21</v>
      </c>
      <c r="E268" s="8">
        <v>30</v>
      </c>
      <c r="F268" s="9" t="s">
        <v>10</v>
      </c>
    </row>
    <row r="269" spans="1:6" x14ac:dyDescent="0.3">
      <c r="A269" s="4">
        <v>46223</v>
      </c>
      <c r="B269" s="5">
        <f t="shared" si="4"/>
        <v>46204</v>
      </c>
      <c r="C269" s="6" t="s">
        <v>47</v>
      </c>
      <c r="D269" s="6" t="s">
        <v>47</v>
      </c>
      <c r="E269" s="8">
        <v>50</v>
      </c>
      <c r="F269" s="9" t="s">
        <v>10</v>
      </c>
    </row>
    <row r="270" spans="1:6" x14ac:dyDescent="0.3">
      <c r="A270" s="4">
        <v>46224</v>
      </c>
      <c r="B270" s="5">
        <f t="shared" si="4"/>
        <v>46204</v>
      </c>
      <c r="C270" s="6" t="s">
        <v>13</v>
      </c>
      <c r="D270" s="6" t="s">
        <v>13</v>
      </c>
      <c r="E270" s="8">
        <v>8</v>
      </c>
      <c r="F270" s="9" t="s">
        <v>10</v>
      </c>
    </row>
    <row r="271" spans="1:6" x14ac:dyDescent="0.3">
      <c r="A271" s="4">
        <v>46224</v>
      </c>
      <c r="B271" s="5">
        <f t="shared" si="4"/>
        <v>46204</v>
      </c>
      <c r="C271" s="6" t="s">
        <v>14</v>
      </c>
      <c r="D271" s="6" t="s">
        <v>14</v>
      </c>
      <c r="E271" s="8">
        <v>40</v>
      </c>
      <c r="F271" s="9" t="s">
        <v>10</v>
      </c>
    </row>
    <row r="272" spans="1:6" x14ac:dyDescent="0.3">
      <c r="A272" s="4">
        <v>46224</v>
      </c>
      <c r="B272" s="5">
        <f t="shared" si="4"/>
        <v>46204</v>
      </c>
      <c r="C272" s="6" t="s">
        <v>30</v>
      </c>
      <c r="D272" s="6" t="s">
        <v>30</v>
      </c>
      <c r="E272" s="8">
        <v>70</v>
      </c>
      <c r="F272" s="9" t="s">
        <v>10</v>
      </c>
    </row>
    <row r="273" spans="1:6" x14ac:dyDescent="0.3">
      <c r="A273" s="4">
        <v>46224</v>
      </c>
      <c r="B273" s="5">
        <f t="shared" si="4"/>
        <v>46204</v>
      </c>
      <c r="C273" s="6" t="s">
        <v>39</v>
      </c>
      <c r="D273" s="6" t="s">
        <v>39</v>
      </c>
      <c r="E273" s="8">
        <v>80</v>
      </c>
      <c r="F273" s="9" t="s">
        <v>10</v>
      </c>
    </row>
    <row r="274" spans="1:6" x14ac:dyDescent="0.3">
      <c r="A274" s="4">
        <v>46224</v>
      </c>
      <c r="B274" s="5">
        <f t="shared" si="4"/>
        <v>46204</v>
      </c>
      <c r="C274" s="6" t="s">
        <v>46</v>
      </c>
      <c r="D274" s="6" t="s">
        <v>46</v>
      </c>
      <c r="E274" s="8">
        <v>100</v>
      </c>
      <c r="F274" s="9" t="s">
        <v>10</v>
      </c>
    </row>
    <row r="275" spans="1:6" x14ac:dyDescent="0.3">
      <c r="A275" s="4">
        <v>46224</v>
      </c>
      <c r="B275" s="5">
        <f t="shared" si="4"/>
        <v>46204</v>
      </c>
      <c r="C275" s="6" t="s">
        <v>16</v>
      </c>
      <c r="D275" s="6" t="s">
        <v>16</v>
      </c>
      <c r="E275" s="8">
        <v>40</v>
      </c>
      <c r="F275" s="9" t="s">
        <v>10</v>
      </c>
    </row>
    <row r="276" spans="1:6" x14ac:dyDescent="0.3">
      <c r="A276" s="4">
        <v>46224</v>
      </c>
      <c r="B276" s="5">
        <f t="shared" si="4"/>
        <v>46204</v>
      </c>
      <c r="C276" s="6" t="s">
        <v>31</v>
      </c>
      <c r="D276" s="6" t="s">
        <v>31</v>
      </c>
      <c r="E276" s="8">
        <v>40</v>
      </c>
      <c r="F276" s="9" t="s">
        <v>10</v>
      </c>
    </row>
    <row r="277" spans="1:6" x14ac:dyDescent="0.3">
      <c r="A277" s="4">
        <v>46224</v>
      </c>
      <c r="B277" s="5">
        <f t="shared" si="4"/>
        <v>46204</v>
      </c>
      <c r="C277" s="6" t="s">
        <v>40</v>
      </c>
      <c r="D277" s="6" t="s">
        <v>40</v>
      </c>
      <c r="E277" s="8">
        <v>25</v>
      </c>
      <c r="F277" s="9" t="s">
        <v>10</v>
      </c>
    </row>
    <row r="278" spans="1:6" x14ac:dyDescent="0.3">
      <c r="A278" s="4">
        <v>46224</v>
      </c>
      <c r="B278" s="5">
        <f t="shared" si="4"/>
        <v>46204</v>
      </c>
      <c r="C278" s="6" t="s">
        <v>23</v>
      </c>
      <c r="D278" s="6" t="s">
        <v>23</v>
      </c>
      <c r="E278" s="8">
        <v>40</v>
      </c>
      <c r="F278" s="9" t="s">
        <v>10</v>
      </c>
    </row>
    <row r="279" spans="1:6" x14ac:dyDescent="0.3">
      <c r="A279" s="4">
        <v>46224</v>
      </c>
      <c r="B279" s="5">
        <f t="shared" si="4"/>
        <v>46204</v>
      </c>
      <c r="C279" s="6" t="s">
        <v>35</v>
      </c>
      <c r="D279" s="6" t="s">
        <v>35</v>
      </c>
      <c r="E279" s="8">
        <v>44</v>
      </c>
      <c r="F279" s="9" t="s">
        <v>10</v>
      </c>
    </row>
    <row r="280" spans="1:6" x14ac:dyDescent="0.3">
      <c r="A280" s="4">
        <v>46224</v>
      </c>
      <c r="B280" s="5">
        <f t="shared" si="4"/>
        <v>46204</v>
      </c>
      <c r="C280" s="6" t="s">
        <v>47</v>
      </c>
      <c r="D280" s="6" t="s">
        <v>47</v>
      </c>
      <c r="E280" s="8">
        <v>20</v>
      </c>
      <c r="F280" s="9" t="s">
        <v>10</v>
      </c>
    </row>
    <row r="281" spans="1:6" x14ac:dyDescent="0.3">
      <c r="A281" s="4">
        <v>46225</v>
      </c>
      <c r="B281" s="5">
        <f t="shared" si="4"/>
        <v>46204</v>
      </c>
      <c r="C281" s="6" t="s">
        <v>38</v>
      </c>
      <c r="D281" s="6" t="s">
        <v>38</v>
      </c>
      <c r="E281" s="8">
        <v>20</v>
      </c>
      <c r="F281" s="9" t="s">
        <v>10</v>
      </c>
    </row>
    <row r="282" spans="1:6" x14ac:dyDescent="0.3">
      <c r="A282" s="4">
        <v>46225</v>
      </c>
      <c r="B282" s="5">
        <f t="shared" si="4"/>
        <v>46204</v>
      </c>
      <c r="C282" s="6" t="s">
        <v>14</v>
      </c>
      <c r="D282" s="6" t="s">
        <v>14</v>
      </c>
      <c r="E282" s="8">
        <v>40</v>
      </c>
      <c r="F282" s="9" t="s">
        <v>10</v>
      </c>
    </row>
    <row r="283" spans="1:6" x14ac:dyDescent="0.3">
      <c r="A283" s="4">
        <v>46225</v>
      </c>
      <c r="B283" s="5">
        <f t="shared" si="4"/>
        <v>46204</v>
      </c>
      <c r="C283" s="6" t="s">
        <v>36</v>
      </c>
      <c r="D283" s="6" t="s">
        <v>36</v>
      </c>
      <c r="E283" s="8">
        <v>25</v>
      </c>
      <c r="F283" s="9" t="s">
        <v>10</v>
      </c>
    </row>
    <row r="284" spans="1:6" x14ac:dyDescent="0.3">
      <c r="A284" s="4">
        <v>46225</v>
      </c>
      <c r="B284" s="5">
        <f t="shared" si="4"/>
        <v>46204</v>
      </c>
      <c r="C284" s="6" t="s">
        <v>32</v>
      </c>
      <c r="D284" s="6" t="s">
        <v>32</v>
      </c>
      <c r="E284" s="8">
        <v>22</v>
      </c>
      <c r="F284" s="9" t="s">
        <v>10</v>
      </c>
    </row>
    <row r="285" spans="1:6" x14ac:dyDescent="0.3">
      <c r="A285" s="4">
        <v>46225</v>
      </c>
      <c r="B285" s="5">
        <f t="shared" si="4"/>
        <v>46204</v>
      </c>
      <c r="C285" s="6" t="s">
        <v>43</v>
      </c>
      <c r="D285" s="6" t="s">
        <v>43</v>
      </c>
      <c r="E285" s="8">
        <v>60</v>
      </c>
      <c r="F285" s="9" t="s">
        <v>10</v>
      </c>
    </row>
    <row r="286" spans="1:6" x14ac:dyDescent="0.3">
      <c r="A286" s="4">
        <v>46225</v>
      </c>
      <c r="B286" s="5">
        <f t="shared" si="4"/>
        <v>46204</v>
      </c>
      <c r="C286" s="6" t="s">
        <v>30</v>
      </c>
      <c r="D286" s="6" t="s">
        <v>30</v>
      </c>
      <c r="E286" s="8">
        <v>60</v>
      </c>
      <c r="F286" s="9" t="s">
        <v>10</v>
      </c>
    </row>
    <row r="287" spans="1:6" x14ac:dyDescent="0.3">
      <c r="A287" s="4">
        <v>46225</v>
      </c>
      <c r="B287" s="5">
        <f t="shared" si="4"/>
        <v>46204</v>
      </c>
      <c r="C287" s="6" t="s">
        <v>39</v>
      </c>
      <c r="D287" s="6" t="s">
        <v>39</v>
      </c>
      <c r="E287" s="8">
        <v>80</v>
      </c>
      <c r="F287" s="9" t="s">
        <v>10</v>
      </c>
    </row>
    <row r="288" spans="1:6" x14ac:dyDescent="0.3">
      <c r="A288" s="4">
        <v>46225</v>
      </c>
      <c r="B288" s="5">
        <f t="shared" si="4"/>
        <v>46204</v>
      </c>
      <c r="C288" s="6" t="s">
        <v>46</v>
      </c>
      <c r="D288" s="6" t="s">
        <v>46</v>
      </c>
      <c r="E288" s="8">
        <v>120</v>
      </c>
      <c r="F288" s="9" t="s">
        <v>10</v>
      </c>
    </row>
    <row r="289" spans="1:6" x14ac:dyDescent="0.3">
      <c r="A289" s="4">
        <v>46225</v>
      </c>
      <c r="B289" s="5">
        <f t="shared" si="4"/>
        <v>46204</v>
      </c>
      <c r="C289" s="6" t="s">
        <v>16</v>
      </c>
      <c r="D289" s="6" t="s">
        <v>16</v>
      </c>
      <c r="E289" s="8">
        <v>60</v>
      </c>
      <c r="F289" s="9" t="s">
        <v>10</v>
      </c>
    </row>
    <row r="290" spans="1:6" x14ac:dyDescent="0.3">
      <c r="A290" s="4">
        <v>46225</v>
      </c>
      <c r="B290" s="5">
        <f t="shared" si="4"/>
        <v>46204</v>
      </c>
      <c r="C290" s="6" t="s">
        <v>31</v>
      </c>
      <c r="D290" s="6" t="s">
        <v>31</v>
      </c>
      <c r="E290" s="8">
        <v>40</v>
      </c>
      <c r="F290" s="9" t="s">
        <v>10</v>
      </c>
    </row>
    <row r="291" spans="1:6" x14ac:dyDescent="0.3">
      <c r="A291" s="4">
        <v>46225</v>
      </c>
      <c r="B291" s="5">
        <f t="shared" si="4"/>
        <v>46204</v>
      </c>
      <c r="C291" s="6" t="s">
        <v>40</v>
      </c>
      <c r="D291" s="6" t="s">
        <v>40</v>
      </c>
      <c r="E291" s="8">
        <v>25</v>
      </c>
      <c r="F291" s="9" t="s">
        <v>10</v>
      </c>
    </row>
    <row r="292" spans="1:6" x14ac:dyDescent="0.3">
      <c r="A292" s="4">
        <v>46225</v>
      </c>
      <c r="B292" s="5">
        <f t="shared" si="4"/>
        <v>46204</v>
      </c>
      <c r="C292" s="6" t="s">
        <v>29</v>
      </c>
      <c r="D292" s="6" t="s">
        <v>29</v>
      </c>
      <c r="E292" s="8">
        <v>20</v>
      </c>
      <c r="F292" s="9" t="s">
        <v>10</v>
      </c>
    </row>
    <row r="293" spans="1:6" x14ac:dyDescent="0.3">
      <c r="A293" s="4">
        <v>46225</v>
      </c>
      <c r="B293" s="5">
        <f t="shared" si="4"/>
        <v>46204</v>
      </c>
      <c r="C293" s="6" t="s">
        <v>48</v>
      </c>
      <c r="D293" s="6" t="s">
        <v>48</v>
      </c>
      <c r="E293" s="8">
        <v>20</v>
      </c>
      <c r="F293" s="9" t="s">
        <v>10</v>
      </c>
    </row>
    <row r="294" spans="1:6" x14ac:dyDescent="0.3">
      <c r="A294" s="4">
        <v>46225</v>
      </c>
      <c r="B294" s="5">
        <f t="shared" si="4"/>
        <v>46204</v>
      </c>
      <c r="C294" s="6" t="s">
        <v>49</v>
      </c>
      <c r="D294" s="6" t="s">
        <v>49</v>
      </c>
      <c r="E294" s="8">
        <v>30</v>
      </c>
      <c r="F294" s="9" t="s">
        <v>10</v>
      </c>
    </row>
    <row r="295" spans="1:6" x14ac:dyDescent="0.3">
      <c r="A295" s="4">
        <v>46225</v>
      </c>
      <c r="B295" s="5">
        <f t="shared" si="4"/>
        <v>46204</v>
      </c>
      <c r="C295" s="6" t="s">
        <v>23</v>
      </c>
      <c r="D295" s="6" t="s">
        <v>23</v>
      </c>
      <c r="E295" s="8">
        <v>50</v>
      </c>
      <c r="F295" s="9" t="s">
        <v>10</v>
      </c>
    </row>
    <row r="296" spans="1:6" x14ac:dyDescent="0.3">
      <c r="A296" s="4">
        <v>46225</v>
      </c>
      <c r="B296" s="5">
        <f t="shared" si="4"/>
        <v>46204</v>
      </c>
      <c r="C296" s="6" t="s">
        <v>50</v>
      </c>
      <c r="D296" s="6" t="s">
        <v>50</v>
      </c>
      <c r="E296" s="8">
        <v>20</v>
      </c>
      <c r="F296" s="9" t="s">
        <v>10</v>
      </c>
    </row>
    <row r="297" spans="1:6" x14ac:dyDescent="0.3">
      <c r="A297" s="4">
        <v>46225</v>
      </c>
      <c r="B297" s="5">
        <f t="shared" si="4"/>
        <v>46204</v>
      </c>
      <c r="C297" s="6" t="s">
        <v>21</v>
      </c>
      <c r="D297" s="6" t="s">
        <v>21</v>
      </c>
      <c r="E297" s="8">
        <v>24</v>
      </c>
      <c r="F297" s="9" t="s">
        <v>10</v>
      </c>
    </row>
    <row r="298" spans="1:6" x14ac:dyDescent="0.3">
      <c r="A298" s="4">
        <v>46225</v>
      </c>
      <c r="B298" s="5">
        <f t="shared" si="4"/>
        <v>46204</v>
      </c>
      <c r="C298" s="6" t="s">
        <v>47</v>
      </c>
      <c r="D298" s="6" t="s">
        <v>47</v>
      </c>
      <c r="E298" s="8">
        <v>30</v>
      </c>
      <c r="F298" s="9" t="s">
        <v>10</v>
      </c>
    </row>
    <row r="299" spans="1:6" x14ac:dyDescent="0.3">
      <c r="A299" s="4">
        <v>46226</v>
      </c>
      <c r="B299" s="5">
        <f t="shared" si="4"/>
        <v>46204</v>
      </c>
      <c r="C299" s="6" t="s">
        <v>14</v>
      </c>
      <c r="D299" s="6" t="s">
        <v>14</v>
      </c>
      <c r="E299" s="8">
        <v>50</v>
      </c>
      <c r="F299" s="9" t="s">
        <v>10</v>
      </c>
    </row>
    <row r="300" spans="1:6" x14ac:dyDescent="0.3">
      <c r="A300" s="4">
        <v>46226</v>
      </c>
      <c r="B300" s="5">
        <f t="shared" si="4"/>
        <v>46204</v>
      </c>
      <c r="C300" s="6" t="s">
        <v>43</v>
      </c>
      <c r="D300" s="6" t="s">
        <v>43</v>
      </c>
      <c r="E300" s="8">
        <v>60</v>
      </c>
      <c r="F300" s="9" t="s">
        <v>10</v>
      </c>
    </row>
    <row r="301" spans="1:6" x14ac:dyDescent="0.3">
      <c r="A301" s="4">
        <v>46226</v>
      </c>
      <c r="B301" s="5">
        <f t="shared" si="4"/>
        <v>46204</v>
      </c>
      <c r="C301" s="6" t="s">
        <v>30</v>
      </c>
      <c r="D301" s="6" t="s">
        <v>30</v>
      </c>
      <c r="E301" s="8">
        <v>70</v>
      </c>
      <c r="F301" s="9" t="s">
        <v>10</v>
      </c>
    </row>
    <row r="302" spans="1:6" x14ac:dyDescent="0.3">
      <c r="A302" s="4">
        <v>46226</v>
      </c>
      <c r="B302" s="5">
        <f t="shared" si="4"/>
        <v>46204</v>
      </c>
      <c r="C302" s="6" t="s">
        <v>39</v>
      </c>
      <c r="D302" s="6" t="s">
        <v>39</v>
      </c>
      <c r="E302" s="8">
        <v>80</v>
      </c>
      <c r="F302" s="9" t="s">
        <v>10</v>
      </c>
    </row>
    <row r="303" spans="1:6" x14ac:dyDescent="0.3">
      <c r="A303" s="4">
        <v>46226</v>
      </c>
      <c r="B303" s="5">
        <f t="shared" si="4"/>
        <v>46204</v>
      </c>
      <c r="C303" s="6" t="s">
        <v>46</v>
      </c>
      <c r="D303" s="6" t="s">
        <v>46</v>
      </c>
      <c r="E303" s="8">
        <v>40</v>
      </c>
      <c r="F303" s="9" t="s">
        <v>10</v>
      </c>
    </row>
    <row r="304" spans="1:6" x14ac:dyDescent="0.3">
      <c r="A304" s="4">
        <v>46226</v>
      </c>
      <c r="B304" s="5">
        <f t="shared" si="4"/>
        <v>46204</v>
      </c>
      <c r="C304" s="6" t="s">
        <v>16</v>
      </c>
      <c r="D304" s="6" t="s">
        <v>16</v>
      </c>
      <c r="E304" s="8">
        <v>80</v>
      </c>
      <c r="F304" s="9" t="s">
        <v>10</v>
      </c>
    </row>
    <row r="305" spans="1:6" x14ac:dyDescent="0.3">
      <c r="A305" s="4">
        <v>46226</v>
      </c>
      <c r="B305" s="5">
        <f t="shared" si="4"/>
        <v>46204</v>
      </c>
      <c r="C305" s="6" t="s">
        <v>31</v>
      </c>
      <c r="D305" s="6" t="s">
        <v>31</v>
      </c>
      <c r="E305" s="8">
        <v>40</v>
      </c>
      <c r="F305" s="9" t="s">
        <v>10</v>
      </c>
    </row>
    <row r="306" spans="1:6" x14ac:dyDescent="0.3">
      <c r="A306" s="4">
        <v>46226</v>
      </c>
      <c r="B306" s="5">
        <f t="shared" si="4"/>
        <v>46204</v>
      </c>
      <c r="C306" s="6" t="s">
        <v>51</v>
      </c>
      <c r="D306" s="6" t="s">
        <v>51</v>
      </c>
      <c r="E306" s="8">
        <v>30</v>
      </c>
      <c r="F306" s="9" t="s">
        <v>10</v>
      </c>
    </row>
    <row r="307" spans="1:6" x14ac:dyDescent="0.3">
      <c r="A307" s="4">
        <v>46226</v>
      </c>
      <c r="B307" s="5">
        <f t="shared" si="4"/>
        <v>46204</v>
      </c>
      <c r="C307" s="6" t="s">
        <v>52</v>
      </c>
      <c r="D307" s="6" t="s">
        <v>52</v>
      </c>
      <c r="E307" s="8">
        <v>20</v>
      </c>
      <c r="F307" s="9" t="s">
        <v>10</v>
      </c>
    </row>
    <row r="308" spans="1:6" x14ac:dyDescent="0.3">
      <c r="A308" s="4">
        <v>46226</v>
      </c>
      <c r="B308" s="5">
        <f t="shared" si="4"/>
        <v>46204</v>
      </c>
      <c r="C308" s="6" t="s">
        <v>23</v>
      </c>
      <c r="D308" s="6" t="s">
        <v>23</v>
      </c>
      <c r="E308" s="8">
        <v>20</v>
      </c>
      <c r="F308" s="9" t="s">
        <v>10</v>
      </c>
    </row>
    <row r="309" spans="1:6" x14ac:dyDescent="0.3">
      <c r="A309" s="4">
        <v>46226</v>
      </c>
      <c r="B309" s="5">
        <f t="shared" si="4"/>
        <v>46204</v>
      </c>
      <c r="C309" s="6" t="s">
        <v>35</v>
      </c>
      <c r="D309" s="6" t="s">
        <v>35</v>
      </c>
      <c r="E309" s="8">
        <v>41</v>
      </c>
      <c r="F309" s="9" t="s">
        <v>10</v>
      </c>
    </row>
    <row r="310" spans="1:6" x14ac:dyDescent="0.3">
      <c r="A310" s="4">
        <v>46226</v>
      </c>
      <c r="B310" s="5">
        <f t="shared" si="4"/>
        <v>46204</v>
      </c>
      <c r="C310" s="6" t="s">
        <v>37</v>
      </c>
      <c r="D310" s="6" t="s">
        <v>37</v>
      </c>
      <c r="E310" s="8">
        <v>15</v>
      </c>
      <c r="F310" s="9" t="s">
        <v>10</v>
      </c>
    </row>
    <row r="311" spans="1:6" x14ac:dyDescent="0.3">
      <c r="A311" s="4">
        <v>46227</v>
      </c>
      <c r="B311" s="5">
        <f t="shared" si="4"/>
        <v>46204</v>
      </c>
      <c r="C311" s="6" t="s">
        <v>38</v>
      </c>
      <c r="D311" s="6" t="s">
        <v>38</v>
      </c>
      <c r="E311" s="8">
        <v>20</v>
      </c>
      <c r="F311" s="9" t="s">
        <v>10</v>
      </c>
    </row>
    <row r="312" spans="1:6" x14ac:dyDescent="0.3">
      <c r="A312" s="4">
        <v>46227</v>
      </c>
      <c r="B312" s="5">
        <f t="shared" si="4"/>
        <v>46204</v>
      </c>
      <c r="C312" s="6" t="s">
        <v>13</v>
      </c>
      <c r="D312" s="6" t="s">
        <v>13</v>
      </c>
      <c r="E312" s="8">
        <v>20</v>
      </c>
      <c r="F312" s="9" t="s">
        <v>10</v>
      </c>
    </row>
    <row r="313" spans="1:6" x14ac:dyDescent="0.3">
      <c r="A313" s="4">
        <v>46227</v>
      </c>
      <c r="B313" s="5">
        <f t="shared" si="4"/>
        <v>46204</v>
      </c>
      <c r="C313" s="6" t="s">
        <v>14</v>
      </c>
      <c r="D313" s="6" t="s">
        <v>14</v>
      </c>
      <c r="E313" s="8">
        <v>50</v>
      </c>
      <c r="F313" s="9" t="s">
        <v>10</v>
      </c>
    </row>
    <row r="314" spans="1:6" x14ac:dyDescent="0.3">
      <c r="A314" s="4">
        <v>46227</v>
      </c>
      <c r="B314" s="5">
        <f t="shared" si="4"/>
        <v>46204</v>
      </c>
      <c r="C314" s="6" t="s">
        <v>43</v>
      </c>
      <c r="D314" s="6" t="s">
        <v>43</v>
      </c>
      <c r="E314" s="8">
        <v>40</v>
      </c>
      <c r="F314" s="9" t="s">
        <v>10</v>
      </c>
    </row>
    <row r="315" spans="1:6" x14ac:dyDescent="0.3">
      <c r="A315" s="4">
        <v>46227</v>
      </c>
      <c r="B315" s="5">
        <f t="shared" si="4"/>
        <v>46204</v>
      </c>
      <c r="C315" s="6" t="s">
        <v>30</v>
      </c>
      <c r="D315" s="6" t="s">
        <v>30</v>
      </c>
      <c r="E315" s="8">
        <v>70</v>
      </c>
      <c r="F315" s="9" t="s">
        <v>10</v>
      </c>
    </row>
    <row r="316" spans="1:6" x14ac:dyDescent="0.3">
      <c r="A316" s="4">
        <v>46227</v>
      </c>
      <c r="B316" s="5">
        <f t="shared" si="4"/>
        <v>46204</v>
      </c>
      <c r="C316" s="6" t="s">
        <v>39</v>
      </c>
      <c r="D316" s="6" t="s">
        <v>39</v>
      </c>
      <c r="E316" s="8">
        <v>80</v>
      </c>
      <c r="F316" s="9" t="s">
        <v>10</v>
      </c>
    </row>
    <row r="317" spans="1:6" x14ac:dyDescent="0.3">
      <c r="A317" s="4">
        <v>46227</v>
      </c>
      <c r="B317" s="5">
        <f t="shared" si="4"/>
        <v>46204</v>
      </c>
      <c r="C317" s="6" t="s">
        <v>46</v>
      </c>
      <c r="D317" s="6" t="s">
        <v>46</v>
      </c>
      <c r="E317" s="8">
        <v>150</v>
      </c>
      <c r="F317" s="9" t="s">
        <v>10</v>
      </c>
    </row>
    <row r="318" spans="1:6" x14ac:dyDescent="0.3">
      <c r="A318" s="4">
        <v>46227</v>
      </c>
      <c r="B318" s="5">
        <f t="shared" si="4"/>
        <v>46204</v>
      </c>
      <c r="C318" s="6" t="s">
        <v>16</v>
      </c>
      <c r="D318" s="6" t="s">
        <v>16</v>
      </c>
      <c r="E318" s="8">
        <v>80</v>
      </c>
      <c r="F318" s="9" t="s">
        <v>10</v>
      </c>
    </row>
    <row r="319" spans="1:6" x14ac:dyDescent="0.3">
      <c r="A319" s="4">
        <v>46227</v>
      </c>
      <c r="B319" s="5">
        <f t="shared" si="4"/>
        <v>46204</v>
      </c>
      <c r="C319" s="6" t="s">
        <v>33</v>
      </c>
      <c r="D319" s="6" t="s">
        <v>33</v>
      </c>
      <c r="E319" s="8">
        <v>20</v>
      </c>
      <c r="F319" s="9" t="s">
        <v>10</v>
      </c>
    </row>
    <row r="320" spans="1:6" x14ac:dyDescent="0.3">
      <c r="A320" s="4">
        <v>46227</v>
      </c>
      <c r="B320" s="5">
        <f t="shared" si="4"/>
        <v>46204</v>
      </c>
      <c r="C320" s="6" t="s">
        <v>31</v>
      </c>
      <c r="D320" s="6" t="s">
        <v>31</v>
      </c>
      <c r="E320" s="8">
        <v>30</v>
      </c>
      <c r="F320" s="9" t="s">
        <v>10</v>
      </c>
    </row>
    <row r="321" spans="1:6" x14ac:dyDescent="0.3">
      <c r="A321" s="4">
        <v>46227</v>
      </c>
      <c r="B321" s="5">
        <f t="shared" si="4"/>
        <v>46204</v>
      </c>
      <c r="C321" s="6" t="s">
        <v>29</v>
      </c>
      <c r="D321" s="6" t="s">
        <v>29</v>
      </c>
      <c r="E321" s="8">
        <v>20</v>
      </c>
      <c r="F321" s="9" t="s">
        <v>10</v>
      </c>
    </row>
    <row r="322" spans="1:6" x14ac:dyDescent="0.3">
      <c r="A322" s="4">
        <v>46227</v>
      </c>
      <c r="B322" s="5">
        <f t="shared" si="4"/>
        <v>46204</v>
      </c>
      <c r="C322" s="6" t="s">
        <v>51</v>
      </c>
      <c r="D322" s="6" t="s">
        <v>51</v>
      </c>
      <c r="E322" s="8">
        <v>10</v>
      </c>
      <c r="F322" s="9" t="s">
        <v>10</v>
      </c>
    </row>
    <row r="323" spans="1:6" x14ac:dyDescent="0.3">
      <c r="A323" s="4">
        <v>46227</v>
      </c>
      <c r="B323" s="5">
        <f t="shared" si="4"/>
        <v>46204</v>
      </c>
      <c r="C323" s="6" t="s">
        <v>52</v>
      </c>
      <c r="D323" s="6" t="s">
        <v>52</v>
      </c>
      <c r="E323" s="8">
        <v>20</v>
      </c>
      <c r="F323" s="9" t="s">
        <v>10</v>
      </c>
    </row>
    <row r="324" spans="1:6" x14ac:dyDescent="0.3">
      <c r="A324" s="4">
        <v>46227</v>
      </c>
      <c r="B324" s="5">
        <f t="shared" si="4"/>
        <v>46204</v>
      </c>
      <c r="C324" s="6" t="s">
        <v>48</v>
      </c>
      <c r="D324" s="6" t="s">
        <v>48</v>
      </c>
      <c r="E324" s="8">
        <v>20</v>
      </c>
      <c r="F324" s="9" t="s">
        <v>10</v>
      </c>
    </row>
    <row r="325" spans="1:6" x14ac:dyDescent="0.3">
      <c r="A325" s="4">
        <v>46227</v>
      </c>
      <c r="B325" s="5">
        <f t="shared" ref="B325:B388" si="5">DATE(YEAR(A325),MONTH(A325),1)</f>
        <v>46204</v>
      </c>
      <c r="C325" s="6" t="s">
        <v>49</v>
      </c>
      <c r="D325" s="6" t="s">
        <v>49</v>
      </c>
      <c r="E325" s="8">
        <v>20</v>
      </c>
      <c r="F325" s="9" t="s">
        <v>10</v>
      </c>
    </row>
    <row r="326" spans="1:6" x14ac:dyDescent="0.3">
      <c r="A326" s="4">
        <v>46227</v>
      </c>
      <c r="B326" s="5">
        <f t="shared" si="5"/>
        <v>46204</v>
      </c>
      <c r="C326" s="6" t="s">
        <v>23</v>
      </c>
      <c r="D326" s="6" t="s">
        <v>23</v>
      </c>
      <c r="E326" s="8">
        <v>40</v>
      </c>
      <c r="F326" s="9" t="s">
        <v>10</v>
      </c>
    </row>
    <row r="327" spans="1:6" x14ac:dyDescent="0.3">
      <c r="A327" s="4">
        <v>46227</v>
      </c>
      <c r="B327" s="5">
        <f t="shared" si="5"/>
        <v>46204</v>
      </c>
      <c r="C327" s="6" t="s">
        <v>50</v>
      </c>
      <c r="D327" s="6" t="s">
        <v>50</v>
      </c>
      <c r="E327" s="8">
        <v>60</v>
      </c>
      <c r="F327" s="9" t="s">
        <v>10</v>
      </c>
    </row>
    <row r="328" spans="1:6" x14ac:dyDescent="0.3">
      <c r="A328" s="4">
        <v>46228</v>
      </c>
      <c r="B328" s="5">
        <f t="shared" si="5"/>
        <v>46204</v>
      </c>
      <c r="C328" s="6" t="s">
        <v>14</v>
      </c>
      <c r="D328" s="6" t="s">
        <v>14</v>
      </c>
      <c r="E328" s="8">
        <v>40</v>
      </c>
      <c r="F328" s="9" t="s">
        <v>10</v>
      </c>
    </row>
    <row r="329" spans="1:6" x14ac:dyDescent="0.3">
      <c r="A329" s="4">
        <v>46228</v>
      </c>
      <c r="B329" s="5">
        <f t="shared" si="5"/>
        <v>46204</v>
      </c>
      <c r="C329" s="6" t="s">
        <v>43</v>
      </c>
      <c r="D329" s="6" t="s">
        <v>43</v>
      </c>
      <c r="E329" s="8">
        <v>30</v>
      </c>
      <c r="F329" s="9" t="s">
        <v>10</v>
      </c>
    </row>
    <row r="330" spans="1:6" x14ac:dyDescent="0.3">
      <c r="A330" s="4">
        <v>46228</v>
      </c>
      <c r="B330" s="5">
        <f t="shared" si="5"/>
        <v>46204</v>
      </c>
      <c r="C330" s="6" t="s">
        <v>30</v>
      </c>
      <c r="D330" s="6" t="s">
        <v>30</v>
      </c>
      <c r="E330" s="8">
        <v>60</v>
      </c>
      <c r="F330" s="9" t="s">
        <v>10</v>
      </c>
    </row>
    <row r="331" spans="1:6" x14ac:dyDescent="0.3">
      <c r="A331" s="4">
        <v>46228</v>
      </c>
      <c r="B331" s="5">
        <f t="shared" si="5"/>
        <v>46204</v>
      </c>
      <c r="C331" s="6" t="s">
        <v>39</v>
      </c>
      <c r="D331" s="6" t="s">
        <v>39</v>
      </c>
      <c r="E331" s="8">
        <v>80</v>
      </c>
      <c r="F331" s="9" t="s">
        <v>10</v>
      </c>
    </row>
    <row r="332" spans="1:6" x14ac:dyDescent="0.3">
      <c r="A332" s="4">
        <v>46228</v>
      </c>
      <c r="B332" s="5">
        <f t="shared" si="5"/>
        <v>46204</v>
      </c>
      <c r="C332" s="6" t="s">
        <v>46</v>
      </c>
      <c r="D332" s="6" t="s">
        <v>46</v>
      </c>
      <c r="E332" s="8">
        <v>100</v>
      </c>
      <c r="F332" s="9" t="s">
        <v>10</v>
      </c>
    </row>
    <row r="333" spans="1:6" x14ac:dyDescent="0.3">
      <c r="A333" s="4">
        <v>46228</v>
      </c>
      <c r="B333" s="5">
        <f t="shared" si="5"/>
        <v>46204</v>
      </c>
      <c r="C333" s="6" t="s">
        <v>16</v>
      </c>
      <c r="D333" s="6" t="s">
        <v>16</v>
      </c>
      <c r="E333" s="8">
        <v>70</v>
      </c>
      <c r="F333" s="9" t="s">
        <v>10</v>
      </c>
    </row>
    <row r="334" spans="1:6" x14ac:dyDescent="0.3">
      <c r="A334" s="4">
        <v>46228</v>
      </c>
      <c r="B334" s="5">
        <f t="shared" si="5"/>
        <v>46204</v>
      </c>
      <c r="C334" s="6" t="s">
        <v>51</v>
      </c>
      <c r="D334" s="6" t="s">
        <v>51</v>
      </c>
      <c r="E334" s="8">
        <v>20</v>
      </c>
      <c r="F334" s="9" t="s">
        <v>10</v>
      </c>
    </row>
    <row r="335" spans="1:6" x14ac:dyDescent="0.3">
      <c r="A335" s="4">
        <v>46228</v>
      </c>
      <c r="B335" s="5">
        <f t="shared" si="5"/>
        <v>46204</v>
      </c>
      <c r="C335" s="6" t="s">
        <v>48</v>
      </c>
      <c r="D335" s="6" t="s">
        <v>48</v>
      </c>
      <c r="E335" s="8">
        <v>20</v>
      </c>
      <c r="F335" s="9" t="s">
        <v>10</v>
      </c>
    </row>
    <row r="336" spans="1:6" x14ac:dyDescent="0.3">
      <c r="A336" s="4">
        <v>46228</v>
      </c>
      <c r="B336" s="5">
        <f t="shared" si="5"/>
        <v>46204</v>
      </c>
      <c r="C336" s="6" t="s">
        <v>49</v>
      </c>
      <c r="D336" s="6" t="s">
        <v>49</v>
      </c>
      <c r="E336" s="8">
        <v>20</v>
      </c>
      <c r="F336" s="9" t="s">
        <v>10</v>
      </c>
    </row>
    <row r="337" spans="1:6" x14ac:dyDescent="0.3">
      <c r="A337" s="4">
        <v>46228</v>
      </c>
      <c r="B337" s="5">
        <f t="shared" si="5"/>
        <v>46204</v>
      </c>
      <c r="C337" s="6" t="s">
        <v>35</v>
      </c>
      <c r="D337" s="6" t="s">
        <v>35</v>
      </c>
      <c r="E337" s="8">
        <v>43</v>
      </c>
      <c r="F337" s="9" t="s">
        <v>10</v>
      </c>
    </row>
    <row r="338" spans="1:6" x14ac:dyDescent="0.3">
      <c r="A338" s="4">
        <v>46228</v>
      </c>
      <c r="B338" s="5">
        <f t="shared" si="5"/>
        <v>46204</v>
      </c>
      <c r="C338" s="6" t="s">
        <v>21</v>
      </c>
      <c r="D338" s="6" t="s">
        <v>21</v>
      </c>
      <c r="E338" s="8">
        <v>32</v>
      </c>
      <c r="F338" s="9" t="s">
        <v>10</v>
      </c>
    </row>
    <row r="339" spans="1:6" x14ac:dyDescent="0.3">
      <c r="A339" s="4">
        <v>46228</v>
      </c>
      <c r="B339" s="5">
        <f t="shared" si="5"/>
        <v>46204</v>
      </c>
      <c r="C339" s="6" t="s">
        <v>22</v>
      </c>
      <c r="D339" s="6" t="s">
        <v>22</v>
      </c>
      <c r="E339" s="8">
        <v>40</v>
      </c>
      <c r="F339" s="9" t="s">
        <v>10</v>
      </c>
    </row>
    <row r="340" spans="1:6" x14ac:dyDescent="0.3">
      <c r="A340" s="4">
        <v>46229</v>
      </c>
      <c r="B340" s="5">
        <f t="shared" si="5"/>
        <v>46204</v>
      </c>
      <c r="C340" s="6" t="s">
        <v>8</v>
      </c>
      <c r="D340" s="7" t="s">
        <v>27</v>
      </c>
      <c r="E340" s="8">
        <v>20</v>
      </c>
      <c r="F340" s="9" t="s">
        <v>10</v>
      </c>
    </row>
    <row r="341" spans="1:6" x14ac:dyDescent="0.3">
      <c r="A341" s="4">
        <v>46229</v>
      </c>
      <c r="B341" s="5">
        <f t="shared" si="5"/>
        <v>46204</v>
      </c>
      <c r="C341" s="6" t="s">
        <v>38</v>
      </c>
      <c r="D341" s="6" t="s">
        <v>38</v>
      </c>
      <c r="E341" s="8">
        <v>20</v>
      </c>
      <c r="F341" s="9" t="s">
        <v>10</v>
      </c>
    </row>
    <row r="342" spans="1:6" x14ac:dyDescent="0.3">
      <c r="A342" s="4">
        <v>46229</v>
      </c>
      <c r="B342" s="5">
        <f t="shared" si="5"/>
        <v>46204</v>
      </c>
      <c r="C342" s="6" t="s">
        <v>13</v>
      </c>
      <c r="D342" s="6" t="s">
        <v>13</v>
      </c>
      <c r="E342" s="8">
        <v>18</v>
      </c>
      <c r="F342" s="9" t="s">
        <v>10</v>
      </c>
    </row>
    <row r="343" spans="1:6" x14ac:dyDescent="0.3">
      <c r="A343" s="4">
        <v>46229</v>
      </c>
      <c r="B343" s="5">
        <f t="shared" si="5"/>
        <v>46204</v>
      </c>
      <c r="C343" s="6" t="s">
        <v>14</v>
      </c>
      <c r="D343" s="6" t="s">
        <v>14</v>
      </c>
      <c r="E343" s="8">
        <v>40</v>
      </c>
      <c r="F343" s="9" t="s">
        <v>10</v>
      </c>
    </row>
    <row r="344" spans="1:6" x14ac:dyDescent="0.3">
      <c r="A344" s="4">
        <v>46229</v>
      </c>
      <c r="B344" s="5">
        <f t="shared" si="5"/>
        <v>46204</v>
      </c>
      <c r="C344" s="6" t="s">
        <v>30</v>
      </c>
      <c r="D344" s="6" t="s">
        <v>30</v>
      </c>
      <c r="E344" s="8">
        <v>70</v>
      </c>
      <c r="F344" s="9" t="s">
        <v>10</v>
      </c>
    </row>
    <row r="345" spans="1:6" x14ac:dyDescent="0.3">
      <c r="A345" s="4">
        <v>46229</v>
      </c>
      <c r="B345" s="5">
        <f t="shared" si="5"/>
        <v>46204</v>
      </c>
      <c r="C345" s="6" t="s">
        <v>39</v>
      </c>
      <c r="D345" s="6" t="s">
        <v>39</v>
      </c>
      <c r="E345" s="8">
        <v>70</v>
      </c>
      <c r="F345" s="9" t="s">
        <v>10</v>
      </c>
    </row>
    <row r="346" spans="1:6" x14ac:dyDescent="0.3">
      <c r="A346" s="4">
        <v>46229</v>
      </c>
      <c r="B346" s="5">
        <f t="shared" si="5"/>
        <v>46204</v>
      </c>
      <c r="C346" s="6" t="s">
        <v>46</v>
      </c>
      <c r="D346" s="6" t="s">
        <v>46</v>
      </c>
      <c r="E346" s="8">
        <v>100</v>
      </c>
      <c r="F346" s="9" t="s">
        <v>10</v>
      </c>
    </row>
    <row r="347" spans="1:6" x14ac:dyDescent="0.3">
      <c r="A347" s="4">
        <v>46229</v>
      </c>
      <c r="B347" s="5">
        <f t="shared" si="5"/>
        <v>46204</v>
      </c>
      <c r="C347" s="6" t="s">
        <v>16</v>
      </c>
      <c r="D347" s="6" t="s">
        <v>16</v>
      </c>
      <c r="E347" s="8">
        <v>80</v>
      </c>
      <c r="F347" s="9" t="s">
        <v>10</v>
      </c>
    </row>
    <row r="348" spans="1:6" x14ac:dyDescent="0.3">
      <c r="A348" s="4">
        <v>46229</v>
      </c>
      <c r="B348" s="5">
        <f t="shared" si="5"/>
        <v>46204</v>
      </c>
      <c r="C348" s="6" t="s">
        <v>40</v>
      </c>
      <c r="D348" s="6" t="s">
        <v>40</v>
      </c>
      <c r="E348" s="8">
        <v>25</v>
      </c>
      <c r="F348" s="9" t="s">
        <v>10</v>
      </c>
    </row>
    <row r="349" spans="1:6" x14ac:dyDescent="0.3">
      <c r="A349" s="4">
        <v>46229</v>
      </c>
      <c r="B349" s="5">
        <f t="shared" si="5"/>
        <v>46204</v>
      </c>
      <c r="C349" s="6" t="s">
        <v>23</v>
      </c>
      <c r="D349" s="6" t="s">
        <v>23</v>
      </c>
      <c r="E349" s="8">
        <v>30</v>
      </c>
      <c r="F349" s="9" t="s">
        <v>10</v>
      </c>
    </row>
    <row r="350" spans="1:6" x14ac:dyDescent="0.3">
      <c r="A350" s="4">
        <v>46229</v>
      </c>
      <c r="B350" s="5">
        <f t="shared" si="5"/>
        <v>46204</v>
      </c>
      <c r="C350" s="6" t="s">
        <v>22</v>
      </c>
      <c r="D350" s="6" t="s">
        <v>22</v>
      </c>
      <c r="E350" s="8">
        <v>20</v>
      </c>
      <c r="F350" s="9" t="s">
        <v>10</v>
      </c>
    </row>
    <row r="351" spans="1:6" x14ac:dyDescent="0.3">
      <c r="A351" s="4">
        <v>46229</v>
      </c>
      <c r="B351" s="5">
        <f t="shared" si="5"/>
        <v>46204</v>
      </c>
      <c r="C351" s="6" t="s">
        <v>53</v>
      </c>
      <c r="D351" s="6" t="s">
        <v>53</v>
      </c>
      <c r="E351" s="8">
        <v>10</v>
      </c>
      <c r="F351" s="9" t="s">
        <v>10</v>
      </c>
    </row>
    <row r="352" spans="1:6" x14ac:dyDescent="0.3">
      <c r="A352" s="4">
        <v>46230</v>
      </c>
      <c r="B352" s="5">
        <f t="shared" si="5"/>
        <v>46204</v>
      </c>
      <c r="C352" s="6" t="s">
        <v>54</v>
      </c>
      <c r="D352" s="7" t="s">
        <v>55</v>
      </c>
      <c r="E352" s="8">
        <v>30</v>
      </c>
      <c r="F352" s="9" t="s">
        <v>56</v>
      </c>
    </row>
    <row r="353" spans="1:6" x14ac:dyDescent="0.3">
      <c r="A353" s="4">
        <v>46230</v>
      </c>
      <c r="B353" s="5">
        <f t="shared" si="5"/>
        <v>46204</v>
      </c>
      <c r="C353" s="6" t="s">
        <v>13</v>
      </c>
      <c r="D353" s="6" t="s">
        <v>13</v>
      </c>
      <c r="E353" s="8">
        <v>10</v>
      </c>
      <c r="F353" s="9" t="s">
        <v>56</v>
      </c>
    </row>
    <row r="354" spans="1:6" x14ac:dyDescent="0.3">
      <c r="A354" s="4">
        <v>46230</v>
      </c>
      <c r="B354" s="5">
        <f t="shared" si="5"/>
        <v>46204</v>
      </c>
      <c r="C354" s="6" t="s">
        <v>36</v>
      </c>
      <c r="D354" s="6" t="s">
        <v>36</v>
      </c>
      <c r="E354" s="8">
        <v>25</v>
      </c>
      <c r="F354" s="9" t="s">
        <v>56</v>
      </c>
    </row>
    <row r="355" spans="1:6" x14ac:dyDescent="0.3">
      <c r="A355" s="4">
        <v>46230</v>
      </c>
      <c r="B355" s="5">
        <f t="shared" si="5"/>
        <v>46204</v>
      </c>
      <c r="C355" s="6" t="s">
        <v>30</v>
      </c>
      <c r="D355" s="6" t="s">
        <v>30</v>
      </c>
      <c r="E355" s="8">
        <v>80</v>
      </c>
      <c r="F355" s="9" t="s">
        <v>56</v>
      </c>
    </row>
    <row r="356" spans="1:6" x14ac:dyDescent="0.3">
      <c r="A356" s="4">
        <v>46230</v>
      </c>
      <c r="B356" s="5">
        <f t="shared" si="5"/>
        <v>46204</v>
      </c>
      <c r="C356" s="6" t="s">
        <v>39</v>
      </c>
      <c r="D356" s="6" t="s">
        <v>39</v>
      </c>
      <c r="E356" s="8">
        <v>80</v>
      </c>
      <c r="F356" s="9" t="s">
        <v>56</v>
      </c>
    </row>
    <row r="357" spans="1:6" x14ac:dyDescent="0.3">
      <c r="A357" s="4">
        <v>46230</v>
      </c>
      <c r="B357" s="5">
        <f t="shared" si="5"/>
        <v>46204</v>
      </c>
      <c r="C357" s="6" t="s">
        <v>46</v>
      </c>
      <c r="D357" s="6" t="s">
        <v>46</v>
      </c>
      <c r="E357" s="8">
        <v>150</v>
      </c>
      <c r="F357" s="9" t="s">
        <v>56</v>
      </c>
    </row>
    <row r="358" spans="1:6" x14ac:dyDescent="0.3">
      <c r="A358" s="4">
        <v>46230</v>
      </c>
      <c r="B358" s="5">
        <f t="shared" si="5"/>
        <v>46204</v>
      </c>
      <c r="C358" s="6" t="s">
        <v>16</v>
      </c>
      <c r="D358" s="6" t="s">
        <v>16</v>
      </c>
      <c r="E358" s="8">
        <v>80</v>
      </c>
      <c r="F358" s="9" t="s">
        <v>56</v>
      </c>
    </row>
    <row r="359" spans="1:6" x14ac:dyDescent="0.3">
      <c r="A359" s="4">
        <v>46230</v>
      </c>
      <c r="B359" s="5">
        <f t="shared" si="5"/>
        <v>46204</v>
      </c>
      <c r="C359" s="6" t="s">
        <v>23</v>
      </c>
      <c r="D359" s="7" t="s">
        <v>57</v>
      </c>
      <c r="E359" s="8">
        <v>40</v>
      </c>
      <c r="F359" s="9" t="s">
        <v>56</v>
      </c>
    </row>
    <row r="360" spans="1:6" x14ac:dyDescent="0.3">
      <c r="A360" s="4">
        <v>46230</v>
      </c>
      <c r="B360" s="5">
        <f t="shared" si="5"/>
        <v>46204</v>
      </c>
      <c r="C360" s="6" t="s">
        <v>25</v>
      </c>
      <c r="D360" s="6" t="s">
        <v>25</v>
      </c>
      <c r="E360" s="8">
        <v>20</v>
      </c>
      <c r="F360" s="9" t="s">
        <v>56</v>
      </c>
    </row>
    <row r="361" spans="1:6" x14ac:dyDescent="0.3">
      <c r="A361" s="4">
        <v>46230</v>
      </c>
      <c r="B361" s="5">
        <f t="shared" si="5"/>
        <v>46204</v>
      </c>
      <c r="C361" s="6" t="s">
        <v>21</v>
      </c>
      <c r="D361" s="6" t="s">
        <v>21</v>
      </c>
      <c r="E361" s="8">
        <v>27</v>
      </c>
      <c r="F361" s="9" t="s">
        <v>56</v>
      </c>
    </row>
    <row r="362" spans="1:6" x14ac:dyDescent="0.3">
      <c r="A362" s="4">
        <v>46230</v>
      </c>
      <c r="B362" s="5">
        <f t="shared" si="5"/>
        <v>46204</v>
      </c>
      <c r="C362" s="6" t="s">
        <v>47</v>
      </c>
      <c r="D362" s="6" t="s">
        <v>47</v>
      </c>
      <c r="E362" s="8">
        <v>30</v>
      </c>
      <c r="F362" s="9" t="s">
        <v>56</v>
      </c>
    </row>
    <row r="363" spans="1:6" x14ac:dyDescent="0.3">
      <c r="A363" s="4">
        <v>46231</v>
      </c>
      <c r="B363" s="5">
        <f t="shared" si="5"/>
        <v>46204</v>
      </c>
      <c r="C363" s="6" t="s">
        <v>38</v>
      </c>
      <c r="D363" s="6" t="s">
        <v>38</v>
      </c>
      <c r="E363" s="8">
        <v>20</v>
      </c>
      <c r="F363" s="9" t="s">
        <v>56</v>
      </c>
    </row>
    <row r="364" spans="1:6" x14ac:dyDescent="0.3">
      <c r="A364" s="4">
        <v>46231</v>
      </c>
      <c r="B364" s="5">
        <f t="shared" si="5"/>
        <v>46204</v>
      </c>
      <c r="C364" s="6" t="s">
        <v>14</v>
      </c>
      <c r="D364" s="7" t="s">
        <v>58</v>
      </c>
      <c r="E364" s="8">
        <v>50</v>
      </c>
      <c r="F364" s="9" t="s">
        <v>56</v>
      </c>
    </row>
    <row r="365" spans="1:6" x14ac:dyDescent="0.3">
      <c r="A365" s="4">
        <v>46231</v>
      </c>
      <c r="B365" s="5">
        <f t="shared" si="5"/>
        <v>46204</v>
      </c>
      <c r="C365" s="6" t="s">
        <v>39</v>
      </c>
      <c r="D365" s="6" t="s">
        <v>39</v>
      </c>
      <c r="E365" s="8">
        <v>20</v>
      </c>
      <c r="F365" s="9" t="s">
        <v>56</v>
      </c>
    </row>
    <row r="366" spans="1:6" x14ac:dyDescent="0.3">
      <c r="A366" s="4">
        <v>46231</v>
      </c>
      <c r="B366" s="5">
        <f t="shared" si="5"/>
        <v>46204</v>
      </c>
      <c r="C366" s="6" t="s">
        <v>46</v>
      </c>
      <c r="D366" s="6" t="s">
        <v>46</v>
      </c>
      <c r="E366" s="8">
        <v>100</v>
      </c>
      <c r="F366" s="9" t="s">
        <v>56</v>
      </c>
    </row>
    <row r="367" spans="1:6" x14ac:dyDescent="0.3">
      <c r="A367" s="4">
        <v>46231</v>
      </c>
      <c r="B367" s="5">
        <f t="shared" si="5"/>
        <v>46204</v>
      </c>
      <c r="C367" s="6" t="s">
        <v>16</v>
      </c>
      <c r="D367" s="6" t="s">
        <v>16</v>
      </c>
      <c r="E367" s="8">
        <v>70</v>
      </c>
      <c r="F367" s="9" t="s">
        <v>56</v>
      </c>
    </row>
    <row r="368" spans="1:6" x14ac:dyDescent="0.3">
      <c r="A368" s="4">
        <v>46231</v>
      </c>
      <c r="B368" s="5">
        <f t="shared" si="5"/>
        <v>46204</v>
      </c>
      <c r="C368" s="6" t="s">
        <v>33</v>
      </c>
      <c r="D368" s="6" t="s">
        <v>33</v>
      </c>
      <c r="E368" s="8">
        <v>52</v>
      </c>
      <c r="F368" s="9" t="s">
        <v>56</v>
      </c>
    </row>
    <row r="369" spans="1:6" x14ac:dyDescent="0.3">
      <c r="A369" s="4">
        <v>46231</v>
      </c>
      <c r="B369" s="5">
        <f t="shared" si="5"/>
        <v>46204</v>
      </c>
      <c r="C369" s="6" t="s">
        <v>52</v>
      </c>
      <c r="D369" s="6" t="s">
        <v>52</v>
      </c>
      <c r="E369" s="8">
        <v>20</v>
      </c>
      <c r="F369" s="9" t="s">
        <v>56</v>
      </c>
    </row>
    <row r="370" spans="1:6" x14ac:dyDescent="0.3">
      <c r="A370" s="4">
        <v>46231</v>
      </c>
      <c r="B370" s="5">
        <f t="shared" si="5"/>
        <v>46204</v>
      </c>
      <c r="C370" s="6" t="s">
        <v>21</v>
      </c>
      <c r="D370" s="6" t="s">
        <v>21</v>
      </c>
      <c r="E370" s="8">
        <v>22</v>
      </c>
      <c r="F370" s="9" t="s">
        <v>56</v>
      </c>
    </row>
    <row r="371" spans="1:6" x14ac:dyDescent="0.3">
      <c r="A371" s="4">
        <v>46231</v>
      </c>
      <c r="B371" s="5">
        <f t="shared" si="5"/>
        <v>46204</v>
      </c>
      <c r="C371" s="6" t="s">
        <v>47</v>
      </c>
      <c r="D371" s="6" t="s">
        <v>47</v>
      </c>
      <c r="E371" s="8">
        <v>20</v>
      </c>
      <c r="F371" s="9" t="s">
        <v>56</v>
      </c>
    </row>
    <row r="372" spans="1:6" x14ac:dyDescent="0.3">
      <c r="A372" s="4">
        <v>46232</v>
      </c>
      <c r="B372" s="5">
        <f t="shared" si="5"/>
        <v>46204</v>
      </c>
      <c r="C372" s="6" t="s">
        <v>8</v>
      </c>
      <c r="D372" s="7" t="s">
        <v>9</v>
      </c>
      <c r="E372" s="8">
        <v>20</v>
      </c>
      <c r="F372" s="9" t="s">
        <v>56</v>
      </c>
    </row>
    <row r="373" spans="1:6" x14ac:dyDescent="0.3">
      <c r="A373" s="4">
        <v>46232</v>
      </c>
      <c r="B373" s="5">
        <f t="shared" si="5"/>
        <v>46204</v>
      </c>
      <c r="C373" s="6" t="s">
        <v>13</v>
      </c>
      <c r="D373" s="6" t="s">
        <v>13</v>
      </c>
      <c r="E373" s="8">
        <v>25</v>
      </c>
      <c r="F373" s="9" t="s">
        <v>56</v>
      </c>
    </row>
    <row r="374" spans="1:6" x14ac:dyDescent="0.3">
      <c r="A374" s="4">
        <v>46232</v>
      </c>
      <c r="B374" s="5">
        <f t="shared" si="5"/>
        <v>46204</v>
      </c>
      <c r="C374" s="6" t="s">
        <v>51</v>
      </c>
      <c r="D374" s="6" t="s">
        <v>51</v>
      </c>
      <c r="E374" s="8">
        <v>20</v>
      </c>
      <c r="F374" s="9" t="s">
        <v>56</v>
      </c>
    </row>
    <row r="375" spans="1:6" x14ac:dyDescent="0.3">
      <c r="A375" s="4">
        <v>46232</v>
      </c>
      <c r="B375" s="5">
        <f t="shared" si="5"/>
        <v>46204</v>
      </c>
      <c r="C375" s="6" t="s">
        <v>50</v>
      </c>
      <c r="D375" s="6" t="s">
        <v>50</v>
      </c>
      <c r="E375" s="8">
        <v>61</v>
      </c>
      <c r="F375" s="9" t="s">
        <v>56</v>
      </c>
    </row>
    <row r="376" spans="1:6" x14ac:dyDescent="0.3">
      <c r="A376" s="4">
        <v>46233</v>
      </c>
      <c r="B376" s="5">
        <f t="shared" si="5"/>
        <v>46204</v>
      </c>
      <c r="C376" s="6" t="s">
        <v>14</v>
      </c>
      <c r="D376" s="7" t="s">
        <v>58</v>
      </c>
      <c r="E376" s="8">
        <v>30</v>
      </c>
      <c r="F376" s="9" t="s">
        <v>56</v>
      </c>
    </row>
    <row r="377" spans="1:6" x14ac:dyDescent="0.3">
      <c r="A377" s="4">
        <v>46233</v>
      </c>
      <c r="B377" s="5">
        <f t="shared" si="5"/>
        <v>46204</v>
      </c>
      <c r="C377" s="6" t="s">
        <v>30</v>
      </c>
      <c r="D377" s="6" t="s">
        <v>30</v>
      </c>
      <c r="E377" s="8">
        <v>80</v>
      </c>
      <c r="F377" s="9" t="s">
        <v>56</v>
      </c>
    </row>
    <row r="378" spans="1:6" x14ac:dyDescent="0.3">
      <c r="A378" s="4">
        <v>46233</v>
      </c>
      <c r="B378" s="5">
        <f t="shared" si="5"/>
        <v>46204</v>
      </c>
      <c r="C378" s="6" t="s">
        <v>39</v>
      </c>
      <c r="D378" s="6" t="s">
        <v>39</v>
      </c>
      <c r="E378" s="8">
        <v>80</v>
      </c>
      <c r="F378" s="9" t="s">
        <v>56</v>
      </c>
    </row>
    <row r="379" spans="1:6" x14ac:dyDescent="0.3">
      <c r="A379" s="4">
        <v>46233</v>
      </c>
      <c r="B379" s="5">
        <f t="shared" si="5"/>
        <v>46204</v>
      </c>
      <c r="C379" s="6" t="s">
        <v>46</v>
      </c>
      <c r="D379" s="6" t="s">
        <v>46</v>
      </c>
      <c r="E379" s="8">
        <v>100</v>
      </c>
      <c r="F379" s="9" t="s">
        <v>56</v>
      </c>
    </row>
    <row r="380" spans="1:6" x14ac:dyDescent="0.3">
      <c r="A380" s="4">
        <v>46233</v>
      </c>
      <c r="B380" s="5">
        <f t="shared" si="5"/>
        <v>46204</v>
      </c>
      <c r="C380" s="6" t="s">
        <v>40</v>
      </c>
      <c r="D380" s="6" t="s">
        <v>40</v>
      </c>
      <c r="E380" s="8">
        <v>25</v>
      </c>
      <c r="F380" s="9" t="s">
        <v>56</v>
      </c>
    </row>
    <row r="381" spans="1:6" x14ac:dyDescent="0.3">
      <c r="A381" s="4">
        <v>46233</v>
      </c>
      <c r="B381" s="5">
        <f t="shared" si="5"/>
        <v>46204</v>
      </c>
      <c r="C381" s="6" t="s">
        <v>23</v>
      </c>
      <c r="D381" s="6" t="s">
        <v>23</v>
      </c>
      <c r="E381" s="8">
        <v>50</v>
      </c>
      <c r="F381" s="9" t="s">
        <v>56</v>
      </c>
    </row>
    <row r="382" spans="1:6" x14ac:dyDescent="0.3">
      <c r="A382" s="4">
        <v>46234</v>
      </c>
      <c r="B382" s="5">
        <f t="shared" si="5"/>
        <v>46204</v>
      </c>
      <c r="C382" s="6" t="s">
        <v>8</v>
      </c>
      <c r="D382" s="7" t="s">
        <v>9</v>
      </c>
      <c r="E382" s="8">
        <v>25</v>
      </c>
      <c r="F382" s="9" t="s">
        <v>56</v>
      </c>
    </row>
    <row r="383" spans="1:6" x14ac:dyDescent="0.3">
      <c r="A383" s="4">
        <v>46234</v>
      </c>
      <c r="B383" s="5">
        <f t="shared" si="5"/>
        <v>46204</v>
      </c>
      <c r="C383" s="6" t="s">
        <v>38</v>
      </c>
      <c r="D383" s="6" t="s">
        <v>38</v>
      </c>
      <c r="E383" s="8">
        <v>20</v>
      </c>
      <c r="F383" s="9" t="s">
        <v>56</v>
      </c>
    </row>
    <row r="384" spans="1:6" x14ac:dyDescent="0.3">
      <c r="A384" s="4">
        <v>46234</v>
      </c>
      <c r="B384" s="5">
        <f t="shared" si="5"/>
        <v>46204</v>
      </c>
      <c r="C384" s="6" t="s">
        <v>13</v>
      </c>
      <c r="D384" s="6" t="s">
        <v>13</v>
      </c>
      <c r="E384" s="8">
        <v>17</v>
      </c>
      <c r="F384" s="9" t="s">
        <v>56</v>
      </c>
    </row>
    <row r="385" spans="1:6" x14ac:dyDescent="0.3">
      <c r="A385" s="4">
        <v>46234</v>
      </c>
      <c r="B385" s="5">
        <f t="shared" si="5"/>
        <v>46204</v>
      </c>
      <c r="C385" s="6" t="s">
        <v>14</v>
      </c>
      <c r="D385" s="7" t="s">
        <v>58</v>
      </c>
      <c r="E385" s="8">
        <v>20</v>
      </c>
      <c r="F385" s="9" t="s">
        <v>56</v>
      </c>
    </row>
    <row r="386" spans="1:6" x14ac:dyDescent="0.3">
      <c r="A386" s="4">
        <v>46234</v>
      </c>
      <c r="B386" s="5">
        <f t="shared" si="5"/>
        <v>46204</v>
      </c>
      <c r="C386" s="6" t="s">
        <v>30</v>
      </c>
      <c r="D386" s="6" t="s">
        <v>30</v>
      </c>
      <c r="E386" s="8">
        <v>70</v>
      </c>
      <c r="F386" s="9" t="s">
        <v>56</v>
      </c>
    </row>
    <row r="387" spans="1:6" x14ac:dyDescent="0.3">
      <c r="A387" s="4">
        <v>46234</v>
      </c>
      <c r="B387" s="5">
        <f t="shared" si="5"/>
        <v>46204</v>
      </c>
      <c r="C387" s="6" t="s">
        <v>39</v>
      </c>
      <c r="D387" s="6" t="s">
        <v>39</v>
      </c>
      <c r="E387" s="8">
        <v>80</v>
      </c>
      <c r="F387" s="9" t="s">
        <v>56</v>
      </c>
    </row>
    <row r="388" spans="1:6" x14ac:dyDescent="0.3">
      <c r="A388" s="4">
        <v>46234</v>
      </c>
      <c r="B388" s="5">
        <f t="shared" si="5"/>
        <v>46204</v>
      </c>
      <c r="C388" s="6" t="s">
        <v>46</v>
      </c>
      <c r="D388" s="6" t="s">
        <v>46</v>
      </c>
      <c r="E388" s="8">
        <v>80</v>
      </c>
      <c r="F388" s="9" t="s">
        <v>56</v>
      </c>
    </row>
    <row r="389" spans="1:6" x14ac:dyDescent="0.3">
      <c r="A389" s="4">
        <v>46234</v>
      </c>
      <c r="B389" s="5">
        <f t="shared" ref="B389:B440" si="6">DATE(YEAR(A389),MONTH(A389),1)</f>
        <v>46204</v>
      </c>
      <c r="C389" s="6" t="s">
        <v>16</v>
      </c>
      <c r="D389" s="6" t="s">
        <v>16</v>
      </c>
      <c r="E389" s="8">
        <v>80</v>
      </c>
      <c r="F389" s="9" t="s">
        <v>56</v>
      </c>
    </row>
    <row r="390" spans="1:6" x14ac:dyDescent="0.3">
      <c r="A390" s="4">
        <v>46234</v>
      </c>
      <c r="B390" s="5">
        <f t="shared" si="6"/>
        <v>46204</v>
      </c>
      <c r="C390" s="6" t="s">
        <v>33</v>
      </c>
      <c r="D390" s="6" t="s">
        <v>33</v>
      </c>
      <c r="E390" s="8">
        <v>30</v>
      </c>
      <c r="F390" s="9" t="s">
        <v>56</v>
      </c>
    </row>
    <row r="391" spans="1:6" x14ac:dyDescent="0.3">
      <c r="A391" s="4">
        <v>46234</v>
      </c>
      <c r="B391" s="5">
        <f t="shared" si="6"/>
        <v>46204</v>
      </c>
      <c r="C391" s="6" t="s">
        <v>51</v>
      </c>
      <c r="D391" s="6" t="s">
        <v>51</v>
      </c>
      <c r="E391" s="8">
        <v>20</v>
      </c>
      <c r="F391" s="9" t="s">
        <v>56</v>
      </c>
    </row>
    <row r="392" spans="1:6" x14ac:dyDescent="0.3">
      <c r="A392" s="4">
        <v>46234</v>
      </c>
      <c r="B392" s="5">
        <f t="shared" si="6"/>
        <v>46204</v>
      </c>
      <c r="C392" s="6" t="s">
        <v>25</v>
      </c>
      <c r="D392" s="7" t="s">
        <v>59</v>
      </c>
      <c r="E392" s="8">
        <v>20</v>
      </c>
      <c r="F392" s="9" t="s">
        <v>56</v>
      </c>
    </row>
    <row r="393" spans="1:6" x14ac:dyDescent="0.3">
      <c r="A393" s="4">
        <v>46234</v>
      </c>
      <c r="B393" s="5">
        <f t="shared" si="6"/>
        <v>46204</v>
      </c>
      <c r="C393" s="6" t="s">
        <v>21</v>
      </c>
      <c r="D393" s="6" t="s">
        <v>21</v>
      </c>
      <c r="E393" s="8">
        <v>32</v>
      </c>
      <c r="F393" s="9" t="s">
        <v>56</v>
      </c>
    </row>
    <row r="394" spans="1:6" x14ac:dyDescent="0.3">
      <c r="A394" s="4">
        <v>46235</v>
      </c>
      <c r="B394" s="5">
        <f t="shared" si="6"/>
        <v>46235</v>
      </c>
      <c r="C394" s="6" t="s">
        <v>13</v>
      </c>
      <c r="D394" s="6" t="s">
        <v>13</v>
      </c>
      <c r="E394" s="8">
        <v>10</v>
      </c>
      <c r="F394" s="9" t="s">
        <v>56</v>
      </c>
    </row>
    <row r="395" spans="1:6" x14ac:dyDescent="0.3">
      <c r="A395" s="4">
        <v>46235</v>
      </c>
      <c r="B395" s="5">
        <f t="shared" si="6"/>
        <v>46235</v>
      </c>
      <c r="C395" s="6" t="s">
        <v>14</v>
      </c>
      <c r="D395" s="7" t="s">
        <v>58</v>
      </c>
      <c r="E395" s="8">
        <v>50</v>
      </c>
      <c r="F395" s="9" t="s">
        <v>56</v>
      </c>
    </row>
    <row r="396" spans="1:6" x14ac:dyDescent="0.3">
      <c r="A396" s="4">
        <v>46235</v>
      </c>
      <c r="B396" s="5">
        <f t="shared" si="6"/>
        <v>46235</v>
      </c>
      <c r="C396" s="6" t="s">
        <v>30</v>
      </c>
      <c r="D396" s="6" t="s">
        <v>30</v>
      </c>
      <c r="E396" s="8">
        <v>80</v>
      </c>
      <c r="F396" s="9" t="s">
        <v>56</v>
      </c>
    </row>
    <row r="397" spans="1:6" x14ac:dyDescent="0.3">
      <c r="A397" s="4">
        <v>46235</v>
      </c>
      <c r="B397" s="5">
        <f t="shared" si="6"/>
        <v>46235</v>
      </c>
      <c r="C397" s="6" t="s">
        <v>39</v>
      </c>
      <c r="D397" s="6" t="s">
        <v>39</v>
      </c>
      <c r="E397" s="8">
        <v>80</v>
      </c>
      <c r="F397" s="9" t="s">
        <v>56</v>
      </c>
    </row>
    <row r="398" spans="1:6" x14ac:dyDescent="0.3">
      <c r="A398" s="4">
        <v>46235</v>
      </c>
      <c r="B398" s="5">
        <f t="shared" si="6"/>
        <v>46235</v>
      </c>
      <c r="C398" s="6" t="s">
        <v>46</v>
      </c>
      <c r="D398" s="6" t="s">
        <v>46</v>
      </c>
      <c r="E398" s="8">
        <v>150</v>
      </c>
      <c r="F398" s="9" t="s">
        <v>56</v>
      </c>
    </row>
    <row r="399" spans="1:6" x14ac:dyDescent="0.3">
      <c r="A399" s="4">
        <v>46235</v>
      </c>
      <c r="B399" s="5">
        <f t="shared" si="6"/>
        <v>46235</v>
      </c>
      <c r="C399" s="6" t="s">
        <v>16</v>
      </c>
      <c r="D399" s="6" t="s">
        <v>16</v>
      </c>
      <c r="E399" s="8">
        <v>80</v>
      </c>
      <c r="F399" s="9" t="s">
        <v>56</v>
      </c>
    </row>
    <row r="400" spans="1:6" x14ac:dyDescent="0.3">
      <c r="A400" s="4">
        <v>46235</v>
      </c>
      <c r="B400" s="5">
        <f t="shared" si="6"/>
        <v>46235</v>
      </c>
      <c r="C400" s="6" t="s">
        <v>41</v>
      </c>
      <c r="D400" s="6" t="s">
        <v>41</v>
      </c>
      <c r="E400" s="8">
        <v>10</v>
      </c>
      <c r="F400" s="9" t="s">
        <v>56</v>
      </c>
    </row>
    <row r="401" spans="1:6" x14ac:dyDescent="0.3">
      <c r="A401" s="4">
        <v>46235</v>
      </c>
      <c r="B401" s="5">
        <f t="shared" si="6"/>
        <v>46235</v>
      </c>
      <c r="C401" s="6" t="s">
        <v>23</v>
      </c>
      <c r="D401" s="6" t="s">
        <v>23</v>
      </c>
      <c r="E401" s="8">
        <v>50</v>
      </c>
      <c r="F401" s="9" t="s">
        <v>56</v>
      </c>
    </row>
    <row r="402" spans="1:6" x14ac:dyDescent="0.3">
      <c r="A402" s="4">
        <v>46235</v>
      </c>
      <c r="B402" s="5">
        <f t="shared" si="6"/>
        <v>46235</v>
      </c>
      <c r="C402" s="6" t="s">
        <v>35</v>
      </c>
      <c r="D402" s="6" t="s">
        <v>35</v>
      </c>
      <c r="E402" s="8">
        <v>42</v>
      </c>
      <c r="F402" s="9" t="s">
        <v>56</v>
      </c>
    </row>
    <row r="403" spans="1:6" x14ac:dyDescent="0.3">
      <c r="A403" s="4">
        <v>46236</v>
      </c>
      <c r="B403" s="5">
        <f t="shared" si="6"/>
        <v>46235</v>
      </c>
      <c r="C403" s="6" t="s">
        <v>8</v>
      </c>
      <c r="D403" s="33" t="s">
        <v>9</v>
      </c>
      <c r="E403" s="8">
        <v>25</v>
      </c>
      <c r="F403" s="9" t="s">
        <v>60</v>
      </c>
    </row>
    <row r="404" spans="1:6" x14ac:dyDescent="0.3">
      <c r="A404" s="4">
        <v>46236</v>
      </c>
      <c r="B404" s="5">
        <f t="shared" si="6"/>
        <v>46235</v>
      </c>
      <c r="C404" s="6" t="s">
        <v>54</v>
      </c>
      <c r="D404" s="33" t="s">
        <v>55</v>
      </c>
      <c r="E404" s="8">
        <v>40</v>
      </c>
      <c r="F404" s="9" t="s">
        <v>60</v>
      </c>
    </row>
    <row r="405" spans="1:6" x14ac:dyDescent="0.3">
      <c r="A405" s="4">
        <v>46236</v>
      </c>
      <c r="B405" s="5">
        <f t="shared" si="6"/>
        <v>46235</v>
      </c>
      <c r="C405" s="6" t="s">
        <v>38</v>
      </c>
      <c r="D405" s="33" t="s">
        <v>38</v>
      </c>
      <c r="E405" s="8">
        <v>20</v>
      </c>
      <c r="F405" s="9" t="s">
        <v>60</v>
      </c>
    </row>
    <row r="406" spans="1:6" x14ac:dyDescent="0.3">
      <c r="A406" s="4">
        <v>46236</v>
      </c>
      <c r="B406" s="5">
        <f t="shared" si="6"/>
        <v>46235</v>
      </c>
      <c r="C406" s="6" t="s">
        <v>13</v>
      </c>
      <c r="D406" s="33" t="s">
        <v>13</v>
      </c>
      <c r="E406" s="8">
        <v>6</v>
      </c>
      <c r="F406" s="9" t="s">
        <v>60</v>
      </c>
    </row>
    <row r="407" spans="1:6" x14ac:dyDescent="0.3">
      <c r="A407" s="4">
        <v>46236</v>
      </c>
      <c r="B407" s="5">
        <f t="shared" si="6"/>
        <v>46235</v>
      </c>
      <c r="C407" s="6" t="s">
        <v>30</v>
      </c>
      <c r="D407" s="33" t="s">
        <v>30</v>
      </c>
      <c r="E407" s="8">
        <v>80</v>
      </c>
      <c r="F407" s="9" t="s">
        <v>60</v>
      </c>
    </row>
    <row r="408" spans="1:6" x14ac:dyDescent="0.3">
      <c r="A408" s="4">
        <v>46236</v>
      </c>
      <c r="B408" s="5">
        <f t="shared" si="6"/>
        <v>46235</v>
      </c>
      <c r="C408" s="6" t="s">
        <v>39</v>
      </c>
      <c r="D408" s="33" t="s">
        <v>39</v>
      </c>
      <c r="E408" s="8">
        <v>80</v>
      </c>
      <c r="F408" s="9" t="s">
        <v>60</v>
      </c>
    </row>
    <row r="409" spans="1:6" x14ac:dyDescent="0.3">
      <c r="A409" s="4">
        <v>46236</v>
      </c>
      <c r="B409" s="5">
        <f t="shared" si="6"/>
        <v>46235</v>
      </c>
      <c r="C409" s="6" t="s">
        <v>46</v>
      </c>
      <c r="D409" s="33" t="s">
        <v>46</v>
      </c>
      <c r="E409" s="8">
        <v>100</v>
      </c>
      <c r="F409" s="9" t="s">
        <v>60</v>
      </c>
    </row>
    <row r="410" spans="1:6" x14ac:dyDescent="0.3">
      <c r="A410" s="4">
        <v>46236</v>
      </c>
      <c r="B410" s="5">
        <f t="shared" si="6"/>
        <v>46235</v>
      </c>
      <c r="C410" s="6" t="s">
        <v>16</v>
      </c>
      <c r="D410" s="33" t="s">
        <v>16</v>
      </c>
      <c r="E410" s="8">
        <v>60</v>
      </c>
      <c r="F410" s="9" t="s">
        <v>60</v>
      </c>
    </row>
    <row r="411" spans="1:6" x14ac:dyDescent="0.3">
      <c r="A411" s="4">
        <v>46236</v>
      </c>
      <c r="B411" s="5">
        <f t="shared" si="6"/>
        <v>46235</v>
      </c>
      <c r="C411" s="6" t="s">
        <v>21</v>
      </c>
      <c r="D411" s="33" t="s">
        <v>21</v>
      </c>
      <c r="E411" s="8">
        <v>31</v>
      </c>
      <c r="F411" s="9" t="s">
        <v>60</v>
      </c>
    </row>
    <row r="412" spans="1:6" x14ac:dyDescent="0.3">
      <c r="A412" s="4">
        <v>46236</v>
      </c>
      <c r="B412" s="5">
        <f t="shared" si="6"/>
        <v>46235</v>
      </c>
      <c r="C412" s="6" t="s">
        <v>47</v>
      </c>
      <c r="D412" s="33" t="s">
        <v>47</v>
      </c>
      <c r="E412" s="8">
        <v>50</v>
      </c>
      <c r="F412" s="9" t="s">
        <v>60</v>
      </c>
    </row>
    <row r="413" spans="1:6" x14ac:dyDescent="0.3">
      <c r="A413" s="4">
        <v>46237</v>
      </c>
      <c r="B413" s="5">
        <f t="shared" si="6"/>
        <v>46235</v>
      </c>
      <c r="C413" s="6" t="s">
        <v>8</v>
      </c>
      <c r="D413" s="33" t="s">
        <v>9</v>
      </c>
      <c r="E413" s="8">
        <v>25</v>
      </c>
      <c r="F413" s="9" t="s">
        <v>60</v>
      </c>
    </row>
    <row r="414" spans="1:6" x14ac:dyDescent="0.3">
      <c r="A414" s="4">
        <v>46237</v>
      </c>
      <c r="B414" s="5">
        <f t="shared" si="6"/>
        <v>46235</v>
      </c>
      <c r="C414" s="6" t="s">
        <v>54</v>
      </c>
      <c r="D414" s="33" t="s">
        <v>55</v>
      </c>
      <c r="E414" s="8">
        <v>40</v>
      </c>
      <c r="F414" s="9" t="s">
        <v>60</v>
      </c>
    </row>
    <row r="415" spans="1:6" x14ac:dyDescent="0.3">
      <c r="A415" s="4">
        <v>46237</v>
      </c>
      <c r="B415" s="5">
        <f t="shared" si="6"/>
        <v>46235</v>
      </c>
      <c r="C415" s="6" t="s">
        <v>30</v>
      </c>
      <c r="D415" s="33" t="s">
        <v>30</v>
      </c>
      <c r="E415" s="8">
        <v>80</v>
      </c>
      <c r="F415" s="9" t="s">
        <v>60</v>
      </c>
    </row>
    <row r="416" spans="1:6" x14ac:dyDescent="0.3">
      <c r="A416" s="4">
        <v>46237</v>
      </c>
      <c r="B416" s="5">
        <f t="shared" si="6"/>
        <v>46235</v>
      </c>
      <c r="C416" s="6" t="s">
        <v>46</v>
      </c>
      <c r="D416" s="33" t="s">
        <v>46</v>
      </c>
      <c r="E416" s="8">
        <v>120</v>
      </c>
      <c r="F416" s="9" t="s">
        <v>60</v>
      </c>
    </row>
    <row r="417" spans="1:6" x14ac:dyDescent="0.3">
      <c r="A417" s="4">
        <v>46237</v>
      </c>
      <c r="B417" s="5">
        <f t="shared" si="6"/>
        <v>46235</v>
      </c>
      <c r="C417" s="6" t="s">
        <v>22</v>
      </c>
      <c r="D417" s="33" t="s">
        <v>22</v>
      </c>
      <c r="E417" s="8">
        <v>40</v>
      </c>
      <c r="F417" s="9" t="s">
        <v>60</v>
      </c>
    </row>
    <row r="418" spans="1:6" x14ac:dyDescent="0.3">
      <c r="A418" s="4">
        <v>46238</v>
      </c>
      <c r="B418" s="5">
        <f t="shared" si="6"/>
        <v>46235</v>
      </c>
      <c r="C418" s="6" t="s">
        <v>38</v>
      </c>
      <c r="D418" s="33" t="s">
        <v>38</v>
      </c>
      <c r="E418" s="8">
        <v>20</v>
      </c>
      <c r="F418" s="9" t="s">
        <v>60</v>
      </c>
    </row>
    <row r="419" spans="1:6" x14ac:dyDescent="0.3">
      <c r="A419" s="4">
        <v>46238</v>
      </c>
      <c r="B419" s="5">
        <f t="shared" si="6"/>
        <v>46235</v>
      </c>
      <c r="C419" s="6" t="s">
        <v>14</v>
      </c>
      <c r="D419" s="33" t="s">
        <v>18</v>
      </c>
      <c r="E419" s="8">
        <v>50</v>
      </c>
      <c r="F419" s="9" t="s">
        <v>60</v>
      </c>
    </row>
    <row r="420" spans="1:6" x14ac:dyDescent="0.3">
      <c r="A420" s="4">
        <v>46238</v>
      </c>
      <c r="B420" s="5">
        <f t="shared" si="6"/>
        <v>46235</v>
      </c>
      <c r="C420" s="6" t="s">
        <v>36</v>
      </c>
      <c r="D420" s="33" t="s">
        <v>36</v>
      </c>
      <c r="E420" s="8">
        <v>20</v>
      </c>
      <c r="F420" s="9" t="s">
        <v>60</v>
      </c>
    </row>
    <row r="421" spans="1:6" x14ac:dyDescent="0.3">
      <c r="A421" s="4">
        <v>46238</v>
      </c>
      <c r="B421" s="5">
        <f t="shared" si="6"/>
        <v>46235</v>
      </c>
      <c r="C421" s="6" t="s">
        <v>30</v>
      </c>
      <c r="D421" s="33" t="s">
        <v>30</v>
      </c>
      <c r="E421" s="8">
        <v>30</v>
      </c>
      <c r="F421" s="9" t="s">
        <v>60</v>
      </c>
    </row>
    <row r="422" spans="1:6" x14ac:dyDescent="0.3">
      <c r="A422" s="4">
        <v>46238</v>
      </c>
      <c r="B422" s="5">
        <f t="shared" si="6"/>
        <v>46235</v>
      </c>
      <c r="C422" s="6" t="s">
        <v>39</v>
      </c>
      <c r="D422" s="33" t="s">
        <v>39</v>
      </c>
      <c r="E422" s="8">
        <v>80</v>
      </c>
      <c r="F422" s="9" t="s">
        <v>60</v>
      </c>
    </row>
    <row r="423" spans="1:6" x14ac:dyDescent="0.3">
      <c r="A423" s="4">
        <v>46238</v>
      </c>
      <c r="B423" s="5">
        <f t="shared" si="6"/>
        <v>46235</v>
      </c>
      <c r="C423" s="6" t="s">
        <v>61</v>
      </c>
      <c r="D423" s="33" t="s">
        <v>61</v>
      </c>
      <c r="E423" s="8">
        <v>80</v>
      </c>
      <c r="F423" s="9" t="s">
        <v>60</v>
      </c>
    </row>
    <row r="424" spans="1:6" x14ac:dyDescent="0.3">
      <c r="A424" s="4">
        <v>46238</v>
      </c>
      <c r="B424" s="5">
        <f t="shared" si="6"/>
        <v>46235</v>
      </c>
      <c r="C424" s="6" t="s">
        <v>16</v>
      </c>
      <c r="D424" s="33" t="s">
        <v>16</v>
      </c>
      <c r="E424" s="8">
        <v>80</v>
      </c>
      <c r="F424" s="9" t="s">
        <v>60</v>
      </c>
    </row>
    <row r="425" spans="1:6" x14ac:dyDescent="0.3">
      <c r="A425" s="4">
        <v>46238</v>
      </c>
      <c r="B425" s="5">
        <f t="shared" si="6"/>
        <v>46235</v>
      </c>
      <c r="C425" s="6" t="s">
        <v>23</v>
      </c>
      <c r="D425" s="33" t="s">
        <v>23</v>
      </c>
      <c r="E425" s="8">
        <v>50</v>
      </c>
      <c r="F425" s="9" t="s">
        <v>60</v>
      </c>
    </row>
    <row r="426" spans="1:6" x14ac:dyDescent="0.3">
      <c r="A426" s="4">
        <v>46238</v>
      </c>
      <c r="B426" s="5">
        <f t="shared" si="6"/>
        <v>46235</v>
      </c>
      <c r="C426" s="6" t="s">
        <v>50</v>
      </c>
      <c r="D426" s="33" t="s">
        <v>50</v>
      </c>
      <c r="E426" s="8">
        <v>63</v>
      </c>
      <c r="F426" s="9" t="s">
        <v>60</v>
      </c>
    </row>
    <row r="427" spans="1:6" x14ac:dyDescent="0.3">
      <c r="A427" s="4">
        <v>46238</v>
      </c>
      <c r="B427" s="5">
        <f t="shared" si="6"/>
        <v>46235</v>
      </c>
      <c r="C427" s="6" t="s">
        <v>35</v>
      </c>
      <c r="D427" s="33" t="s">
        <v>35</v>
      </c>
      <c r="E427" s="8">
        <v>59</v>
      </c>
      <c r="F427" s="9" t="s">
        <v>60</v>
      </c>
    </row>
    <row r="428" spans="1:6" x14ac:dyDescent="0.3">
      <c r="A428" s="4">
        <v>46238</v>
      </c>
      <c r="B428" s="5">
        <f t="shared" si="6"/>
        <v>46235</v>
      </c>
      <c r="C428" s="6" t="s">
        <v>21</v>
      </c>
      <c r="D428" s="33" t="s">
        <v>21</v>
      </c>
      <c r="E428" s="8">
        <v>34</v>
      </c>
      <c r="F428" s="9" t="s">
        <v>60</v>
      </c>
    </row>
    <row r="429" spans="1:6" x14ac:dyDescent="0.3">
      <c r="A429" s="4">
        <v>46239</v>
      </c>
      <c r="B429" s="5">
        <f t="shared" si="6"/>
        <v>46235</v>
      </c>
      <c r="C429" s="6" t="s">
        <v>8</v>
      </c>
      <c r="D429" s="33" t="s">
        <v>9</v>
      </c>
      <c r="E429" s="8">
        <v>25</v>
      </c>
      <c r="F429" s="9" t="s">
        <v>60</v>
      </c>
    </row>
    <row r="430" spans="1:6" x14ac:dyDescent="0.3">
      <c r="A430" s="4">
        <v>46239</v>
      </c>
      <c r="B430" s="5">
        <f t="shared" si="6"/>
        <v>46235</v>
      </c>
      <c r="C430" s="6" t="s">
        <v>54</v>
      </c>
      <c r="D430" s="33" t="s">
        <v>55</v>
      </c>
      <c r="E430" s="8">
        <v>40</v>
      </c>
      <c r="F430" s="9" t="s">
        <v>60</v>
      </c>
    </row>
    <row r="431" spans="1:6" x14ac:dyDescent="0.3">
      <c r="A431" s="4">
        <v>46239</v>
      </c>
      <c r="B431" s="5">
        <f t="shared" si="6"/>
        <v>46235</v>
      </c>
      <c r="C431" s="6" t="s">
        <v>13</v>
      </c>
      <c r="D431" s="33" t="s">
        <v>13</v>
      </c>
      <c r="E431" s="8">
        <v>28</v>
      </c>
      <c r="F431" s="9" t="s">
        <v>60</v>
      </c>
    </row>
    <row r="432" spans="1:6" x14ac:dyDescent="0.3">
      <c r="A432" s="4">
        <v>46239</v>
      </c>
      <c r="B432" s="5">
        <f t="shared" si="6"/>
        <v>46235</v>
      </c>
      <c r="C432" s="6" t="s">
        <v>14</v>
      </c>
      <c r="D432" s="33" t="s">
        <v>18</v>
      </c>
      <c r="E432" s="8">
        <v>35</v>
      </c>
      <c r="F432" s="9" t="s">
        <v>60</v>
      </c>
    </row>
    <row r="433" spans="1:6" x14ac:dyDescent="0.3">
      <c r="A433" s="4">
        <v>46239</v>
      </c>
      <c r="B433" s="5">
        <f t="shared" si="6"/>
        <v>46235</v>
      </c>
      <c r="C433" s="6" t="s">
        <v>62</v>
      </c>
      <c r="D433" s="33" t="s">
        <v>179</v>
      </c>
      <c r="E433" s="8">
        <v>172</v>
      </c>
      <c r="F433" s="9" t="s">
        <v>60</v>
      </c>
    </row>
    <row r="434" spans="1:6" x14ac:dyDescent="0.3">
      <c r="A434" s="4">
        <v>46239</v>
      </c>
      <c r="B434" s="5">
        <f t="shared" si="6"/>
        <v>46235</v>
      </c>
      <c r="C434" s="6" t="s">
        <v>30</v>
      </c>
      <c r="D434" s="33" t="s">
        <v>30</v>
      </c>
      <c r="E434" s="8">
        <v>80</v>
      </c>
      <c r="F434" s="9" t="s">
        <v>60</v>
      </c>
    </row>
    <row r="435" spans="1:6" x14ac:dyDescent="0.3">
      <c r="A435" s="4">
        <v>46239</v>
      </c>
      <c r="B435" s="5">
        <f t="shared" si="6"/>
        <v>46235</v>
      </c>
      <c r="C435" s="6" t="s">
        <v>39</v>
      </c>
      <c r="D435" s="33" t="s">
        <v>39</v>
      </c>
      <c r="E435" s="8">
        <v>80</v>
      </c>
      <c r="F435" s="9" t="s">
        <v>60</v>
      </c>
    </row>
    <row r="436" spans="1:6" x14ac:dyDescent="0.3">
      <c r="A436" s="4">
        <v>46239</v>
      </c>
      <c r="B436" s="5">
        <f t="shared" si="6"/>
        <v>46235</v>
      </c>
      <c r="C436" s="6" t="s">
        <v>46</v>
      </c>
      <c r="D436" s="34" t="s">
        <v>46</v>
      </c>
      <c r="E436" s="8">
        <v>150</v>
      </c>
      <c r="F436" s="9" t="s">
        <v>60</v>
      </c>
    </row>
    <row r="437" spans="1:6" x14ac:dyDescent="0.3">
      <c r="A437" s="4">
        <v>46239</v>
      </c>
      <c r="B437" s="5">
        <f t="shared" si="6"/>
        <v>46235</v>
      </c>
      <c r="C437" s="6" t="s">
        <v>16</v>
      </c>
      <c r="D437" s="6" t="s">
        <v>16</v>
      </c>
      <c r="E437" s="8">
        <v>30</v>
      </c>
      <c r="F437" s="9" t="s">
        <v>60</v>
      </c>
    </row>
    <row r="438" spans="1:6" x14ac:dyDescent="0.3">
      <c r="A438" s="4">
        <v>46239</v>
      </c>
      <c r="B438" s="5">
        <f t="shared" si="6"/>
        <v>46235</v>
      </c>
      <c r="C438" s="6" t="s">
        <v>63</v>
      </c>
      <c r="D438" s="6" t="s">
        <v>63</v>
      </c>
      <c r="E438" s="8">
        <v>30</v>
      </c>
      <c r="F438" s="9" t="s">
        <v>60</v>
      </c>
    </row>
    <row r="439" spans="1:6" x14ac:dyDescent="0.3">
      <c r="A439" s="4">
        <v>46239</v>
      </c>
      <c r="B439" s="5">
        <f t="shared" si="6"/>
        <v>46235</v>
      </c>
      <c r="C439" s="6" t="s">
        <v>51</v>
      </c>
      <c r="D439" s="6" t="s">
        <v>51</v>
      </c>
      <c r="E439" s="8">
        <v>20</v>
      </c>
      <c r="F439" s="9" t="s">
        <v>60</v>
      </c>
    </row>
    <row r="440" spans="1:6" x14ac:dyDescent="0.3">
      <c r="A440" s="4">
        <v>46239</v>
      </c>
      <c r="B440" s="5">
        <f t="shared" si="6"/>
        <v>46235</v>
      </c>
      <c r="C440" s="6" t="s">
        <v>47</v>
      </c>
      <c r="D440" s="6" t="s">
        <v>47</v>
      </c>
      <c r="E440" s="8">
        <v>50</v>
      </c>
      <c r="F440" s="9" t="s">
        <v>60</v>
      </c>
    </row>
    <row r="441" spans="1:6" x14ac:dyDescent="0.3">
      <c r="A441" s="10"/>
      <c r="B441" s="10"/>
      <c r="C441" s="10"/>
      <c r="D441" s="11" t="s">
        <v>64</v>
      </c>
      <c r="E441" s="12">
        <f>SUM(E5:E440)</f>
        <v>18403</v>
      </c>
      <c r="F441" s="10"/>
    </row>
  </sheetData>
  <autoFilter ref="A4:F440"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showGridLines="0" zoomScaleNormal="100" workbookViewId="0"/>
  </sheetViews>
  <sheetFormatPr defaultColWidth="8.6640625" defaultRowHeight="14.4" x14ac:dyDescent="0.3"/>
  <cols>
    <col min="1" max="2" width="12" customWidth="1"/>
    <col min="3" max="3" width="40" customWidth="1"/>
    <col min="4" max="4" width="10" customWidth="1"/>
    <col min="5" max="5" width="18" customWidth="1"/>
  </cols>
  <sheetData>
    <row r="1" spans="1:5" ht="17.399999999999999" x14ac:dyDescent="0.3">
      <c r="A1" s="1" t="s">
        <v>65</v>
      </c>
    </row>
    <row r="2" spans="1:5" x14ac:dyDescent="0.3">
      <c r="A2" s="2" t="s">
        <v>66</v>
      </c>
    </row>
    <row r="4" spans="1:5" ht="30" customHeight="1" x14ac:dyDescent="0.3">
      <c r="A4" s="3" t="s">
        <v>2</v>
      </c>
      <c r="B4" s="3" t="s">
        <v>3</v>
      </c>
      <c r="C4" s="3" t="s">
        <v>67</v>
      </c>
      <c r="D4" s="3" t="s">
        <v>6</v>
      </c>
      <c r="E4" s="3" t="s">
        <v>7</v>
      </c>
    </row>
    <row r="5" spans="1:5" x14ac:dyDescent="0.3">
      <c r="A5" s="4">
        <v>46153</v>
      </c>
      <c r="B5" s="5">
        <f t="shared" ref="B5:B37" si="0">DATE(YEAR(A5),MONTH(A5),1)</f>
        <v>46143</v>
      </c>
      <c r="C5" s="6" t="s">
        <v>68</v>
      </c>
      <c r="D5" s="8">
        <v>20</v>
      </c>
      <c r="E5" s="9" t="s">
        <v>10</v>
      </c>
    </row>
    <row r="6" spans="1:5" x14ac:dyDescent="0.3">
      <c r="A6" s="4">
        <v>46156</v>
      </c>
      <c r="B6" s="5">
        <f t="shared" si="0"/>
        <v>46143</v>
      </c>
      <c r="C6" s="6" t="s">
        <v>69</v>
      </c>
      <c r="D6" s="8">
        <v>60</v>
      </c>
      <c r="E6" s="9" t="s">
        <v>10</v>
      </c>
    </row>
    <row r="7" spans="1:5" x14ac:dyDescent="0.3">
      <c r="A7" s="4">
        <v>46162</v>
      </c>
      <c r="B7" s="5">
        <f t="shared" si="0"/>
        <v>46143</v>
      </c>
      <c r="C7" s="6" t="s">
        <v>69</v>
      </c>
      <c r="D7" s="8">
        <v>60</v>
      </c>
      <c r="E7" s="9" t="s">
        <v>10</v>
      </c>
    </row>
    <row r="8" spans="1:5" x14ac:dyDescent="0.3">
      <c r="A8" s="4">
        <v>46165</v>
      </c>
      <c r="B8" s="5">
        <f t="shared" si="0"/>
        <v>46143</v>
      </c>
      <c r="C8" s="6" t="s">
        <v>69</v>
      </c>
      <c r="D8" s="8">
        <v>40</v>
      </c>
      <c r="E8" s="9" t="s">
        <v>10</v>
      </c>
    </row>
    <row r="9" spans="1:5" x14ac:dyDescent="0.3">
      <c r="A9" s="4">
        <v>46166</v>
      </c>
      <c r="B9" s="5">
        <f t="shared" si="0"/>
        <v>46143</v>
      </c>
      <c r="C9" s="6" t="s">
        <v>69</v>
      </c>
      <c r="D9" s="8">
        <v>60</v>
      </c>
      <c r="E9" s="9" t="s">
        <v>10</v>
      </c>
    </row>
    <row r="10" spans="1:5" x14ac:dyDescent="0.3">
      <c r="A10" s="4">
        <v>46177</v>
      </c>
      <c r="B10" s="5">
        <f t="shared" si="0"/>
        <v>46174</v>
      </c>
      <c r="C10" s="6" t="s">
        <v>69</v>
      </c>
      <c r="D10" s="8">
        <v>120</v>
      </c>
      <c r="E10" s="9" t="s">
        <v>10</v>
      </c>
    </row>
    <row r="11" spans="1:5" x14ac:dyDescent="0.3">
      <c r="A11" s="4">
        <v>46179</v>
      </c>
      <c r="B11" s="5">
        <f t="shared" si="0"/>
        <v>46174</v>
      </c>
      <c r="C11" s="6" t="s">
        <v>68</v>
      </c>
      <c r="D11" s="8">
        <v>200</v>
      </c>
      <c r="E11" s="9" t="s">
        <v>10</v>
      </c>
    </row>
    <row r="12" spans="1:5" x14ac:dyDescent="0.3">
      <c r="A12" s="4">
        <v>46179</v>
      </c>
      <c r="B12" s="5">
        <f t="shared" si="0"/>
        <v>46174</v>
      </c>
      <c r="C12" s="6" t="s">
        <v>69</v>
      </c>
      <c r="D12" s="8">
        <v>5</v>
      </c>
      <c r="E12" s="9" t="s">
        <v>10</v>
      </c>
    </row>
    <row r="13" spans="1:5" x14ac:dyDescent="0.3">
      <c r="A13" s="4">
        <v>46181</v>
      </c>
      <c r="B13" s="5">
        <f t="shared" si="0"/>
        <v>46174</v>
      </c>
      <c r="C13" s="6" t="s">
        <v>68</v>
      </c>
      <c r="D13" s="8">
        <v>200</v>
      </c>
      <c r="E13" s="9" t="s">
        <v>10</v>
      </c>
    </row>
    <row r="14" spans="1:5" x14ac:dyDescent="0.3">
      <c r="A14" s="4">
        <v>46185</v>
      </c>
      <c r="B14" s="5">
        <f t="shared" si="0"/>
        <v>46174</v>
      </c>
      <c r="C14" s="6" t="s">
        <v>68</v>
      </c>
      <c r="D14" s="8">
        <v>200</v>
      </c>
      <c r="E14" s="9" t="s">
        <v>10</v>
      </c>
    </row>
    <row r="15" spans="1:5" x14ac:dyDescent="0.3">
      <c r="A15" s="4">
        <v>46188</v>
      </c>
      <c r="B15" s="5">
        <f t="shared" si="0"/>
        <v>46174</v>
      </c>
      <c r="C15" s="6" t="s">
        <v>68</v>
      </c>
      <c r="D15" s="8">
        <v>200</v>
      </c>
      <c r="E15" s="9" t="s">
        <v>10</v>
      </c>
    </row>
    <row r="16" spans="1:5" x14ac:dyDescent="0.3">
      <c r="A16" s="4">
        <v>46189</v>
      </c>
      <c r="B16" s="5">
        <f t="shared" si="0"/>
        <v>46174</v>
      </c>
      <c r="C16" s="6" t="s">
        <v>68</v>
      </c>
      <c r="D16" s="8">
        <v>200</v>
      </c>
      <c r="E16" s="9" t="s">
        <v>10</v>
      </c>
    </row>
    <row r="17" spans="1:5" x14ac:dyDescent="0.3">
      <c r="A17" s="4">
        <v>46190</v>
      </c>
      <c r="B17" s="5">
        <f t="shared" si="0"/>
        <v>46174</v>
      </c>
      <c r="C17" s="6" t="s">
        <v>68</v>
      </c>
      <c r="D17" s="8">
        <v>200</v>
      </c>
      <c r="E17" s="9" t="s">
        <v>10</v>
      </c>
    </row>
    <row r="18" spans="1:5" x14ac:dyDescent="0.3">
      <c r="A18" s="4">
        <v>46191</v>
      </c>
      <c r="B18" s="5">
        <f t="shared" si="0"/>
        <v>46174</v>
      </c>
      <c r="C18" s="6" t="s">
        <v>68</v>
      </c>
      <c r="D18" s="8">
        <v>200</v>
      </c>
      <c r="E18" s="9" t="s">
        <v>10</v>
      </c>
    </row>
    <row r="19" spans="1:5" x14ac:dyDescent="0.3">
      <c r="A19" s="4">
        <v>46195</v>
      </c>
      <c r="B19" s="5">
        <f t="shared" si="0"/>
        <v>46174</v>
      </c>
      <c r="C19" s="6" t="s">
        <v>68</v>
      </c>
      <c r="D19" s="8">
        <v>400</v>
      </c>
      <c r="E19" s="9" t="s">
        <v>10</v>
      </c>
    </row>
    <row r="20" spans="1:5" x14ac:dyDescent="0.3">
      <c r="A20" s="4">
        <v>46197</v>
      </c>
      <c r="B20" s="5">
        <f t="shared" si="0"/>
        <v>46174</v>
      </c>
      <c r="C20" s="6" t="s">
        <v>68</v>
      </c>
      <c r="D20" s="8">
        <v>400</v>
      </c>
      <c r="E20" s="9" t="s">
        <v>10</v>
      </c>
    </row>
    <row r="21" spans="1:5" x14ac:dyDescent="0.3">
      <c r="A21" s="4">
        <v>46199</v>
      </c>
      <c r="B21" s="5">
        <f t="shared" si="0"/>
        <v>46174</v>
      </c>
      <c r="C21" s="6" t="s">
        <v>68</v>
      </c>
      <c r="D21" s="8">
        <v>400</v>
      </c>
      <c r="E21" s="9" t="s">
        <v>10</v>
      </c>
    </row>
    <row r="22" spans="1:5" x14ac:dyDescent="0.3">
      <c r="A22" s="4">
        <v>46203</v>
      </c>
      <c r="B22" s="5">
        <f t="shared" si="0"/>
        <v>46174</v>
      </c>
      <c r="C22" s="6" t="s">
        <v>68</v>
      </c>
      <c r="D22" s="8">
        <v>200</v>
      </c>
      <c r="E22" s="9" t="s">
        <v>10</v>
      </c>
    </row>
    <row r="23" spans="1:5" x14ac:dyDescent="0.3">
      <c r="A23" s="4">
        <v>46205</v>
      </c>
      <c r="B23" s="5">
        <f t="shared" si="0"/>
        <v>46204</v>
      </c>
      <c r="C23" s="6" t="s">
        <v>70</v>
      </c>
      <c r="D23" s="8">
        <v>20</v>
      </c>
      <c r="E23" s="9" t="s">
        <v>10</v>
      </c>
    </row>
    <row r="24" spans="1:5" x14ac:dyDescent="0.3">
      <c r="A24" s="4">
        <v>46205</v>
      </c>
      <c r="B24" s="5">
        <f t="shared" si="0"/>
        <v>46204</v>
      </c>
      <c r="C24" s="6" t="s">
        <v>68</v>
      </c>
      <c r="D24" s="8">
        <v>400</v>
      </c>
      <c r="E24" s="9" t="s">
        <v>10</v>
      </c>
    </row>
    <row r="25" spans="1:5" x14ac:dyDescent="0.3">
      <c r="A25" s="4">
        <v>46206</v>
      </c>
      <c r="B25" s="5">
        <f t="shared" si="0"/>
        <v>46204</v>
      </c>
      <c r="C25" s="6" t="s">
        <v>68</v>
      </c>
      <c r="D25" s="8">
        <v>600</v>
      </c>
      <c r="E25" s="9" t="s">
        <v>10</v>
      </c>
    </row>
    <row r="26" spans="1:5" x14ac:dyDescent="0.3">
      <c r="A26" s="4">
        <v>46208</v>
      </c>
      <c r="B26" s="5">
        <f t="shared" si="0"/>
        <v>46204</v>
      </c>
      <c r="C26" s="6" t="s">
        <v>68</v>
      </c>
      <c r="D26" s="8">
        <v>401</v>
      </c>
      <c r="E26" s="9" t="s">
        <v>10</v>
      </c>
    </row>
    <row r="27" spans="1:5" x14ac:dyDescent="0.3">
      <c r="A27" s="4">
        <v>46210</v>
      </c>
      <c r="B27" s="5">
        <f t="shared" si="0"/>
        <v>46204</v>
      </c>
      <c r="C27" s="6" t="s">
        <v>69</v>
      </c>
      <c r="D27" s="8">
        <v>1000</v>
      </c>
      <c r="E27" s="9" t="s">
        <v>10</v>
      </c>
    </row>
    <row r="28" spans="1:5" x14ac:dyDescent="0.3">
      <c r="A28" s="4">
        <v>46212</v>
      </c>
      <c r="B28" s="5">
        <f t="shared" si="0"/>
        <v>46204</v>
      </c>
      <c r="C28" s="6" t="s">
        <v>69</v>
      </c>
      <c r="D28" s="8">
        <v>1250</v>
      </c>
      <c r="E28" s="9" t="s">
        <v>10</v>
      </c>
    </row>
    <row r="29" spans="1:5" x14ac:dyDescent="0.3">
      <c r="A29" s="4">
        <v>46216</v>
      </c>
      <c r="B29" s="5">
        <f t="shared" si="0"/>
        <v>46204</v>
      </c>
      <c r="C29" s="6" t="s">
        <v>71</v>
      </c>
      <c r="D29" s="8">
        <v>300</v>
      </c>
      <c r="E29" s="9" t="s">
        <v>10</v>
      </c>
    </row>
    <row r="30" spans="1:5" x14ac:dyDescent="0.3">
      <c r="A30" s="4">
        <v>46217</v>
      </c>
      <c r="B30" s="5">
        <f t="shared" si="0"/>
        <v>46204</v>
      </c>
      <c r="C30" s="6" t="s">
        <v>72</v>
      </c>
      <c r="D30" s="8">
        <v>950</v>
      </c>
      <c r="E30" s="9" t="s">
        <v>10</v>
      </c>
    </row>
    <row r="31" spans="1:5" x14ac:dyDescent="0.3">
      <c r="A31" s="4">
        <v>46218</v>
      </c>
      <c r="B31" s="5">
        <f t="shared" si="0"/>
        <v>46204</v>
      </c>
      <c r="C31" s="6" t="s">
        <v>73</v>
      </c>
      <c r="D31" s="8">
        <v>1250</v>
      </c>
      <c r="E31" s="9" t="s">
        <v>10</v>
      </c>
    </row>
    <row r="32" spans="1:5" x14ac:dyDescent="0.3">
      <c r="A32" s="4">
        <v>46220</v>
      </c>
      <c r="B32" s="5">
        <f t="shared" si="0"/>
        <v>46204</v>
      </c>
      <c r="C32" s="6" t="s">
        <v>74</v>
      </c>
      <c r="D32" s="8">
        <v>1250</v>
      </c>
      <c r="E32" s="9" t="s">
        <v>10</v>
      </c>
    </row>
    <row r="33" spans="1:5" x14ac:dyDescent="0.3">
      <c r="A33" s="4">
        <v>46223</v>
      </c>
      <c r="B33" s="5">
        <f t="shared" si="0"/>
        <v>46204</v>
      </c>
      <c r="C33" s="6" t="s">
        <v>75</v>
      </c>
      <c r="D33" s="8">
        <v>1250</v>
      </c>
      <c r="E33" s="9" t="s">
        <v>10</v>
      </c>
    </row>
    <row r="34" spans="1:5" x14ac:dyDescent="0.3">
      <c r="A34" s="4">
        <v>46225</v>
      </c>
      <c r="B34" s="5">
        <f t="shared" si="0"/>
        <v>46204</v>
      </c>
      <c r="C34" s="6" t="s">
        <v>76</v>
      </c>
      <c r="D34" s="8">
        <v>1250</v>
      </c>
      <c r="E34" s="9" t="s">
        <v>10</v>
      </c>
    </row>
    <row r="35" spans="1:5" x14ac:dyDescent="0.3">
      <c r="A35" s="4">
        <v>46227</v>
      </c>
      <c r="B35" s="5">
        <f t="shared" si="0"/>
        <v>46204</v>
      </c>
      <c r="C35" s="6" t="s">
        <v>77</v>
      </c>
      <c r="D35" s="8">
        <v>1250</v>
      </c>
      <c r="E35" s="9" t="s">
        <v>10</v>
      </c>
    </row>
    <row r="36" spans="1:5" x14ac:dyDescent="0.3">
      <c r="A36" s="4">
        <v>46230</v>
      </c>
      <c r="B36" s="5">
        <f t="shared" si="0"/>
        <v>46204</v>
      </c>
      <c r="C36" s="6" t="s">
        <v>78</v>
      </c>
      <c r="D36" s="8">
        <v>1250</v>
      </c>
      <c r="E36" s="9" t="s">
        <v>56</v>
      </c>
    </row>
    <row r="37" spans="1:5" x14ac:dyDescent="0.3">
      <c r="A37" s="4">
        <v>46234</v>
      </c>
      <c r="B37" s="5">
        <f t="shared" si="0"/>
        <v>46204</v>
      </c>
      <c r="C37" s="6" t="s">
        <v>78</v>
      </c>
      <c r="D37" s="8">
        <v>1250</v>
      </c>
      <c r="E37" s="9" t="s">
        <v>56</v>
      </c>
    </row>
    <row r="38" spans="1:5" x14ac:dyDescent="0.3">
      <c r="A38" s="10"/>
      <c r="B38" s="10"/>
      <c r="C38" s="11" t="s">
        <v>64</v>
      </c>
      <c r="D38" s="12">
        <f>SUM(D5:D37)</f>
        <v>16836</v>
      </c>
      <c r="E38" s="10"/>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3"/>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8.6640625" defaultRowHeight="14.4" x14ac:dyDescent="0.3"/>
  <cols>
    <col min="1" max="1" width="5" customWidth="1"/>
    <col min="2" max="2" width="16" customWidth="1"/>
    <col min="3" max="3" width="17" customWidth="1"/>
    <col min="4" max="5" width="14" customWidth="1"/>
    <col min="6" max="6" width="11" customWidth="1"/>
    <col min="7" max="7" width="13" customWidth="1"/>
    <col min="8" max="8" width="16" customWidth="1"/>
    <col min="9" max="9" width="13" customWidth="1"/>
    <col min="10" max="10" width="11" customWidth="1"/>
    <col min="11" max="11" width="12" customWidth="1"/>
    <col min="12" max="12" width="40" customWidth="1"/>
  </cols>
  <sheetData>
    <row r="1" spans="1:12" ht="17.399999999999999" x14ac:dyDescent="0.3">
      <c r="A1" s="1" t="s">
        <v>79</v>
      </c>
    </row>
    <row r="2" spans="1:12" x14ac:dyDescent="0.3">
      <c r="A2" s="2" t="s">
        <v>80</v>
      </c>
      <c r="B2" s="13">
        <v>46239</v>
      </c>
    </row>
    <row r="4" spans="1:12" ht="42" customHeight="1" x14ac:dyDescent="0.3">
      <c r="A4" s="3" t="s">
        <v>81</v>
      </c>
      <c r="B4" s="3" t="s">
        <v>4</v>
      </c>
      <c r="C4" s="3" t="s">
        <v>82</v>
      </c>
      <c r="D4" s="3" t="s">
        <v>83</v>
      </c>
      <c r="E4" s="3" t="s">
        <v>84</v>
      </c>
      <c r="F4" s="3" t="s">
        <v>85</v>
      </c>
      <c r="G4" s="3" t="s">
        <v>86</v>
      </c>
      <c r="H4" s="3" t="s">
        <v>87</v>
      </c>
      <c r="I4" s="3" t="s">
        <v>88</v>
      </c>
      <c r="J4" s="3" t="s">
        <v>89</v>
      </c>
      <c r="K4" s="3" t="s">
        <v>90</v>
      </c>
      <c r="L4" s="3" t="s">
        <v>91</v>
      </c>
    </row>
    <row r="5" spans="1:12" x14ac:dyDescent="0.3">
      <c r="A5" s="9">
        <v>1</v>
      </c>
      <c r="B5" s="6" t="s">
        <v>8</v>
      </c>
      <c r="C5" s="4">
        <f>_xlfn.MINIFS('Fuel Issues'!$A$5:$A$440,'Fuel Issues'!$C$5:$C$440,$B5)</f>
        <v>46153</v>
      </c>
      <c r="D5" s="5">
        <f t="shared" ref="D5:D42" si="0">DATE(YEAR(C5),MONTH(C5),1)</f>
        <v>46143</v>
      </c>
      <c r="E5" s="4">
        <f>_xlfn.MAXIFS('Fuel Issues'!$A$5:$A$440,'Fuel Issues'!$C$5:$C$440,$B5)</f>
        <v>46239</v>
      </c>
      <c r="F5" s="8">
        <f t="shared" ref="F5:F42" si="1">$E5-$C5+1</f>
        <v>87</v>
      </c>
      <c r="G5" s="8">
        <f t="shared" ref="G5:G42" si="2">$B$2-$E5</f>
        <v>0</v>
      </c>
      <c r="H5" s="6" t="str">
        <f t="shared" ref="H5:H42" si="3">IF($G5&lt;=7,"On site","No issue "&amp;$G5&amp;" days")</f>
        <v>On site</v>
      </c>
      <c r="I5" s="8">
        <f>SUMIFS('Fuel Issues'!$E$5:$E$440,'Fuel Issues'!$C$5:$C$440,$B5)</f>
        <v>576</v>
      </c>
      <c r="J5" s="8">
        <f>COUNTIFS('Fuel Issues'!$C$5:$C$440,$B5)</f>
        <v>20</v>
      </c>
      <c r="K5" s="14">
        <f t="shared" ref="K5:K42" si="4">IFERROR($I5/$J5,"")</f>
        <v>28.8</v>
      </c>
      <c r="L5" s="6" t="s">
        <v>92</v>
      </c>
    </row>
    <row r="6" spans="1:12" x14ac:dyDescent="0.3">
      <c r="A6" s="9">
        <v>2</v>
      </c>
      <c r="B6" s="6" t="s">
        <v>11</v>
      </c>
      <c r="C6" s="4">
        <f>_xlfn.MINIFS('Fuel Issues'!$A$5:$A$440,'Fuel Issues'!$C$5:$C$440,$B6)</f>
        <v>46177</v>
      </c>
      <c r="D6" s="5">
        <f t="shared" si="0"/>
        <v>46174</v>
      </c>
      <c r="E6" s="4">
        <f>_xlfn.MAXIFS('Fuel Issues'!$A$5:$A$440,'Fuel Issues'!$C$5:$C$440,$B6)</f>
        <v>46178</v>
      </c>
      <c r="F6" s="8">
        <f t="shared" si="1"/>
        <v>2</v>
      </c>
      <c r="G6" s="8">
        <f t="shared" si="2"/>
        <v>61</v>
      </c>
      <c r="H6" s="6" t="str">
        <f t="shared" si="3"/>
        <v>No issue 61 days</v>
      </c>
      <c r="I6" s="8">
        <f>SUMIFS('Fuel Issues'!$E$5:$E$440,'Fuel Issues'!$C$5:$C$440,$B6)</f>
        <v>80</v>
      </c>
      <c r="J6" s="8">
        <f>COUNTIFS('Fuel Issues'!$C$5:$C$440,$B6)</f>
        <v>2</v>
      </c>
      <c r="K6" s="14">
        <f t="shared" si="4"/>
        <v>40</v>
      </c>
      <c r="L6" s="6" t="s">
        <v>12</v>
      </c>
    </row>
    <row r="7" spans="1:12" x14ac:dyDescent="0.3">
      <c r="A7" s="9">
        <v>3</v>
      </c>
      <c r="B7" s="6" t="s">
        <v>13</v>
      </c>
      <c r="C7" s="4">
        <f>_xlfn.MINIFS('Fuel Issues'!$A$5:$A$440,'Fuel Issues'!$C$5:$C$440,$B7)</f>
        <v>46179</v>
      </c>
      <c r="D7" s="5">
        <f t="shared" si="0"/>
        <v>46174</v>
      </c>
      <c r="E7" s="4">
        <f>_xlfn.MAXIFS('Fuel Issues'!$A$5:$A$440,'Fuel Issues'!$C$5:$C$440,$B7)</f>
        <v>46239</v>
      </c>
      <c r="F7" s="8">
        <f t="shared" si="1"/>
        <v>61</v>
      </c>
      <c r="G7" s="8">
        <f t="shared" si="2"/>
        <v>0</v>
      </c>
      <c r="H7" s="6" t="str">
        <f t="shared" si="3"/>
        <v>On site</v>
      </c>
      <c r="I7" s="8">
        <f>SUMIFS('Fuel Issues'!$E$5:$E$440,'Fuel Issues'!$C$5:$C$440,$B7)</f>
        <v>393</v>
      </c>
      <c r="J7" s="8">
        <f>COUNTIFS('Fuel Issues'!$C$5:$C$440,$B7)</f>
        <v>34</v>
      </c>
      <c r="K7" s="14">
        <f t="shared" si="4"/>
        <v>11.558823529411764</v>
      </c>
      <c r="L7" s="6" t="s">
        <v>13</v>
      </c>
    </row>
    <row r="8" spans="1:12" x14ac:dyDescent="0.3">
      <c r="A8" s="9">
        <v>4</v>
      </c>
      <c r="B8" s="6" t="s">
        <v>14</v>
      </c>
      <c r="C8" s="4">
        <f>_xlfn.MINIFS('Fuel Issues'!$A$5:$A$440,'Fuel Issues'!$C$5:$C$440,$B8)</f>
        <v>46181</v>
      </c>
      <c r="D8" s="5">
        <f t="shared" si="0"/>
        <v>46174</v>
      </c>
      <c r="E8" s="4">
        <f>_xlfn.MAXIFS('Fuel Issues'!$A$5:$A$440,'Fuel Issues'!$C$5:$C$440,$B8)</f>
        <v>46239</v>
      </c>
      <c r="F8" s="8">
        <f t="shared" si="1"/>
        <v>59</v>
      </c>
      <c r="G8" s="8">
        <f t="shared" si="2"/>
        <v>0</v>
      </c>
      <c r="H8" s="6" t="str">
        <f t="shared" si="3"/>
        <v>On site</v>
      </c>
      <c r="I8" s="8">
        <f>SUMIFS('Fuel Issues'!$E$5:$E$440,'Fuel Issues'!$C$5:$C$440,$B8)</f>
        <v>1455</v>
      </c>
      <c r="J8" s="8">
        <f>COUNTIFS('Fuel Issues'!$C$5:$C$440,$B8)</f>
        <v>38</v>
      </c>
      <c r="K8" s="14">
        <f t="shared" si="4"/>
        <v>38.289473684210527</v>
      </c>
      <c r="L8" s="6" t="s">
        <v>93</v>
      </c>
    </row>
    <row r="9" spans="1:12" x14ac:dyDescent="0.3">
      <c r="A9" s="9">
        <v>5</v>
      </c>
      <c r="B9" s="6" t="s">
        <v>16</v>
      </c>
      <c r="C9" s="4">
        <f>_xlfn.MINIFS('Fuel Issues'!$A$5:$A$440,'Fuel Issues'!$C$5:$C$440,$B9)</f>
        <v>46182</v>
      </c>
      <c r="D9" s="5">
        <f t="shared" si="0"/>
        <v>46174</v>
      </c>
      <c r="E9" s="4">
        <f>_xlfn.MAXIFS('Fuel Issues'!$A$5:$A$440,'Fuel Issues'!$C$5:$C$440,$B9)</f>
        <v>46239</v>
      </c>
      <c r="F9" s="8">
        <f t="shared" si="1"/>
        <v>58</v>
      </c>
      <c r="G9" s="8">
        <f t="shared" si="2"/>
        <v>0</v>
      </c>
      <c r="H9" s="6" t="str">
        <f t="shared" si="3"/>
        <v>On site</v>
      </c>
      <c r="I9" s="8">
        <f>SUMIFS('Fuel Issues'!$E$5:$E$440,'Fuel Issues'!$C$5:$C$440,$B9)</f>
        <v>2920</v>
      </c>
      <c r="J9" s="8">
        <f>COUNTIFS('Fuel Issues'!$C$5:$C$440,$B9)</f>
        <v>44</v>
      </c>
      <c r="K9" s="14">
        <f t="shared" si="4"/>
        <v>66.36363636363636</v>
      </c>
      <c r="L9" s="6" t="s">
        <v>94</v>
      </c>
    </row>
    <row r="10" spans="1:12" x14ac:dyDescent="0.3">
      <c r="A10" s="9">
        <v>6</v>
      </c>
      <c r="B10" s="6" t="s">
        <v>19</v>
      </c>
      <c r="C10" s="4">
        <f>_xlfn.MINIFS('Fuel Issues'!$A$5:$A$440,'Fuel Issues'!$C$5:$C$440,$B10)</f>
        <v>46187</v>
      </c>
      <c r="D10" s="5">
        <f t="shared" si="0"/>
        <v>46174</v>
      </c>
      <c r="E10" s="4">
        <f>_xlfn.MAXIFS('Fuel Issues'!$A$5:$A$440,'Fuel Issues'!$C$5:$C$440,$B10)</f>
        <v>46210</v>
      </c>
      <c r="F10" s="8">
        <f t="shared" si="1"/>
        <v>24</v>
      </c>
      <c r="G10" s="8">
        <f t="shared" si="2"/>
        <v>29</v>
      </c>
      <c r="H10" s="6" t="str">
        <f t="shared" si="3"/>
        <v>No issue 29 days</v>
      </c>
      <c r="I10" s="8">
        <f>SUMIFS('Fuel Issues'!$E$5:$E$440,'Fuel Issues'!$C$5:$C$440,$B10)</f>
        <v>330</v>
      </c>
      <c r="J10" s="8">
        <f>COUNTIFS('Fuel Issues'!$C$5:$C$440,$B10)</f>
        <v>10</v>
      </c>
      <c r="K10" s="14">
        <f t="shared" si="4"/>
        <v>33</v>
      </c>
      <c r="L10" s="6" t="s">
        <v>95</v>
      </c>
    </row>
    <row r="11" spans="1:12" x14ac:dyDescent="0.3">
      <c r="A11" s="9">
        <v>7</v>
      </c>
      <c r="B11" s="6" t="s">
        <v>20</v>
      </c>
      <c r="C11" s="4">
        <f>_xlfn.MINIFS('Fuel Issues'!$A$5:$A$440,'Fuel Issues'!$C$5:$C$440,$B11)</f>
        <v>46190</v>
      </c>
      <c r="D11" s="5">
        <f t="shared" si="0"/>
        <v>46174</v>
      </c>
      <c r="E11" s="4">
        <f>_xlfn.MAXIFS('Fuel Issues'!$A$5:$A$440,'Fuel Issues'!$C$5:$C$440,$B11)</f>
        <v>46212</v>
      </c>
      <c r="F11" s="8">
        <f t="shared" si="1"/>
        <v>23</v>
      </c>
      <c r="G11" s="8">
        <f t="shared" si="2"/>
        <v>27</v>
      </c>
      <c r="H11" s="6" t="str">
        <f t="shared" si="3"/>
        <v>No issue 27 days</v>
      </c>
      <c r="I11" s="8">
        <f>SUMIFS('Fuel Issues'!$E$5:$E$440,'Fuel Issues'!$C$5:$C$440,$B11)</f>
        <v>890</v>
      </c>
      <c r="J11" s="8">
        <f>COUNTIFS('Fuel Issues'!$C$5:$C$440,$B11)</f>
        <v>14</v>
      </c>
      <c r="K11" s="14">
        <f t="shared" si="4"/>
        <v>63.571428571428569</v>
      </c>
      <c r="L11" s="6" t="s">
        <v>20</v>
      </c>
    </row>
    <row r="12" spans="1:12" x14ac:dyDescent="0.3">
      <c r="A12" s="9">
        <v>8</v>
      </c>
      <c r="B12" s="6" t="s">
        <v>21</v>
      </c>
      <c r="C12" s="4">
        <f>_xlfn.MINIFS('Fuel Issues'!$A$5:$A$440,'Fuel Issues'!$C$5:$C$440,$B12)</f>
        <v>46193</v>
      </c>
      <c r="D12" s="5">
        <f t="shared" si="0"/>
        <v>46174</v>
      </c>
      <c r="E12" s="4">
        <f>_xlfn.MAXIFS('Fuel Issues'!$A$5:$A$440,'Fuel Issues'!$C$5:$C$440,$B12)</f>
        <v>46238</v>
      </c>
      <c r="F12" s="8">
        <f t="shared" si="1"/>
        <v>46</v>
      </c>
      <c r="G12" s="8">
        <f t="shared" si="2"/>
        <v>1</v>
      </c>
      <c r="H12" s="6" t="str">
        <f t="shared" si="3"/>
        <v>On site</v>
      </c>
      <c r="I12" s="8">
        <f>SUMIFS('Fuel Issues'!$E$5:$E$440,'Fuel Issues'!$C$5:$C$440,$B12)</f>
        <v>533</v>
      </c>
      <c r="J12" s="8">
        <f>COUNTIFS('Fuel Issues'!$C$5:$C$440,$B12)</f>
        <v>25</v>
      </c>
      <c r="K12" s="14">
        <f t="shared" si="4"/>
        <v>21.32</v>
      </c>
      <c r="L12" s="6" t="s">
        <v>21</v>
      </c>
    </row>
    <row r="13" spans="1:12" x14ac:dyDescent="0.3">
      <c r="A13" s="9">
        <v>9</v>
      </c>
      <c r="B13" s="6" t="s">
        <v>22</v>
      </c>
      <c r="C13" s="4">
        <f>_xlfn.MINIFS('Fuel Issues'!$A$5:$A$440,'Fuel Issues'!$C$5:$C$440,$B13)</f>
        <v>46195</v>
      </c>
      <c r="D13" s="5">
        <f t="shared" si="0"/>
        <v>46174</v>
      </c>
      <c r="E13" s="4">
        <f>_xlfn.MAXIFS('Fuel Issues'!$A$5:$A$440,'Fuel Issues'!$C$5:$C$440,$B13)</f>
        <v>46237</v>
      </c>
      <c r="F13" s="8">
        <f t="shared" si="1"/>
        <v>43</v>
      </c>
      <c r="G13" s="8">
        <f t="shared" si="2"/>
        <v>2</v>
      </c>
      <c r="H13" s="6" t="str">
        <f t="shared" si="3"/>
        <v>On site</v>
      </c>
      <c r="I13" s="8">
        <f>SUMIFS('Fuel Issues'!$E$5:$E$440,'Fuel Issues'!$C$5:$C$440,$B13)</f>
        <v>350</v>
      </c>
      <c r="J13" s="8">
        <f>COUNTIFS('Fuel Issues'!$C$5:$C$440,$B13)</f>
        <v>14</v>
      </c>
      <c r="K13" s="14">
        <f t="shared" si="4"/>
        <v>25</v>
      </c>
      <c r="L13" s="6" t="s">
        <v>22</v>
      </c>
    </row>
    <row r="14" spans="1:12" x14ac:dyDescent="0.3">
      <c r="A14" s="9">
        <v>10</v>
      </c>
      <c r="B14" s="6" t="s">
        <v>23</v>
      </c>
      <c r="C14" s="4">
        <f>_xlfn.MINIFS('Fuel Issues'!$A$5:$A$440,'Fuel Issues'!$C$5:$C$440,$B14)</f>
        <v>46197</v>
      </c>
      <c r="D14" s="5">
        <f t="shared" si="0"/>
        <v>46174</v>
      </c>
      <c r="E14" s="4">
        <f>_xlfn.MAXIFS('Fuel Issues'!$A$5:$A$440,'Fuel Issues'!$C$5:$C$440,$B14)</f>
        <v>46238</v>
      </c>
      <c r="F14" s="8">
        <f t="shared" si="1"/>
        <v>42</v>
      </c>
      <c r="G14" s="8">
        <f t="shared" si="2"/>
        <v>1</v>
      </c>
      <c r="H14" s="6" t="str">
        <f t="shared" si="3"/>
        <v>On site</v>
      </c>
      <c r="I14" s="8">
        <f>SUMIFS('Fuel Issues'!$E$5:$E$440,'Fuel Issues'!$C$5:$C$440,$B14)</f>
        <v>780</v>
      </c>
      <c r="J14" s="8">
        <f>COUNTIFS('Fuel Issues'!$C$5:$C$440,$B14)</f>
        <v>24</v>
      </c>
      <c r="K14" s="14">
        <f t="shared" si="4"/>
        <v>32.5</v>
      </c>
      <c r="L14" s="6" t="s">
        <v>96</v>
      </c>
    </row>
    <row r="15" spans="1:12" x14ac:dyDescent="0.3">
      <c r="A15" s="9">
        <v>11</v>
      </c>
      <c r="B15" s="6" t="s">
        <v>25</v>
      </c>
      <c r="C15" s="4">
        <f>_xlfn.MINIFS('Fuel Issues'!$A$5:$A$440,'Fuel Issues'!$C$5:$C$440,$B15)</f>
        <v>46200</v>
      </c>
      <c r="D15" s="5">
        <f t="shared" si="0"/>
        <v>46174</v>
      </c>
      <c r="E15" s="4">
        <f>_xlfn.MAXIFS('Fuel Issues'!$A$5:$A$440,'Fuel Issues'!$C$5:$C$440,$B15)</f>
        <v>46234</v>
      </c>
      <c r="F15" s="8">
        <f t="shared" si="1"/>
        <v>35</v>
      </c>
      <c r="G15" s="8">
        <f t="shared" si="2"/>
        <v>5</v>
      </c>
      <c r="H15" s="6" t="str">
        <f t="shared" si="3"/>
        <v>On site</v>
      </c>
      <c r="I15" s="8">
        <f>SUMIFS('Fuel Issues'!$E$5:$E$440,'Fuel Issues'!$C$5:$C$440,$B15)</f>
        <v>110</v>
      </c>
      <c r="J15" s="8">
        <f>COUNTIFS('Fuel Issues'!$C$5:$C$440,$B15)</f>
        <v>6</v>
      </c>
      <c r="K15" s="14">
        <f t="shared" si="4"/>
        <v>18.333333333333332</v>
      </c>
      <c r="L15" s="6" t="s">
        <v>97</v>
      </c>
    </row>
    <row r="16" spans="1:12" x14ac:dyDescent="0.3">
      <c r="A16" s="9">
        <v>12</v>
      </c>
      <c r="B16" s="6" t="s">
        <v>29</v>
      </c>
      <c r="C16" s="4">
        <f>_xlfn.MINIFS('Fuel Issues'!$A$5:$A$440,'Fuel Issues'!$C$5:$C$440,$B16)</f>
        <v>46205</v>
      </c>
      <c r="D16" s="5">
        <f t="shared" si="0"/>
        <v>46204</v>
      </c>
      <c r="E16" s="4">
        <f>_xlfn.MAXIFS('Fuel Issues'!$A$5:$A$440,'Fuel Issues'!$C$5:$C$440,$B16)</f>
        <v>46227</v>
      </c>
      <c r="F16" s="8">
        <f t="shared" si="1"/>
        <v>23</v>
      </c>
      <c r="G16" s="8">
        <f t="shared" si="2"/>
        <v>12</v>
      </c>
      <c r="H16" s="6" t="str">
        <f t="shared" si="3"/>
        <v>No issue 12 days</v>
      </c>
      <c r="I16" s="8">
        <f>SUMIFS('Fuel Issues'!$E$5:$E$440,'Fuel Issues'!$C$5:$C$440,$B16)</f>
        <v>130</v>
      </c>
      <c r="J16" s="8">
        <f>COUNTIFS('Fuel Issues'!$C$5:$C$440,$B16)</f>
        <v>7</v>
      </c>
      <c r="K16" s="14">
        <f t="shared" si="4"/>
        <v>18.571428571428573</v>
      </c>
      <c r="L16" s="6" t="s">
        <v>29</v>
      </c>
    </row>
    <row r="17" spans="1:12" x14ac:dyDescent="0.3">
      <c r="A17" s="9">
        <v>13</v>
      </c>
      <c r="B17" s="6" t="s">
        <v>30</v>
      </c>
      <c r="C17" s="4">
        <f>_xlfn.MINIFS('Fuel Issues'!$A$5:$A$440,'Fuel Issues'!$C$5:$C$440,$B17)</f>
        <v>46208</v>
      </c>
      <c r="D17" s="5">
        <f t="shared" si="0"/>
        <v>46204</v>
      </c>
      <c r="E17" s="4">
        <f>_xlfn.MAXIFS('Fuel Issues'!$A$5:$A$440,'Fuel Issues'!$C$5:$C$440,$B17)</f>
        <v>46239</v>
      </c>
      <c r="F17" s="8">
        <f t="shared" si="1"/>
        <v>32</v>
      </c>
      <c r="G17" s="8">
        <f t="shared" si="2"/>
        <v>0</v>
      </c>
      <c r="H17" s="6" t="str">
        <f t="shared" si="3"/>
        <v>On site</v>
      </c>
      <c r="I17" s="8">
        <f>SUMIFS('Fuel Issues'!$E$5:$E$440,'Fuel Issues'!$C$5:$C$440,$B17)</f>
        <v>2090</v>
      </c>
      <c r="J17" s="8">
        <f>COUNTIFS('Fuel Issues'!$C$5:$C$440,$B17)</f>
        <v>31</v>
      </c>
      <c r="K17" s="14">
        <f t="shared" si="4"/>
        <v>67.41935483870968</v>
      </c>
      <c r="L17" s="6" t="s">
        <v>30</v>
      </c>
    </row>
    <row r="18" spans="1:12" x14ac:dyDescent="0.3">
      <c r="A18" s="9">
        <v>14</v>
      </c>
      <c r="B18" s="6" t="s">
        <v>31</v>
      </c>
      <c r="C18" s="4">
        <f>_xlfn.MINIFS('Fuel Issues'!$A$5:$A$440,'Fuel Issues'!$C$5:$C$440,$B18)</f>
        <v>46208</v>
      </c>
      <c r="D18" s="5">
        <f t="shared" si="0"/>
        <v>46204</v>
      </c>
      <c r="E18" s="4">
        <f>_xlfn.MAXIFS('Fuel Issues'!$A$5:$A$440,'Fuel Issues'!$C$5:$C$440,$B18)</f>
        <v>46227</v>
      </c>
      <c r="F18" s="8">
        <f t="shared" si="1"/>
        <v>20</v>
      </c>
      <c r="G18" s="8">
        <f t="shared" si="2"/>
        <v>12</v>
      </c>
      <c r="H18" s="6" t="str">
        <f t="shared" si="3"/>
        <v>No issue 12 days</v>
      </c>
      <c r="I18" s="8">
        <f>SUMIFS('Fuel Issues'!$E$5:$E$440,'Fuel Issues'!$C$5:$C$440,$B18)</f>
        <v>526</v>
      </c>
      <c r="J18" s="8">
        <f>COUNTIFS('Fuel Issues'!$C$5:$C$440,$B18)</f>
        <v>19</v>
      </c>
      <c r="K18" s="14">
        <f t="shared" si="4"/>
        <v>27.684210526315791</v>
      </c>
      <c r="L18" s="6" t="s">
        <v>31</v>
      </c>
    </row>
    <row r="19" spans="1:12" x14ac:dyDescent="0.3">
      <c r="A19" s="9">
        <v>15</v>
      </c>
      <c r="B19" s="6" t="s">
        <v>32</v>
      </c>
      <c r="C19" s="4">
        <f>_xlfn.MINIFS('Fuel Issues'!$A$5:$A$440,'Fuel Issues'!$C$5:$C$440,$B19)</f>
        <v>46209</v>
      </c>
      <c r="D19" s="5">
        <f t="shared" si="0"/>
        <v>46204</v>
      </c>
      <c r="E19" s="4">
        <f>_xlfn.MAXIFS('Fuel Issues'!$A$5:$A$440,'Fuel Issues'!$C$5:$C$440,$B19)</f>
        <v>46225</v>
      </c>
      <c r="F19" s="8">
        <f t="shared" si="1"/>
        <v>17</v>
      </c>
      <c r="G19" s="8">
        <f t="shared" si="2"/>
        <v>14</v>
      </c>
      <c r="H19" s="6" t="str">
        <f t="shared" si="3"/>
        <v>No issue 14 days</v>
      </c>
      <c r="I19" s="8">
        <f>SUMIFS('Fuel Issues'!$E$5:$E$440,'Fuel Issues'!$C$5:$C$440,$B19)</f>
        <v>191</v>
      </c>
      <c r="J19" s="8">
        <f>COUNTIFS('Fuel Issues'!$C$5:$C$440,$B19)</f>
        <v>6</v>
      </c>
      <c r="K19" s="14">
        <f t="shared" si="4"/>
        <v>31.833333333333332</v>
      </c>
      <c r="L19" s="6" t="s">
        <v>32</v>
      </c>
    </row>
    <row r="20" spans="1:12" x14ac:dyDescent="0.3">
      <c r="A20" s="9">
        <v>16</v>
      </c>
      <c r="B20" s="6" t="s">
        <v>33</v>
      </c>
      <c r="C20" s="4">
        <f>_xlfn.MINIFS('Fuel Issues'!$A$5:$A$440,'Fuel Issues'!$C$5:$C$440,$B20)</f>
        <v>46209</v>
      </c>
      <c r="D20" s="5">
        <f t="shared" si="0"/>
        <v>46204</v>
      </c>
      <c r="E20" s="4">
        <f>_xlfn.MAXIFS('Fuel Issues'!$A$5:$A$440,'Fuel Issues'!$C$5:$C$440,$B20)</f>
        <v>46234</v>
      </c>
      <c r="F20" s="8">
        <f t="shared" si="1"/>
        <v>26</v>
      </c>
      <c r="G20" s="8">
        <f t="shared" si="2"/>
        <v>5</v>
      </c>
      <c r="H20" s="6" t="str">
        <f t="shared" si="3"/>
        <v>On site</v>
      </c>
      <c r="I20" s="8">
        <f>SUMIFS('Fuel Issues'!$E$5:$E$440,'Fuel Issues'!$C$5:$C$440,$B20)</f>
        <v>162</v>
      </c>
      <c r="J20" s="8">
        <f>COUNTIFS('Fuel Issues'!$C$5:$C$440,$B20)</f>
        <v>6</v>
      </c>
      <c r="K20" s="14">
        <f t="shared" si="4"/>
        <v>27</v>
      </c>
      <c r="L20" s="6" t="s">
        <v>33</v>
      </c>
    </row>
    <row r="21" spans="1:12" x14ac:dyDescent="0.3">
      <c r="A21" s="9">
        <v>17</v>
      </c>
      <c r="B21" s="6" t="s">
        <v>34</v>
      </c>
      <c r="C21" s="4">
        <f>_xlfn.MINIFS('Fuel Issues'!$A$5:$A$440,'Fuel Issues'!$C$5:$C$440,$B21)</f>
        <v>46209</v>
      </c>
      <c r="D21" s="5">
        <f t="shared" si="0"/>
        <v>46204</v>
      </c>
      <c r="E21" s="4">
        <f>_xlfn.MAXIFS('Fuel Issues'!$A$5:$A$440,'Fuel Issues'!$C$5:$C$440,$B21)</f>
        <v>46209</v>
      </c>
      <c r="F21" s="8">
        <f t="shared" si="1"/>
        <v>1</v>
      </c>
      <c r="G21" s="8">
        <f t="shared" si="2"/>
        <v>30</v>
      </c>
      <c r="H21" s="6" t="str">
        <f t="shared" si="3"/>
        <v>No issue 30 days</v>
      </c>
      <c r="I21" s="8">
        <f>SUMIFS('Fuel Issues'!$E$5:$E$440,'Fuel Issues'!$C$5:$C$440,$B21)</f>
        <v>30</v>
      </c>
      <c r="J21" s="8">
        <f>COUNTIFS('Fuel Issues'!$C$5:$C$440,$B21)</f>
        <v>1</v>
      </c>
      <c r="K21" s="14">
        <f t="shared" si="4"/>
        <v>30</v>
      </c>
      <c r="L21" s="6" t="s">
        <v>34</v>
      </c>
    </row>
    <row r="22" spans="1:12" x14ac:dyDescent="0.3">
      <c r="A22" s="9">
        <v>18</v>
      </c>
      <c r="B22" s="6" t="s">
        <v>35</v>
      </c>
      <c r="C22" s="4">
        <f>_xlfn.MINIFS('Fuel Issues'!$A$5:$A$440,'Fuel Issues'!$C$5:$C$440,$B22)</f>
        <v>46209</v>
      </c>
      <c r="D22" s="5">
        <f t="shared" si="0"/>
        <v>46204</v>
      </c>
      <c r="E22" s="4">
        <f>_xlfn.MAXIFS('Fuel Issues'!$A$5:$A$440,'Fuel Issues'!$C$5:$C$440,$B22)</f>
        <v>46238</v>
      </c>
      <c r="F22" s="8">
        <f t="shared" si="1"/>
        <v>30</v>
      </c>
      <c r="G22" s="8">
        <f t="shared" si="2"/>
        <v>1</v>
      </c>
      <c r="H22" s="6" t="str">
        <f t="shared" si="3"/>
        <v>On site</v>
      </c>
      <c r="I22" s="8">
        <f>SUMIFS('Fuel Issues'!$E$5:$E$440,'Fuel Issues'!$C$5:$C$440,$B22)</f>
        <v>485</v>
      </c>
      <c r="J22" s="8">
        <f>COUNTIFS('Fuel Issues'!$C$5:$C$440,$B22)</f>
        <v>11</v>
      </c>
      <c r="K22" s="14">
        <f t="shared" si="4"/>
        <v>44.090909090909093</v>
      </c>
      <c r="L22" s="6" t="s">
        <v>35</v>
      </c>
    </row>
    <row r="23" spans="1:12" x14ac:dyDescent="0.3">
      <c r="A23" s="9">
        <v>19</v>
      </c>
      <c r="B23" s="6" t="s">
        <v>36</v>
      </c>
      <c r="C23" s="4">
        <f>_xlfn.MINIFS('Fuel Issues'!$A$5:$A$440,'Fuel Issues'!$C$5:$C$440,$B23)</f>
        <v>46210</v>
      </c>
      <c r="D23" s="5">
        <f t="shared" si="0"/>
        <v>46204</v>
      </c>
      <c r="E23" s="4">
        <f>_xlfn.MAXIFS('Fuel Issues'!$A$5:$A$440,'Fuel Issues'!$C$5:$C$440,$B23)</f>
        <v>46238</v>
      </c>
      <c r="F23" s="8">
        <f t="shared" si="1"/>
        <v>29</v>
      </c>
      <c r="G23" s="8">
        <f t="shared" si="2"/>
        <v>1</v>
      </c>
      <c r="H23" s="6" t="str">
        <f t="shared" si="3"/>
        <v>On site</v>
      </c>
      <c r="I23" s="8">
        <f>SUMIFS('Fuel Issues'!$E$5:$E$440,'Fuel Issues'!$C$5:$C$440,$B23)</f>
        <v>170</v>
      </c>
      <c r="J23" s="8">
        <f>COUNTIFS('Fuel Issues'!$C$5:$C$440,$B23)</f>
        <v>8</v>
      </c>
      <c r="K23" s="14">
        <f t="shared" si="4"/>
        <v>21.25</v>
      </c>
      <c r="L23" s="6" t="s">
        <v>98</v>
      </c>
    </row>
    <row r="24" spans="1:12" x14ac:dyDescent="0.3">
      <c r="A24" s="9">
        <v>20</v>
      </c>
      <c r="B24" s="6" t="s">
        <v>37</v>
      </c>
      <c r="C24" s="4">
        <f>_xlfn.MINIFS('Fuel Issues'!$A$5:$A$440,'Fuel Issues'!$C$5:$C$440,$B24)</f>
        <v>46210</v>
      </c>
      <c r="D24" s="5">
        <f t="shared" si="0"/>
        <v>46204</v>
      </c>
      <c r="E24" s="4">
        <f>_xlfn.MAXIFS('Fuel Issues'!$A$5:$A$440,'Fuel Issues'!$C$5:$C$440,$B24)</f>
        <v>46226</v>
      </c>
      <c r="F24" s="8">
        <f t="shared" si="1"/>
        <v>17</v>
      </c>
      <c r="G24" s="8">
        <f t="shared" si="2"/>
        <v>13</v>
      </c>
      <c r="H24" s="6" t="str">
        <f t="shared" si="3"/>
        <v>No issue 13 days</v>
      </c>
      <c r="I24" s="8">
        <f>SUMIFS('Fuel Issues'!$E$5:$E$440,'Fuel Issues'!$C$5:$C$440,$B24)</f>
        <v>45</v>
      </c>
      <c r="J24" s="8">
        <f>COUNTIFS('Fuel Issues'!$C$5:$C$440,$B24)</f>
        <v>3</v>
      </c>
      <c r="K24" s="14">
        <f t="shared" si="4"/>
        <v>15</v>
      </c>
      <c r="L24" s="6" t="s">
        <v>37</v>
      </c>
    </row>
    <row r="25" spans="1:12" x14ac:dyDescent="0.3">
      <c r="A25" s="9">
        <v>21</v>
      </c>
      <c r="B25" s="6" t="s">
        <v>38</v>
      </c>
      <c r="C25" s="4">
        <f>_xlfn.MINIFS('Fuel Issues'!$A$5:$A$440,'Fuel Issues'!$C$5:$C$440,$B25)</f>
        <v>46211</v>
      </c>
      <c r="D25" s="5">
        <f t="shared" si="0"/>
        <v>46204</v>
      </c>
      <c r="E25" s="4">
        <f>_xlfn.MAXIFS('Fuel Issues'!$A$5:$A$440,'Fuel Issues'!$C$5:$C$440,$B25)</f>
        <v>46238</v>
      </c>
      <c r="F25" s="8">
        <f t="shared" si="1"/>
        <v>28</v>
      </c>
      <c r="G25" s="8">
        <f t="shared" si="2"/>
        <v>1</v>
      </c>
      <c r="H25" s="6" t="str">
        <f t="shared" si="3"/>
        <v>On site</v>
      </c>
      <c r="I25" s="8">
        <f>SUMIFS('Fuel Issues'!$E$5:$E$440,'Fuel Issues'!$C$5:$C$440,$B25)</f>
        <v>281</v>
      </c>
      <c r="J25" s="8">
        <f>COUNTIFS('Fuel Issues'!$C$5:$C$440,$B25)</f>
        <v>14</v>
      </c>
      <c r="K25" s="14">
        <f t="shared" si="4"/>
        <v>20.071428571428573</v>
      </c>
      <c r="L25" s="6" t="s">
        <v>38</v>
      </c>
    </row>
    <row r="26" spans="1:12" x14ac:dyDescent="0.3">
      <c r="A26" s="9">
        <v>22</v>
      </c>
      <c r="B26" s="6" t="s">
        <v>39</v>
      </c>
      <c r="C26" s="4">
        <f>_xlfn.MINIFS('Fuel Issues'!$A$5:$A$440,'Fuel Issues'!$C$5:$C$440,$B26)</f>
        <v>46211</v>
      </c>
      <c r="D26" s="5">
        <f t="shared" si="0"/>
        <v>46204</v>
      </c>
      <c r="E26" s="4">
        <f>_xlfn.MAXIFS('Fuel Issues'!$A$5:$A$440,'Fuel Issues'!$C$5:$C$440,$B26)</f>
        <v>46239</v>
      </c>
      <c r="F26" s="8">
        <f t="shared" si="1"/>
        <v>29</v>
      </c>
      <c r="G26" s="8">
        <f t="shared" si="2"/>
        <v>0</v>
      </c>
      <c r="H26" s="6" t="str">
        <f t="shared" si="3"/>
        <v>On site</v>
      </c>
      <c r="I26" s="8">
        <f>SUMIFS('Fuel Issues'!$E$5:$E$440,'Fuel Issues'!$C$5:$C$440,$B26)</f>
        <v>1940</v>
      </c>
      <c r="J26" s="8">
        <f>COUNTIFS('Fuel Issues'!$C$5:$C$440,$B26)</f>
        <v>26</v>
      </c>
      <c r="K26" s="14">
        <f t="shared" si="4"/>
        <v>74.615384615384613</v>
      </c>
      <c r="L26" s="6" t="s">
        <v>39</v>
      </c>
    </row>
    <row r="27" spans="1:12" x14ac:dyDescent="0.3">
      <c r="A27" s="9">
        <v>23</v>
      </c>
      <c r="B27" s="6" t="s">
        <v>40</v>
      </c>
      <c r="C27" s="4">
        <f>_xlfn.MINIFS('Fuel Issues'!$A$5:$A$440,'Fuel Issues'!$C$5:$C$440,$B27)</f>
        <v>46212</v>
      </c>
      <c r="D27" s="5">
        <f t="shared" si="0"/>
        <v>46204</v>
      </c>
      <c r="E27" s="4">
        <f>_xlfn.MAXIFS('Fuel Issues'!$A$5:$A$440,'Fuel Issues'!$C$5:$C$440,$B27)</f>
        <v>46233</v>
      </c>
      <c r="F27" s="8">
        <f t="shared" si="1"/>
        <v>22</v>
      </c>
      <c r="G27" s="8">
        <f t="shared" si="2"/>
        <v>6</v>
      </c>
      <c r="H27" s="6" t="str">
        <f t="shared" si="3"/>
        <v>On site</v>
      </c>
      <c r="I27" s="8">
        <f>SUMIFS('Fuel Issues'!$E$5:$E$440,'Fuel Issues'!$C$5:$C$440,$B27)</f>
        <v>195</v>
      </c>
      <c r="J27" s="8">
        <f>COUNTIFS('Fuel Issues'!$C$5:$C$440,$B27)</f>
        <v>8</v>
      </c>
      <c r="K27" s="14">
        <f t="shared" si="4"/>
        <v>24.375</v>
      </c>
      <c r="L27" s="6" t="s">
        <v>40</v>
      </c>
    </row>
    <row r="28" spans="1:12" x14ac:dyDescent="0.3">
      <c r="A28" s="9">
        <v>24</v>
      </c>
      <c r="B28" s="6" t="s">
        <v>41</v>
      </c>
      <c r="C28" s="4">
        <f>_xlfn.MINIFS('Fuel Issues'!$A$5:$A$440,'Fuel Issues'!$C$5:$C$440,$B28)</f>
        <v>46213</v>
      </c>
      <c r="D28" s="5">
        <f t="shared" si="0"/>
        <v>46204</v>
      </c>
      <c r="E28" s="4">
        <f>_xlfn.MAXIFS('Fuel Issues'!$A$5:$A$440,'Fuel Issues'!$C$5:$C$440,$B28)</f>
        <v>46235</v>
      </c>
      <c r="F28" s="8">
        <f t="shared" si="1"/>
        <v>23</v>
      </c>
      <c r="G28" s="8">
        <f t="shared" si="2"/>
        <v>4</v>
      </c>
      <c r="H28" s="6" t="str">
        <f t="shared" si="3"/>
        <v>On site</v>
      </c>
      <c r="I28" s="8">
        <f>SUMIFS('Fuel Issues'!$E$5:$E$440,'Fuel Issues'!$C$5:$C$440,$B28)</f>
        <v>35</v>
      </c>
      <c r="J28" s="8">
        <f>COUNTIFS('Fuel Issues'!$C$5:$C$440,$B28)</f>
        <v>3</v>
      </c>
      <c r="K28" s="14">
        <f t="shared" si="4"/>
        <v>11.666666666666666</v>
      </c>
      <c r="L28" s="6" t="s">
        <v>41</v>
      </c>
    </row>
    <row r="29" spans="1:12" x14ac:dyDescent="0.3">
      <c r="A29" s="9">
        <v>25</v>
      </c>
      <c r="B29" s="6" t="s">
        <v>43</v>
      </c>
      <c r="C29" s="4">
        <f>_xlfn.MINIFS('Fuel Issues'!$A$5:$A$440,'Fuel Issues'!$C$5:$C$440,$B29)</f>
        <v>46215</v>
      </c>
      <c r="D29" s="5">
        <f t="shared" si="0"/>
        <v>46204</v>
      </c>
      <c r="E29" s="4">
        <f>_xlfn.MAXIFS('Fuel Issues'!$A$5:$A$440,'Fuel Issues'!$C$5:$C$440,$B29)</f>
        <v>46228</v>
      </c>
      <c r="F29" s="8">
        <f t="shared" si="1"/>
        <v>14</v>
      </c>
      <c r="G29" s="8">
        <f t="shared" si="2"/>
        <v>11</v>
      </c>
      <c r="H29" s="6" t="str">
        <f t="shared" si="3"/>
        <v>No issue 11 days</v>
      </c>
      <c r="I29" s="8">
        <f>SUMIFS('Fuel Issues'!$E$5:$E$440,'Fuel Issues'!$C$5:$C$440,$B29)</f>
        <v>810</v>
      </c>
      <c r="J29" s="8">
        <f>COUNTIFS('Fuel Issues'!$C$5:$C$440,$B29)</f>
        <v>12</v>
      </c>
      <c r="K29" s="14">
        <f t="shared" si="4"/>
        <v>67.5</v>
      </c>
      <c r="L29" s="6" t="s">
        <v>43</v>
      </c>
    </row>
    <row r="30" spans="1:12" x14ac:dyDescent="0.3">
      <c r="A30" s="9">
        <v>26</v>
      </c>
      <c r="B30" s="6" t="s">
        <v>45</v>
      </c>
      <c r="C30" s="4">
        <f>_xlfn.MINIFS('Fuel Issues'!$A$5:$A$440,'Fuel Issues'!$C$5:$C$440,$B30)</f>
        <v>46220</v>
      </c>
      <c r="D30" s="5">
        <f t="shared" si="0"/>
        <v>46204</v>
      </c>
      <c r="E30" s="4">
        <f>_xlfn.MAXIFS('Fuel Issues'!$A$5:$A$440,'Fuel Issues'!$C$5:$C$440,$B30)</f>
        <v>46220</v>
      </c>
      <c r="F30" s="8">
        <f t="shared" si="1"/>
        <v>1</v>
      </c>
      <c r="G30" s="8">
        <f t="shared" si="2"/>
        <v>19</v>
      </c>
      <c r="H30" s="6" t="str">
        <f t="shared" si="3"/>
        <v>No issue 19 days</v>
      </c>
      <c r="I30" s="8">
        <f>SUMIFS('Fuel Issues'!$E$5:$E$440,'Fuel Issues'!$C$5:$C$440,$B30)</f>
        <v>30</v>
      </c>
      <c r="J30" s="8">
        <f>COUNTIFS('Fuel Issues'!$C$5:$C$440,$B30)</f>
        <v>1</v>
      </c>
      <c r="K30" s="14">
        <f t="shared" si="4"/>
        <v>30</v>
      </c>
      <c r="L30" s="6" t="s">
        <v>45</v>
      </c>
    </row>
    <row r="31" spans="1:12" x14ac:dyDescent="0.3">
      <c r="A31" s="9">
        <v>27</v>
      </c>
      <c r="B31" s="6" t="s">
        <v>46</v>
      </c>
      <c r="C31" s="4">
        <f>_xlfn.MINIFS('Fuel Issues'!$A$5:$A$440,'Fuel Issues'!$C$5:$C$440,$B31)</f>
        <v>46223</v>
      </c>
      <c r="D31" s="5">
        <f t="shared" si="0"/>
        <v>46204</v>
      </c>
      <c r="E31" s="4">
        <f>_xlfn.MAXIFS('Fuel Issues'!$A$5:$A$440,'Fuel Issues'!$C$5:$C$440,$B31)</f>
        <v>46239</v>
      </c>
      <c r="F31" s="8">
        <f t="shared" si="1"/>
        <v>17</v>
      </c>
      <c r="G31" s="8">
        <f t="shared" si="2"/>
        <v>0</v>
      </c>
      <c r="H31" s="6" t="str">
        <f t="shared" si="3"/>
        <v>On site</v>
      </c>
      <c r="I31" s="8">
        <f>SUMIFS('Fuel Issues'!$E$5:$E$440,'Fuel Issues'!$C$5:$C$440,$B31)</f>
        <v>1660</v>
      </c>
      <c r="J31" s="8">
        <f>COUNTIFS('Fuel Issues'!$C$5:$C$440,$B31)</f>
        <v>15</v>
      </c>
      <c r="K31" s="14">
        <f t="shared" si="4"/>
        <v>110.66666666666667</v>
      </c>
      <c r="L31" s="6" t="s">
        <v>99</v>
      </c>
    </row>
    <row r="32" spans="1:12" x14ac:dyDescent="0.3">
      <c r="A32" s="9">
        <v>28</v>
      </c>
      <c r="B32" s="6" t="s">
        <v>47</v>
      </c>
      <c r="C32" s="4">
        <f>_xlfn.MINIFS('Fuel Issues'!$A$5:$A$440,'Fuel Issues'!$C$5:$C$440,$B32)</f>
        <v>46223</v>
      </c>
      <c r="D32" s="5">
        <f t="shared" si="0"/>
        <v>46204</v>
      </c>
      <c r="E32" s="4">
        <f>_xlfn.MAXIFS('Fuel Issues'!$A$5:$A$440,'Fuel Issues'!$C$5:$C$440,$B32)</f>
        <v>46239</v>
      </c>
      <c r="F32" s="8">
        <f t="shared" si="1"/>
        <v>17</v>
      </c>
      <c r="G32" s="8">
        <f t="shared" si="2"/>
        <v>0</v>
      </c>
      <c r="H32" s="6" t="str">
        <f t="shared" si="3"/>
        <v>On site</v>
      </c>
      <c r="I32" s="8">
        <f>SUMIFS('Fuel Issues'!$E$5:$E$440,'Fuel Issues'!$C$5:$C$440,$B32)</f>
        <v>250</v>
      </c>
      <c r="J32" s="8">
        <f>COUNTIFS('Fuel Issues'!$C$5:$C$440,$B32)</f>
        <v>7</v>
      </c>
      <c r="K32" s="14">
        <f t="shared" si="4"/>
        <v>35.714285714285715</v>
      </c>
      <c r="L32" s="6" t="s">
        <v>47</v>
      </c>
    </row>
    <row r="33" spans="1:12" x14ac:dyDescent="0.3">
      <c r="A33" s="9">
        <v>29</v>
      </c>
      <c r="B33" s="6" t="s">
        <v>48</v>
      </c>
      <c r="C33" s="4">
        <f>_xlfn.MINIFS('Fuel Issues'!$A$5:$A$440,'Fuel Issues'!$C$5:$C$440,$B33)</f>
        <v>46225</v>
      </c>
      <c r="D33" s="5">
        <f t="shared" si="0"/>
        <v>46204</v>
      </c>
      <c r="E33" s="4">
        <f>_xlfn.MAXIFS('Fuel Issues'!$A$5:$A$440,'Fuel Issues'!$C$5:$C$440,$B33)</f>
        <v>46228</v>
      </c>
      <c r="F33" s="8">
        <f t="shared" si="1"/>
        <v>4</v>
      </c>
      <c r="G33" s="8">
        <f t="shared" si="2"/>
        <v>11</v>
      </c>
      <c r="H33" s="6" t="str">
        <f t="shared" si="3"/>
        <v>No issue 11 days</v>
      </c>
      <c r="I33" s="8">
        <f>SUMIFS('Fuel Issues'!$E$5:$E$440,'Fuel Issues'!$C$5:$C$440,$B33)</f>
        <v>60</v>
      </c>
      <c r="J33" s="8">
        <f>COUNTIFS('Fuel Issues'!$C$5:$C$440,$B33)</f>
        <v>3</v>
      </c>
      <c r="K33" s="14">
        <f t="shared" si="4"/>
        <v>20</v>
      </c>
      <c r="L33" s="6" t="s">
        <v>48</v>
      </c>
    </row>
    <row r="34" spans="1:12" x14ac:dyDescent="0.3">
      <c r="A34" s="9">
        <v>30</v>
      </c>
      <c r="B34" s="6" t="s">
        <v>49</v>
      </c>
      <c r="C34" s="4">
        <f>_xlfn.MINIFS('Fuel Issues'!$A$5:$A$440,'Fuel Issues'!$C$5:$C$440,$B34)</f>
        <v>46225</v>
      </c>
      <c r="D34" s="5">
        <f t="shared" si="0"/>
        <v>46204</v>
      </c>
      <c r="E34" s="4">
        <f>_xlfn.MAXIFS('Fuel Issues'!$A$5:$A$440,'Fuel Issues'!$C$5:$C$440,$B34)</f>
        <v>46228</v>
      </c>
      <c r="F34" s="8">
        <f t="shared" si="1"/>
        <v>4</v>
      </c>
      <c r="G34" s="8">
        <f t="shared" si="2"/>
        <v>11</v>
      </c>
      <c r="H34" s="6" t="str">
        <f t="shared" si="3"/>
        <v>No issue 11 days</v>
      </c>
      <c r="I34" s="8">
        <f>SUMIFS('Fuel Issues'!$E$5:$E$440,'Fuel Issues'!$C$5:$C$440,$B34)</f>
        <v>70</v>
      </c>
      <c r="J34" s="8">
        <f>COUNTIFS('Fuel Issues'!$C$5:$C$440,$B34)</f>
        <v>3</v>
      </c>
      <c r="K34" s="14">
        <f t="shared" si="4"/>
        <v>23.333333333333332</v>
      </c>
      <c r="L34" s="6" t="s">
        <v>49</v>
      </c>
    </row>
    <row r="35" spans="1:12" x14ac:dyDescent="0.3">
      <c r="A35" s="9">
        <v>31</v>
      </c>
      <c r="B35" s="6" t="s">
        <v>50</v>
      </c>
      <c r="C35" s="4">
        <f>_xlfn.MINIFS('Fuel Issues'!$A$5:$A$440,'Fuel Issues'!$C$5:$C$440,$B35)</f>
        <v>46225</v>
      </c>
      <c r="D35" s="5">
        <f t="shared" si="0"/>
        <v>46204</v>
      </c>
      <c r="E35" s="4">
        <f>_xlfn.MAXIFS('Fuel Issues'!$A$5:$A$440,'Fuel Issues'!$C$5:$C$440,$B35)</f>
        <v>46238</v>
      </c>
      <c r="F35" s="8">
        <f t="shared" si="1"/>
        <v>14</v>
      </c>
      <c r="G35" s="8">
        <f t="shared" si="2"/>
        <v>1</v>
      </c>
      <c r="H35" s="6" t="str">
        <f t="shared" si="3"/>
        <v>On site</v>
      </c>
      <c r="I35" s="8">
        <f>SUMIFS('Fuel Issues'!$E$5:$E$440,'Fuel Issues'!$C$5:$C$440,$B35)</f>
        <v>204</v>
      </c>
      <c r="J35" s="8">
        <f>COUNTIFS('Fuel Issues'!$C$5:$C$440,$B35)</f>
        <v>4</v>
      </c>
      <c r="K35" s="14">
        <f t="shared" si="4"/>
        <v>51</v>
      </c>
      <c r="L35" s="6" t="s">
        <v>100</v>
      </c>
    </row>
    <row r="36" spans="1:12" x14ac:dyDescent="0.3">
      <c r="A36" s="9">
        <v>32</v>
      </c>
      <c r="B36" s="6" t="s">
        <v>51</v>
      </c>
      <c r="C36" s="4">
        <f>_xlfn.MINIFS('Fuel Issues'!$A$5:$A$440,'Fuel Issues'!$C$5:$C$440,$B36)</f>
        <v>46226</v>
      </c>
      <c r="D36" s="5">
        <f t="shared" si="0"/>
        <v>46204</v>
      </c>
      <c r="E36" s="4">
        <f>_xlfn.MAXIFS('Fuel Issues'!$A$5:$A$440,'Fuel Issues'!$C$5:$C$440,$B36)</f>
        <v>46239</v>
      </c>
      <c r="F36" s="8">
        <f t="shared" si="1"/>
        <v>14</v>
      </c>
      <c r="G36" s="8">
        <f t="shared" si="2"/>
        <v>0</v>
      </c>
      <c r="H36" s="6" t="str">
        <f t="shared" si="3"/>
        <v>On site</v>
      </c>
      <c r="I36" s="8">
        <f>SUMIFS('Fuel Issues'!$E$5:$E$440,'Fuel Issues'!$C$5:$C$440,$B36)</f>
        <v>120</v>
      </c>
      <c r="J36" s="8">
        <f>COUNTIFS('Fuel Issues'!$C$5:$C$440,$B36)</f>
        <v>6</v>
      </c>
      <c r="K36" s="14">
        <f t="shared" si="4"/>
        <v>20</v>
      </c>
      <c r="L36" s="6" t="s">
        <v>51</v>
      </c>
    </row>
    <row r="37" spans="1:12" x14ac:dyDescent="0.3">
      <c r="A37" s="9">
        <v>33</v>
      </c>
      <c r="B37" s="6" t="s">
        <v>52</v>
      </c>
      <c r="C37" s="4">
        <f>_xlfn.MINIFS('Fuel Issues'!$A$5:$A$440,'Fuel Issues'!$C$5:$C$440,$B37)</f>
        <v>46226</v>
      </c>
      <c r="D37" s="5">
        <f t="shared" si="0"/>
        <v>46204</v>
      </c>
      <c r="E37" s="4">
        <f>_xlfn.MAXIFS('Fuel Issues'!$A$5:$A$440,'Fuel Issues'!$C$5:$C$440,$B37)</f>
        <v>46231</v>
      </c>
      <c r="F37" s="8">
        <f t="shared" si="1"/>
        <v>6</v>
      </c>
      <c r="G37" s="8">
        <f t="shared" si="2"/>
        <v>8</v>
      </c>
      <c r="H37" s="6" t="str">
        <f t="shared" si="3"/>
        <v>No issue 8 days</v>
      </c>
      <c r="I37" s="8">
        <f>SUMIFS('Fuel Issues'!$E$5:$E$440,'Fuel Issues'!$C$5:$C$440,$B37)</f>
        <v>60</v>
      </c>
      <c r="J37" s="8">
        <f>COUNTIFS('Fuel Issues'!$C$5:$C$440,$B37)</f>
        <v>3</v>
      </c>
      <c r="K37" s="14">
        <f t="shared" si="4"/>
        <v>20</v>
      </c>
      <c r="L37" s="6" t="s">
        <v>52</v>
      </c>
    </row>
    <row r="38" spans="1:12" x14ac:dyDescent="0.3">
      <c r="A38" s="9">
        <v>34</v>
      </c>
      <c r="B38" s="6" t="s">
        <v>53</v>
      </c>
      <c r="C38" s="4">
        <f>_xlfn.MINIFS('Fuel Issues'!$A$5:$A$440,'Fuel Issues'!$C$5:$C$440,$B38)</f>
        <v>46229</v>
      </c>
      <c r="D38" s="5">
        <f t="shared" si="0"/>
        <v>46204</v>
      </c>
      <c r="E38" s="4">
        <f>_xlfn.MAXIFS('Fuel Issues'!$A$5:$A$440,'Fuel Issues'!$C$5:$C$440,$B38)</f>
        <v>46229</v>
      </c>
      <c r="F38" s="8">
        <f t="shared" si="1"/>
        <v>1</v>
      </c>
      <c r="G38" s="8">
        <f t="shared" si="2"/>
        <v>10</v>
      </c>
      <c r="H38" s="6" t="str">
        <f t="shared" si="3"/>
        <v>No issue 10 days</v>
      </c>
      <c r="I38" s="8">
        <f>SUMIFS('Fuel Issues'!$E$5:$E$440,'Fuel Issues'!$C$5:$C$440,$B38)</f>
        <v>10</v>
      </c>
      <c r="J38" s="8">
        <f>COUNTIFS('Fuel Issues'!$C$5:$C$440,$B38)</f>
        <v>1</v>
      </c>
      <c r="K38" s="14">
        <f t="shared" si="4"/>
        <v>10</v>
      </c>
      <c r="L38" s="6" t="s">
        <v>53</v>
      </c>
    </row>
    <row r="39" spans="1:12" x14ac:dyDescent="0.3">
      <c r="A39" s="9">
        <v>35</v>
      </c>
      <c r="B39" s="6" t="s">
        <v>54</v>
      </c>
      <c r="C39" s="4">
        <f>_xlfn.MINIFS('Fuel Issues'!$A$5:$A$440,'Fuel Issues'!$C$5:$C$440,$B39)</f>
        <v>46230</v>
      </c>
      <c r="D39" s="5">
        <f t="shared" si="0"/>
        <v>46204</v>
      </c>
      <c r="E39" s="4">
        <f>_xlfn.MAXIFS('Fuel Issues'!$A$5:$A$440,'Fuel Issues'!$C$5:$C$440,$B39)</f>
        <v>46239</v>
      </c>
      <c r="F39" s="8">
        <f t="shared" si="1"/>
        <v>10</v>
      </c>
      <c r="G39" s="8">
        <f t="shared" si="2"/>
        <v>0</v>
      </c>
      <c r="H39" s="6" t="str">
        <f t="shared" si="3"/>
        <v>On site</v>
      </c>
      <c r="I39" s="8">
        <f>SUMIFS('Fuel Issues'!$E$5:$E$440,'Fuel Issues'!$C$5:$C$440,$B39)</f>
        <v>150</v>
      </c>
      <c r="J39" s="8">
        <f>COUNTIFS('Fuel Issues'!$C$5:$C$440,$B39)</f>
        <v>4</v>
      </c>
      <c r="K39" s="14">
        <f t="shared" si="4"/>
        <v>37.5</v>
      </c>
      <c r="L39" s="6" t="s">
        <v>101</v>
      </c>
    </row>
    <row r="40" spans="1:12" x14ac:dyDescent="0.3">
      <c r="A40" s="9">
        <v>36</v>
      </c>
      <c r="B40" s="6" t="s">
        <v>61</v>
      </c>
      <c r="C40" s="4">
        <f>_xlfn.MINIFS('Fuel Issues'!$A$5:$A$440,'Fuel Issues'!$C$5:$C$440,$B40)</f>
        <v>46238</v>
      </c>
      <c r="D40" s="5">
        <f t="shared" si="0"/>
        <v>46235</v>
      </c>
      <c r="E40" s="4">
        <f>_xlfn.MAXIFS('Fuel Issues'!$A$5:$A$440,'Fuel Issues'!$C$5:$C$440,$B40)</f>
        <v>46238</v>
      </c>
      <c r="F40" s="8">
        <f t="shared" si="1"/>
        <v>1</v>
      </c>
      <c r="G40" s="8">
        <f t="shared" si="2"/>
        <v>1</v>
      </c>
      <c r="H40" s="6" t="str">
        <f t="shared" si="3"/>
        <v>On site</v>
      </c>
      <c r="I40" s="8">
        <f>SUMIFS('Fuel Issues'!$E$5:$E$440,'Fuel Issues'!$C$5:$C$440,$B40)</f>
        <v>80</v>
      </c>
      <c r="J40" s="8">
        <f>COUNTIFS('Fuel Issues'!$C$5:$C$440,$B40)</f>
        <v>1</v>
      </c>
      <c r="K40" s="14">
        <f t="shared" si="4"/>
        <v>80</v>
      </c>
      <c r="L40" s="6" t="s">
        <v>61</v>
      </c>
    </row>
    <row r="41" spans="1:12" x14ac:dyDescent="0.3">
      <c r="A41" s="9">
        <v>37</v>
      </c>
      <c r="B41" s="6" t="s">
        <v>62</v>
      </c>
      <c r="C41" s="4">
        <f>_xlfn.MINIFS('Fuel Issues'!$A$5:$A$440,'Fuel Issues'!$C$5:$C$440,$B41)</f>
        <v>46239</v>
      </c>
      <c r="D41" s="5">
        <f t="shared" si="0"/>
        <v>46235</v>
      </c>
      <c r="E41" s="4">
        <f>_xlfn.MAXIFS('Fuel Issues'!$A$5:$A$440,'Fuel Issues'!$C$5:$C$440,$B41)</f>
        <v>46239</v>
      </c>
      <c r="F41" s="8">
        <f t="shared" si="1"/>
        <v>1</v>
      </c>
      <c r="G41" s="8">
        <f t="shared" si="2"/>
        <v>0</v>
      </c>
      <c r="H41" s="6" t="str">
        <f t="shared" si="3"/>
        <v>On site</v>
      </c>
      <c r="I41" s="8">
        <f>SUMIFS('Fuel Issues'!$E$5:$E$440,'Fuel Issues'!$C$5:$C$440,$B41)</f>
        <v>172</v>
      </c>
      <c r="J41" s="8">
        <f>COUNTIFS('Fuel Issues'!$C$5:$C$440,$B41)</f>
        <v>1</v>
      </c>
      <c r="K41" s="14">
        <f t="shared" si="4"/>
        <v>172</v>
      </c>
      <c r="L41" s="6" t="s">
        <v>62</v>
      </c>
    </row>
    <row r="42" spans="1:12" x14ac:dyDescent="0.3">
      <c r="A42" s="9">
        <v>38</v>
      </c>
      <c r="B42" s="6" t="s">
        <v>63</v>
      </c>
      <c r="C42" s="4">
        <f>_xlfn.MINIFS('Fuel Issues'!$A$5:$A$440,'Fuel Issues'!$C$5:$C$440,$B42)</f>
        <v>46239</v>
      </c>
      <c r="D42" s="5">
        <f t="shared" si="0"/>
        <v>46235</v>
      </c>
      <c r="E42" s="4">
        <f>_xlfn.MAXIFS('Fuel Issues'!$A$5:$A$440,'Fuel Issues'!$C$5:$C$440,$B42)</f>
        <v>46239</v>
      </c>
      <c r="F42" s="8">
        <f t="shared" si="1"/>
        <v>1</v>
      </c>
      <c r="G42" s="8">
        <f t="shared" si="2"/>
        <v>0</v>
      </c>
      <c r="H42" s="6" t="str">
        <f t="shared" si="3"/>
        <v>On site</v>
      </c>
      <c r="I42" s="8">
        <f>SUMIFS('Fuel Issues'!$E$5:$E$440,'Fuel Issues'!$C$5:$C$440,$B42)</f>
        <v>30</v>
      </c>
      <c r="J42" s="8">
        <f>COUNTIFS('Fuel Issues'!$C$5:$C$440,$B42)</f>
        <v>1</v>
      </c>
      <c r="K42" s="14">
        <f t="shared" si="4"/>
        <v>30</v>
      </c>
      <c r="L42" s="6" t="s">
        <v>63</v>
      </c>
    </row>
    <row r="43" spans="1:12" x14ac:dyDescent="0.3">
      <c r="A43" s="10"/>
      <c r="B43" s="11" t="s">
        <v>64</v>
      </c>
      <c r="C43" s="10"/>
      <c r="D43" s="10"/>
      <c r="E43" s="10"/>
      <c r="F43" s="10"/>
      <c r="G43" s="10"/>
      <c r="H43" s="10"/>
      <c r="I43" s="12">
        <f>SUM(I5:I42)</f>
        <v>18403</v>
      </c>
      <c r="J43" s="12">
        <f>SUM(J5:J42)</f>
        <v>436</v>
      </c>
      <c r="K43" s="10"/>
      <c r="L43" s="10"/>
    </row>
  </sheetData>
  <conditionalFormatting sqref="A5:L42">
    <cfRule type="expression" dxfId="0" priority="2">
      <formula>$G5&gt;7</formula>
    </cfRule>
  </conditionalFormatting>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
  <sheetViews>
    <sheetView showGridLines="0" zoomScaleNormal="100" workbookViewId="0"/>
  </sheetViews>
  <sheetFormatPr defaultColWidth="8.6640625" defaultRowHeight="14.4" x14ac:dyDescent="0.3"/>
  <cols>
    <col min="1" max="1" width="12" customWidth="1"/>
    <col min="2" max="2" width="15" customWidth="1"/>
    <col min="3" max="3" width="14" customWidth="1"/>
    <col min="4" max="4" width="11" customWidth="1"/>
    <col min="5" max="5" width="12" customWidth="1"/>
    <col min="6" max="6" width="15" customWidth="1"/>
    <col min="7" max="7" width="14" customWidth="1"/>
    <col min="8" max="8" width="15" customWidth="1"/>
    <col min="9" max="9" width="12" customWidth="1"/>
    <col min="10" max="10" width="14" customWidth="1"/>
  </cols>
  <sheetData>
    <row r="1" spans="1:10" ht="17.399999999999999" x14ac:dyDescent="0.3">
      <c r="A1" s="1" t="s">
        <v>102</v>
      </c>
    </row>
    <row r="2" spans="1:10" x14ac:dyDescent="0.3">
      <c r="A2" s="2" t="s">
        <v>103</v>
      </c>
    </row>
    <row r="4" spans="1:10" ht="42" customHeight="1" x14ac:dyDescent="0.3">
      <c r="A4" s="3" t="s">
        <v>3</v>
      </c>
      <c r="B4" s="3" t="s">
        <v>104</v>
      </c>
      <c r="C4" s="3" t="s">
        <v>105</v>
      </c>
      <c r="D4" s="3" t="s">
        <v>89</v>
      </c>
      <c r="E4" s="3" t="s">
        <v>106</v>
      </c>
      <c r="F4" s="3" t="s">
        <v>107</v>
      </c>
      <c r="G4" s="3" t="s">
        <v>108</v>
      </c>
      <c r="H4" s="3" t="s">
        <v>109</v>
      </c>
      <c r="I4" s="3" t="s">
        <v>90</v>
      </c>
      <c r="J4" s="3" t="s">
        <v>110</v>
      </c>
    </row>
    <row r="5" spans="1:10" x14ac:dyDescent="0.3">
      <c r="A5" s="5">
        <v>46143</v>
      </c>
      <c r="B5" s="8">
        <f>SUMIFS(Receipts!$D$5:$D$37,Receipts!$A$5:$A$37,"&gt;="&amp;$A5,Receipts!$A$5:$A$37,"&lt;"&amp;DATE(YEAR($A5),MONTH($A5)+1,1))</f>
        <v>240</v>
      </c>
      <c r="C5" s="8">
        <f>SUMIFS('Fuel Issues'!$E$5:$E$440,'Fuel Issues'!$A$5:$A$440,"&gt;="&amp;$A5,'Fuel Issues'!$A$5:$A$440,"&lt;"&amp;DATE(YEAR($A5),MONTH($A5)+1,1))</f>
        <v>240</v>
      </c>
      <c r="D5" s="8">
        <f>COUNTIFS('Fuel Issues'!$A$5:$A$440,"&gt;="&amp;$A5,'Fuel Issues'!$A$5:$A$440,"&lt;"&amp;DATE(YEAR($A5),MONTH($A5)+1,1))</f>
        <v>5</v>
      </c>
      <c r="E5" s="8">
        <v>5</v>
      </c>
      <c r="F5" s="8">
        <v>1</v>
      </c>
      <c r="G5" s="8">
        <f>COUNTIFS('Allocation Register'!$D$5:$D$42,$A5)</f>
        <v>1</v>
      </c>
      <c r="H5" s="8">
        <f>SUM($G$5:$G5)</f>
        <v>1</v>
      </c>
      <c r="I5" s="14">
        <f>IFERROR($C5/$D5,"")</f>
        <v>48</v>
      </c>
      <c r="J5" s="15">
        <f>IFERROR($C5/SUM($C$5:$C$8),"")</f>
        <v>1.3041351953485845E-2</v>
      </c>
    </row>
    <row r="6" spans="1:10" x14ac:dyDescent="0.3">
      <c r="A6" s="5">
        <v>46174</v>
      </c>
      <c r="B6" s="8">
        <f>SUMIFS(Receipts!$D$5:$D$37,Receipts!$A$5:$A$37,"&gt;="&amp;$A6,Receipts!$A$5:$A$37,"&lt;"&amp;DATE(YEAR($A6),MONTH($A6)+1,1))</f>
        <v>2925</v>
      </c>
      <c r="C6" s="8">
        <f>SUMIFS('Fuel Issues'!$E$5:$E$440,'Fuel Issues'!$A$5:$A$440,"&gt;="&amp;$A6,'Fuel Issues'!$A$5:$A$440,"&lt;"&amp;DATE(YEAR($A6),MONTH($A6)+1,1))</f>
        <v>2455</v>
      </c>
      <c r="D6" s="8">
        <f>COUNTIFS('Fuel Issues'!$A$5:$A$440,"&gt;="&amp;$A6,'Fuel Issues'!$A$5:$A$440,"&lt;"&amp;DATE(YEAR($A6),MONTH($A6)+1,1))</f>
        <v>72</v>
      </c>
      <c r="E6" s="8">
        <v>22</v>
      </c>
      <c r="F6" s="8">
        <v>11</v>
      </c>
      <c r="G6" s="8">
        <f>COUNTIFS('Allocation Register'!$D$5:$D$42,$A6)</f>
        <v>10</v>
      </c>
      <c r="H6" s="8">
        <f>SUM($G$5:$G6)</f>
        <v>11</v>
      </c>
      <c r="I6" s="14">
        <f>IFERROR($C6/$D6,"")</f>
        <v>34.097222222222221</v>
      </c>
      <c r="J6" s="15">
        <f>IFERROR($C6/SUM($C$5:$C$8),"")</f>
        <v>0.13340216269086563</v>
      </c>
    </row>
    <row r="7" spans="1:10" x14ac:dyDescent="0.3">
      <c r="A7" s="5">
        <v>46204</v>
      </c>
      <c r="B7" s="8">
        <f>SUMIFS(Receipts!$D$5:$D$37,Receipts!$A$5:$A$37,"&gt;="&amp;$A7,Receipts!$A$5:$A$37,"&lt;"&amp;DATE(YEAR($A7),MONTH($A7)+1,1))</f>
        <v>13671</v>
      </c>
      <c r="C7" s="8">
        <f>SUMIFS('Fuel Issues'!$E$5:$E$440,'Fuel Issues'!$A$5:$A$440,"&gt;="&amp;$A7,'Fuel Issues'!$A$5:$A$440,"&lt;"&amp;DATE(YEAR($A7),MONTH($A7)+1,1))</f>
        <v>13053</v>
      </c>
      <c r="D7" s="8">
        <f>COUNTIFS('Fuel Issues'!$A$5:$A$440,"&gt;="&amp;$A7,'Fuel Issues'!$A$5:$A$440,"&lt;"&amp;DATE(YEAR($A7),MONTH($A7)+1,1))</f>
        <v>312</v>
      </c>
      <c r="E7" s="8">
        <v>30</v>
      </c>
      <c r="F7" s="8">
        <v>34</v>
      </c>
      <c r="G7" s="8">
        <f>COUNTIFS('Allocation Register'!$D$5:$D$42,$A7)</f>
        <v>24</v>
      </c>
      <c r="H7" s="8">
        <f>SUM($G$5:$G7)</f>
        <v>35</v>
      </c>
      <c r="I7" s="14">
        <f>IFERROR($C7/$D7,"")</f>
        <v>41.83653846153846</v>
      </c>
      <c r="J7" s="15">
        <f>IFERROR($C7/SUM($C$5:$C$8),"")</f>
        <v>0.70928652937021142</v>
      </c>
    </row>
    <row r="8" spans="1:10" x14ac:dyDescent="0.3">
      <c r="A8" s="5">
        <v>46235</v>
      </c>
      <c r="B8" s="8">
        <f>SUMIFS(Receipts!$D$5:$D$37,Receipts!$A$5:$A$37,"&gt;="&amp;$A8,Receipts!$A$5:$A$37,"&lt;"&amp;DATE(YEAR($A8),MONTH($A8)+1,1))</f>
        <v>0</v>
      </c>
      <c r="C8" s="8">
        <f>SUMIFS('Fuel Issues'!$E$5:$E$440,'Fuel Issues'!$A$5:$A$440,"&gt;="&amp;$A8,'Fuel Issues'!$A$5:$A$440,"&lt;"&amp;DATE(YEAR($A8),MONTH($A8)+1,1))</f>
        <v>2655</v>
      </c>
      <c r="D8" s="8">
        <f>COUNTIFS('Fuel Issues'!$A$5:$A$440,"&gt;="&amp;$A8,'Fuel Issues'!$A$5:$A$440,"&lt;"&amp;DATE(YEAR($A8),MONTH($A8)+1,1))</f>
        <v>47</v>
      </c>
      <c r="E8" s="8">
        <v>5</v>
      </c>
      <c r="F8" s="8">
        <v>21</v>
      </c>
      <c r="G8" s="8">
        <f>COUNTIFS('Allocation Register'!$D$5:$D$42,$A8)</f>
        <v>3</v>
      </c>
      <c r="H8" s="8">
        <f>SUM($G$5:$G8)</f>
        <v>38</v>
      </c>
      <c r="I8" s="14">
        <f>IFERROR($C8/$D8,"")</f>
        <v>56.48936170212766</v>
      </c>
      <c r="J8" s="15">
        <f>IFERROR($C8/SUM($C$5:$C$8),"")</f>
        <v>0.14426995598543715</v>
      </c>
    </row>
    <row r="9" spans="1:10" x14ac:dyDescent="0.3">
      <c r="A9" s="11" t="s">
        <v>64</v>
      </c>
      <c r="B9" s="16">
        <f>SUM(B5:B8)</f>
        <v>16836</v>
      </c>
      <c r="C9" s="16">
        <f>SUM(C5:C8)</f>
        <v>18403</v>
      </c>
      <c r="D9" s="16">
        <f>SUM(D5:D8)</f>
        <v>436</v>
      </c>
      <c r="E9" s="16">
        <f>SUM(E5:E8)</f>
        <v>62</v>
      </c>
      <c r="F9" s="10"/>
      <c r="G9" s="16">
        <f>SUM(G5:G8)</f>
        <v>38</v>
      </c>
      <c r="H9" s="10"/>
      <c r="I9" s="10"/>
      <c r="J9" s="17">
        <f>SUM(J5:J8)</f>
        <v>1</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9"/>
  <sheetViews>
    <sheetView showGridLines="0" zoomScaleNormal="100" workbookViewId="0"/>
  </sheetViews>
  <sheetFormatPr defaultColWidth="8.6640625" defaultRowHeight="14.4" x14ac:dyDescent="0.3"/>
  <cols>
    <col min="1" max="1" width="5" customWidth="1"/>
    <col min="2" max="2" width="18" customWidth="1"/>
    <col min="3" max="3" width="14" customWidth="1"/>
    <col min="4" max="4" width="8" customWidth="1"/>
    <col min="5" max="5" width="18" customWidth="1"/>
    <col min="6" max="6" width="20" customWidth="1"/>
  </cols>
  <sheetData>
    <row r="1" spans="1:6" ht="17.399999999999999" x14ac:dyDescent="0.3">
      <c r="A1" s="1" t="s">
        <v>111</v>
      </c>
    </row>
    <row r="2" spans="1:6" x14ac:dyDescent="0.3">
      <c r="A2" s="2" t="s">
        <v>112</v>
      </c>
    </row>
    <row r="4" spans="1:6" x14ac:dyDescent="0.3">
      <c r="A4" s="18" t="s">
        <v>113</v>
      </c>
      <c r="B4" s="19"/>
      <c r="C4" s="19"/>
      <c r="D4" s="19"/>
      <c r="E4" s="19"/>
      <c r="F4" s="19"/>
    </row>
    <row r="5" spans="1:6" ht="24" x14ac:dyDescent="0.3">
      <c r="A5" s="20" t="s">
        <v>81</v>
      </c>
      <c r="B5" s="20" t="s">
        <v>4</v>
      </c>
      <c r="C5" s="20" t="s">
        <v>114</v>
      </c>
      <c r="D5" s="20" t="s">
        <v>115</v>
      </c>
      <c r="E5" s="20" t="s">
        <v>116</v>
      </c>
      <c r="F5" s="20" t="s">
        <v>117</v>
      </c>
    </row>
    <row r="6" spans="1:6" x14ac:dyDescent="0.3">
      <c r="A6" s="9">
        <v>1</v>
      </c>
      <c r="B6" s="6" t="s">
        <v>8</v>
      </c>
      <c r="C6" s="4">
        <v>46153</v>
      </c>
      <c r="D6" s="9" t="str">
        <f>TEXT($C6,"DDD")</f>
        <v>Mon</v>
      </c>
      <c r="E6" s="8">
        <f>SUMIFS('Fuel Issues'!$E$5:$E$440,'Fuel Issues'!$C$5:$C$440,$B6,'Fuel Issues'!$A$5:$A$440,"&gt;="&amp;DATE(YEAR($C6),MONTH($C6),1),'Fuel Issues'!$A$5:$A$440,"&lt;"&amp;DATE(YEAR($C6),MONTH($C6)+1,1))</f>
        <v>240</v>
      </c>
      <c r="F6" s="8">
        <f>SUMIFS('Fuel Issues'!$E$5:$E$440,'Fuel Issues'!$C$5:$C$440,$B6)</f>
        <v>576</v>
      </c>
    </row>
    <row r="7" spans="1:6" x14ac:dyDescent="0.3">
      <c r="A7" s="21"/>
      <c r="B7" s="22" t="s">
        <v>118</v>
      </c>
      <c r="C7" s="21"/>
      <c r="D7" s="21"/>
      <c r="E7" s="23">
        <f>SUM(E6:E6)</f>
        <v>240</v>
      </c>
      <c r="F7" s="23">
        <f>SUM(F6:F6)</f>
        <v>576</v>
      </c>
    </row>
    <row r="10" spans="1:6" x14ac:dyDescent="0.3">
      <c r="A10" s="18" t="s">
        <v>119</v>
      </c>
      <c r="B10" s="19"/>
      <c r="C10" s="19"/>
      <c r="D10" s="19"/>
      <c r="E10" s="19"/>
      <c r="F10" s="19"/>
    </row>
    <row r="11" spans="1:6" ht="24" x14ac:dyDescent="0.3">
      <c r="A11" s="20" t="s">
        <v>81</v>
      </c>
      <c r="B11" s="20" t="s">
        <v>4</v>
      </c>
      <c r="C11" s="20" t="s">
        <v>114</v>
      </c>
      <c r="D11" s="20" t="s">
        <v>115</v>
      </c>
      <c r="E11" s="20" t="s">
        <v>116</v>
      </c>
      <c r="F11" s="20" t="s">
        <v>117</v>
      </c>
    </row>
    <row r="12" spans="1:6" x14ac:dyDescent="0.3">
      <c r="A12" s="9">
        <v>1</v>
      </c>
      <c r="B12" s="6" t="s">
        <v>11</v>
      </c>
      <c r="C12" s="4">
        <v>46177</v>
      </c>
      <c r="D12" s="9" t="str">
        <f t="shared" ref="D12:D21" si="0">TEXT($C12,"DDD")</f>
        <v>Thu</v>
      </c>
      <c r="E12" s="8">
        <f>SUMIFS('Fuel Issues'!$E$5:$E$440,'Fuel Issues'!$C$5:$C$440,$B12,'Fuel Issues'!$A$5:$A$440,"&gt;="&amp;DATE(YEAR($C12),MONTH($C12),1),'Fuel Issues'!$A$5:$A$440,"&lt;"&amp;DATE(YEAR($C12),MONTH($C12)+1,1))</f>
        <v>80</v>
      </c>
      <c r="F12" s="8">
        <f>SUMIFS('Fuel Issues'!$E$5:$E$440,'Fuel Issues'!$C$5:$C$440,$B12)</f>
        <v>80</v>
      </c>
    </row>
    <row r="13" spans="1:6" x14ac:dyDescent="0.3">
      <c r="A13" s="9">
        <v>2</v>
      </c>
      <c r="B13" s="6" t="s">
        <v>13</v>
      </c>
      <c r="C13" s="4">
        <v>46179</v>
      </c>
      <c r="D13" s="9" t="str">
        <f t="shared" si="0"/>
        <v>Sat</v>
      </c>
      <c r="E13" s="8">
        <f>SUMIFS('Fuel Issues'!$E$5:$E$440,'Fuel Issues'!$C$5:$C$440,$B13,'Fuel Issues'!$A$5:$A$440,"&gt;="&amp;DATE(YEAR($C13),MONTH($C13),1),'Fuel Issues'!$A$5:$A$440,"&lt;"&amp;DATE(YEAR($C13),MONTH($C13)+1,1))</f>
        <v>125</v>
      </c>
      <c r="F13" s="8">
        <f>SUMIFS('Fuel Issues'!$E$5:$E$440,'Fuel Issues'!$C$5:$C$440,$B13)</f>
        <v>393</v>
      </c>
    </row>
    <row r="14" spans="1:6" x14ac:dyDescent="0.3">
      <c r="A14" s="9">
        <v>3</v>
      </c>
      <c r="B14" s="6" t="s">
        <v>14</v>
      </c>
      <c r="C14" s="4">
        <v>46181</v>
      </c>
      <c r="D14" s="9" t="str">
        <f t="shared" si="0"/>
        <v>Mon</v>
      </c>
      <c r="E14" s="8">
        <f>SUMIFS('Fuel Issues'!$E$5:$E$440,'Fuel Issues'!$C$5:$C$440,$B14,'Fuel Issues'!$A$5:$A$440,"&gt;="&amp;DATE(YEAR($C14),MONTH($C14),1),'Fuel Issues'!$A$5:$A$440,"&lt;"&amp;DATE(YEAR($C14),MONTH($C14)+1,1))</f>
        <v>380</v>
      </c>
      <c r="F14" s="8">
        <f>SUMIFS('Fuel Issues'!$E$5:$E$440,'Fuel Issues'!$C$5:$C$440,$B14)</f>
        <v>1455</v>
      </c>
    </row>
    <row r="15" spans="1:6" x14ac:dyDescent="0.3">
      <c r="A15" s="9">
        <v>4</v>
      </c>
      <c r="B15" s="6" t="s">
        <v>16</v>
      </c>
      <c r="C15" s="4">
        <v>46182</v>
      </c>
      <c r="D15" s="9" t="str">
        <f t="shared" si="0"/>
        <v>Tue</v>
      </c>
      <c r="E15" s="8">
        <f>SUMIFS('Fuel Issues'!$E$5:$E$440,'Fuel Issues'!$C$5:$C$440,$B15,'Fuel Issues'!$A$5:$A$440,"&gt;="&amp;DATE(YEAR($C15),MONTH($C15),1),'Fuel Issues'!$A$5:$A$440,"&lt;"&amp;DATE(YEAR($C15),MONTH($C15)+1,1))</f>
        <v>800</v>
      </c>
      <c r="F15" s="8">
        <f>SUMIFS('Fuel Issues'!$E$5:$E$440,'Fuel Issues'!$C$5:$C$440,$B15)</f>
        <v>2920</v>
      </c>
    </row>
    <row r="16" spans="1:6" x14ac:dyDescent="0.3">
      <c r="A16" s="9">
        <v>5</v>
      </c>
      <c r="B16" s="6" t="s">
        <v>19</v>
      </c>
      <c r="C16" s="4">
        <v>46187</v>
      </c>
      <c r="D16" s="9" t="str">
        <f t="shared" si="0"/>
        <v>Sun</v>
      </c>
      <c r="E16" s="8">
        <f>SUMIFS('Fuel Issues'!$E$5:$E$440,'Fuel Issues'!$C$5:$C$440,$B16,'Fuel Issues'!$A$5:$A$440,"&gt;="&amp;DATE(YEAR($C16),MONTH($C16),1),'Fuel Issues'!$A$5:$A$440,"&lt;"&amp;DATE(YEAR($C16),MONTH($C16)+1,1))</f>
        <v>200</v>
      </c>
      <c r="F16" s="8">
        <f>SUMIFS('Fuel Issues'!$E$5:$E$440,'Fuel Issues'!$C$5:$C$440,$B16)</f>
        <v>330</v>
      </c>
    </row>
    <row r="17" spans="1:6" x14ac:dyDescent="0.3">
      <c r="A17" s="9">
        <v>6</v>
      </c>
      <c r="B17" s="6" t="s">
        <v>20</v>
      </c>
      <c r="C17" s="4">
        <v>46190</v>
      </c>
      <c r="D17" s="9" t="str">
        <f t="shared" si="0"/>
        <v>Wed</v>
      </c>
      <c r="E17" s="8">
        <f>SUMIFS('Fuel Issues'!$E$5:$E$440,'Fuel Issues'!$C$5:$C$440,$B17,'Fuel Issues'!$A$5:$A$440,"&gt;="&amp;DATE(YEAR($C17),MONTH($C17),1),'Fuel Issues'!$A$5:$A$440,"&lt;"&amp;DATE(YEAR($C17),MONTH($C17)+1,1))</f>
        <v>500</v>
      </c>
      <c r="F17" s="8">
        <f>SUMIFS('Fuel Issues'!$E$5:$E$440,'Fuel Issues'!$C$5:$C$440,$B17)</f>
        <v>890</v>
      </c>
    </row>
    <row r="18" spans="1:6" x14ac:dyDescent="0.3">
      <c r="A18" s="9">
        <v>7</v>
      </c>
      <c r="B18" s="6" t="s">
        <v>21</v>
      </c>
      <c r="C18" s="4">
        <v>46193</v>
      </c>
      <c r="D18" s="9" t="str">
        <f t="shared" si="0"/>
        <v>Sat</v>
      </c>
      <c r="E18" s="8">
        <f>SUMIFS('Fuel Issues'!$E$5:$E$440,'Fuel Issues'!$C$5:$C$440,$B18,'Fuel Issues'!$A$5:$A$440,"&gt;="&amp;DATE(YEAR($C18),MONTH($C18),1),'Fuel Issues'!$A$5:$A$440,"&lt;"&amp;DATE(YEAR($C18),MONTH($C18)+1,1))</f>
        <v>110</v>
      </c>
      <c r="F18" s="8">
        <f>SUMIFS('Fuel Issues'!$E$5:$E$440,'Fuel Issues'!$C$5:$C$440,$B18)</f>
        <v>533</v>
      </c>
    </row>
    <row r="19" spans="1:6" x14ac:dyDescent="0.3">
      <c r="A19" s="9">
        <v>8</v>
      </c>
      <c r="B19" s="6" t="s">
        <v>22</v>
      </c>
      <c r="C19" s="4">
        <v>46195</v>
      </c>
      <c r="D19" s="9" t="str">
        <f t="shared" si="0"/>
        <v>Mon</v>
      </c>
      <c r="E19" s="8">
        <f>SUMIFS('Fuel Issues'!$E$5:$E$440,'Fuel Issues'!$C$5:$C$440,$B19,'Fuel Issues'!$A$5:$A$440,"&gt;="&amp;DATE(YEAR($C19),MONTH($C19),1),'Fuel Issues'!$A$5:$A$440,"&lt;"&amp;DATE(YEAR($C19),MONTH($C19)+1,1))</f>
        <v>50</v>
      </c>
      <c r="F19" s="8">
        <f>SUMIFS('Fuel Issues'!$E$5:$E$440,'Fuel Issues'!$C$5:$C$440,$B19)</f>
        <v>350</v>
      </c>
    </row>
    <row r="20" spans="1:6" x14ac:dyDescent="0.3">
      <c r="A20" s="9">
        <v>9</v>
      </c>
      <c r="B20" s="6" t="s">
        <v>23</v>
      </c>
      <c r="C20" s="4">
        <v>46197</v>
      </c>
      <c r="D20" s="9" t="str">
        <f t="shared" si="0"/>
        <v>Wed</v>
      </c>
      <c r="E20" s="8">
        <f>SUMIFS('Fuel Issues'!$E$5:$E$440,'Fuel Issues'!$C$5:$C$440,$B20,'Fuel Issues'!$A$5:$A$440,"&gt;="&amp;DATE(YEAR($C20),MONTH($C20),1),'Fuel Issues'!$A$5:$A$440,"&lt;"&amp;DATE(YEAR($C20),MONTH($C20)+1,1))</f>
        <v>60</v>
      </c>
      <c r="F20" s="8">
        <f>SUMIFS('Fuel Issues'!$E$5:$E$440,'Fuel Issues'!$C$5:$C$440,$B20)</f>
        <v>780</v>
      </c>
    </row>
    <row r="21" spans="1:6" x14ac:dyDescent="0.3">
      <c r="A21" s="9">
        <v>10</v>
      </c>
      <c r="B21" s="6" t="s">
        <v>25</v>
      </c>
      <c r="C21" s="4">
        <v>46200</v>
      </c>
      <c r="D21" s="9" t="str">
        <f t="shared" si="0"/>
        <v>Sat</v>
      </c>
      <c r="E21" s="8">
        <f>SUMIFS('Fuel Issues'!$E$5:$E$440,'Fuel Issues'!$C$5:$C$440,$B21,'Fuel Issues'!$A$5:$A$440,"&gt;="&amp;DATE(YEAR($C21),MONTH($C21),1),'Fuel Issues'!$A$5:$A$440,"&lt;"&amp;DATE(YEAR($C21),MONTH($C21)+1,1))</f>
        <v>20</v>
      </c>
      <c r="F21" s="8">
        <f>SUMIFS('Fuel Issues'!$E$5:$E$440,'Fuel Issues'!$C$5:$C$440,$B21)</f>
        <v>110</v>
      </c>
    </row>
    <row r="22" spans="1:6" x14ac:dyDescent="0.3">
      <c r="A22" s="21"/>
      <c r="B22" s="22" t="s">
        <v>118</v>
      </c>
      <c r="C22" s="21"/>
      <c r="D22" s="21"/>
      <c r="E22" s="23">
        <f>SUM(E12:E21)</f>
        <v>2325</v>
      </c>
      <c r="F22" s="23">
        <f>SUM(F12:F21)</f>
        <v>7841</v>
      </c>
    </row>
    <row r="25" spans="1:6" x14ac:dyDescent="0.3">
      <c r="A25" s="18" t="s">
        <v>120</v>
      </c>
      <c r="B25" s="19"/>
      <c r="C25" s="19"/>
      <c r="D25" s="19"/>
      <c r="E25" s="19"/>
      <c r="F25" s="19"/>
    </row>
    <row r="26" spans="1:6" ht="24" x14ac:dyDescent="0.3">
      <c r="A26" s="20" t="s">
        <v>81</v>
      </c>
      <c r="B26" s="20" t="s">
        <v>4</v>
      </c>
      <c r="C26" s="20" t="s">
        <v>114</v>
      </c>
      <c r="D26" s="20" t="s">
        <v>115</v>
      </c>
      <c r="E26" s="20" t="s">
        <v>116</v>
      </c>
      <c r="F26" s="20" t="s">
        <v>117</v>
      </c>
    </row>
    <row r="27" spans="1:6" x14ac:dyDescent="0.3">
      <c r="A27" s="9">
        <v>1</v>
      </c>
      <c r="B27" s="6" t="s">
        <v>29</v>
      </c>
      <c r="C27" s="4">
        <v>46205</v>
      </c>
      <c r="D27" s="9" t="str">
        <f t="shared" ref="D27:D50" si="1">TEXT($C27,"DDD")</f>
        <v>Thu</v>
      </c>
      <c r="E27" s="8">
        <f>SUMIFS('Fuel Issues'!$E$5:$E$440,'Fuel Issues'!$C$5:$C$440,$B27,'Fuel Issues'!$A$5:$A$440,"&gt;="&amp;DATE(YEAR($C27),MONTH($C27),1),'Fuel Issues'!$A$5:$A$440,"&lt;"&amp;DATE(YEAR($C27),MONTH($C27)+1,1))</f>
        <v>130</v>
      </c>
      <c r="F27" s="8">
        <f>SUMIFS('Fuel Issues'!$E$5:$E$440,'Fuel Issues'!$C$5:$C$440,$B27)</f>
        <v>130</v>
      </c>
    </row>
    <row r="28" spans="1:6" x14ac:dyDescent="0.3">
      <c r="A28" s="9">
        <v>2</v>
      </c>
      <c r="B28" s="6" t="s">
        <v>30</v>
      </c>
      <c r="C28" s="4">
        <v>46208</v>
      </c>
      <c r="D28" s="9" t="str">
        <f t="shared" si="1"/>
        <v>Sun</v>
      </c>
      <c r="E28" s="8">
        <f>SUMIFS('Fuel Issues'!$E$5:$E$440,'Fuel Issues'!$C$5:$C$440,$B28,'Fuel Issues'!$A$5:$A$440,"&gt;="&amp;DATE(YEAR($C28),MONTH($C28),1),'Fuel Issues'!$A$5:$A$440,"&lt;"&amp;DATE(YEAR($C28),MONTH($C28)+1,1))</f>
        <v>1740</v>
      </c>
      <c r="F28" s="8">
        <f>SUMIFS('Fuel Issues'!$E$5:$E$440,'Fuel Issues'!$C$5:$C$440,$B28)</f>
        <v>2090</v>
      </c>
    </row>
    <row r="29" spans="1:6" x14ac:dyDescent="0.3">
      <c r="A29" s="9">
        <v>3</v>
      </c>
      <c r="B29" s="6" t="s">
        <v>31</v>
      </c>
      <c r="C29" s="4">
        <v>46208</v>
      </c>
      <c r="D29" s="9" t="str">
        <f t="shared" si="1"/>
        <v>Sun</v>
      </c>
      <c r="E29" s="8">
        <f>SUMIFS('Fuel Issues'!$E$5:$E$440,'Fuel Issues'!$C$5:$C$440,$B29,'Fuel Issues'!$A$5:$A$440,"&gt;="&amp;DATE(YEAR($C29),MONTH($C29),1),'Fuel Issues'!$A$5:$A$440,"&lt;"&amp;DATE(YEAR($C29),MONTH($C29)+1,1))</f>
        <v>526</v>
      </c>
      <c r="F29" s="8">
        <f>SUMIFS('Fuel Issues'!$E$5:$E$440,'Fuel Issues'!$C$5:$C$440,$B29)</f>
        <v>526</v>
      </c>
    </row>
    <row r="30" spans="1:6" x14ac:dyDescent="0.3">
      <c r="A30" s="9">
        <v>4</v>
      </c>
      <c r="B30" s="6" t="s">
        <v>32</v>
      </c>
      <c r="C30" s="4">
        <v>46209</v>
      </c>
      <c r="D30" s="9" t="str">
        <f t="shared" si="1"/>
        <v>Mon</v>
      </c>
      <c r="E30" s="8">
        <f>SUMIFS('Fuel Issues'!$E$5:$E$440,'Fuel Issues'!$C$5:$C$440,$B30,'Fuel Issues'!$A$5:$A$440,"&gt;="&amp;DATE(YEAR($C30),MONTH($C30),1),'Fuel Issues'!$A$5:$A$440,"&lt;"&amp;DATE(YEAR($C30),MONTH($C30)+1,1))</f>
        <v>191</v>
      </c>
      <c r="F30" s="8">
        <f>SUMIFS('Fuel Issues'!$E$5:$E$440,'Fuel Issues'!$C$5:$C$440,$B30)</f>
        <v>191</v>
      </c>
    </row>
    <row r="31" spans="1:6" x14ac:dyDescent="0.3">
      <c r="A31" s="9">
        <v>5</v>
      </c>
      <c r="B31" s="6" t="s">
        <v>33</v>
      </c>
      <c r="C31" s="4">
        <v>46209</v>
      </c>
      <c r="D31" s="9" t="str">
        <f t="shared" si="1"/>
        <v>Mon</v>
      </c>
      <c r="E31" s="8">
        <f>SUMIFS('Fuel Issues'!$E$5:$E$440,'Fuel Issues'!$C$5:$C$440,$B31,'Fuel Issues'!$A$5:$A$440,"&gt;="&amp;DATE(YEAR($C31),MONTH($C31),1),'Fuel Issues'!$A$5:$A$440,"&lt;"&amp;DATE(YEAR($C31),MONTH($C31)+1,1))</f>
        <v>162</v>
      </c>
      <c r="F31" s="8">
        <f>SUMIFS('Fuel Issues'!$E$5:$E$440,'Fuel Issues'!$C$5:$C$440,$B31)</f>
        <v>162</v>
      </c>
    </row>
    <row r="32" spans="1:6" x14ac:dyDescent="0.3">
      <c r="A32" s="9">
        <v>6</v>
      </c>
      <c r="B32" s="6" t="s">
        <v>34</v>
      </c>
      <c r="C32" s="4">
        <v>46209</v>
      </c>
      <c r="D32" s="9" t="str">
        <f t="shared" si="1"/>
        <v>Mon</v>
      </c>
      <c r="E32" s="8">
        <f>SUMIFS('Fuel Issues'!$E$5:$E$440,'Fuel Issues'!$C$5:$C$440,$B32,'Fuel Issues'!$A$5:$A$440,"&gt;="&amp;DATE(YEAR($C32),MONTH($C32),1),'Fuel Issues'!$A$5:$A$440,"&lt;"&amp;DATE(YEAR($C32),MONTH($C32)+1,1))</f>
        <v>30</v>
      </c>
      <c r="F32" s="8">
        <f>SUMIFS('Fuel Issues'!$E$5:$E$440,'Fuel Issues'!$C$5:$C$440,$B32)</f>
        <v>30</v>
      </c>
    </row>
    <row r="33" spans="1:6" x14ac:dyDescent="0.3">
      <c r="A33" s="9">
        <v>7</v>
      </c>
      <c r="B33" s="6" t="s">
        <v>35</v>
      </c>
      <c r="C33" s="4">
        <v>46209</v>
      </c>
      <c r="D33" s="9" t="str">
        <f t="shared" si="1"/>
        <v>Mon</v>
      </c>
      <c r="E33" s="8">
        <f>SUMIFS('Fuel Issues'!$E$5:$E$440,'Fuel Issues'!$C$5:$C$440,$B33,'Fuel Issues'!$A$5:$A$440,"&gt;="&amp;DATE(YEAR($C33),MONTH($C33),1),'Fuel Issues'!$A$5:$A$440,"&lt;"&amp;DATE(YEAR($C33),MONTH($C33)+1,1))</f>
        <v>384</v>
      </c>
      <c r="F33" s="8">
        <f>SUMIFS('Fuel Issues'!$E$5:$E$440,'Fuel Issues'!$C$5:$C$440,$B33)</f>
        <v>485</v>
      </c>
    </row>
    <row r="34" spans="1:6" x14ac:dyDescent="0.3">
      <c r="A34" s="9">
        <v>8</v>
      </c>
      <c r="B34" s="6" t="s">
        <v>36</v>
      </c>
      <c r="C34" s="4">
        <v>46210</v>
      </c>
      <c r="D34" s="9" t="str">
        <f t="shared" si="1"/>
        <v>Tue</v>
      </c>
      <c r="E34" s="8">
        <f>SUMIFS('Fuel Issues'!$E$5:$E$440,'Fuel Issues'!$C$5:$C$440,$B34,'Fuel Issues'!$A$5:$A$440,"&gt;="&amp;DATE(YEAR($C34),MONTH($C34),1),'Fuel Issues'!$A$5:$A$440,"&lt;"&amp;DATE(YEAR($C34),MONTH($C34)+1,1))</f>
        <v>150</v>
      </c>
      <c r="F34" s="8">
        <f>SUMIFS('Fuel Issues'!$E$5:$E$440,'Fuel Issues'!$C$5:$C$440,$B34)</f>
        <v>170</v>
      </c>
    </row>
    <row r="35" spans="1:6" x14ac:dyDescent="0.3">
      <c r="A35" s="9">
        <v>9</v>
      </c>
      <c r="B35" s="6" t="s">
        <v>37</v>
      </c>
      <c r="C35" s="4">
        <v>46210</v>
      </c>
      <c r="D35" s="9" t="str">
        <f t="shared" si="1"/>
        <v>Tue</v>
      </c>
      <c r="E35" s="8">
        <f>SUMIFS('Fuel Issues'!$E$5:$E$440,'Fuel Issues'!$C$5:$C$440,$B35,'Fuel Issues'!$A$5:$A$440,"&gt;="&amp;DATE(YEAR($C35),MONTH($C35),1),'Fuel Issues'!$A$5:$A$440,"&lt;"&amp;DATE(YEAR($C35),MONTH($C35)+1,1))</f>
        <v>45</v>
      </c>
      <c r="F35" s="8">
        <f>SUMIFS('Fuel Issues'!$E$5:$E$440,'Fuel Issues'!$C$5:$C$440,$B35)</f>
        <v>45</v>
      </c>
    </row>
    <row r="36" spans="1:6" x14ac:dyDescent="0.3">
      <c r="A36" s="9">
        <v>10</v>
      </c>
      <c r="B36" s="6" t="s">
        <v>38</v>
      </c>
      <c r="C36" s="4">
        <v>46211</v>
      </c>
      <c r="D36" s="9" t="str">
        <f t="shared" si="1"/>
        <v>Wed</v>
      </c>
      <c r="E36" s="8">
        <f>SUMIFS('Fuel Issues'!$E$5:$E$440,'Fuel Issues'!$C$5:$C$440,$B36,'Fuel Issues'!$A$5:$A$440,"&gt;="&amp;DATE(YEAR($C36),MONTH($C36),1),'Fuel Issues'!$A$5:$A$440,"&lt;"&amp;DATE(YEAR($C36),MONTH($C36)+1,1))</f>
        <v>241</v>
      </c>
      <c r="F36" s="8">
        <f>SUMIFS('Fuel Issues'!$E$5:$E$440,'Fuel Issues'!$C$5:$C$440,$B36)</f>
        <v>281</v>
      </c>
    </row>
    <row r="37" spans="1:6" x14ac:dyDescent="0.3">
      <c r="A37" s="9">
        <v>11</v>
      </c>
      <c r="B37" s="6" t="s">
        <v>39</v>
      </c>
      <c r="C37" s="4">
        <v>46211</v>
      </c>
      <c r="D37" s="9" t="str">
        <f t="shared" si="1"/>
        <v>Wed</v>
      </c>
      <c r="E37" s="8">
        <f>SUMIFS('Fuel Issues'!$E$5:$E$440,'Fuel Issues'!$C$5:$C$440,$B37,'Fuel Issues'!$A$5:$A$440,"&gt;="&amp;DATE(YEAR($C37),MONTH($C37),1),'Fuel Issues'!$A$5:$A$440,"&lt;"&amp;DATE(YEAR($C37),MONTH($C37)+1,1))</f>
        <v>1620</v>
      </c>
      <c r="F37" s="8">
        <f>SUMIFS('Fuel Issues'!$E$5:$E$440,'Fuel Issues'!$C$5:$C$440,$B37)</f>
        <v>1940</v>
      </c>
    </row>
    <row r="38" spans="1:6" x14ac:dyDescent="0.3">
      <c r="A38" s="9">
        <v>12</v>
      </c>
      <c r="B38" s="6" t="s">
        <v>40</v>
      </c>
      <c r="C38" s="4">
        <v>46212</v>
      </c>
      <c r="D38" s="9" t="str">
        <f t="shared" si="1"/>
        <v>Thu</v>
      </c>
      <c r="E38" s="8">
        <f>SUMIFS('Fuel Issues'!$E$5:$E$440,'Fuel Issues'!$C$5:$C$440,$B38,'Fuel Issues'!$A$5:$A$440,"&gt;="&amp;DATE(YEAR($C38),MONTH($C38),1),'Fuel Issues'!$A$5:$A$440,"&lt;"&amp;DATE(YEAR($C38),MONTH($C38)+1,1))</f>
        <v>195</v>
      </c>
      <c r="F38" s="8">
        <f>SUMIFS('Fuel Issues'!$E$5:$E$440,'Fuel Issues'!$C$5:$C$440,$B38)</f>
        <v>195</v>
      </c>
    </row>
    <row r="39" spans="1:6" x14ac:dyDescent="0.3">
      <c r="A39" s="9">
        <v>13</v>
      </c>
      <c r="B39" s="6" t="s">
        <v>41</v>
      </c>
      <c r="C39" s="4">
        <v>46213</v>
      </c>
      <c r="D39" s="9" t="str">
        <f t="shared" si="1"/>
        <v>Fri</v>
      </c>
      <c r="E39" s="8">
        <f>SUMIFS('Fuel Issues'!$E$5:$E$440,'Fuel Issues'!$C$5:$C$440,$B39,'Fuel Issues'!$A$5:$A$440,"&gt;="&amp;DATE(YEAR($C39),MONTH($C39),1),'Fuel Issues'!$A$5:$A$440,"&lt;"&amp;DATE(YEAR($C39),MONTH($C39)+1,1))</f>
        <v>25</v>
      </c>
      <c r="F39" s="8">
        <f>SUMIFS('Fuel Issues'!$E$5:$E$440,'Fuel Issues'!$C$5:$C$440,$B39)</f>
        <v>35</v>
      </c>
    </row>
    <row r="40" spans="1:6" x14ac:dyDescent="0.3">
      <c r="A40" s="9">
        <v>14</v>
      </c>
      <c r="B40" s="6" t="s">
        <v>43</v>
      </c>
      <c r="C40" s="4">
        <v>46215</v>
      </c>
      <c r="D40" s="9" t="str">
        <f t="shared" si="1"/>
        <v>Sun</v>
      </c>
      <c r="E40" s="8">
        <f>SUMIFS('Fuel Issues'!$E$5:$E$440,'Fuel Issues'!$C$5:$C$440,$B40,'Fuel Issues'!$A$5:$A$440,"&gt;="&amp;DATE(YEAR($C40),MONTH($C40),1),'Fuel Issues'!$A$5:$A$440,"&lt;"&amp;DATE(YEAR($C40),MONTH($C40)+1,1))</f>
        <v>810</v>
      </c>
      <c r="F40" s="8">
        <f>SUMIFS('Fuel Issues'!$E$5:$E$440,'Fuel Issues'!$C$5:$C$440,$B40)</f>
        <v>810</v>
      </c>
    </row>
    <row r="41" spans="1:6" x14ac:dyDescent="0.3">
      <c r="A41" s="9">
        <v>15</v>
      </c>
      <c r="B41" s="6" t="s">
        <v>45</v>
      </c>
      <c r="C41" s="4">
        <v>46220</v>
      </c>
      <c r="D41" s="9" t="str">
        <f t="shared" si="1"/>
        <v>Fri</v>
      </c>
      <c r="E41" s="8">
        <f>SUMIFS('Fuel Issues'!$E$5:$E$440,'Fuel Issues'!$C$5:$C$440,$B41,'Fuel Issues'!$A$5:$A$440,"&gt;="&amp;DATE(YEAR($C41),MONTH($C41),1),'Fuel Issues'!$A$5:$A$440,"&lt;"&amp;DATE(YEAR($C41),MONTH($C41)+1,1))</f>
        <v>30</v>
      </c>
      <c r="F41" s="8">
        <f>SUMIFS('Fuel Issues'!$E$5:$E$440,'Fuel Issues'!$C$5:$C$440,$B41)</f>
        <v>30</v>
      </c>
    </row>
    <row r="42" spans="1:6" x14ac:dyDescent="0.3">
      <c r="A42" s="9">
        <v>16</v>
      </c>
      <c r="B42" s="6" t="s">
        <v>46</v>
      </c>
      <c r="C42" s="4">
        <v>46223</v>
      </c>
      <c r="D42" s="9" t="str">
        <f t="shared" si="1"/>
        <v>Mon</v>
      </c>
      <c r="E42" s="8">
        <f>SUMIFS('Fuel Issues'!$E$5:$E$440,'Fuel Issues'!$C$5:$C$440,$B42,'Fuel Issues'!$A$5:$A$440,"&gt;="&amp;DATE(YEAR($C42),MONTH($C42),1),'Fuel Issues'!$A$5:$A$440,"&lt;"&amp;DATE(YEAR($C42),MONTH($C42)+1,1))</f>
        <v>1140</v>
      </c>
      <c r="F42" s="8">
        <f>SUMIFS('Fuel Issues'!$E$5:$E$440,'Fuel Issues'!$C$5:$C$440,$B42)</f>
        <v>1660</v>
      </c>
    </row>
    <row r="43" spans="1:6" x14ac:dyDescent="0.3">
      <c r="A43" s="9">
        <v>17</v>
      </c>
      <c r="B43" s="6" t="s">
        <v>47</v>
      </c>
      <c r="C43" s="4">
        <v>46223</v>
      </c>
      <c r="D43" s="9" t="str">
        <f t="shared" si="1"/>
        <v>Mon</v>
      </c>
      <c r="E43" s="8">
        <f>SUMIFS('Fuel Issues'!$E$5:$E$440,'Fuel Issues'!$C$5:$C$440,$B43,'Fuel Issues'!$A$5:$A$440,"&gt;="&amp;DATE(YEAR($C43),MONTH($C43),1),'Fuel Issues'!$A$5:$A$440,"&lt;"&amp;DATE(YEAR($C43),MONTH($C43)+1,1))</f>
        <v>150</v>
      </c>
      <c r="F43" s="8">
        <f>SUMIFS('Fuel Issues'!$E$5:$E$440,'Fuel Issues'!$C$5:$C$440,$B43)</f>
        <v>250</v>
      </c>
    </row>
    <row r="44" spans="1:6" x14ac:dyDescent="0.3">
      <c r="A44" s="9">
        <v>18</v>
      </c>
      <c r="B44" s="6" t="s">
        <v>48</v>
      </c>
      <c r="C44" s="4">
        <v>46225</v>
      </c>
      <c r="D44" s="9" t="str">
        <f t="shared" si="1"/>
        <v>Wed</v>
      </c>
      <c r="E44" s="8">
        <f>SUMIFS('Fuel Issues'!$E$5:$E$440,'Fuel Issues'!$C$5:$C$440,$B44,'Fuel Issues'!$A$5:$A$440,"&gt;="&amp;DATE(YEAR($C44),MONTH($C44),1),'Fuel Issues'!$A$5:$A$440,"&lt;"&amp;DATE(YEAR($C44),MONTH($C44)+1,1))</f>
        <v>60</v>
      </c>
      <c r="F44" s="8">
        <f>SUMIFS('Fuel Issues'!$E$5:$E$440,'Fuel Issues'!$C$5:$C$440,$B44)</f>
        <v>60</v>
      </c>
    </row>
    <row r="45" spans="1:6" x14ac:dyDescent="0.3">
      <c r="A45" s="9">
        <v>19</v>
      </c>
      <c r="B45" s="6" t="s">
        <v>49</v>
      </c>
      <c r="C45" s="4">
        <v>46225</v>
      </c>
      <c r="D45" s="9" t="str">
        <f t="shared" si="1"/>
        <v>Wed</v>
      </c>
      <c r="E45" s="8">
        <f>SUMIFS('Fuel Issues'!$E$5:$E$440,'Fuel Issues'!$C$5:$C$440,$B45,'Fuel Issues'!$A$5:$A$440,"&gt;="&amp;DATE(YEAR($C45),MONTH($C45),1),'Fuel Issues'!$A$5:$A$440,"&lt;"&amp;DATE(YEAR($C45),MONTH($C45)+1,1))</f>
        <v>70</v>
      </c>
      <c r="F45" s="8">
        <f>SUMIFS('Fuel Issues'!$E$5:$E$440,'Fuel Issues'!$C$5:$C$440,$B45)</f>
        <v>70</v>
      </c>
    </row>
    <row r="46" spans="1:6" x14ac:dyDescent="0.3">
      <c r="A46" s="9">
        <v>20</v>
      </c>
      <c r="B46" s="6" t="s">
        <v>50</v>
      </c>
      <c r="C46" s="4">
        <v>46225</v>
      </c>
      <c r="D46" s="9" t="str">
        <f t="shared" si="1"/>
        <v>Wed</v>
      </c>
      <c r="E46" s="8">
        <f>SUMIFS('Fuel Issues'!$E$5:$E$440,'Fuel Issues'!$C$5:$C$440,$B46,'Fuel Issues'!$A$5:$A$440,"&gt;="&amp;DATE(YEAR($C46),MONTH($C46),1),'Fuel Issues'!$A$5:$A$440,"&lt;"&amp;DATE(YEAR($C46),MONTH($C46)+1,1))</f>
        <v>141</v>
      </c>
      <c r="F46" s="8">
        <f>SUMIFS('Fuel Issues'!$E$5:$E$440,'Fuel Issues'!$C$5:$C$440,$B46)</f>
        <v>204</v>
      </c>
    </row>
    <row r="47" spans="1:6" x14ac:dyDescent="0.3">
      <c r="A47" s="9">
        <v>21</v>
      </c>
      <c r="B47" s="6" t="s">
        <v>51</v>
      </c>
      <c r="C47" s="4">
        <v>46226</v>
      </c>
      <c r="D47" s="9" t="str">
        <f t="shared" si="1"/>
        <v>Thu</v>
      </c>
      <c r="E47" s="8">
        <f>SUMIFS('Fuel Issues'!$E$5:$E$440,'Fuel Issues'!$C$5:$C$440,$B47,'Fuel Issues'!$A$5:$A$440,"&gt;="&amp;DATE(YEAR($C47),MONTH($C47),1),'Fuel Issues'!$A$5:$A$440,"&lt;"&amp;DATE(YEAR($C47),MONTH($C47)+1,1))</f>
        <v>100</v>
      </c>
      <c r="F47" s="8">
        <f>SUMIFS('Fuel Issues'!$E$5:$E$440,'Fuel Issues'!$C$5:$C$440,$B47)</f>
        <v>120</v>
      </c>
    </row>
    <row r="48" spans="1:6" x14ac:dyDescent="0.3">
      <c r="A48" s="9">
        <v>22</v>
      </c>
      <c r="B48" s="6" t="s">
        <v>52</v>
      </c>
      <c r="C48" s="4">
        <v>46226</v>
      </c>
      <c r="D48" s="9" t="str">
        <f t="shared" si="1"/>
        <v>Thu</v>
      </c>
      <c r="E48" s="8">
        <f>SUMIFS('Fuel Issues'!$E$5:$E$440,'Fuel Issues'!$C$5:$C$440,$B48,'Fuel Issues'!$A$5:$A$440,"&gt;="&amp;DATE(YEAR($C48),MONTH($C48),1),'Fuel Issues'!$A$5:$A$440,"&lt;"&amp;DATE(YEAR($C48),MONTH($C48)+1,1))</f>
        <v>60</v>
      </c>
      <c r="F48" s="8">
        <f>SUMIFS('Fuel Issues'!$E$5:$E$440,'Fuel Issues'!$C$5:$C$440,$B48)</f>
        <v>60</v>
      </c>
    </row>
    <row r="49" spans="1:6" x14ac:dyDescent="0.3">
      <c r="A49" s="9">
        <v>23</v>
      </c>
      <c r="B49" s="6" t="s">
        <v>53</v>
      </c>
      <c r="C49" s="4">
        <v>46229</v>
      </c>
      <c r="D49" s="9" t="str">
        <f t="shared" si="1"/>
        <v>Sun</v>
      </c>
      <c r="E49" s="8">
        <f>SUMIFS('Fuel Issues'!$E$5:$E$440,'Fuel Issues'!$C$5:$C$440,$B49,'Fuel Issues'!$A$5:$A$440,"&gt;="&amp;DATE(YEAR($C49),MONTH($C49),1),'Fuel Issues'!$A$5:$A$440,"&lt;"&amp;DATE(YEAR($C49),MONTH($C49)+1,1))</f>
        <v>10</v>
      </c>
      <c r="F49" s="8">
        <f>SUMIFS('Fuel Issues'!$E$5:$E$440,'Fuel Issues'!$C$5:$C$440,$B49)</f>
        <v>10</v>
      </c>
    </row>
    <row r="50" spans="1:6" x14ac:dyDescent="0.3">
      <c r="A50" s="9">
        <v>24</v>
      </c>
      <c r="B50" s="6" t="s">
        <v>54</v>
      </c>
      <c r="C50" s="4">
        <v>46230</v>
      </c>
      <c r="D50" s="9" t="str">
        <f t="shared" si="1"/>
        <v>Mon</v>
      </c>
      <c r="E50" s="8">
        <f>SUMIFS('Fuel Issues'!$E$5:$E$440,'Fuel Issues'!$C$5:$C$440,$B50,'Fuel Issues'!$A$5:$A$440,"&gt;="&amp;DATE(YEAR($C50),MONTH($C50),1),'Fuel Issues'!$A$5:$A$440,"&lt;"&amp;DATE(YEAR($C50),MONTH($C50)+1,1))</f>
        <v>30</v>
      </c>
      <c r="F50" s="8">
        <f>SUMIFS('Fuel Issues'!$E$5:$E$440,'Fuel Issues'!$C$5:$C$440,$B50)</f>
        <v>150</v>
      </c>
    </row>
    <row r="51" spans="1:6" x14ac:dyDescent="0.3">
      <c r="A51" s="21"/>
      <c r="B51" s="22" t="s">
        <v>118</v>
      </c>
      <c r="C51" s="21"/>
      <c r="D51" s="21"/>
      <c r="E51" s="23">
        <f>SUM(E27:E50)</f>
        <v>8040</v>
      </c>
      <c r="F51" s="23">
        <f>SUM(F27:F50)</f>
        <v>9704</v>
      </c>
    </row>
    <row r="54" spans="1:6" x14ac:dyDescent="0.3">
      <c r="A54" s="18" t="s">
        <v>121</v>
      </c>
      <c r="B54" s="19"/>
      <c r="C54" s="19"/>
      <c r="D54" s="19"/>
      <c r="E54" s="19"/>
      <c r="F54" s="19"/>
    </row>
    <row r="55" spans="1:6" ht="24" x14ac:dyDescent="0.3">
      <c r="A55" s="20" t="s">
        <v>81</v>
      </c>
      <c r="B55" s="20" t="s">
        <v>4</v>
      </c>
      <c r="C55" s="20" t="s">
        <v>114</v>
      </c>
      <c r="D55" s="20" t="s">
        <v>115</v>
      </c>
      <c r="E55" s="20" t="s">
        <v>116</v>
      </c>
      <c r="F55" s="20" t="s">
        <v>117</v>
      </c>
    </row>
    <row r="56" spans="1:6" x14ac:dyDescent="0.3">
      <c r="A56" s="9">
        <v>1</v>
      </c>
      <c r="B56" s="6" t="s">
        <v>61</v>
      </c>
      <c r="C56" s="4">
        <v>46238</v>
      </c>
      <c r="D56" s="9" t="str">
        <f>TEXT($C56,"DDD")</f>
        <v>Tue</v>
      </c>
      <c r="E56" s="8">
        <f>SUMIFS('Fuel Issues'!$E$5:$E$440,'Fuel Issues'!$C$5:$C$440,$B56,'Fuel Issues'!$A$5:$A$440,"&gt;="&amp;DATE(YEAR($C56),MONTH($C56),1),'Fuel Issues'!$A$5:$A$440,"&lt;"&amp;DATE(YEAR($C56),MONTH($C56)+1,1))</f>
        <v>80</v>
      </c>
      <c r="F56" s="8">
        <f>SUMIFS('Fuel Issues'!$E$5:$E$440,'Fuel Issues'!$C$5:$C$440,$B56)</f>
        <v>80</v>
      </c>
    </row>
    <row r="57" spans="1:6" x14ac:dyDescent="0.3">
      <c r="A57" s="9">
        <v>2</v>
      </c>
      <c r="B57" s="6" t="s">
        <v>62</v>
      </c>
      <c r="C57" s="4">
        <v>46239</v>
      </c>
      <c r="D57" s="9" t="str">
        <f>TEXT($C57,"DDD")</f>
        <v>Wed</v>
      </c>
      <c r="E57" s="8">
        <f>SUMIFS('Fuel Issues'!$E$5:$E$440,'Fuel Issues'!$C$5:$C$440,$B57,'Fuel Issues'!$A$5:$A$440,"&gt;="&amp;DATE(YEAR($C57),MONTH($C57),1),'Fuel Issues'!$A$5:$A$440,"&lt;"&amp;DATE(YEAR($C57),MONTH($C57)+1,1))</f>
        <v>172</v>
      </c>
      <c r="F57" s="8">
        <f>SUMIFS('Fuel Issues'!$E$5:$E$440,'Fuel Issues'!$C$5:$C$440,$B57)</f>
        <v>172</v>
      </c>
    </row>
    <row r="58" spans="1:6" x14ac:dyDescent="0.3">
      <c r="A58" s="9">
        <v>3</v>
      </c>
      <c r="B58" s="6" t="s">
        <v>63</v>
      </c>
      <c r="C58" s="4">
        <v>46239</v>
      </c>
      <c r="D58" s="9" t="str">
        <f>TEXT($C58,"DDD")</f>
        <v>Wed</v>
      </c>
      <c r="E58" s="8">
        <f>SUMIFS('Fuel Issues'!$E$5:$E$440,'Fuel Issues'!$C$5:$C$440,$B58,'Fuel Issues'!$A$5:$A$440,"&gt;="&amp;DATE(YEAR($C58),MONTH($C58),1),'Fuel Issues'!$A$5:$A$440,"&lt;"&amp;DATE(YEAR($C58),MONTH($C58)+1,1))</f>
        <v>30</v>
      </c>
      <c r="F58" s="8">
        <f>SUMIFS('Fuel Issues'!$E$5:$E$440,'Fuel Issues'!$C$5:$C$440,$B58)</f>
        <v>30</v>
      </c>
    </row>
    <row r="59" spans="1:6" x14ac:dyDescent="0.3">
      <c r="A59" s="21"/>
      <c r="B59" s="22" t="s">
        <v>118</v>
      </c>
      <c r="C59" s="21"/>
      <c r="D59" s="21"/>
      <c r="E59" s="23">
        <f>SUM(E56:E58)</f>
        <v>282</v>
      </c>
      <c r="F59" s="23">
        <f>SUM(F56:F58)</f>
        <v>282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4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18" customWidth="1"/>
    <col min="2" max="5" width="11" customWidth="1"/>
    <col min="6" max="6" width="12" customWidth="1"/>
    <col min="7" max="7" width="11" customWidth="1"/>
    <col min="8" max="8" width="14" customWidth="1"/>
    <col min="9" max="9" width="10" customWidth="1"/>
  </cols>
  <sheetData>
    <row r="1" spans="1:9" ht="17.399999999999999" x14ac:dyDescent="0.3">
      <c r="A1" s="1" t="s">
        <v>122</v>
      </c>
    </row>
    <row r="2" spans="1:9" x14ac:dyDescent="0.3">
      <c r="A2" s="2" t="s">
        <v>123</v>
      </c>
    </row>
    <row r="4" spans="1:9" ht="30" customHeight="1" x14ac:dyDescent="0.3">
      <c r="A4" s="3" t="s">
        <v>4</v>
      </c>
      <c r="B4" s="3" t="s">
        <v>124</v>
      </c>
      <c r="C4" s="3" t="s">
        <v>125</v>
      </c>
      <c r="D4" s="3" t="s">
        <v>126</v>
      </c>
      <c r="E4" s="3" t="s">
        <v>127</v>
      </c>
      <c r="F4" s="3" t="s">
        <v>128</v>
      </c>
      <c r="G4" s="3" t="s">
        <v>89</v>
      </c>
      <c r="H4" s="3" t="s">
        <v>114</v>
      </c>
      <c r="I4" s="3" t="s">
        <v>129</v>
      </c>
    </row>
    <row r="5" spans="1:9" x14ac:dyDescent="0.3">
      <c r="A5" s="6" t="s">
        <v>16</v>
      </c>
      <c r="B5" s="8" t="str">
        <f>IF(SUMIFS('Fuel Issues'!$E$5:$E$440,'Fuel Issues'!$C$5:$C$440,$A5,'Fuel Issues'!$A$5:$A$440,"&gt;="&amp;DATE(2026,5,1),'Fuel Issues'!$A$5:$A$440,"&lt;"&amp;DATE(2026,6,1))=0,"",SUMIFS('Fuel Issues'!$E$5:$E$440,'Fuel Issues'!$C$5:$C$440,$A5,'Fuel Issues'!$A$5:$A$440,"&gt;="&amp;DATE(2026,5,1),'Fuel Issues'!$A$5:$A$440,"&lt;"&amp;DATE(2026,6,1)))</f>
        <v/>
      </c>
      <c r="C5" s="8">
        <f>IF(SUMIFS('Fuel Issues'!$E$5:$E$440,'Fuel Issues'!$C$5:$C$440,$A5,'Fuel Issues'!$A$5:$A$440,"&gt;="&amp;DATE(2026,6,1),'Fuel Issues'!$A$5:$A$440,"&lt;"&amp;DATE(2026,7,1))=0,"",SUMIFS('Fuel Issues'!$E$5:$E$440,'Fuel Issues'!$C$5:$C$440,$A5,'Fuel Issues'!$A$5:$A$440,"&gt;="&amp;DATE(2026,6,1),'Fuel Issues'!$A$5:$A$440,"&lt;"&amp;DATE(2026,7,1)))</f>
        <v>800</v>
      </c>
      <c r="D5" s="8">
        <f>IF(SUMIFS('Fuel Issues'!$E$5:$E$440,'Fuel Issues'!$C$5:$C$440,$A5,'Fuel Issues'!$A$5:$A$440,"&gt;="&amp;DATE(2026,7,1),'Fuel Issues'!$A$5:$A$440,"&lt;"&amp;DATE(2026,8,1))=0,"",SUMIFS('Fuel Issues'!$E$5:$E$440,'Fuel Issues'!$C$5:$C$440,$A5,'Fuel Issues'!$A$5:$A$440,"&gt;="&amp;DATE(2026,7,1),'Fuel Issues'!$A$5:$A$440,"&lt;"&amp;DATE(2026,8,1)))</f>
        <v>1870</v>
      </c>
      <c r="E5" s="8">
        <f>IF(SUMIFS('Fuel Issues'!$E$5:$E$440,'Fuel Issues'!$C$5:$C$440,$A5,'Fuel Issues'!$A$5:$A$440,"&gt;="&amp;DATE(2026,8,1),'Fuel Issues'!$A$5:$A$440,"&lt;"&amp;DATE(2026,9,1))=0,"",SUMIFS('Fuel Issues'!$E$5:$E$440,'Fuel Issues'!$C$5:$C$440,$A5,'Fuel Issues'!$A$5:$A$440,"&gt;="&amp;DATE(2026,8,1),'Fuel Issues'!$A$5:$A$440,"&lt;"&amp;DATE(2026,9,1)))</f>
        <v>250</v>
      </c>
      <c r="F5" s="8">
        <f>SUMIFS('Fuel Issues'!$E$5:$E$440,'Fuel Issues'!$C$5:$C$440,$A5)</f>
        <v>2920</v>
      </c>
      <c r="G5" s="8">
        <f>COUNTIFS('Fuel Issues'!$C$5:$C$440,$A5)</f>
        <v>44</v>
      </c>
      <c r="H5" s="4">
        <f>_xlfn.MINIFS('Fuel Issues'!$A$5:$A$440,'Fuel Issues'!$C$5:$C$440,$A5)</f>
        <v>46182</v>
      </c>
      <c r="I5" s="15">
        <f t="shared" ref="I5:I42" si="0">IFERROR($F5/SUM($F$5:$F$42),"")</f>
        <v>0.15866978210074445</v>
      </c>
    </row>
    <row r="6" spans="1:9" x14ac:dyDescent="0.3">
      <c r="A6" s="6" t="s">
        <v>30</v>
      </c>
      <c r="B6" s="8" t="str">
        <f>IF(SUMIFS('Fuel Issues'!$E$5:$E$440,'Fuel Issues'!$C$5:$C$440,$A6,'Fuel Issues'!$A$5:$A$440,"&gt;="&amp;DATE(2026,5,1),'Fuel Issues'!$A$5:$A$440,"&lt;"&amp;DATE(2026,6,1))=0,"",SUMIFS('Fuel Issues'!$E$5:$E$440,'Fuel Issues'!$C$5:$C$440,$A6,'Fuel Issues'!$A$5:$A$440,"&gt;="&amp;DATE(2026,5,1),'Fuel Issues'!$A$5:$A$440,"&lt;"&amp;DATE(2026,6,1)))</f>
        <v/>
      </c>
      <c r="C6" s="8" t="str">
        <f>IF(SUMIFS('Fuel Issues'!$E$5:$E$440,'Fuel Issues'!$C$5:$C$440,$A6,'Fuel Issues'!$A$5:$A$440,"&gt;="&amp;DATE(2026,6,1),'Fuel Issues'!$A$5:$A$440,"&lt;"&amp;DATE(2026,7,1))=0,"",SUMIFS('Fuel Issues'!$E$5:$E$440,'Fuel Issues'!$C$5:$C$440,$A6,'Fuel Issues'!$A$5:$A$440,"&gt;="&amp;DATE(2026,6,1),'Fuel Issues'!$A$5:$A$440,"&lt;"&amp;DATE(2026,7,1)))</f>
        <v/>
      </c>
      <c r="D6" s="8">
        <f>IF(SUMIFS('Fuel Issues'!$E$5:$E$440,'Fuel Issues'!$C$5:$C$440,$A6,'Fuel Issues'!$A$5:$A$440,"&gt;="&amp;DATE(2026,7,1),'Fuel Issues'!$A$5:$A$440,"&lt;"&amp;DATE(2026,8,1))=0,"",SUMIFS('Fuel Issues'!$E$5:$E$440,'Fuel Issues'!$C$5:$C$440,$A6,'Fuel Issues'!$A$5:$A$440,"&gt;="&amp;DATE(2026,7,1),'Fuel Issues'!$A$5:$A$440,"&lt;"&amp;DATE(2026,8,1)))</f>
        <v>1740</v>
      </c>
      <c r="E6" s="8">
        <f>IF(SUMIFS('Fuel Issues'!$E$5:$E$440,'Fuel Issues'!$C$5:$C$440,$A6,'Fuel Issues'!$A$5:$A$440,"&gt;="&amp;DATE(2026,8,1),'Fuel Issues'!$A$5:$A$440,"&lt;"&amp;DATE(2026,9,1))=0,"",SUMIFS('Fuel Issues'!$E$5:$E$440,'Fuel Issues'!$C$5:$C$440,$A6,'Fuel Issues'!$A$5:$A$440,"&gt;="&amp;DATE(2026,8,1),'Fuel Issues'!$A$5:$A$440,"&lt;"&amp;DATE(2026,9,1)))</f>
        <v>350</v>
      </c>
      <c r="F6" s="8">
        <f>SUMIFS('Fuel Issues'!$E$5:$E$440,'Fuel Issues'!$C$5:$C$440,$A6)</f>
        <v>2090</v>
      </c>
      <c r="G6" s="8">
        <f>COUNTIFS('Fuel Issues'!$C$5:$C$440,$A6)</f>
        <v>31</v>
      </c>
      <c r="H6" s="4">
        <f>_xlfn.MINIFS('Fuel Issues'!$A$5:$A$440,'Fuel Issues'!$C$5:$C$440,$A6)</f>
        <v>46208</v>
      </c>
      <c r="I6" s="15">
        <f t="shared" si="0"/>
        <v>0.11356843992827256</v>
      </c>
    </row>
    <row r="7" spans="1:9" x14ac:dyDescent="0.3">
      <c r="A7" s="6" t="s">
        <v>39</v>
      </c>
      <c r="B7" s="8" t="str">
        <f>IF(SUMIFS('Fuel Issues'!$E$5:$E$440,'Fuel Issues'!$C$5:$C$440,$A7,'Fuel Issues'!$A$5:$A$440,"&gt;="&amp;DATE(2026,5,1),'Fuel Issues'!$A$5:$A$440,"&lt;"&amp;DATE(2026,6,1))=0,"",SUMIFS('Fuel Issues'!$E$5:$E$440,'Fuel Issues'!$C$5:$C$440,$A7,'Fuel Issues'!$A$5:$A$440,"&gt;="&amp;DATE(2026,5,1),'Fuel Issues'!$A$5:$A$440,"&lt;"&amp;DATE(2026,6,1)))</f>
        <v/>
      </c>
      <c r="C7" s="8" t="str">
        <f>IF(SUMIFS('Fuel Issues'!$E$5:$E$440,'Fuel Issues'!$C$5:$C$440,$A7,'Fuel Issues'!$A$5:$A$440,"&gt;="&amp;DATE(2026,6,1),'Fuel Issues'!$A$5:$A$440,"&lt;"&amp;DATE(2026,7,1))=0,"",SUMIFS('Fuel Issues'!$E$5:$E$440,'Fuel Issues'!$C$5:$C$440,$A7,'Fuel Issues'!$A$5:$A$440,"&gt;="&amp;DATE(2026,6,1),'Fuel Issues'!$A$5:$A$440,"&lt;"&amp;DATE(2026,7,1)))</f>
        <v/>
      </c>
      <c r="D7" s="8">
        <f>IF(SUMIFS('Fuel Issues'!$E$5:$E$440,'Fuel Issues'!$C$5:$C$440,$A7,'Fuel Issues'!$A$5:$A$440,"&gt;="&amp;DATE(2026,7,1),'Fuel Issues'!$A$5:$A$440,"&lt;"&amp;DATE(2026,8,1))=0,"",SUMIFS('Fuel Issues'!$E$5:$E$440,'Fuel Issues'!$C$5:$C$440,$A7,'Fuel Issues'!$A$5:$A$440,"&gt;="&amp;DATE(2026,7,1),'Fuel Issues'!$A$5:$A$440,"&lt;"&amp;DATE(2026,8,1)))</f>
        <v>1620</v>
      </c>
      <c r="E7" s="8">
        <f>IF(SUMIFS('Fuel Issues'!$E$5:$E$440,'Fuel Issues'!$C$5:$C$440,$A7,'Fuel Issues'!$A$5:$A$440,"&gt;="&amp;DATE(2026,8,1),'Fuel Issues'!$A$5:$A$440,"&lt;"&amp;DATE(2026,9,1))=0,"",SUMIFS('Fuel Issues'!$E$5:$E$440,'Fuel Issues'!$C$5:$C$440,$A7,'Fuel Issues'!$A$5:$A$440,"&gt;="&amp;DATE(2026,8,1),'Fuel Issues'!$A$5:$A$440,"&lt;"&amp;DATE(2026,9,1)))</f>
        <v>320</v>
      </c>
      <c r="F7" s="8">
        <f>SUMIFS('Fuel Issues'!$E$5:$E$440,'Fuel Issues'!$C$5:$C$440,$A7)</f>
        <v>1940</v>
      </c>
      <c r="G7" s="8">
        <f>COUNTIFS('Fuel Issues'!$C$5:$C$440,$A7)</f>
        <v>26</v>
      </c>
      <c r="H7" s="4">
        <f>_xlfn.MINIFS('Fuel Issues'!$A$5:$A$440,'Fuel Issues'!$C$5:$C$440,$A7)</f>
        <v>46211</v>
      </c>
      <c r="I7" s="15">
        <f t="shared" si="0"/>
        <v>0.10541759495734392</v>
      </c>
    </row>
    <row r="8" spans="1:9" x14ac:dyDescent="0.3">
      <c r="A8" s="6" t="s">
        <v>46</v>
      </c>
      <c r="B8" s="8" t="str">
        <f>IF(SUMIFS('Fuel Issues'!$E$5:$E$440,'Fuel Issues'!$C$5:$C$440,$A8,'Fuel Issues'!$A$5:$A$440,"&gt;="&amp;DATE(2026,5,1),'Fuel Issues'!$A$5:$A$440,"&lt;"&amp;DATE(2026,6,1))=0,"",SUMIFS('Fuel Issues'!$E$5:$E$440,'Fuel Issues'!$C$5:$C$440,$A8,'Fuel Issues'!$A$5:$A$440,"&gt;="&amp;DATE(2026,5,1),'Fuel Issues'!$A$5:$A$440,"&lt;"&amp;DATE(2026,6,1)))</f>
        <v/>
      </c>
      <c r="C8" s="8" t="str">
        <f>IF(SUMIFS('Fuel Issues'!$E$5:$E$440,'Fuel Issues'!$C$5:$C$440,$A8,'Fuel Issues'!$A$5:$A$440,"&gt;="&amp;DATE(2026,6,1),'Fuel Issues'!$A$5:$A$440,"&lt;"&amp;DATE(2026,7,1))=0,"",SUMIFS('Fuel Issues'!$E$5:$E$440,'Fuel Issues'!$C$5:$C$440,$A8,'Fuel Issues'!$A$5:$A$440,"&gt;="&amp;DATE(2026,6,1),'Fuel Issues'!$A$5:$A$440,"&lt;"&amp;DATE(2026,7,1)))</f>
        <v/>
      </c>
      <c r="D8" s="8">
        <f>IF(SUMIFS('Fuel Issues'!$E$5:$E$440,'Fuel Issues'!$C$5:$C$440,$A8,'Fuel Issues'!$A$5:$A$440,"&gt;="&amp;DATE(2026,7,1),'Fuel Issues'!$A$5:$A$440,"&lt;"&amp;DATE(2026,8,1))=0,"",SUMIFS('Fuel Issues'!$E$5:$E$440,'Fuel Issues'!$C$5:$C$440,$A8,'Fuel Issues'!$A$5:$A$440,"&gt;="&amp;DATE(2026,7,1),'Fuel Issues'!$A$5:$A$440,"&lt;"&amp;DATE(2026,8,1)))</f>
        <v>1140</v>
      </c>
      <c r="E8" s="8">
        <f>IF(SUMIFS('Fuel Issues'!$E$5:$E$440,'Fuel Issues'!$C$5:$C$440,$A8,'Fuel Issues'!$A$5:$A$440,"&gt;="&amp;DATE(2026,8,1),'Fuel Issues'!$A$5:$A$440,"&lt;"&amp;DATE(2026,9,1))=0,"",SUMIFS('Fuel Issues'!$E$5:$E$440,'Fuel Issues'!$C$5:$C$440,$A8,'Fuel Issues'!$A$5:$A$440,"&gt;="&amp;DATE(2026,8,1),'Fuel Issues'!$A$5:$A$440,"&lt;"&amp;DATE(2026,9,1)))</f>
        <v>520</v>
      </c>
      <c r="F8" s="8">
        <f>SUMIFS('Fuel Issues'!$E$5:$E$440,'Fuel Issues'!$C$5:$C$440,$A8)</f>
        <v>1660</v>
      </c>
      <c r="G8" s="8">
        <f>COUNTIFS('Fuel Issues'!$C$5:$C$440,$A8)</f>
        <v>15</v>
      </c>
      <c r="H8" s="4">
        <f>_xlfn.MINIFS('Fuel Issues'!$A$5:$A$440,'Fuel Issues'!$C$5:$C$440,$A8)</f>
        <v>46223</v>
      </c>
      <c r="I8" s="15">
        <f t="shared" si="0"/>
        <v>9.0202684344943759E-2</v>
      </c>
    </row>
    <row r="9" spans="1:9" x14ac:dyDescent="0.3">
      <c r="A9" s="6" t="s">
        <v>14</v>
      </c>
      <c r="B9" s="8" t="str">
        <f>IF(SUMIFS('Fuel Issues'!$E$5:$E$440,'Fuel Issues'!$C$5:$C$440,$A9,'Fuel Issues'!$A$5:$A$440,"&gt;="&amp;DATE(2026,5,1),'Fuel Issues'!$A$5:$A$440,"&lt;"&amp;DATE(2026,6,1))=0,"",SUMIFS('Fuel Issues'!$E$5:$E$440,'Fuel Issues'!$C$5:$C$440,$A9,'Fuel Issues'!$A$5:$A$440,"&gt;="&amp;DATE(2026,5,1),'Fuel Issues'!$A$5:$A$440,"&lt;"&amp;DATE(2026,6,1)))</f>
        <v/>
      </c>
      <c r="C9" s="8">
        <f>IF(SUMIFS('Fuel Issues'!$E$5:$E$440,'Fuel Issues'!$C$5:$C$440,$A9,'Fuel Issues'!$A$5:$A$440,"&gt;="&amp;DATE(2026,6,1),'Fuel Issues'!$A$5:$A$440,"&lt;"&amp;DATE(2026,7,1))=0,"",SUMIFS('Fuel Issues'!$E$5:$E$440,'Fuel Issues'!$C$5:$C$440,$A9,'Fuel Issues'!$A$5:$A$440,"&gt;="&amp;DATE(2026,6,1),'Fuel Issues'!$A$5:$A$440,"&lt;"&amp;DATE(2026,7,1)))</f>
        <v>380</v>
      </c>
      <c r="D9" s="8">
        <f>IF(SUMIFS('Fuel Issues'!$E$5:$E$440,'Fuel Issues'!$C$5:$C$440,$A9,'Fuel Issues'!$A$5:$A$440,"&gt;="&amp;DATE(2026,7,1),'Fuel Issues'!$A$5:$A$440,"&lt;"&amp;DATE(2026,8,1))=0,"",SUMIFS('Fuel Issues'!$E$5:$E$440,'Fuel Issues'!$C$5:$C$440,$A9,'Fuel Issues'!$A$5:$A$440,"&gt;="&amp;DATE(2026,7,1),'Fuel Issues'!$A$5:$A$440,"&lt;"&amp;DATE(2026,8,1)))</f>
        <v>940</v>
      </c>
      <c r="E9" s="8">
        <f>IF(SUMIFS('Fuel Issues'!$E$5:$E$440,'Fuel Issues'!$C$5:$C$440,$A9,'Fuel Issues'!$A$5:$A$440,"&gt;="&amp;DATE(2026,8,1),'Fuel Issues'!$A$5:$A$440,"&lt;"&amp;DATE(2026,9,1))=0,"",SUMIFS('Fuel Issues'!$E$5:$E$440,'Fuel Issues'!$C$5:$C$440,$A9,'Fuel Issues'!$A$5:$A$440,"&gt;="&amp;DATE(2026,8,1),'Fuel Issues'!$A$5:$A$440,"&lt;"&amp;DATE(2026,9,1)))</f>
        <v>135</v>
      </c>
      <c r="F9" s="8">
        <f>SUMIFS('Fuel Issues'!$E$5:$E$440,'Fuel Issues'!$C$5:$C$440,$A9)</f>
        <v>1455</v>
      </c>
      <c r="G9" s="8">
        <f>COUNTIFS('Fuel Issues'!$C$5:$C$440,$A9)</f>
        <v>38</v>
      </c>
      <c r="H9" s="4">
        <f>_xlfn.MINIFS('Fuel Issues'!$A$5:$A$440,'Fuel Issues'!$C$5:$C$440,$A9)</f>
        <v>46181</v>
      </c>
      <c r="I9" s="15">
        <f t="shared" si="0"/>
        <v>7.9063196218007933E-2</v>
      </c>
    </row>
    <row r="10" spans="1:9" x14ac:dyDescent="0.3">
      <c r="A10" s="6" t="s">
        <v>20</v>
      </c>
      <c r="B10" s="8" t="str">
        <f>IF(SUMIFS('Fuel Issues'!$E$5:$E$440,'Fuel Issues'!$C$5:$C$440,$A10,'Fuel Issues'!$A$5:$A$440,"&gt;="&amp;DATE(2026,5,1),'Fuel Issues'!$A$5:$A$440,"&lt;"&amp;DATE(2026,6,1))=0,"",SUMIFS('Fuel Issues'!$E$5:$E$440,'Fuel Issues'!$C$5:$C$440,$A10,'Fuel Issues'!$A$5:$A$440,"&gt;="&amp;DATE(2026,5,1),'Fuel Issues'!$A$5:$A$440,"&lt;"&amp;DATE(2026,6,1)))</f>
        <v/>
      </c>
      <c r="C10" s="8">
        <f>IF(SUMIFS('Fuel Issues'!$E$5:$E$440,'Fuel Issues'!$C$5:$C$440,$A10,'Fuel Issues'!$A$5:$A$440,"&gt;="&amp;DATE(2026,6,1),'Fuel Issues'!$A$5:$A$440,"&lt;"&amp;DATE(2026,7,1))=0,"",SUMIFS('Fuel Issues'!$E$5:$E$440,'Fuel Issues'!$C$5:$C$440,$A10,'Fuel Issues'!$A$5:$A$440,"&gt;="&amp;DATE(2026,6,1),'Fuel Issues'!$A$5:$A$440,"&lt;"&amp;DATE(2026,7,1)))</f>
        <v>500</v>
      </c>
      <c r="D10" s="8">
        <f>IF(SUMIFS('Fuel Issues'!$E$5:$E$440,'Fuel Issues'!$C$5:$C$440,$A10,'Fuel Issues'!$A$5:$A$440,"&gt;="&amp;DATE(2026,7,1),'Fuel Issues'!$A$5:$A$440,"&lt;"&amp;DATE(2026,8,1))=0,"",SUMIFS('Fuel Issues'!$E$5:$E$440,'Fuel Issues'!$C$5:$C$440,$A10,'Fuel Issues'!$A$5:$A$440,"&gt;="&amp;DATE(2026,7,1),'Fuel Issues'!$A$5:$A$440,"&lt;"&amp;DATE(2026,8,1)))</f>
        <v>390</v>
      </c>
      <c r="E10" s="8" t="str">
        <f>IF(SUMIFS('Fuel Issues'!$E$5:$E$440,'Fuel Issues'!$C$5:$C$440,$A10,'Fuel Issues'!$A$5:$A$440,"&gt;="&amp;DATE(2026,8,1),'Fuel Issues'!$A$5:$A$440,"&lt;"&amp;DATE(2026,9,1))=0,"",SUMIFS('Fuel Issues'!$E$5:$E$440,'Fuel Issues'!$C$5:$C$440,$A10,'Fuel Issues'!$A$5:$A$440,"&gt;="&amp;DATE(2026,8,1),'Fuel Issues'!$A$5:$A$440,"&lt;"&amp;DATE(2026,9,1)))</f>
        <v/>
      </c>
      <c r="F10" s="8">
        <f>SUMIFS('Fuel Issues'!$E$5:$E$440,'Fuel Issues'!$C$5:$C$440,$A10)</f>
        <v>890</v>
      </c>
      <c r="G10" s="8">
        <f>COUNTIFS('Fuel Issues'!$C$5:$C$440,$A10)</f>
        <v>14</v>
      </c>
      <c r="H10" s="4">
        <f>_xlfn.MINIFS('Fuel Issues'!$A$5:$A$440,'Fuel Issues'!$C$5:$C$440,$A10)</f>
        <v>46190</v>
      </c>
      <c r="I10" s="15">
        <f t="shared" si="0"/>
        <v>4.8361680160843343E-2</v>
      </c>
    </row>
    <row r="11" spans="1:9" x14ac:dyDescent="0.3">
      <c r="A11" s="6" t="s">
        <v>43</v>
      </c>
      <c r="B11" s="8" t="str">
        <f>IF(SUMIFS('Fuel Issues'!$E$5:$E$440,'Fuel Issues'!$C$5:$C$440,$A11,'Fuel Issues'!$A$5:$A$440,"&gt;="&amp;DATE(2026,5,1),'Fuel Issues'!$A$5:$A$440,"&lt;"&amp;DATE(2026,6,1))=0,"",SUMIFS('Fuel Issues'!$E$5:$E$440,'Fuel Issues'!$C$5:$C$440,$A11,'Fuel Issues'!$A$5:$A$440,"&gt;="&amp;DATE(2026,5,1),'Fuel Issues'!$A$5:$A$440,"&lt;"&amp;DATE(2026,6,1)))</f>
        <v/>
      </c>
      <c r="C11" s="8" t="str">
        <f>IF(SUMIFS('Fuel Issues'!$E$5:$E$440,'Fuel Issues'!$C$5:$C$440,$A11,'Fuel Issues'!$A$5:$A$440,"&gt;="&amp;DATE(2026,6,1),'Fuel Issues'!$A$5:$A$440,"&lt;"&amp;DATE(2026,7,1))=0,"",SUMIFS('Fuel Issues'!$E$5:$E$440,'Fuel Issues'!$C$5:$C$440,$A11,'Fuel Issues'!$A$5:$A$440,"&gt;="&amp;DATE(2026,6,1),'Fuel Issues'!$A$5:$A$440,"&lt;"&amp;DATE(2026,7,1)))</f>
        <v/>
      </c>
      <c r="D11" s="8">
        <f>IF(SUMIFS('Fuel Issues'!$E$5:$E$440,'Fuel Issues'!$C$5:$C$440,$A11,'Fuel Issues'!$A$5:$A$440,"&gt;="&amp;DATE(2026,7,1),'Fuel Issues'!$A$5:$A$440,"&lt;"&amp;DATE(2026,8,1))=0,"",SUMIFS('Fuel Issues'!$E$5:$E$440,'Fuel Issues'!$C$5:$C$440,$A11,'Fuel Issues'!$A$5:$A$440,"&gt;="&amp;DATE(2026,7,1),'Fuel Issues'!$A$5:$A$440,"&lt;"&amp;DATE(2026,8,1)))</f>
        <v>810</v>
      </c>
      <c r="E11" s="8" t="str">
        <f>IF(SUMIFS('Fuel Issues'!$E$5:$E$440,'Fuel Issues'!$C$5:$C$440,$A11,'Fuel Issues'!$A$5:$A$440,"&gt;="&amp;DATE(2026,8,1),'Fuel Issues'!$A$5:$A$440,"&lt;"&amp;DATE(2026,9,1))=0,"",SUMIFS('Fuel Issues'!$E$5:$E$440,'Fuel Issues'!$C$5:$C$440,$A11,'Fuel Issues'!$A$5:$A$440,"&gt;="&amp;DATE(2026,8,1),'Fuel Issues'!$A$5:$A$440,"&lt;"&amp;DATE(2026,9,1)))</f>
        <v/>
      </c>
      <c r="F11" s="8">
        <f>SUMIFS('Fuel Issues'!$E$5:$E$440,'Fuel Issues'!$C$5:$C$440,$A11)</f>
        <v>810</v>
      </c>
      <c r="G11" s="8">
        <f>COUNTIFS('Fuel Issues'!$C$5:$C$440,$A11)</f>
        <v>12</v>
      </c>
      <c r="H11" s="4">
        <f>_xlfn.MINIFS('Fuel Issues'!$A$5:$A$440,'Fuel Issues'!$C$5:$C$440,$A11)</f>
        <v>46215</v>
      </c>
      <c r="I11" s="15">
        <f t="shared" si="0"/>
        <v>4.4014562843014728E-2</v>
      </c>
    </row>
    <row r="12" spans="1:9" x14ac:dyDescent="0.3">
      <c r="A12" s="6" t="s">
        <v>23</v>
      </c>
      <c r="B12" s="8" t="str">
        <f>IF(SUMIFS('Fuel Issues'!$E$5:$E$440,'Fuel Issues'!$C$5:$C$440,$A12,'Fuel Issues'!$A$5:$A$440,"&gt;="&amp;DATE(2026,5,1),'Fuel Issues'!$A$5:$A$440,"&lt;"&amp;DATE(2026,6,1))=0,"",SUMIFS('Fuel Issues'!$E$5:$E$440,'Fuel Issues'!$C$5:$C$440,$A12,'Fuel Issues'!$A$5:$A$440,"&gt;="&amp;DATE(2026,5,1),'Fuel Issues'!$A$5:$A$440,"&lt;"&amp;DATE(2026,6,1)))</f>
        <v/>
      </c>
      <c r="C12" s="8">
        <f>IF(SUMIFS('Fuel Issues'!$E$5:$E$440,'Fuel Issues'!$C$5:$C$440,$A12,'Fuel Issues'!$A$5:$A$440,"&gt;="&amp;DATE(2026,6,1),'Fuel Issues'!$A$5:$A$440,"&lt;"&amp;DATE(2026,7,1))=0,"",SUMIFS('Fuel Issues'!$E$5:$E$440,'Fuel Issues'!$C$5:$C$440,$A12,'Fuel Issues'!$A$5:$A$440,"&gt;="&amp;DATE(2026,6,1),'Fuel Issues'!$A$5:$A$440,"&lt;"&amp;DATE(2026,7,1)))</f>
        <v>60</v>
      </c>
      <c r="D12" s="8">
        <f>IF(SUMIFS('Fuel Issues'!$E$5:$E$440,'Fuel Issues'!$C$5:$C$440,$A12,'Fuel Issues'!$A$5:$A$440,"&gt;="&amp;DATE(2026,7,1),'Fuel Issues'!$A$5:$A$440,"&lt;"&amp;DATE(2026,8,1))=0,"",SUMIFS('Fuel Issues'!$E$5:$E$440,'Fuel Issues'!$C$5:$C$440,$A12,'Fuel Issues'!$A$5:$A$440,"&gt;="&amp;DATE(2026,7,1),'Fuel Issues'!$A$5:$A$440,"&lt;"&amp;DATE(2026,8,1)))</f>
        <v>620</v>
      </c>
      <c r="E12" s="8">
        <f>IF(SUMIFS('Fuel Issues'!$E$5:$E$440,'Fuel Issues'!$C$5:$C$440,$A12,'Fuel Issues'!$A$5:$A$440,"&gt;="&amp;DATE(2026,8,1),'Fuel Issues'!$A$5:$A$440,"&lt;"&amp;DATE(2026,9,1))=0,"",SUMIFS('Fuel Issues'!$E$5:$E$440,'Fuel Issues'!$C$5:$C$440,$A12,'Fuel Issues'!$A$5:$A$440,"&gt;="&amp;DATE(2026,8,1),'Fuel Issues'!$A$5:$A$440,"&lt;"&amp;DATE(2026,9,1)))</f>
        <v>100</v>
      </c>
      <c r="F12" s="8">
        <f>SUMIFS('Fuel Issues'!$E$5:$E$440,'Fuel Issues'!$C$5:$C$440,$A12)</f>
        <v>780</v>
      </c>
      <c r="G12" s="8">
        <f>COUNTIFS('Fuel Issues'!$C$5:$C$440,$A12)</f>
        <v>24</v>
      </c>
      <c r="H12" s="4">
        <f>_xlfn.MINIFS('Fuel Issues'!$A$5:$A$440,'Fuel Issues'!$C$5:$C$440,$A12)</f>
        <v>46197</v>
      </c>
      <c r="I12" s="15">
        <f t="shared" si="0"/>
        <v>4.2384393848828993E-2</v>
      </c>
    </row>
    <row r="13" spans="1:9" x14ac:dyDescent="0.3">
      <c r="A13" s="6" t="s">
        <v>8</v>
      </c>
      <c r="B13" s="8">
        <f>IF(SUMIFS('Fuel Issues'!$E$5:$E$440,'Fuel Issues'!$C$5:$C$440,$A13,'Fuel Issues'!$A$5:$A$440,"&gt;="&amp;DATE(2026,5,1),'Fuel Issues'!$A$5:$A$440,"&lt;"&amp;DATE(2026,6,1))=0,"",SUMIFS('Fuel Issues'!$E$5:$E$440,'Fuel Issues'!$C$5:$C$440,$A13,'Fuel Issues'!$A$5:$A$440,"&gt;="&amp;DATE(2026,5,1),'Fuel Issues'!$A$5:$A$440,"&lt;"&amp;DATE(2026,6,1)))</f>
        <v>240</v>
      </c>
      <c r="C13" s="8">
        <f>IF(SUMIFS('Fuel Issues'!$E$5:$E$440,'Fuel Issues'!$C$5:$C$440,$A13,'Fuel Issues'!$A$5:$A$440,"&gt;="&amp;DATE(2026,6,1),'Fuel Issues'!$A$5:$A$440,"&lt;"&amp;DATE(2026,7,1))=0,"",SUMIFS('Fuel Issues'!$E$5:$E$440,'Fuel Issues'!$C$5:$C$440,$A13,'Fuel Issues'!$A$5:$A$440,"&gt;="&amp;DATE(2026,6,1),'Fuel Issues'!$A$5:$A$440,"&lt;"&amp;DATE(2026,7,1)))</f>
        <v>130</v>
      </c>
      <c r="D13" s="8">
        <f>IF(SUMIFS('Fuel Issues'!$E$5:$E$440,'Fuel Issues'!$C$5:$C$440,$A13,'Fuel Issues'!$A$5:$A$440,"&gt;="&amp;DATE(2026,7,1),'Fuel Issues'!$A$5:$A$440,"&lt;"&amp;DATE(2026,8,1))=0,"",SUMIFS('Fuel Issues'!$E$5:$E$440,'Fuel Issues'!$C$5:$C$440,$A13,'Fuel Issues'!$A$5:$A$440,"&gt;="&amp;DATE(2026,7,1),'Fuel Issues'!$A$5:$A$440,"&lt;"&amp;DATE(2026,8,1)))</f>
        <v>131</v>
      </c>
      <c r="E13" s="8">
        <f>IF(SUMIFS('Fuel Issues'!$E$5:$E$440,'Fuel Issues'!$C$5:$C$440,$A13,'Fuel Issues'!$A$5:$A$440,"&gt;="&amp;DATE(2026,8,1),'Fuel Issues'!$A$5:$A$440,"&lt;"&amp;DATE(2026,9,1))=0,"",SUMIFS('Fuel Issues'!$E$5:$E$440,'Fuel Issues'!$C$5:$C$440,$A13,'Fuel Issues'!$A$5:$A$440,"&gt;="&amp;DATE(2026,8,1),'Fuel Issues'!$A$5:$A$440,"&lt;"&amp;DATE(2026,9,1)))</f>
        <v>75</v>
      </c>
      <c r="F13" s="8">
        <f>SUMIFS('Fuel Issues'!$E$5:$E$440,'Fuel Issues'!$C$5:$C$440,$A13)</f>
        <v>576</v>
      </c>
      <c r="G13" s="8">
        <f>COUNTIFS('Fuel Issues'!$C$5:$C$440,$A13)</f>
        <v>20</v>
      </c>
      <c r="H13" s="4">
        <f>_xlfn.MINIFS('Fuel Issues'!$A$5:$A$440,'Fuel Issues'!$C$5:$C$440,$A13)</f>
        <v>46153</v>
      </c>
      <c r="I13" s="15">
        <f t="shared" si="0"/>
        <v>3.1299244688366028E-2</v>
      </c>
    </row>
    <row r="14" spans="1:9" x14ac:dyDescent="0.3">
      <c r="A14" s="6" t="s">
        <v>21</v>
      </c>
      <c r="B14" s="8" t="str">
        <f>IF(SUMIFS('Fuel Issues'!$E$5:$E$440,'Fuel Issues'!$C$5:$C$440,$A14,'Fuel Issues'!$A$5:$A$440,"&gt;="&amp;DATE(2026,5,1),'Fuel Issues'!$A$5:$A$440,"&lt;"&amp;DATE(2026,6,1))=0,"",SUMIFS('Fuel Issues'!$E$5:$E$440,'Fuel Issues'!$C$5:$C$440,$A14,'Fuel Issues'!$A$5:$A$440,"&gt;="&amp;DATE(2026,5,1),'Fuel Issues'!$A$5:$A$440,"&lt;"&amp;DATE(2026,6,1)))</f>
        <v/>
      </c>
      <c r="C14" s="8">
        <f>IF(SUMIFS('Fuel Issues'!$E$5:$E$440,'Fuel Issues'!$C$5:$C$440,$A14,'Fuel Issues'!$A$5:$A$440,"&gt;="&amp;DATE(2026,6,1),'Fuel Issues'!$A$5:$A$440,"&lt;"&amp;DATE(2026,7,1))=0,"",SUMIFS('Fuel Issues'!$E$5:$E$440,'Fuel Issues'!$C$5:$C$440,$A14,'Fuel Issues'!$A$5:$A$440,"&gt;="&amp;DATE(2026,6,1),'Fuel Issues'!$A$5:$A$440,"&lt;"&amp;DATE(2026,7,1)))</f>
        <v>110</v>
      </c>
      <c r="D14" s="8">
        <f>IF(SUMIFS('Fuel Issues'!$E$5:$E$440,'Fuel Issues'!$C$5:$C$440,$A14,'Fuel Issues'!$A$5:$A$440,"&gt;="&amp;DATE(2026,7,1),'Fuel Issues'!$A$5:$A$440,"&lt;"&amp;DATE(2026,8,1))=0,"",SUMIFS('Fuel Issues'!$E$5:$E$440,'Fuel Issues'!$C$5:$C$440,$A14,'Fuel Issues'!$A$5:$A$440,"&gt;="&amp;DATE(2026,7,1),'Fuel Issues'!$A$5:$A$440,"&lt;"&amp;DATE(2026,8,1)))</f>
        <v>358</v>
      </c>
      <c r="E14" s="8">
        <f>IF(SUMIFS('Fuel Issues'!$E$5:$E$440,'Fuel Issues'!$C$5:$C$440,$A14,'Fuel Issues'!$A$5:$A$440,"&gt;="&amp;DATE(2026,8,1),'Fuel Issues'!$A$5:$A$440,"&lt;"&amp;DATE(2026,9,1))=0,"",SUMIFS('Fuel Issues'!$E$5:$E$440,'Fuel Issues'!$C$5:$C$440,$A14,'Fuel Issues'!$A$5:$A$440,"&gt;="&amp;DATE(2026,8,1),'Fuel Issues'!$A$5:$A$440,"&lt;"&amp;DATE(2026,9,1)))</f>
        <v>65</v>
      </c>
      <c r="F14" s="8">
        <f>SUMIFS('Fuel Issues'!$E$5:$E$440,'Fuel Issues'!$C$5:$C$440,$A14)</f>
        <v>533</v>
      </c>
      <c r="G14" s="8">
        <f>COUNTIFS('Fuel Issues'!$C$5:$C$440,$A14)</f>
        <v>25</v>
      </c>
      <c r="H14" s="4">
        <f>_xlfn.MINIFS('Fuel Issues'!$A$5:$A$440,'Fuel Issues'!$C$5:$C$440,$A14)</f>
        <v>46193</v>
      </c>
      <c r="I14" s="15">
        <f t="shared" si="0"/>
        <v>2.8962669130033147E-2</v>
      </c>
    </row>
    <row r="15" spans="1:9" x14ac:dyDescent="0.3">
      <c r="A15" s="6" t="s">
        <v>31</v>
      </c>
      <c r="B15" s="8" t="str">
        <f>IF(SUMIFS('Fuel Issues'!$E$5:$E$440,'Fuel Issues'!$C$5:$C$440,$A15,'Fuel Issues'!$A$5:$A$440,"&gt;="&amp;DATE(2026,5,1),'Fuel Issues'!$A$5:$A$440,"&lt;"&amp;DATE(2026,6,1))=0,"",SUMIFS('Fuel Issues'!$E$5:$E$440,'Fuel Issues'!$C$5:$C$440,$A15,'Fuel Issues'!$A$5:$A$440,"&gt;="&amp;DATE(2026,5,1),'Fuel Issues'!$A$5:$A$440,"&lt;"&amp;DATE(2026,6,1)))</f>
        <v/>
      </c>
      <c r="C15" s="8" t="str">
        <f>IF(SUMIFS('Fuel Issues'!$E$5:$E$440,'Fuel Issues'!$C$5:$C$440,$A15,'Fuel Issues'!$A$5:$A$440,"&gt;="&amp;DATE(2026,6,1),'Fuel Issues'!$A$5:$A$440,"&lt;"&amp;DATE(2026,7,1))=0,"",SUMIFS('Fuel Issues'!$E$5:$E$440,'Fuel Issues'!$C$5:$C$440,$A15,'Fuel Issues'!$A$5:$A$440,"&gt;="&amp;DATE(2026,6,1),'Fuel Issues'!$A$5:$A$440,"&lt;"&amp;DATE(2026,7,1)))</f>
        <v/>
      </c>
      <c r="D15" s="8">
        <f>IF(SUMIFS('Fuel Issues'!$E$5:$E$440,'Fuel Issues'!$C$5:$C$440,$A15,'Fuel Issues'!$A$5:$A$440,"&gt;="&amp;DATE(2026,7,1),'Fuel Issues'!$A$5:$A$440,"&lt;"&amp;DATE(2026,8,1))=0,"",SUMIFS('Fuel Issues'!$E$5:$E$440,'Fuel Issues'!$C$5:$C$440,$A15,'Fuel Issues'!$A$5:$A$440,"&gt;="&amp;DATE(2026,7,1),'Fuel Issues'!$A$5:$A$440,"&lt;"&amp;DATE(2026,8,1)))</f>
        <v>526</v>
      </c>
      <c r="E15" s="8" t="str">
        <f>IF(SUMIFS('Fuel Issues'!$E$5:$E$440,'Fuel Issues'!$C$5:$C$440,$A15,'Fuel Issues'!$A$5:$A$440,"&gt;="&amp;DATE(2026,8,1),'Fuel Issues'!$A$5:$A$440,"&lt;"&amp;DATE(2026,9,1))=0,"",SUMIFS('Fuel Issues'!$E$5:$E$440,'Fuel Issues'!$C$5:$C$440,$A15,'Fuel Issues'!$A$5:$A$440,"&gt;="&amp;DATE(2026,8,1),'Fuel Issues'!$A$5:$A$440,"&lt;"&amp;DATE(2026,9,1)))</f>
        <v/>
      </c>
      <c r="F15" s="8">
        <f>SUMIFS('Fuel Issues'!$E$5:$E$440,'Fuel Issues'!$C$5:$C$440,$A15)</f>
        <v>526</v>
      </c>
      <c r="G15" s="8">
        <f>COUNTIFS('Fuel Issues'!$C$5:$C$440,$A15)</f>
        <v>19</v>
      </c>
      <c r="H15" s="4">
        <f>_xlfn.MINIFS('Fuel Issues'!$A$5:$A$440,'Fuel Issues'!$C$5:$C$440,$A15)</f>
        <v>46208</v>
      </c>
      <c r="I15" s="15">
        <f t="shared" si="0"/>
        <v>2.8582296364723144E-2</v>
      </c>
    </row>
    <row r="16" spans="1:9" x14ac:dyDescent="0.3">
      <c r="A16" s="6" t="s">
        <v>35</v>
      </c>
      <c r="B16" s="8" t="str">
        <f>IF(SUMIFS('Fuel Issues'!$E$5:$E$440,'Fuel Issues'!$C$5:$C$440,$A16,'Fuel Issues'!$A$5:$A$440,"&gt;="&amp;DATE(2026,5,1),'Fuel Issues'!$A$5:$A$440,"&lt;"&amp;DATE(2026,6,1))=0,"",SUMIFS('Fuel Issues'!$E$5:$E$440,'Fuel Issues'!$C$5:$C$440,$A16,'Fuel Issues'!$A$5:$A$440,"&gt;="&amp;DATE(2026,5,1),'Fuel Issues'!$A$5:$A$440,"&lt;"&amp;DATE(2026,6,1)))</f>
        <v/>
      </c>
      <c r="C16" s="8" t="str">
        <f>IF(SUMIFS('Fuel Issues'!$E$5:$E$440,'Fuel Issues'!$C$5:$C$440,$A16,'Fuel Issues'!$A$5:$A$440,"&gt;="&amp;DATE(2026,6,1),'Fuel Issues'!$A$5:$A$440,"&lt;"&amp;DATE(2026,7,1))=0,"",SUMIFS('Fuel Issues'!$E$5:$E$440,'Fuel Issues'!$C$5:$C$440,$A16,'Fuel Issues'!$A$5:$A$440,"&gt;="&amp;DATE(2026,6,1),'Fuel Issues'!$A$5:$A$440,"&lt;"&amp;DATE(2026,7,1)))</f>
        <v/>
      </c>
      <c r="D16" s="8">
        <f>IF(SUMIFS('Fuel Issues'!$E$5:$E$440,'Fuel Issues'!$C$5:$C$440,$A16,'Fuel Issues'!$A$5:$A$440,"&gt;="&amp;DATE(2026,7,1),'Fuel Issues'!$A$5:$A$440,"&lt;"&amp;DATE(2026,8,1))=0,"",SUMIFS('Fuel Issues'!$E$5:$E$440,'Fuel Issues'!$C$5:$C$440,$A16,'Fuel Issues'!$A$5:$A$440,"&gt;="&amp;DATE(2026,7,1),'Fuel Issues'!$A$5:$A$440,"&lt;"&amp;DATE(2026,8,1)))</f>
        <v>384</v>
      </c>
      <c r="E16" s="8">
        <f>IF(SUMIFS('Fuel Issues'!$E$5:$E$440,'Fuel Issues'!$C$5:$C$440,$A16,'Fuel Issues'!$A$5:$A$440,"&gt;="&amp;DATE(2026,8,1),'Fuel Issues'!$A$5:$A$440,"&lt;"&amp;DATE(2026,9,1))=0,"",SUMIFS('Fuel Issues'!$E$5:$E$440,'Fuel Issues'!$C$5:$C$440,$A16,'Fuel Issues'!$A$5:$A$440,"&gt;="&amp;DATE(2026,8,1),'Fuel Issues'!$A$5:$A$440,"&lt;"&amp;DATE(2026,9,1)))</f>
        <v>101</v>
      </c>
      <c r="F16" s="8">
        <f>SUMIFS('Fuel Issues'!$E$5:$E$440,'Fuel Issues'!$C$5:$C$440,$A16)</f>
        <v>485</v>
      </c>
      <c r="G16" s="8">
        <f>COUNTIFS('Fuel Issues'!$C$5:$C$440,$A16)</f>
        <v>11</v>
      </c>
      <c r="H16" s="4">
        <f>_xlfn.MINIFS('Fuel Issues'!$A$5:$A$440,'Fuel Issues'!$C$5:$C$440,$A16)</f>
        <v>46209</v>
      </c>
      <c r="I16" s="15">
        <f t="shared" si="0"/>
        <v>2.6354398739335979E-2</v>
      </c>
    </row>
    <row r="17" spans="1:9" x14ac:dyDescent="0.3">
      <c r="A17" s="6" t="s">
        <v>13</v>
      </c>
      <c r="B17" s="8" t="str">
        <f>IF(SUMIFS('Fuel Issues'!$E$5:$E$440,'Fuel Issues'!$C$5:$C$440,$A17,'Fuel Issues'!$A$5:$A$440,"&gt;="&amp;DATE(2026,5,1),'Fuel Issues'!$A$5:$A$440,"&lt;"&amp;DATE(2026,6,1))=0,"",SUMIFS('Fuel Issues'!$E$5:$E$440,'Fuel Issues'!$C$5:$C$440,$A17,'Fuel Issues'!$A$5:$A$440,"&gt;="&amp;DATE(2026,5,1),'Fuel Issues'!$A$5:$A$440,"&lt;"&amp;DATE(2026,6,1)))</f>
        <v/>
      </c>
      <c r="C17" s="8">
        <f>IF(SUMIFS('Fuel Issues'!$E$5:$E$440,'Fuel Issues'!$C$5:$C$440,$A17,'Fuel Issues'!$A$5:$A$440,"&gt;="&amp;DATE(2026,6,1),'Fuel Issues'!$A$5:$A$440,"&lt;"&amp;DATE(2026,7,1))=0,"",SUMIFS('Fuel Issues'!$E$5:$E$440,'Fuel Issues'!$C$5:$C$440,$A17,'Fuel Issues'!$A$5:$A$440,"&gt;="&amp;DATE(2026,6,1),'Fuel Issues'!$A$5:$A$440,"&lt;"&amp;DATE(2026,7,1)))</f>
        <v>125</v>
      </c>
      <c r="D17" s="8">
        <f>IF(SUMIFS('Fuel Issues'!$E$5:$E$440,'Fuel Issues'!$C$5:$C$440,$A17,'Fuel Issues'!$A$5:$A$440,"&gt;="&amp;DATE(2026,7,1),'Fuel Issues'!$A$5:$A$440,"&lt;"&amp;DATE(2026,8,1))=0,"",SUMIFS('Fuel Issues'!$E$5:$E$440,'Fuel Issues'!$C$5:$C$440,$A17,'Fuel Issues'!$A$5:$A$440,"&gt;="&amp;DATE(2026,7,1),'Fuel Issues'!$A$5:$A$440,"&lt;"&amp;DATE(2026,8,1)))</f>
        <v>224</v>
      </c>
      <c r="E17" s="8">
        <f>IF(SUMIFS('Fuel Issues'!$E$5:$E$440,'Fuel Issues'!$C$5:$C$440,$A17,'Fuel Issues'!$A$5:$A$440,"&gt;="&amp;DATE(2026,8,1),'Fuel Issues'!$A$5:$A$440,"&lt;"&amp;DATE(2026,9,1))=0,"",SUMIFS('Fuel Issues'!$E$5:$E$440,'Fuel Issues'!$C$5:$C$440,$A17,'Fuel Issues'!$A$5:$A$440,"&gt;="&amp;DATE(2026,8,1),'Fuel Issues'!$A$5:$A$440,"&lt;"&amp;DATE(2026,9,1)))</f>
        <v>44</v>
      </c>
      <c r="F17" s="8">
        <f>SUMIFS('Fuel Issues'!$E$5:$E$440,'Fuel Issues'!$C$5:$C$440,$A17)</f>
        <v>393</v>
      </c>
      <c r="G17" s="8">
        <f>COUNTIFS('Fuel Issues'!$C$5:$C$440,$A17)</f>
        <v>34</v>
      </c>
      <c r="H17" s="4">
        <f>_xlfn.MINIFS('Fuel Issues'!$A$5:$A$440,'Fuel Issues'!$C$5:$C$440,$A17)</f>
        <v>46179</v>
      </c>
      <c r="I17" s="15">
        <f t="shared" si="0"/>
        <v>2.1355213823833069E-2</v>
      </c>
    </row>
    <row r="18" spans="1:9" x14ac:dyDescent="0.3">
      <c r="A18" s="6" t="s">
        <v>22</v>
      </c>
      <c r="B18" s="8" t="str">
        <f>IF(SUMIFS('Fuel Issues'!$E$5:$E$440,'Fuel Issues'!$C$5:$C$440,$A18,'Fuel Issues'!$A$5:$A$440,"&gt;="&amp;DATE(2026,5,1),'Fuel Issues'!$A$5:$A$440,"&lt;"&amp;DATE(2026,6,1))=0,"",SUMIFS('Fuel Issues'!$E$5:$E$440,'Fuel Issues'!$C$5:$C$440,$A18,'Fuel Issues'!$A$5:$A$440,"&gt;="&amp;DATE(2026,5,1),'Fuel Issues'!$A$5:$A$440,"&lt;"&amp;DATE(2026,6,1)))</f>
        <v/>
      </c>
      <c r="C18" s="8">
        <f>IF(SUMIFS('Fuel Issues'!$E$5:$E$440,'Fuel Issues'!$C$5:$C$440,$A18,'Fuel Issues'!$A$5:$A$440,"&gt;="&amp;DATE(2026,6,1),'Fuel Issues'!$A$5:$A$440,"&lt;"&amp;DATE(2026,7,1))=0,"",SUMIFS('Fuel Issues'!$E$5:$E$440,'Fuel Issues'!$C$5:$C$440,$A18,'Fuel Issues'!$A$5:$A$440,"&gt;="&amp;DATE(2026,6,1),'Fuel Issues'!$A$5:$A$440,"&lt;"&amp;DATE(2026,7,1)))</f>
        <v>50</v>
      </c>
      <c r="D18" s="8">
        <f>IF(SUMIFS('Fuel Issues'!$E$5:$E$440,'Fuel Issues'!$C$5:$C$440,$A18,'Fuel Issues'!$A$5:$A$440,"&gt;="&amp;DATE(2026,7,1),'Fuel Issues'!$A$5:$A$440,"&lt;"&amp;DATE(2026,8,1))=0,"",SUMIFS('Fuel Issues'!$E$5:$E$440,'Fuel Issues'!$C$5:$C$440,$A18,'Fuel Issues'!$A$5:$A$440,"&gt;="&amp;DATE(2026,7,1),'Fuel Issues'!$A$5:$A$440,"&lt;"&amp;DATE(2026,8,1)))</f>
        <v>260</v>
      </c>
      <c r="E18" s="8">
        <f>IF(SUMIFS('Fuel Issues'!$E$5:$E$440,'Fuel Issues'!$C$5:$C$440,$A18,'Fuel Issues'!$A$5:$A$440,"&gt;="&amp;DATE(2026,8,1),'Fuel Issues'!$A$5:$A$440,"&lt;"&amp;DATE(2026,9,1))=0,"",SUMIFS('Fuel Issues'!$E$5:$E$440,'Fuel Issues'!$C$5:$C$440,$A18,'Fuel Issues'!$A$5:$A$440,"&gt;="&amp;DATE(2026,8,1),'Fuel Issues'!$A$5:$A$440,"&lt;"&amp;DATE(2026,9,1)))</f>
        <v>40</v>
      </c>
      <c r="F18" s="8">
        <f>SUMIFS('Fuel Issues'!$E$5:$E$440,'Fuel Issues'!$C$5:$C$440,$A18)</f>
        <v>350</v>
      </c>
      <c r="G18" s="8">
        <f>COUNTIFS('Fuel Issues'!$C$5:$C$440,$A18)</f>
        <v>14</v>
      </c>
      <c r="H18" s="4">
        <f>_xlfn.MINIFS('Fuel Issues'!$A$5:$A$440,'Fuel Issues'!$C$5:$C$440,$A18)</f>
        <v>46195</v>
      </c>
      <c r="I18" s="15">
        <f t="shared" si="0"/>
        <v>1.9018638265500189E-2</v>
      </c>
    </row>
    <row r="19" spans="1:9" x14ac:dyDescent="0.3">
      <c r="A19" s="6" t="s">
        <v>19</v>
      </c>
      <c r="B19" s="8" t="str">
        <f>IF(SUMIFS('Fuel Issues'!$E$5:$E$440,'Fuel Issues'!$C$5:$C$440,$A19,'Fuel Issues'!$A$5:$A$440,"&gt;="&amp;DATE(2026,5,1),'Fuel Issues'!$A$5:$A$440,"&lt;"&amp;DATE(2026,6,1))=0,"",SUMIFS('Fuel Issues'!$E$5:$E$440,'Fuel Issues'!$C$5:$C$440,$A19,'Fuel Issues'!$A$5:$A$440,"&gt;="&amp;DATE(2026,5,1),'Fuel Issues'!$A$5:$A$440,"&lt;"&amp;DATE(2026,6,1)))</f>
        <v/>
      </c>
      <c r="C19" s="8">
        <f>IF(SUMIFS('Fuel Issues'!$E$5:$E$440,'Fuel Issues'!$C$5:$C$440,$A19,'Fuel Issues'!$A$5:$A$440,"&gt;="&amp;DATE(2026,6,1),'Fuel Issues'!$A$5:$A$440,"&lt;"&amp;DATE(2026,7,1))=0,"",SUMIFS('Fuel Issues'!$E$5:$E$440,'Fuel Issues'!$C$5:$C$440,$A19,'Fuel Issues'!$A$5:$A$440,"&gt;="&amp;DATE(2026,6,1),'Fuel Issues'!$A$5:$A$440,"&lt;"&amp;DATE(2026,7,1)))</f>
        <v>200</v>
      </c>
      <c r="D19" s="8">
        <f>IF(SUMIFS('Fuel Issues'!$E$5:$E$440,'Fuel Issues'!$C$5:$C$440,$A19,'Fuel Issues'!$A$5:$A$440,"&gt;="&amp;DATE(2026,7,1),'Fuel Issues'!$A$5:$A$440,"&lt;"&amp;DATE(2026,8,1))=0,"",SUMIFS('Fuel Issues'!$E$5:$E$440,'Fuel Issues'!$C$5:$C$440,$A19,'Fuel Issues'!$A$5:$A$440,"&gt;="&amp;DATE(2026,7,1),'Fuel Issues'!$A$5:$A$440,"&lt;"&amp;DATE(2026,8,1)))</f>
        <v>130</v>
      </c>
      <c r="E19" s="8" t="str">
        <f>IF(SUMIFS('Fuel Issues'!$E$5:$E$440,'Fuel Issues'!$C$5:$C$440,$A19,'Fuel Issues'!$A$5:$A$440,"&gt;="&amp;DATE(2026,8,1),'Fuel Issues'!$A$5:$A$440,"&lt;"&amp;DATE(2026,9,1))=0,"",SUMIFS('Fuel Issues'!$E$5:$E$440,'Fuel Issues'!$C$5:$C$440,$A19,'Fuel Issues'!$A$5:$A$440,"&gt;="&amp;DATE(2026,8,1),'Fuel Issues'!$A$5:$A$440,"&lt;"&amp;DATE(2026,9,1)))</f>
        <v/>
      </c>
      <c r="F19" s="8">
        <f>SUMIFS('Fuel Issues'!$E$5:$E$440,'Fuel Issues'!$C$5:$C$440,$A19)</f>
        <v>330</v>
      </c>
      <c r="G19" s="8">
        <f>COUNTIFS('Fuel Issues'!$C$5:$C$440,$A19)</f>
        <v>10</v>
      </c>
      <c r="H19" s="4">
        <f>_xlfn.MINIFS('Fuel Issues'!$A$5:$A$440,'Fuel Issues'!$C$5:$C$440,$A19)</f>
        <v>46187</v>
      </c>
      <c r="I19" s="15">
        <f t="shared" si="0"/>
        <v>1.7931858936043037E-2</v>
      </c>
    </row>
    <row r="20" spans="1:9" x14ac:dyDescent="0.3">
      <c r="A20" s="6" t="s">
        <v>38</v>
      </c>
      <c r="B20" s="8" t="str">
        <f>IF(SUMIFS('Fuel Issues'!$E$5:$E$440,'Fuel Issues'!$C$5:$C$440,$A20,'Fuel Issues'!$A$5:$A$440,"&gt;="&amp;DATE(2026,5,1),'Fuel Issues'!$A$5:$A$440,"&lt;"&amp;DATE(2026,6,1))=0,"",SUMIFS('Fuel Issues'!$E$5:$E$440,'Fuel Issues'!$C$5:$C$440,$A20,'Fuel Issues'!$A$5:$A$440,"&gt;="&amp;DATE(2026,5,1),'Fuel Issues'!$A$5:$A$440,"&lt;"&amp;DATE(2026,6,1)))</f>
        <v/>
      </c>
      <c r="C20" s="8" t="str">
        <f>IF(SUMIFS('Fuel Issues'!$E$5:$E$440,'Fuel Issues'!$C$5:$C$440,$A20,'Fuel Issues'!$A$5:$A$440,"&gt;="&amp;DATE(2026,6,1),'Fuel Issues'!$A$5:$A$440,"&lt;"&amp;DATE(2026,7,1))=0,"",SUMIFS('Fuel Issues'!$E$5:$E$440,'Fuel Issues'!$C$5:$C$440,$A20,'Fuel Issues'!$A$5:$A$440,"&gt;="&amp;DATE(2026,6,1),'Fuel Issues'!$A$5:$A$440,"&lt;"&amp;DATE(2026,7,1)))</f>
        <v/>
      </c>
      <c r="D20" s="8">
        <f>IF(SUMIFS('Fuel Issues'!$E$5:$E$440,'Fuel Issues'!$C$5:$C$440,$A20,'Fuel Issues'!$A$5:$A$440,"&gt;="&amp;DATE(2026,7,1),'Fuel Issues'!$A$5:$A$440,"&lt;"&amp;DATE(2026,8,1))=0,"",SUMIFS('Fuel Issues'!$E$5:$E$440,'Fuel Issues'!$C$5:$C$440,$A20,'Fuel Issues'!$A$5:$A$440,"&gt;="&amp;DATE(2026,7,1),'Fuel Issues'!$A$5:$A$440,"&lt;"&amp;DATE(2026,8,1)))</f>
        <v>241</v>
      </c>
      <c r="E20" s="8">
        <f>IF(SUMIFS('Fuel Issues'!$E$5:$E$440,'Fuel Issues'!$C$5:$C$440,$A20,'Fuel Issues'!$A$5:$A$440,"&gt;="&amp;DATE(2026,8,1),'Fuel Issues'!$A$5:$A$440,"&lt;"&amp;DATE(2026,9,1))=0,"",SUMIFS('Fuel Issues'!$E$5:$E$440,'Fuel Issues'!$C$5:$C$440,$A20,'Fuel Issues'!$A$5:$A$440,"&gt;="&amp;DATE(2026,8,1),'Fuel Issues'!$A$5:$A$440,"&lt;"&amp;DATE(2026,9,1)))</f>
        <v>40</v>
      </c>
      <c r="F20" s="8">
        <f>SUMIFS('Fuel Issues'!$E$5:$E$440,'Fuel Issues'!$C$5:$C$440,$A20)</f>
        <v>281</v>
      </c>
      <c r="G20" s="8">
        <f>COUNTIFS('Fuel Issues'!$C$5:$C$440,$A20)</f>
        <v>14</v>
      </c>
      <c r="H20" s="4">
        <f>_xlfn.MINIFS('Fuel Issues'!$A$5:$A$440,'Fuel Issues'!$C$5:$C$440,$A20)</f>
        <v>46211</v>
      </c>
      <c r="I20" s="15">
        <f t="shared" si="0"/>
        <v>1.5269249578873011E-2</v>
      </c>
    </row>
    <row r="21" spans="1:9" x14ac:dyDescent="0.3">
      <c r="A21" s="6" t="s">
        <v>47</v>
      </c>
      <c r="B21" s="8" t="str">
        <f>IF(SUMIFS('Fuel Issues'!$E$5:$E$440,'Fuel Issues'!$C$5:$C$440,$A21,'Fuel Issues'!$A$5:$A$440,"&gt;="&amp;DATE(2026,5,1),'Fuel Issues'!$A$5:$A$440,"&lt;"&amp;DATE(2026,6,1))=0,"",SUMIFS('Fuel Issues'!$E$5:$E$440,'Fuel Issues'!$C$5:$C$440,$A21,'Fuel Issues'!$A$5:$A$440,"&gt;="&amp;DATE(2026,5,1),'Fuel Issues'!$A$5:$A$440,"&lt;"&amp;DATE(2026,6,1)))</f>
        <v/>
      </c>
      <c r="C21" s="8" t="str">
        <f>IF(SUMIFS('Fuel Issues'!$E$5:$E$440,'Fuel Issues'!$C$5:$C$440,$A21,'Fuel Issues'!$A$5:$A$440,"&gt;="&amp;DATE(2026,6,1),'Fuel Issues'!$A$5:$A$440,"&lt;"&amp;DATE(2026,7,1))=0,"",SUMIFS('Fuel Issues'!$E$5:$E$440,'Fuel Issues'!$C$5:$C$440,$A21,'Fuel Issues'!$A$5:$A$440,"&gt;="&amp;DATE(2026,6,1),'Fuel Issues'!$A$5:$A$440,"&lt;"&amp;DATE(2026,7,1)))</f>
        <v/>
      </c>
      <c r="D21" s="8">
        <f>IF(SUMIFS('Fuel Issues'!$E$5:$E$440,'Fuel Issues'!$C$5:$C$440,$A21,'Fuel Issues'!$A$5:$A$440,"&gt;="&amp;DATE(2026,7,1),'Fuel Issues'!$A$5:$A$440,"&lt;"&amp;DATE(2026,8,1))=0,"",SUMIFS('Fuel Issues'!$E$5:$E$440,'Fuel Issues'!$C$5:$C$440,$A21,'Fuel Issues'!$A$5:$A$440,"&gt;="&amp;DATE(2026,7,1),'Fuel Issues'!$A$5:$A$440,"&lt;"&amp;DATE(2026,8,1)))</f>
        <v>150</v>
      </c>
      <c r="E21" s="8">
        <f>IF(SUMIFS('Fuel Issues'!$E$5:$E$440,'Fuel Issues'!$C$5:$C$440,$A21,'Fuel Issues'!$A$5:$A$440,"&gt;="&amp;DATE(2026,8,1),'Fuel Issues'!$A$5:$A$440,"&lt;"&amp;DATE(2026,9,1))=0,"",SUMIFS('Fuel Issues'!$E$5:$E$440,'Fuel Issues'!$C$5:$C$440,$A21,'Fuel Issues'!$A$5:$A$440,"&gt;="&amp;DATE(2026,8,1),'Fuel Issues'!$A$5:$A$440,"&lt;"&amp;DATE(2026,9,1)))</f>
        <v>100</v>
      </c>
      <c r="F21" s="8">
        <f>SUMIFS('Fuel Issues'!$E$5:$E$440,'Fuel Issues'!$C$5:$C$440,$A21)</f>
        <v>250</v>
      </c>
      <c r="G21" s="8">
        <f>COUNTIFS('Fuel Issues'!$C$5:$C$440,$A21)</f>
        <v>7</v>
      </c>
      <c r="H21" s="4">
        <f>_xlfn.MINIFS('Fuel Issues'!$A$5:$A$440,'Fuel Issues'!$C$5:$C$440,$A21)</f>
        <v>46223</v>
      </c>
      <c r="I21" s="15">
        <f t="shared" si="0"/>
        <v>1.3584741618214421E-2</v>
      </c>
    </row>
    <row r="22" spans="1:9" x14ac:dyDescent="0.3">
      <c r="A22" s="6" t="s">
        <v>50</v>
      </c>
      <c r="B22" s="8" t="str">
        <f>IF(SUMIFS('Fuel Issues'!$E$5:$E$440,'Fuel Issues'!$C$5:$C$440,$A22,'Fuel Issues'!$A$5:$A$440,"&gt;="&amp;DATE(2026,5,1),'Fuel Issues'!$A$5:$A$440,"&lt;"&amp;DATE(2026,6,1))=0,"",SUMIFS('Fuel Issues'!$E$5:$E$440,'Fuel Issues'!$C$5:$C$440,$A22,'Fuel Issues'!$A$5:$A$440,"&gt;="&amp;DATE(2026,5,1),'Fuel Issues'!$A$5:$A$440,"&lt;"&amp;DATE(2026,6,1)))</f>
        <v/>
      </c>
      <c r="C22" s="8" t="str">
        <f>IF(SUMIFS('Fuel Issues'!$E$5:$E$440,'Fuel Issues'!$C$5:$C$440,$A22,'Fuel Issues'!$A$5:$A$440,"&gt;="&amp;DATE(2026,6,1),'Fuel Issues'!$A$5:$A$440,"&lt;"&amp;DATE(2026,7,1))=0,"",SUMIFS('Fuel Issues'!$E$5:$E$440,'Fuel Issues'!$C$5:$C$440,$A22,'Fuel Issues'!$A$5:$A$440,"&gt;="&amp;DATE(2026,6,1),'Fuel Issues'!$A$5:$A$440,"&lt;"&amp;DATE(2026,7,1)))</f>
        <v/>
      </c>
      <c r="D22" s="8">
        <f>IF(SUMIFS('Fuel Issues'!$E$5:$E$440,'Fuel Issues'!$C$5:$C$440,$A22,'Fuel Issues'!$A$5:$A$440,"&gt;="&amp;DATE(2026,7,1),'Fuel Issues'!$A$5:$A$440,"&lt;"&amp;DATE(2026,8,1))=0,"",SUMIFS('Fuel Issues'!$E$5:$E$440,'Fuel Issues'!$C$5:$C$440,$A22,'Fuel Issues'!$A$5:$A$440,"&gt;="&amp;DATE(2026,7,1),'Fuel Issues'!$A$5:$A$440,"&lt;"&amp;DATE(2026,8,1)))</f>
        <v>141</v>
      </c>
      <c r="E22" s="8">
        <f>IF(SUMIFS('Fuel Issues'!$E$5:$E$440,'Fuel Issues'!$C$5:$C$440,$A22,'Fuel Issues'!$A$5:$A$440,"&gt;="&amp;DATE(2026,8,1),'Fuel Issues'!$A$5:$A$440,"&lt;"&amp;DATE(2026,9,1))=0,"",SUMIFS('Fuel Issues'!$E$5:$E$440,'Fuel Issues'!$C$5:$C$440,$A22,'Fuel Issues'!$A$5:$A$440,"&gt;="&amp;DATE(2026,8,1),'Fuel Issues'!$A$5:$A$440,"&lt;"&amp;DATE(2026,9,1)))</f>
        <v>63</v>
      </c>
      <c r="F22" s="8">
        <f>SUMIFS('Fuel Issues'!$E$5:$E$440,'Fuel Issues'!$C$5:$C$440,$A22)</f>
        <v>204</v>
      </c>
      <c r="G22" s="8">
        <f>COUNTIFS('Fuel Issues'!$C$5:$C$440,$A22)</f>
        <v>4</v>
      </c>
      <c r="H22" s="4">
        <f>_xlfn.MINIFS('Fuel Issues'!$A$5:$A$440,'Fuel Issues'!$C$5:$C$440,$A22)</f>
        <v>46225</v>
      </c>
      <c r="I22" s="15">
        <f t="shared" si="0"/>
        <v>1.1085149160462968E-2</v>
      </c>
    </row>
    <row r="23" spans="1:9" x14ac:dyDescent="0.3">
      <c r="A23" s="6" t="s">
        <v>40</v>
      </c>
      <c r="B23" s="8" t="str">
        <f>IF(SUMIFS('Fuel Issues'!$E$5:$E$440,'Fuel Issues'!$C$5:$C$440,$A23,'Fuel Issues'!$A$5:$A$440,"&gt;="&amp;DATE(2026,5,1),'Fuel Issues'!$A$5:$A$440,"&lt;"&amp;DATE(2026,6,1))=0,"",SUMIFS('Fuel Issues'!$E$5:$E$440,'Fuel Issues'!$C$5:$C$440,$A23,'Fuel Issues'!$A$5:$A$440,"&gt;="&amp;DATE(2026,5,1),'Fuel Issues'!$A$5:$A$440,"&lt;"&amp;DATE(2026,6,1)))</f>
        <v/>
      </c>
      <c r="C23" s="8" t="str">
        <f>IF(SUMIFS('Fuel Issues'!$E$5:$E$440,'Fuel Issues'!$C$5:$C$440,$A23,'Fuel Issues'!$A$5:$A$440,"&gt;="&amp;DATE(2026,6,1),'Fuel Issues'!$A$5:$A$440,"&lt;"&amp;DATE(2026,7,1))=0,"",SUMIFS('Fuel Issues'!$E$5:$E$440,'Fuel Issues'!$C$5:$C$440,$A23,'Fuel Issues'!$A$5:$A$440,"&gt;="&amp;DATE(2026,6,1),'Fuel Issues'!$A$5:$A$440,"&lt;"&amp;DATE(2026,7,1)))</f>
        <v/>
      </c>
      <c r="D23" s="8">
        <f>IF(SUMIFS('Fuel Issues'!$E$5:$E$440,'Fuel Issues'!$C$5:$C$440,$A23,'Fuel Issues'!$A$5:$A$440,"&gt;="&amp;DATE(2026,7,1),'Fuel Issues'!$A$5:$A$440,"&lt;"&amp;DATE(2026,8,1))=0,"",SUMIFS('Fuel Issues'!$E$5:$E$440,'Fuel Issues'!$C$5:$C$440,$A23,'Fuel Issues'!$A$5:$A$440,"&gt;="&amp;DATE(2026,7,1),'Fuel Issues'!$A$5:$A$440,"&lt;"&amp;DATE(2026,8,1)))</f>
        <v>195</v>
      </c>
      <c r="E23" s="8" t="str">
        <f>IF(SUMIFS('Fuel Issues'!$E$5:$E$440,'Fuel Issues'!$C$5:$C$440,$A23,'Fuel Issues'!$A$5:$A$440,"&gt;="&amp;DATE(2026,8,1),'Fuel Issues'!$A$5:$A$440,"&lt;"&amp;DATE(2026,9,1))=0,"",SUMIFS('Fuel Issues'!$E$5:$E$440,'Fuel Issues'!$C$5:$C$440,$A23,'Fuel Issues'!$A$5:$A$440,"&gt;="&amp;DATE(2026,8,1),'Fuel Issues'!$A$5:$A$440,"&lt;"&amp;DATE(2026,9,1)))</f>
        <v/>
      </c>
      <c r="F23" s="8">
        <f>SUMIFS('Fuel Issues'!$E$5:$E$440,'Fuel Issues'!$C$5:$C$440,$A23)</f>
        <v>195</v>
      </c>
      <c r="G23" s="8">
        <f>COUNTIFS('Fuel Issues'!$C$5:$C$440,$A23)</f>
        <v>8</v>
      </c>
      <c r="H23" s="4">
        <f>_xlfn.MINIFS('Fuel Issues'!$A$5:$A$440,'Fuel Issues'!$C$5:$C$440,$A23)</f>
        <v>46212</v>
      </c>
      <c r="I23" s="15">
        <f t="shared" si="0"/>
        <v>1.0596098462207248E-2</v>
      </c>
    </row>
    <row r="24" spans="1:9" x14ac:dyDescent="0.3">
      <c r="A24" s="6" t="s">
        <v>32</v>
      </c>
      <c r="B24" s="8" t="str">
        <f>IF(SUMIFS('Fuel Issues'!$E$5:$E$440,'Fuel Issues'!$C$5:$C$440,$A24,'Fuel Issues'!$A$5:$A$440,"&gt;="&amp;DATE(2026,5,1),'Fuel Issues'!$A$5:$A$440,"&lt;"&amp;DATE(2026,6,1))=0,"",SUMIFS('Fuel Issues'!$E$5:$E$440,'Fuel Issues'!$C$5:$C$440,$A24,'Fuel Issues'!$A$5:$A$440,"&gt;="&amp;DATE(2026,5,1),'Fuel Issues'!$A$5:$A$440,"&lt;"&amp;DATE(2026,6,1)))</f>
        <v/>
      </c>
      <c r="C24" s="8" t="str">
        <f>IF(SUMIFS('Fuel Issues'!$E$5:$E$440,'Fuel Issues'!$C$5:$C$440,$A24,'Fuel Issues'!$A$5:$A$440,"&gt;="&amp;DATE(2026,6,1),'Fuel Issues'!$A$5:$A$440,"&lt;"&amp;DATE(2026,7,1))=0,"",SUMIFS('Fuel Issues'!$E$5:$E$440,'Fuel Issues'!$C$5:$C$440,$A24,'Fuel Issues'!$A$5:$A$440,"&gt;="&amp;DATE(2026,6,1),'Fuel Issues'!$A$5:$A$440,"&lt;"&amp;DATE(2026,7,1)))</f>
        <v/>
      </c>
      <c r="D24" s="8">
        <f>IF(SUMIFS('Fuel Issues'!$E$5:$E$440,'Fuel Issues'!$C$5:$C$440,$A24,'Fuel Issues'!$A$5:$A$440,"&gt;="&amp;DATE(2026,7,1),'Fuel Issues'!$A$5:$A$440,"&lt;"&amp;DATE(2026,8,1))=0,"",SUMIFS('Fuel Issues'!$E$5:$E$440,'Fuel Issues'!$C$5:$C$440,$A24,'Fuel Issues'!$A$5:$A$440,"&gt;="&amp;DATE(2026,7,1),'Fuel Issues'!$A$5:$A$440,"&lt;"&amp;DATE(2026,8,1)))</f>
        <v>191</v>
      </c>
      <c r="E24" s="8" t="str">
        <f>IF(SUMIFS('Fuel Issues'!$E$5:$E$440,'Fuel Issues'!$C$5:$C$440,$A24,'Fuel Issues'!$A$5:$A$440,"&gt;="&amp;DATE(2026,8,1),'Fuel Issues'!$A$5:$A$440,"&lt;"&amp;DATE(2026,9,1))=0,"",SUMIFS('Fuel Issues'!$E$5:$E$440,'Fuel Issues'!$C$5:$C$440,$A24,'Fuel Issues'!$A$5:$A$440,"&gt;="&amp;DATE(2026,8,1),'Fuel Issues'!$A$5:$A$440,"&lt;"&amp;DATE(2026,9,1)))</f>
        <v/>
      </c>
      <c r="F24" s="8">
        <f>SUMIFS('Fuel Issues'!$E$5:$E$440,'Fuel Issues'!$C$5:$C$440,$A24)</f>
        <v>191</v>
      </c>
      <c r="G24" s="8">
        <f>COUNTIFS('Fuel Issues'!$C$5:$C$440,$A24)</f>
        <v>6</v>
      </c>
      <c r="H24" s="4">
        <f>_xlfn.MINIFS('Fuel Issues'!$A$5:$A$440,'Fuel Issues'!$C$5:$C$440,$A24)</f>
        <v>46209</v>
      </c>
      <c r="I24" s="15">
        <f t="shared" si="0"/>
        <v>1.0378742596315818E-2</v>
      </c>
    </row>
    <row r="25" spans="1:9" x14ac:dyDescent="0.3">
      <c r="A25" s="6" t="s">
        <v>62</v>
      </c>
      <c r="B25" s="8" t="str">
        <f>IF(SUMIFS('Fuel Issues'!$E$5:$E$440,'Fuel Issues'!$C$5:$C$440,$A25,'Fuel Issues'!$A$5:$A$440,"&gt;="&amp;DATE(2026,5,1),'Fuel Issues'!$A$5:$A$440,"&lt;"&amp;DATE(2026,6,1))=0,"",SUMIFS('Fuel Issues'!$E$5:$E$440,'Fuel Issues'!$C$5:$C$440,$A25,'Fuel Issues'!$A$5:$A$440,"&gt;="&amp;DATE(2026,5,1),'Fuel Issues'!$A$5:$A$440,"&lt;"&amp;DATE(2026,6,1)))</f>
        <v/>
      </c>
      <c r="C25" s="8" t="str">
        <f>IF(SUMIFS('Fuel Issues'!$E$5:$E$440,'Fuel Issues'!$C$5:$C$440,$A25,'Fuel Issues'!$A$5:$A$440,"&gt;="&amp;DATE(2026,6,1),'Fuel Issues'!$A$5:$A$440,"&lt;"&amp;DATE(2026,7,1))=0,"",SUMIFS('Fuel Issues'!$E$5:$E$440,'Fuel Issues'!$C$5:$C$440,$A25,'Fuel Issues'!$A$5:$A$440,"&gt;="&amp;DATE(2026,6,1),'Fuel Issues'!$A$5:$A$440,"&lt;"&amp;DATE(2026,7,1)))</f>
        <v/>
      </c>
      <c r="D25" s="8" t="str">
        <f>IF(SUMIFS('Fuel Issues'!$E$5:$E$440,'Fuel Issues'!$C$5:$C$440,$A25,'Fuel Issues'!$A$5:$A$440,"&gt;="&amp;DATE(2026,7,1),'Fuel Issues'!$A$5:$A$440,"&lt;"&amp;DATE(2026,8,1))=0,"",SUMIFS('Fuel Issues'!$E$5:$E$440,'Fuel Issues'!$C$5:$C$440,$A25,'Fuel Issues'!$A$5:$A$440,"&gt;="&amp;DATE(2026,7,1),'Fuel Issues'!$A$5:$A$440,"&lt;"&amp;DATE(2026,8,1)))</f>
        <v/>
      </c>
      <c r="E25" s="8">
        <f>IF(SUMIFS('Fuel Issues'!$E$5:$E$440,'Fuel Issues'!$C$5:$C$440,$A25,'Fuel Issues'!$A$5:$A$440,"&gt;="&amp;DATE(2026,8,1),'Fuel Issues'!$A$5:$A$440,"&lt;"&amp;DATE(2026,9,1))=0,"",SUMIFS('Fuel Issues'!$E$5:$E$440,'Fuel Issues'!$C$5:$C$440,$A25,'Fuel Issues'!$A$5:$A$440,"&gt;="&amp;DATE(2026,8,1),'Fuel Issues'!$A$5:$A$440,"&lt;"&amp;DATE(2026,9,1)))</f>
        <v>172</v>
      </c>
      <c r="F25" s="8">
        <f>SUMIFS('Fuel Issues'!$E$5:$E$440,'Fuel Issues'!$C$5:$C$440,$A25)</f>
        <v>172</v>
      </c>
      <c r="G25" s="8">
        <f>COUNTIFS('Fuel Issues'!$C$5:$C$440,$A25)</f>
        <v>1</v>
      </c>
      <c r="H25" s="4">
        <f>_xlfn.MINIFS('Fuel Issues'!$A$5:$A$440,'Fuel Issues'!$C$5:$C$440,$A25)</f>
        <v>46239</v>
      </c>
      <c r="I25" s="15">
        <f t="shared" si="0"/>
        <v>9.3463022333315215E-3</v>
      </c>
    </row>
    <row r="26" spans="1:9" x14ac:dyDescent="0.3">
      <c r="A26" s="6" t="s">
        <v>36</v>
      </c>
      <c r="B26" s="8" t="str">
        <f>IF(SUMIFS('Fuel Issues'!$E$5:$E$440,'Fuel Issues'!$C$5:$C$440,$A26,'Fuel Issues'!$A$5:$A$440,"&gt;="&amp;DATE(2026,5,1),'Fuel Issues'!$A$5:$A$440,"&lt;"&amp;DATE(2026,6,1))=0,"",SUMIFS('Fuel Issues'!$E$5:$E$440,'Fuel Issues'!$C$5:$C$440,$A26,'Fuel Issues'!$A$5:$A$440,"&gt;="&amp;DATE(2026,5,1),'Fuel Issues'!$A$5:$A$440,"&lt;"&amp;DATE(2026,6,1)))</f>
        <v/>
      </c>
      <c r="C26" s="8" t="str">
        <f>IF(SUMIFS('Fuel Issues'!$E$5:$E$440,'Fuel Issues'!$C$5:$C$440,$A26,'Fuel Issues'!$A$5:$A$440,"&gt;="&amp;DATE(2026,6,1),'Fuel Issues'!$A$5:$A$440,"&lt;"&amp;DATE(2026,7,1))=0,"",SUMIFS('Fuel Issues'!$E$5:$E$440,'Fuel Issues'!$C$5:$C$440,$A26,'Fuel Issues'!$A$5:$A$440,"&gt;="&amp;DATE(2026,6,1),'Fuel Issues'!$A$5:$A$440,"&lt;"&amp;DATE(2026,7,1)))</f>
        <v/>
      </c>
      <c r="D26" s="8">
        <f>IF(SUMIFS('Fuel Issues'!$E$5:$E$440,'Fuel Issues'!$C$5:$C$440,$A26,'Fuel Issues'!$A$5:$A$440,"&gt;="&amp;DATE(2026,7,1),'Fuel Issues'!$A$5:$A$440,"&lt;"&amp;DATE(2026,8,1))=0,"",SUMIFS('Fuel Issues'!$E$5:$E$440,'Fuel Issues'!$C$5:$C$440,$A26,'Fuel Issues'!$A$5:$A$440,"&gt;="&amp;DATE(2026,7,1),'Fuel Issues'!$A$5:$A$440,"&lt;"&amp;DATE(2026,8,1)))</f>
        <v>150</v>
      </c>
      <c r="E26" s="8">
        <f>IF(SUMIFS('Fuel Issues'!$E$5:$E$440,'Fuel Issues'!$C$5:$C$440,$A26,'Fuel Issues'!$A$5:$A$440,"&gt;="&amp;DATE(2026,8,1),'Fuel Issues'!$A$5:$A$440,"&lt;"&amp;DATE(2026,9,1))=0,"",SUMIFS('Fuel Issues'!$E$5:$E$440,'Fuel Issues'!$C$5:$C$440,$A26,'Fuel Issues'!$A$5:$A$440,"&gt;="&amp;DATE(2026,8,1),'Fuel Issues'!$A$5:$A$440,"&lt;"&amp;DATE(2026,9,1)))</f>
        <v>20</v>
      </c>
      <c r="F26" s="8">
        <f>SUMIFS('Fuel Issues'!$E$5:$E$440,'Fuel Issues'!$C$5:$C$440,$A26)</f>
        <v>170</v>
      </c>
      <c r="G26" s="8">
        <f>COUNTIFS('Fuel Issues'!$C$5:$C$440,$A26)</f>
        <v>8</v>
      </c>
      <c r="H26" s="4">
        <f>_xlfn.MINIFS('Fuel Issues'!$A$5:$A$440,'Fuel Issues'!$C$5:$C$440,$A26)</f>
        <v>46210</v>
      </c>
      <c r="I26" s="15">
        <f t="shared" si="0"/>
        <v>9.2376243003858063E-3</v>
      </c>
    </row>
    <row r="27" spans="1:9" x14ac:dyDescent="0.3">
      <c r="A27" s="6" t="s">
        <v>33</v>
      </c>
      <c r="B27" s="8" t="str">
        <f>IF(SUMIFS('Fuel Issues'!$E$5:$E$440,'Fuel Issues'!$C$5:$C$440,$A27,'Fuel Issues'!$A$5:$A$440,"&gt;="&amp;DATE(2026,5,1),'Fuel Issues'!$A$5:$A$440,"&lt;"&amp;DATE(2026,6,1))=0,"",SUMIFS('Fuel Issues'!$E$5:$E$440,'Fuel Issues'!$C$5:$C$440,$A27,'Fuel Issues'!$A$5:$A$440,"&gt;="&amp;DATE(2026,5,1),'Fuel Issues'!$A$5:$A$440,"&lt;"&amp;DATE(2026,6,1)))</f>
        <v/>
      </c>
      <c r="C27" s="8" t="str">
        <f>IF(SUMIFS('Fuel Issues'!$E$5:$E$440,'Fuel Issues'!$C$5:$C$440,$A27,'Fuel Issues'!$A$5:$A$440,"&gt;="&amp;DATE(2026,6,1),'Fuel Issues'!$A$5:$A$440,"&lt;"&amp;DATE(2026,7,1))=0,"",SUMIFS('Fuel Issues'!$E$5:$E$440,'Fuel Issues'!$C$5:$C$440,$A27,'Fuel Issues'!$A$5:$A$440,"&gt;="&amp;DATE(2026,6,1),'Fuel Issues'!$A$5:$A$440,"&lt;"&amp;DATE(2026,7,1)))</f>
        <v/>
      </c>
      <c r="D27" s="8">
        <f>IF(SUMIFS('Fuel Issues'!$E$5:$E$440,'Fuel Issues'!$C$5:$C$440,$A27,'Fuel Issues'!$A$5:$A$440,"&gt;="&amp;DATE(2026,7,1),'Fuel Issues'!$A$5:$A$440,"&lt;"&amp;DATE(2026,8,1))=0,"",SUMIFS('Fuel Issues'!$E$5:$E$440,'Fuel Issues'!$C$5:$C$440,$A27,'Fuel Issues'!$A$5:$A$440,"&gt;="&amp;DATE(2026,7,1),'Fuel Issues'!$A$5:$A$440,"&lt;"&amp;DATE(2026,8,1)))</f>
        <v>162</v>
      </c>
      <c r="E27" s="8" t="str">
        <f>IF(SUMIFS('Fuel Issues'!$E$5:$E$440,'Fuel Issues'!$C$5:$C$440,$A27,'Fuel Issues'!$A$5:$A$440,"&gt;="&amp;DATE(2026,8,1),'Fuel Issues'!$A$5:$A$440,"&lt;"&amp;DATE(2026,9,1))=0,"",SUMIFS('Fuel Issues'!$E$5:$E$440,'Fuel Issues'!$C$5:$C$440,$A27,'Fuel Issues'!$A$5:$A$440,"&gt;="&amp;DATE(2026,8,1),'Fuel Issues'!$A$5:$A$440,"&lt;"&amp;DATE(2026,9,1)))</f>
        <v/>
      </c>
      <c r="F27" s="8">
        <f>SUMIFS('Fuel Issues'!$E$5:$E$440,'Fuel Issues'!$C$5:$C$440,$A27)</f>
        <v>162</v>
      </c>
      <c r="G27" s="8">
        <f>COUNTIFS('Fuel Issues'!$C$5:$C$440,$A27)</f>
        <v>6</v>
      </c>
      <c r="H27" s="4">
        <f>_xlfn.MINIFS('Fuel Issues'!$A$5:$A$440,'Fuel Issues'!$C$5:$C$440,$A27)</f>
        <v>46209</v>
      </c>
      <c r="I27" s="15">
        <f t="shared" si="0"/>
        <v>8.8029125686029455E-3</v>
      </c>
    </row>
    <row r="28" spans="1:9" x14ac:dyDescent="0.3">
      <c r="A28" s="6" t="s">
        <v>54</v>
      </c>
      <c r="B28" s="8" t="str">
        <f>IF(SUMIFS('Fuel Issues'!$E$5:$E$440,'Fuel Issues'!$C$5:$C$440,$A28,'Fuel Issues'!$A$5:$A$440,"&gt;="&amp;DATE(2026,5,1),'Fuel Issues'!$A$5:$A$440,"&lt;"&amp;DATE(2026,6,1))=0,"",SUMIFS('Fuel Issues'!$E$5:$E$440,'Fuel Issues'!$C$5:$C$440,$A28,'Fuel Issues'!$A$5:$A$440,"&gt;="&amp;DATE(2026,5,1),'Fuel Issues'!$A$5:$A$440,"&lt;"&amp;DATE(2026,6,1)))</f>
        <v/>
      </c>
      <c r="C28" s="8" t="str">
        <f>IF(SUMIFS('Fuel Issues'!$E$5:$E$440,'Fuel Issues'!$C$5:$C$440,$A28,'Fuel Issues'!$A$5:$A$440,"&gt;="&amp;DATE(2026,6,1),'Fuel Issues'!$A$5:$A$440,"&lt;"&amp;DATE(2026,7,1))=0,"",SUMIFS('Fuel Issues'!$E$5:$E$440,'Fuel Issues'!$C$5:$C$440,$A28,'Fuel Issues'!$A$5:$A$440,"&gt;="&amp;DATE(2026,6,1),'Fuel Issues'!$A$5:$A$440,"&lt;"&amp;DATE(2026,7,1)))</f>
        <v/>
      </c>
      <c r="D28" s="8">
        <f>IF(SUMIFS('Fuel Issues'!$E$5:$E$440,'Fuel Issues'!$C$5:$C$440,$A28,'Fuel Issues'!$A$5:$A$440,"&gt;="&amp;DATE(2026,7,1),'Fuel Issues'!$A$5:$A$440,"&lt;"&amp;DATE(2026,8,1))=0,"",SUMIFS('Fuel Issues'!$E$5:$E$440,'Fuel Issues'!$C$5:$C$440,$A28,'Fuel Issues'!$A$5:$A$440,"&gt;="&amp;DATE(2026,7,1),'Fuel Issues'!$A$5:$A$440,"&lt;"&amp;DATE(2026,8,1)))</f>
        <v>30</v>
      </c>
      <c r="E28" s="8">
        <f>IF(SUMIFS('Fuel Issues'!$E$5:$E$440,'Fuel Issues'!$C$5:$C$440,$A28,'Fuel Issues'!$A$5:$A$440,"&gt;="&amp;DATE(2026,8,1),'Fuel Issues'!$A$5:$A$440,"&lt;"&amp;DATE(2026,9,1))=0,"",SUMIFS('Fuel Issues'!$E$5:$E$440,'Fuel Issues'!$C$5:$C$440,$A28,'Fuel Issues'!$A$5:$A$440,"&gt;="&amp;DATE(2026,8,1),'Fuel Issues'!$A$5:$A$440,"&lt;"&amp;DATE(2026,9,1)))</f>
        <v>120</v>
      </c>
      <c r="F28" s="8">
        <f>SUMIFS('Fuel Issues'!$E$5:$E$440,'Fuel Issues'!$C$5:$C$440,$A28)</f>
        <v>150</v>
      </c>
      <c r="G28" s="8">
        <f>COUNTIFS('Fuel Issues'!$C$5:$C$440,$A28)</f>
        <v>4</v>
      </c>
      <c r="H28" s="4">
        <f>_xlfn.MINIFS('Fuel Issues'!$A$5:$A$440,'Fuel Issues'!$C$5:$C$440,$A28)</f>
        <v>46230</v>
      </c>
      <c r="I28" s="15">
        <f t="shared" si="0"/>
        <v>8.1508449709286526E-3</v>
      </c>
    </row>
    <row r="29" spans="1:9" x14ac:dyDescent="0.3">
      <c r="A29" s="6" t="s">
        <v>29</v>
      </c>
      <c r="B29" s="8" t="str">
        <f>IF(SUMIFS('Fuel Issues'!$E$5:$E$440,'Fuel Issues'!$C$5:$C$440,$A29,'Fuel Issues'!$A$5:$A$440,"&gt;="&amp;DATE(2026,5,1),'Fuel Issues'!$A$5:$A$440,"&lt;"&amp;DATE(2026,6,1))=0,"",SUMIFS('Fuel Issues'!$E$5:$E$440,'Fuel Issues'!$C$5:$C$440,$A29,'Fuel Issues'!$A$5:$A$440,"&gt;="&amp;DATE(2026,5,1),'Fuel Issues'!$A$5:$A$440,"&lt;"&amp;DATE(2026,6,1)))</f>
        <v/>
      </c>
      <c r="C29" s="8" t="str">
        <f>IF(SUMIFS('Fuel Issues'!$E$5:$E$440,'Fuel Issues'!$C$5:$C$440,$A29,'Fuel Issues'!$A$5:$A$440,"&gt;="&amp;DATE(2026,6,1),'Fuel Issues'!$A$5:$A$440,"&lt;"&amp;DATE(2026,7,1))=0,"",SUMIFS('Fuel Issues'!$E$5:$E$440,'Fuel Issues'!$C$5:$C$440,$A29,'Fuel Issues'!$A$5:$A$440,"&gt;="&amp;DATE(2026,6,1),'Fuel Issues'!$A$5:$A$440,"&lt;"&amp;DATE(2026,7,1)))</f>
        <v/>
      </c>
      <c r="D29" s="8">
        <f>IF(SUMIFS('Fuel Issues'!$E$5:$E$440,'Fuel Issues'!$C$5:$C$440,$A29,'Fuel Issues'!$A$5:$A$440,"&gt;="&amp;DATE(2026,7,1),'Fuel Issues'!$A$5:$A$440,"&lt;"&amp;DATE(2026,8,1))=0,"",SUMIFS('Fuel Issues'!$E$5:$E$440,'Fuel Issues'!$C$5:$C$440,$A29,'Fuel Issues'!$A$5:$A$440,"&gt;="&amp;DATE(2026,7,1),'Fuel Issues'!$A$5:$A$440,"&lt;"&amp;DATE(2026,8,1)))</f>
        <v>130</v>
      </c>
      <c r="E29" s="8" t="str">
        <f>IF(SUMIFS('Fuel Issues'!$E$5:$E$440,'Fuel Issues'!$C$5:$C$440,$A29,'Fuel Issues'!$A$5:$A$440,"&gt;="&amp;DATE(2026,8,1),'Fuel Issues'!$A$5:$A$440,"&lt;"&amp;DATE(2026,9,1))=0,"",SUMIFS('Fuel Issues'!$E$5:$E$440,'Fuel Issues'!$C$5:$C$440,$A29,'Fuel Issues'!$A$5:$A$440,"&gt;="&amp;DATE(2026,8,1),'Fuel Issues'!$A$5:$A$440,"&lt;"&amp;DATE(2026,9,1)))</f>
        <v/>
      </c>
      <c r="F29" s="8">
        <f>SUMIFS('Fuel Issues'!$E$5:$E$440,'Fuel Issues'!$C$5:$C$440,$A29)</f>
        <v>130</v>
      </c>
      <c r="G29" s="8">
        <f>COUNTIFS('Fuel Issues'!$C$5:$C$440,$A29)</f>
        <v>7</v>
      </c>
      <c r="H29" s="4">
        <f>_xlfn.MINIFS('Fuel Issues'!$A$5:$A$440,'Fuel Issues'!$C$5:$C$440,$A29)</f>
        <v>46205</v>
      </c>
      <c r="I29" s="15">
        <f t="shared" si="0"/>
        <v>7.0640656414714996E-3</v>
      </c>
    </row>
    <row r="30" spans="1:9" x14ac:dyDescent="0.3">
      <c r="A30" s="6" t="s">
        <v>51</v>
      </c>
      <c r="B30" s="8" t="str">
        <f>IF(SUMIFS('Fuel Issues'!$E$5:$E$440,'Fuel Issues'!$C$5:$C$440,$A30,'Fuel Issues'!$A$5:$A$440,"&gt;="&amp;DATE(2026,5,1),'Fuel Issues'!$A$5:$A$440,"&lt;"&amp;DATE(2026,6,1))=0,"",SUMIFS('Fuel Issues'!$E$5:$E$440,'Fuel Issues'!$C$5:$C$440,$A30,'Fuel Issues'!$A$5:$A$440,"&gt;="&amp;DATE(2026,5,1),'Fuel Issues'!$A$5:$A$440,"&lt;"&amp;DATE(2026,6,1)))</f>
        <v/>
      </c>
      <c r="C30" s="8" t="str">
        <f>IF(SUMIFS('Fuel Issues'!$E$5:$E$440,'Fuel Issues'!$C$5:$C$440,$A30,'Fuel Issues'!$A$5:$A$440,"&gt;="&amp;DATE(2026,6,1),'Fuel Issues'!$A$5:$A$440,"&lt;"&amp;DATE(2026,7,1))=0,"",SUMIFS('Fuel Issues'!$E$5:$E$440,'Fuel Issues'!$C$5:$C$440,$A30,'Fuel Issues'!$A$5:$A$440,"&gt;="&amp;DATE(2026,6,1),'Fuel Issues'!$A$5:$A$440,"&lt;"&amp;DATE(2026,7,1)))</f>
        <v/>
      </c>
      <c r="D30" s="8">
        <f>IF(SUMIFS('Fuel Issues'!$E$5:$E$440,'Fuel Issues'!$C$5:$C$440,$A30,'Fuel Issues'!$A$5:$A$440,"&gt;="&amp;DATE(2026,7,1),'Fuel Issues'!$A$5:$A$440,"&lt;"&amp;DATE(2026,8,1))=0,"",SUMIFS('Fuel Issues'!$E$5:$E$440,'Fuel Issues'!$C$5:$C$440,$A30,'Fuel Issues'!$A$5:$A$440,"&gt;="&amp;DATE(2026,7,1),'Fuel Issues'!$A$5:$A$440,"&lt;"&amp;DATE(2026,8,1)))</f>
        <v>100</v>
      </c>
      <c r="E30" s="8">
        <f>IF(SUMIFS('Fuel Issues'!$E$5:$E$440,'Fuel Issues'!$C$5:$C$440,$A30,'Fuel Issues'!$A$5:$A$440,"&gt;="&amp;DATE(2026,8,1),'Fuel Issues'!$A$5:$A$440,"&lt;"&amp;DATE(2026,9,1))=0,"",SUMIFS('Fuel Issues'!$E$5:$E$440,'Fuel Issues'!$C$5:$C$440,$A30,'Fuel Issues'!$A$5:$A$440,"&gt;="&amp;DATE(2026,8,1),'Fuel Issues'!$A$5:$A$440,"&lt;"&amp;DATE(2026,9,1)))</f>
        <v>20</v>
      </c>
      <c r="F30" s="8">
        <f>SUMIFS('Fuel Issues'!$E$5:$E$440,'Fuel Issues'!$C$5:$C$440,$A30)</f>
        <v>120</v>
      </c>
      <c r="G30" s="8">
        <f>COUNTIFS('Fuel Issues'!$C$5:$C$440,$A30)</f>
        <v>6</v>
      </c>
      <c r="H30" s="4">
        <f>_xlfn.MINIFS('Fuel Issues'!$A$5:$A$440,'Fuel Issues'!$C$5:$C$440,$A30)</f>
        <v>46226</v>
      </c>
      <c r="I30" s="15">
        <f t="shared" si="0"/>
        <v>6.5206759767429227E-3</v>
      </c>
    </row>
    <row r="31" spans="1:9" x14ac:dyDescent="0.3">
      <c r="A31" s="6" t="s">
        <v>25</v>
      </c>
      <c r="B31" s="8" t="str">
        <f>IF(SUMIFS('Fuel Issues'!$E$5:$E$440,'Fuel Issues'!$C$5:$C$440,$A31,'Fuel Issues'!$A$5:$A$440,"&gt;="&amp;DATE(2026,5,1),'Fuel Issues'!$A$5:$A$440,"&lt;"&amp;DATE(2026,6,1))=0,"",SUMIFS('Fuel Issues'!$E$5:$E$440,'Fuel Issues'!$C$5:$C$440,$A31,'Fuel Issues'!$A$5:$A$440,"&gt;="&amp;DATE(2026,5,1),'Fuel Issues'!$A$5:$A$440,"&lt;"&amp;DATE(2026,6,1)))</f>
        <v/>
      </c>
      <c r="C31" s="8">
        <f>IF(SUMIFS('Fuel Issues'!$E$5:$E$440,'Fuel Issues'!$C$5:$C$440,$A31,'Fuel Issues'!$A$5:$A$440,"&gt;="&amp;DATE(2026,6,1),'Fuel Issues'!$A$5:$A$440,"&lt;"&amp;DATE(2026,7,1))=0,"",SUMIFS('Fuel Issues'!$E$5:$E$440,'Fuel Issues'!$C$5:$C$440,$A31,'Fuel Issues'!$A$5:$A$440,"&gt;="&amp;DATE(2026,6,1),'Fuel Issues'!$A$5:$A$440,"&lt;"&amp;DATE(2026,7,1)))</f>
        <v>20</v>
      </c>
      <c r="D31" s="8">
        <f>IF(SUMIFS('Fuel Issues'!$E$5:$E$440,'Fuel Issues'!$C$5:$C$440,$A31,'Fuel Issues'!$A$5:$A$440,"&gt;="&amp;DATE(2026,7,1),'Fuel Issues'!$A$5:$A$440,"&lt;"&amp;DATE(2026,8,1))=0,"",SUMIFS('Fuel Issues'!$E$5:$E$440,'Fuel Issues'!$C$5:$C$440,$A31,'Fuel Issues'!$A$5:$A$440,"&gt;="&amp;DATE(2026,7,1),'Fuel Issues'!$A$5:$A$440,"&lt;"&amp;DATE(2026,8,1)))</f>
        <v>90</v>
      </c>
      <c r="E31" s="8" t="str">
        <f>IF(SUMIFS('Fuel Issues'!$E$5:$E$440,'Fuel Issues'!$C$5:$C$440,$A31,'Fuel Issues'!$A$5:$A$440,"&gt;="&amp;DATE(2026,8,1),'Fuel Issues'!$A$5:$A$440,"&lt;"&amp;DATE(2026,9,1))=0,"",SUMIFS('Fuel Issues'!$E$5:$E$440,'Fuel Issues'!$C$5:$C$440,$A31,'Fuel Issues'!$A$5:$A$440,"&gt;="&amp;DATE(2026,8,1),'Fuel Issues'!$A$5:$A$440,"&lt;"&amp;DATE(2026,9,1)))</f>
        <v/>
      </c>
      <c r="F31" s="8">
        <f>SUMIFS('Fuel Issues'!$E$5:$E$440,'Fuel Issues'!$C$5:$C$440,$A31)</f>
        <v>110</v>
      </c>
      <c r="G31" s="8">
        <f>COUNTIFS('Fuel Issues'!$C$5:$C$440,$A31)</f>
        <v>6</v>
      </c>
      <c r="H31" s="4">
        <f>_xlfn.MINIFS('Fuel Issues'!$A$5:$A$440,'Fuel Issues'!$C$5:$C$440,$A31)</f>
        <v>46200</v>
      </c>
      <c r="I31" s="15">
        <f t="shared" si="0"/>
        <v>5.9772863120143458E-3</v>
      </c>
    </row>
    <row r="32" spans="1:9" x14ac:dyDescent="0.3">
      <c r="A32" s="6" t="s">
        <v>11</v>
      </c>
      <c r="B32" s="8" t="str">
        <f>IF(SUMIFS('Fuel Issues'!$E$5:$E$440,'Fuel Issues'!$C$5:$C$440,$A32,'Fuel Issues'!$A$5:$A$440,"&gt;="&amp;DATE(2026,5,1),'Fuel Issues'!$A$5:$A$440,"&lt;"&amp;DATE(2026,6,1))=0,"",SUMIFS('Fuel Issues'!$E$5:$E$440,'Fuel Issues'!$C$5:$C$440,$A32,'Fuel Issues'!$A$5:$A$440,"&gt;="&amp;DATE(2026,5,1),'Fuel Issues'!$A$5:$A$440,"&lt;"&amp;DATE(2026,6,1)))</f>
        <v/>
      </c>
      <c r="C32" s="8">
        <f>IF(SUMIFS('Fuel Issues'!$E$5:$E$440,'Fuel Issues'!$C$5:$C$440,$A32,'Fuel Issues'!$A$5:$A$440,"&gt;="&amp;DATE(2026,6,1),'Fuel Issues'!$A$5:$A$440,"&lt;"&amp;DATE(2026,7,1))=0,"",SUMIFS('Fuel Issues'!$E$5:$E$440,'Fuel Issues'!$C$5:$C$440,$A32,'Fuel Issues'!$A$5:$A$440,"&gt;="&amp;DATE(2026,6,1),'Fuel Issues'!$A$5:$A$440,"&lt;"&amp;DATE(2026,7,1)))</f>
        <v>80</v>
      </c>
      <c r="D32" s="8" t="str">
        <f>IF(SUMIFS('Fuel Issues'!$E$5:$E$440,'Fuel Issues'!$C$5:$C$440,$A32,'Fuel Issues'!$A$5:$A$440,"&gt;="&amp;DATE(2026,7,1),'Fuel Issues'!$A$5:$A$440,"&lt;"&amp;DATE(2026,8,1))=0,"",SUMIFS('Fuel Issues'!$E$5:$E$440,'Fuel Issues'!$C$5:$C$440,$A32,'Fuel Issues'!$A$5:$A$440,"&gt;="&amp;DATE(2026,7,1),'Fuel Issues'!$A$5:$A$440,"&lt;"&amp;DATE(2026,8,1)))</f>
        <v/>
      </c>
      <c r="E32" s="8" t="str">
        <f>IF(SUMIFS('Fuel Issues'!$E$5:$E$440,'Fuel Issues'!$C$5:$C$440,$A32,'Fuel Issues'!$A$5:$A$440,"&gt;="&amp;DATE(2026,8,1),'Fuel Issues'!$A$5:$A$440,"&lt;"&amp;DATE(2026,9,1))=0,"",SUMIFS('Fuel Issues'!$E$5:$E$440,'Fuel Issues'!$C$5:$C$440,$A32,'Fuel Issues'!$A$5:$A$440,"&gt;="&amp;DATE(2026,8,1),'Fuel Issues'!$A$5:$A$440,"&lt;"&amp;DATE(2026,9,1)))</f>
        <v/>
      </c>
      <c r="F32" s="8">
        <f>SUMIFS('Fuel Issues'!$E$5:$E$440,'Fuel Issues'!$C$5:$C$440,$A32)</f>
        <v>80</v>
      </c>
      <c r="G32" s="8">
        <f>COUNTIFS('Fuel Issues'!$C$5:$C$440,$A32)</f>
        <v>2</v>
      </c>
      <c r="H32" s="4">
        <f>_xlfn.MINIFS('Fuel Issues'!$A$5:$A$440,'Fuel Issues'!$C$5:$C$440,$A32)</f>
        <v>46177</v>
      </c>
      <c r="I32" s="15">
        <f t="shared" si="0"/>
        <v>4.3471173178286152E-3</v>
      </c>
    </row>
    <row r="33" spans="1:9" x14ac:dyDescent="0.3">
      <c r="A33" s="6" t="s">
        <v>61</v>
      </c>
      <c r="B33" s="8" t="str">
        <f>IF(SUMIFS('Fuel Issues'!$E$5:$E$440,'Fuel Issues'!$C$5:$C$440,$A33,'Fuel Issues'!$A$5:$A$440,"&gt;="&amp;DATE(2026,5,1),'Fuel Issues'!$A$5:$A$440,"&lt;"&amp;DATE(2026,6,1))=0,"",SUMIFS('Fuel Issues'!$E$5:$E$440,'Fuel Issues'!$C$5:$C$440,$A33,'Fuel Issues'!$A$5:$A$440,"&gt;="&amp;DATE(2026,5,1),'Fuel Issues'!$A$5:$A$440,"&lt;"&amp;DATE(2026,6,1)))</f>
        <v/>
      </c>
      <c r="C33" s="8" t="str">
        <f>IF(SUMIFS('Fuel Issues'!$E$5:$E$440,'Fuel Issues'!$C$5:$C$440,$A33,'Fuel Issues'!$A$5:$A$440,"&gt;="&amp;DATE(2026,6,1),'Fuel Issues'!$A$5:$A$440,"&lt;"&amp;DATE(2026,7,1))=0,"",SUMIFS('Fuel Issues'!$E$5:$E$440,'Fuel Issues'!$C$5:$C$440,$A33,'Fuel Issues'!$A$5:$A$440,"&gt;="&amp;DATE(2026,6,1),'Fuel Issues'!$A$5:$A$440,"&lt;"&amp;DATE(2026,7,1)))</f>
        <v/>
      </c>
      <c r="D33" s="8" t="str">
        <f>IF(SUMIFS('Fuel Issues'!$E$5:$E$440,'Fuel Issues'!$C$5:$C$440,$A33,'Fuel Issues'!$A$5:$A$440,"&gt;="&amp;DATE(2026,7,1),'Fuel Issues'!$A$5:$A$440,"&lt;"&amp;DATE(2026,8,1))=0,"",SUMIFS('Fuel Issues'!$E$5:$E$440,'Fuel Issues'!$C$5:$C$440,$A33,'Fuel Issues'!$A$5:$A$440,"&gt;="&amp;DATE(2026,7,1),'Fuel Issues'!$A$5:$A$440,"&lt;"&amp;DATE(2026,8,1)))</f>
        <v/>
      </c>
      <c r="E33" s="8">
        <f>IF(SUMIFS('Fuel Issues'!$E$5:$E$440,'Fuel Issues'!$C$5:$C$440,$A33,'Fuel Issues'!$A$5:$A$440,"&gt;="&amp;DATE(2026,8,1),'Fuel Issues'!$A$5:$A$440,"&lt;"&amp;DATE(2026,9,1))=0,"",SUMIFS('Fuel Issues'!$E$5:$E$440,'Fuel Issues'!$C$5:$C$440,$A33,'Fuel Issues'!$A$5:$A$440,"&gt;="&amp;DATE(2026,8,1),'Fuel Issues'!$A$5:$A$440,"&lt;"&amp;DATE(2026,9,1)))</f>
        <v>80</v>
      </c>
      <c r="F33" s="8">
        <f>SUMIFS('Fuel Issues'!$E$5:$E$440,'Fuel Issues'!$C$5:$C$440,$A33)</f>
        <v>80</v>
      </c>
      <c r="G33" s="8">
        <f>COUNTIFS('Fuel Issues'!$C$5:$C$440,$A33)</f>
        <v>1</v>
      </c>
      <c r="H33" s="4">
        <f>_xlfn.MINIFS('Fuel Issues'!$A$5:$A$440,'Fuel Issues'!$C$5:$C$440,$A33)</f>
        <v>46238</v>
      </c>
      <c r="I33" s="15">
        <f t="shared" si="0"/>
        <v>4.3471173178286152E-3</v>
      </c>
    </row>
    <row r="34" spans="1:9" x14ac:dyDescent="0.3">
      <c r="A34" s="6" t="s">
        <v>49</v>
      </c>
      <c r="B34" s="8" t="str">
        <f>IF(SUMIFS('Fuel Issues'!$E$5:$E$440,'Fuel Issues'!$C$5:$C$440,$A34,'Fuel Issues'!$A$5:$A$440,"&gt;="&amp;DATE(2026,5,1),'Fuel Issues'!$A$5:$A$440,"&lt;"&amp;DATE(2026,6,1))=0,"",SUMIFS('Fuel Issues'!$E$5:$E$440,'Fuel Issues'!$C$5:$C$440,$A34,'Fuel Issues'!$A$5:$A$440,"&gt;="&amp;DATE(2026,5,1),'Fuel Issues'!$A$5:$A$440,"&lt;"&amp;DATE(2026,6,1)))</f>
        <v/>
      </c>
      <c r="C34" s="8" t="str">
        <f>IF(SUMIFS('Fuel Issues'!$E$5:$E$440,'Fuel Issues'!$C$5:$C$440,$A34,'Fuel Issues'!$A$5:$A$440,"&gt;="&amp;DATE(2026,6,1),'Fuel Issues'!$A$5:$A$440,"&lt;"&amp;DATE(2026,7,1))=0,"",SUMIFS('Fuel Issues'!$E$5:$E$440,'Fuel Issues'!$C$5:$C$440,$A34,'Fuel Issues'!$A$5:$A$440,"&gt;="&amp;DATE(2026,6,1),'Fuel Issues'!$A$5:$A$440,"&lt;"&amp;DATE(2026,7,1)))</f>
        <v/>
      </c>
      <c r="D34" s="8">
        <f>IF(SUMIFS('Fuel Issues'!$E$5:$E$440,'Fuel Issues'!$C$5:$C$440,$A34,'Fuel Issues'!$A$5:$A$440,"&gt;="&amp;DATE(2026,7,1),'Fuel Issues'!$A$5:$A$440,"&lt;"&amp;DATE(2026,8,1))=0,"",SUMIFS('Fuel Issues'!$E$5:$E$440,'Fuel Issues'!$C$5:$C$440,$A34,'Fuel Issues'!$A$5:$A$440,"&gt;="&amp;DATE(2026,7,1),'Fuel Issues'!$A$5:$A$440,"&lt;"&amp;DATE(2026,8,1)))</f>
        <v>70</v>
      </c>
      <c r="E34" s="8" t="str">
        <f>IF(SUMIFS('Fuel Issues'!$E$5:$E$440,'Fuel Issues'!$C$5:$C$440,$A34,'Fuel Issues'!$A$5:$A$440,"&gt;="&amp;DATE(2026,8,1),'Fuel Issues'!$A$5:$A$440,"&lt;"&amp;DATE(2026,9,1))=0,"",SUMIFS('Fuel Issues'!$E$5:$E$440,'Fuel Issues'!$C$5:$C$440,$A34,'Fuel Issues'!$A$5:$A$440,"&gt;="&amp;DATE(2026,8,1),'Fuel Issues'!$A$5:$A$440,"&lt;"&amp;DATE(2026,9,1)))</f>
        <v/>
      </c>
      <c r="F34" s="8">
        <f>SUMIFS('Fuel Issues'!$E$5:$E$440,'Fuel Issues'!$C$5:$C$440,$A34)</f>
        <v>70</v>
      </c>
      <c r="G34" s="8">
        <f>COUNTIFS('Fuel Issues'!$C$5:$C$440,$A34)</f>
        <v>3</v>
      </c>
      <c r="H34" s="4">
        <f>_xlfn.MINIFS('Fuel Issues'!$A$5:$A$440,'Fuel Issues'!$C$5:$C$440,$A34)</f>
        <v>46225</v>
      </c>
      <c r="I34" s="15">
        <f t="shared" si="0"/>
        <v>3.8037276531000378E-3</v>
      </c>
    </row>
    <row r="35" spans="1:9" x14ac:dyDescent="0.3">
      <c r="A35" s="6" t="s">
        <v>52</v>
      </c>
      <c r="B35" s="8" t="str">
        <f>IF(SUMIFS('Fuel Issues'!$E$5:$E$440,'Fuel Issues'!$C$5:$C$440,$A35,'Fuel Issues'!$A$5:$A$440,"&gt;="&amp;DATE(2026,5,1),'Fuel Issues'!$A$5:$A$440,"&lt;"&amp;DATE(2026,6,1))=0,"",SUMIFS('Fuel Issues'!$E$5:$E$440,'Fuel Issues'!$C$5:$C$440,$A35,'Fuel Issues'!$A$5:$A$440,"&gt;="&amp;DATE(2026,5,1),'Fuel Issues'!$A$5:$A$440,"&lt;"&amp;DATE(2026,6,1)))</f>
        <v/>
      </c>
      <c r="C35" s="8" t="str">
        <f>IF(SUMIFS('Fuel Issues'!$E$5:$E$440,'Fuel Issues'!$C$5:$C$440,$A35,'Fuel Issues'!$A$5:$A$440,"&gt;="&amp;DATE(2026,6,1),'Fuel Issues'!$A$5:$A$440,"&lt;"&amp;DATE(2026,7,1))=0,"",SUMIFS('Fuel Issues'!$E$5:$E$440,'Fuel Issues'!$C$5:$C$440,$A35,'Fuel Issues'!$A$5:$A$440,"&gt;="&amp;DATE(2026,6,1),'Fuel Issues'!$A$5:$A$440,"&lt;"&amp;DATE(2026,7,1)))</f>
        <v/>
      </c>
      <c r="D35" s="8">
        <f>IF(SUMIFS('Fuel Issues'!$E$5:$E$440,'Fuel Issues'!$C$5:$C$440,$A35,'Fuel Issues'!$A$5:$A$440,"&gt;="&amp;DATE(2026,7,1),'Fuel Issues'!$A$5:$A$440,"&lt;"&amp;DATE(2026,8,1))=0,"",SUMIFS('Fuel Issues'!$E$5:$E$440,'Fuel Issues'!$C$5:$C$440,$A35,'Fuel Issues'!$A$5:$A$440,"&gt;="&amp;DATE(2026,7,1),'Fuel Issues'!$A$5:$A$440,"&lt;"&amp;DATE(2026,8,1)))</f>
        <v>60</v>
      </c>
      <c r="E35" s="8" t="str">
        <f>IF(SUMIFS('Fuel Issues'!$E$5:$E$440,'Fuel Issues'!$C$5:$C$440,$A35,'Fuel Issues'!$A$5:$A$440,"&gt;="&amp;DATE(2026,8,1),'Fuel Issues'!$A$5:$A$440,"&lt;"&amp;DATE(2026,9,1))=0,"",SUMIFS('Fuel Issues'!$E$5:$E$440,'Fuel Issues'!$C$5:$C$440,$A35,'Fuel Issues'!$A$5:$A$440,"&gt;="&amp;DATE(2026,8,1),'Fuel Issues'!$A$5:$A$440,"&lt;"&amp;DATE(2026,9,1)))</f>
        <v/>
      </c>
      <c r="F35" s="8">
        <f>SUMIFS('Fuel Issues'!$E$5:$E$440,'Fuel Issues'!$C$5:$C$440,$A35)</f>
        <v>60</v>
      </c>
      <c r="G35" s="8">
        <f>COUNTIFS('Fuel Issues'!$C$5:$C$440,$A35)</f>
        <v>3</v>
      </c>
      <c r="H35" s="4">
        <f>_xlfn.MINIFS('Fuel Issues'!$A$5:$A$440,'Fuel Issues'!$C$5:$C$440,$A35)</f>
        <v>46226</v>
      </c>
      <c r="I35" s="15">
        <f t="shared" si="0"/>
        <v>3.2603379883714614E-3</v>
      </c>
    </row>
    <row r="36" spans="1:9" x14ac:dyDescent="0.3">
      <c r="A36" s="6" t="s">
        <v>48</v>
      </c>
      <c r="B36" s="8" t="str">
        <f>IF(SUMIFS('Fuel Issues'!$E$5:$E$440,'Fuel Issues'!$C$5:$C$440,$A36,'Fuel Issues'!$A$5:$A$440,"&gt;="&amp;DATE(2026,5,1),'Fuel Issues'!$A$5:$A$440,"&lt;"&amp;DATE(2026,6,1))=0,"",SUMIFS('Fuel Issues'!$E$5:$E$440,'Fuel Issues'!$C$5:$C$440,$A36,'Fuel Issues'!$A$5:$A$440,"&gt;="&amp;DATE(2026,5,1),'Fuel Issues'!$A$5:$A$440,"&lt;"&amp;DATE(2026,6,1)))</f>
        <v/>
      </c>
      <c r="C36" s="8" t="str">
        <f>IF(SUMIFS('Fuel Issues'!$E$5:$E$440,'Fuel Issues'!$C$5:$C$440,$A36,'Fuel Issues'!$A$5:$A$440,"&gt;="&amp;DATE(2026,6,1),'Fuel Issues'!$A$5:$A$440,"&lt;"&amp;DATE(2026,7,1))=0,"",SUMIFS('Fuel Issues'!$E$5:$E$440,'Fuel Issues'!$C$5:$C$440,$A36,'Fuel Issues'!$A$5:$A$440,"&gt;="&amp;DATE(2026,6,1),'Fuel Issues'!$A$5:$A$440,"&lt;"&amp;DATE(2026,7,1)))</f>
        <v/>
      </c>
      <c r="D36" s="8">
        <f>IF(SUMIFS('Fuel Issues'!$E$5:$E$440,'Fuel Issues'!$C$5:$C$440,$A36,'Fuel Issues'!$A$5:$A$440,"&gt;="&amp;DATE(2026,7,1),'Fuel Issues'!$A$5:$A$440,"&lt;"&amp;DATE(2026,8,1))=0,"",SUMIFS('Fuel Issues'!$E$5:$E$440,'Fuel Issues'!$C$5:$C$440,$A36,'Fuel Issues'!$A$5:$A$440,"&gt;="&amp;DATE(2026,7,1),'Fuel Issues'!$A$5:$A$440,"&lt;"&amp;DATE(2026,8,1)))</f>
        <v>60</v>
      </c>
      <c r="E36" s="8" t="str">
        <f>IF(SUMIFS('Fuel Issues'!$E$5:$E$440,'Fuel Issues'!$C$5:$C$440,$A36,'Fuel Issues'!$A$5:$A$440,"&gt;="&amp;DATE(2026,8,1),'Fuel Issues'!$A$5:$A$440,"&lt;"&amp;DATE(2026,9,1))=0,"",SUMIFS('Fuel Issues'!$E$5:$E$440,'Fuel Issues'!$C$5:$C$440,$A36,'Fuel Issues'!$A$5:$A$440,"&gt;="&amp;DATE(2026,8,1),'Fuel Issues'!$A$5:$A$440,"&lt;"&amp;DATE(2026,9,1)))</f>
        <v/>
      </c>
      <c r="F36" s="8">
        <f>SUMIFS('Fuel Issues'!$E$5:$E$440,'Fuel Issues'!$C$5:$C$440,$A36)</f>
        <v>60</v>
      </c>
      <c r="G36" s="8">
        <f>COUNTIFS('Fuel Issues'!$C$5:$C$440,$A36)</f>
        <v>3</v>
      </c>
      <c r="H36" s="4">
        <f>_xlfn.MINIFS('Fuel Issues'!$A$5:$A$440,'Fuel Issues'!$C$5:$C$440,$A36)</f>
        <v>46225</v>
      </c>
      <c r="I36" s="15">
        <f t="shared" si="0"/>
        <v>3.2603379883714614E-3</v>
      </c>
    </row>
    <row r="37" spans="1:9" x14ac:dyDescent="0.3">
      <c r="A37" s="6" t="s">
        <v>37</v>
      </c>
      <c r="B37" s="8" t="str">
        <f>IF(SUMIFS('Fuel Issues'!$E$5:$E$440,'Fuel Issues'!$C$5:$C$440,$A37,'Fuel Issues'!$A$5:$A$440,"&gt;="&amp;DATE(2026,5,1),'Fuel Issues'!$A$5:$A$440,"&lt;"&amp;DATE(2026,6,1))=0,"",SUMIFS('Fuel Issues'!$E$5:$E$440,'Fuel Issues'!$C$5:$C$440,$A37,'Fuel Issues'!$A$5:$A$440,"&gt;="&amp;DATE(2026,5,1),'Fuel Issues'!$A$5:$A$440,"&lt;"&amp;DATE(2026,6,1)))</f>
        <v/>
      </c>
      <c r="C37" s="8" t="str">
        <f>IF(SUMIFS('Fuel Issues'!$E$5:$E$440,'Fuel Issues'!$C$5:$C$440,$A37,'Fuel Issues'!$A$5:$A$440,"&gt;="&amp;DATE(2026,6,1),'Fuel Issues'!$A$5:$A$440,"&lt;"&amp;DATE(2026,7,1))=0,"",SUMIFS('Fuel Issues'!$E$5:$E$440,'Fuel Issues'!$C$5:$C$440,$A37,'Fuel Issues'!$A$5:$A$440,"&gt;="&amp;DATE(2026,6,1),'Fuel Issues'!$A$5:$A$440,"&lt;"&amp;DATE(2026,7,1)))</f>
        <v/>
      </c>
      <c r="D37" s="8">
        <f>IF(SUMIFS('Fuel Issues'!$E$5:$E$440,'Fuel Issues'!$C$5:$C$440,$A37,'Fuel Issues'!$A$5:$A$440,"&gt;="&amp;DATE(2026,7,1),'Fuel Issues'!$A$5:$A$440,"&lt;"&amp;DATE(2026,8,1))=0,"",SUMIFS('Fuel Issues'!$E$5:$E$440,'Fuel Issues'!$C$5:$C$440,$A37,'Fuel Issues'!$A$5:$A$440,"&gt;="&amp;DATE(2026,7,1),'Fuel Issues'!$A$5:$A$440,"&lt;"&amp;DATE(2026,8,1)))</f>
        <v>45</v>
      </c>
      <c r="E37" s="8" t="str">
        <f>IF(SUMIFS('Fuel Issues'!$E$5:$E$440,'Fuel Issues'!$C$5:$C$440,$A37,'Fuel Issues'!$A$5:$A$440,"&gt;="&amp;DATE(2026,8,1),'Fuel Issues'!$A$5:$A$440,"&lt;"&amp;DATE(2026,9,1))=0,"",SUMIFS('Fuel Issues'!$E$5:$E$440,'Fuel Issues'!$C$5:$C$440,$A37,'Fuel Issues'!$A$5:$A$440,"&gt;="&amp;DATE(2026,8,1),'Fuel Issues'!$A$5:$A$440,"&lt;"&amp;DATE(2026,9,1)))</f>
        <v/>
      </c>
      <c r="F37" s="8">
        <f>SUMIFS('Fuel Issues'!$E$5:$E$440,'Fuel Issues'!$C$5:$C$440,$A37)</f>
        <v>45</v>
      </c>
      <c r="G37" s="8">
        <f>COUNTIFS('Fuel Issues'!$C$5:$C$440,$A37)</f>
        <v>3</v>
      </c>
      <c r="H37" s="4">
        <f>_xlfn.MINIFS('Fuel Issues'!$A$5:$A$440,'Fuel Issues'!$C$5:$C$440,$A37)</f>
        <v>46210</v>
      </c>
      <c r="I37" s="15">
        <f t="shared" si="0"/>
        <v>2.445253491278596E-3</v>
      </c>
    </row>
    <row r="38" spans="1:9" x14ac:dyDescent="0.3">
      <c r="A38" s="6" t="s">
        <v>41</v>
      </c>
      <c r="B38" s="8" t="str">
        <f>IF(SUMIFS('Fuel Issues'!$E$5:$E$440,'Fuel Issues'!$C$5:$C$440,$A38,'Fuel Issues'!$A$5:$A$440,"&gt;="&amp;DATE(2026,5,1),'Fuel Issues'!$A$5:$A$440,"&lt;"&amp;DATE(2026,6,1))=0,"",SUMIFS('Fuel Issues'!$E$5:$E$440,'Fuel Issues'!$C$5:$C$440,$A38,'Fuel Issues'!$A$5:$A$440,"&gt;="&amp;DATE(2026,5,1),'Fuel Issues'!$A$5:$A$440,"&lt;"&amp;DATE(2026,6,1)))</f>
        <v/>
      </c>
      <c r="C38" s="8" t="str">
        <f>IF(SUMIFS('Fuel Issues'!$E$5:$E$440,'Fuel Issues'!$C$5:$C$440,$A38,'Fuel Issues'!$A$5:$A$440,"&gt;="&amp;DATE(2026,6,1),'Fuel Issues'!$A$5:$A$440,"&lt;"&amp;DATE(2026,7,1))=0,"",SUMIFS('Fuel Issues'!$E$5:$E$440,'Fuel Issues'!$C$5:$C$440,$A38,'Fuel Issues'!$A$5:$A$440,"&gt;="&amp;DATE(2026,6,1),'Fuel Issues'!$A$5:$A$440,"&lt;"&amp;DATE(2026,7,1)))</f>
        <v/>
      </c>
      <c r="D38" s="8">
        <f>IF(SUMIFS('Fuel Issues'!$E$5:$E$440,'Fuel Issues'!$C$5:$C$440,$A38,'Fuel Issues'!$A$5:$A$440,"&gt;="&amp;DATE(2026,7,1),'Fuel Issues'!$A$5:$A$440,"&lt;"&amp;DATE(2026,8,1))=0,"",SUMIFS('Fuel Issues'!$E$5:$E$440,'Fuel Issues'!$C$5:$C$440,$A38,'Fuel Issues'!$A$5:$A$440,"&gt;="&amp;DATE(2026,7,1),'Fuel Issues'!$A$5:$A$440,"&lt;"&amp;DATE(2026,8,1)))</f>
        <v>25</v>
      </c>
      <c r="E38" s="8">
        <f>IF(SUMIFS('Fuel Issues'!$E$5:$E$440,'Fuel Issues'!$C$5:$C$440,$A38,'Fuel Issues'!$A$5:$A$440,"&gt;="&amp;DATE(2026,8,1),'Fuel Issues'!$A$5:$A$440,"&lt;"&amp;DATE(2026,9,1))=0,"",SUMIFS('Fuel Issues'!$E$5:$E$440,'Fuel Issues'!$C$5:$C$440,$A38,'Fuel Issues'!$A$5:$A$440,"&gt;="&amp;DATE(2026,8,1),'Fuel Issues'!$A$5:$A$440,"&lt;"&amp;DATE(2026,9,1)))</f>
        <v>10</v>
      </c>
      <c r="F38" s="8">
        <f>SUMIFS('Fuel Issues'!$E$5:$E$440,'Fuel Issues'!$C$5:$C$440,$A38)</f>
        <v>35</v>
      </c>
      <c r="G38" s="8">
        <f>COUNTIFS('Fuel Issues'!$C$5:$C$440,$A38)</f>
        <v>3</v>
      </c>
      <c r="H38" s="4">
        <f>_xlfn.MINIFS('Fuel Issues'!$A$5:$A$440,'Fuel Issues'!$C$5:$C$440,$A38)</f>
        <v>46213</v>
      </c>
      <c r="I38" s="15">
        <f t="shared" si="0"/>
        <v>1.9018638265500189E-3</v>
      </c>
    </row>
    <row r="39" spans="1:9" x14ac:dyDescent="0.3">
      <c r="A39" s="6" t="s">
        <v>45</v>
      </c>
      <c r="B39" s="8" t="str">
        <f>IF(SUMIFS('Fuel Issues'!$E$5:$E$440,'Fuel Issues'!$C$5:$C$440,$A39,'Fuel Issues'!$A$5:$A$440,"&gt;="&amp;DATE(2026,5,1),'Fuel Issues'!$A$5:$A$440,"&lt;"&amp;DATE(2026,6,1))=0,"",SUMIFS('Fuel Issues'!$E$5:$E$440,'Fuel Issues'!$C$5:$C$440,$A39,'Fuel Issues'!$A$5:$A$440,"&gt;="&amp;DATE(2026,5,1),'Fuel Issues'!$A$5:$A$440,"&lt;"&amp;DATE(2026,6,1)))</f>
        <v/>
      </c>
      <c r="C39" s="8" t="str">
        <f>IF(SUMIFS('Fuel Issues'!$E$5:$E$440,'Fuel Issues'!$C$5:$C$440,$A39,'Fuel Issues'!$A$5:$A$440,"&gt;="&amp;DATE(2026,6,1),'Fuel Issues'!$A$5:$A$440,"&lt;"&amp;DATE(2026,7,1))=0,"",SUMIFS('Fuel Issues'!$E$5:$E$440,'Fuel Issues'!$C$5:$C$440,$A39,'Fuel Issues'!$A$5:$A$440,"&gt;="&amp;DATE(2026,6,1),'Fuel Issues'!$A$5:$A$440,"&lt;"&amp;DATE(2026,7,1)))</f>
        <v/>
      </c>
      <c r="D39" s="8">
        <f>IF(SUMIFS('Fuel Issues'!$E$5:$E$440,'Fuel Issues'!$C$5:$C$440,$A39,'Fuel Issues'!$A$5:$A$440,"&gt;="&amp;DATE(2026,7,1),'Fuel Issues'!$A$5:$A$440,"&lt;"&amp;DATE(2026,8,1))=0,"",SUMIFS('Fuel Issues'!$E$5:$E$440,'Fuel Issues'!$C$5:$C$440,$A39,'Fuel Issues'!$A$5:$A$440,"&gt;="&amp;DATE(2026,7,1),'Fuel Issues'!$A$5:$A$440,"&lt;"&amp;DATE(2026,8,1)))</f>
        <v>30</v>
      </c>
      <c r="E39" s="8" t="str">
        <f>IF(SUMIFS('Fuel Issues'!$E$5:$E$440,'Fuel Issues'!$C$5:$C$440,$A39,'Fuel Issues'!$A$5:$A$440,"&gt;="&amp;DATE(2026,8,1),'Fuel Issues'!$A$5:$A$440,"&lt;"&amp;DATE(2026,9,1))=0,"",SUMIFS('Fuel Issues'!$E$5:$E$440,'Fuel Issues'!$C$5:$C$440,$A39,'Fuel Issues'!$A$5:$A$440,"&gt;="&amp;DATE(2026,8,1),'Fuel Issues'!$A$5:$A$440,"&lt;"&amp;DATE(2026,9,1)))</f>
        <v/>
      </c>
      <c r="F39" s="8">
        <f>SUMIFS('Fuel Issues'!$E$5:$E$440,'Fuel Issues'!$C$5:$C$440,$A39)</f>
        <v>30</v>
      </c>
      <c r="G39" s="8">
        <f>COUNTIFS('Fuel Issues'!$C$5:$C$440,$A39)</f>
        <v>1</v>
      </c>
      <c r="H39" s="4">
        <f>_xlfn.MINIFS('Fuel Issues'!$A$5:$A$440,'Fuel Issues'!$C$5:$C$440,$A39)</f>
        <v>46220</v>
      </c>
      <c r="I39" s="15">
        <f t="shared" si="0"/>
        <v>1.6301689941857307E-3</v>
      </c>
    </row>
    <row r="40" spans="1:9" x14ac:dyDescent="0.3">
      <c r="A40" s="6" t="s">
        <v>63</v>
      </c>
      <c r="B40" s="8" t="str">
        <f>IF(SUMIFS('Fuel Issues'!$E$5:$E$440,'Fuel Issues'!$C$5:$C$440,$A40,'Fuel Issues'!$A$5:$A$440,"&gt;="&amp;DATE(2026,5,1),'Fuel Issues'!$A$5:$A$440,"&lt;"&amp;DATE(2026,6,1))=0,"",SUMIFS('Fuel Issues'!$E$5:$E$440,'Fuel Issues'!$C$5:$C$440,$A40,'Fuel Issues'!$A$5:$A$440,"&gt;="&amp;DATE(2026,5,1),'Fuel Issues'!$A$5:$A$440,"&lt;"&amp;DATE(2026,6,1)))</f>
        <v/>
      </c>
      <c r="C40" s="8" t="str">
        <f>IF(SUMIFS('Fuel Issues'!$E$5:$E$440,'Fuel Issues'!$C$5:$C$440,$A40,'Fuel Issues'!$A$5:$A$440,"&gt;="&amp;DATE(2026,6,1),'Fuel Issues'!$A$5:$A$440,"&lt;"&amp;DATE(2026,7,1))=0,"",SUMIFS('Fuel Issues'!$E$5:$E$440,'Fuel Issues'!$C$5:$C$440,$A40,'Fuel Issues'!$A$5:$A$440,"&gt;="&amp;DATE(2026,6,1),'Fuel Issues'!$A$5:$A$440,"&lt;"&amp;DATE(2026,7,1)))</f>
        <v/>
      </c>
      <c r="D40" s="8" t="str">
        <f>IF(SUMIFS('Fuel Issues'!$E$5:$E$440,'Fuel Issues'!$C$5:$C$440,$A40,'Fuel Issues'!$A$5:$A$440,"&gt;="&amp;DATE(2026,7,1),'Fuel Issues'!$A$5:$A$440,"&lt;"&amp;DATE(2026,8,1))=0,"",SUMIFS('Fuel Issues'!$E$5:$E$440,'Fuel Issues'!$C$5:$C$440,$A40,'Fuel Issues'!$A$5:$A$440,"&gt;="&amp;DATE(2026,7,1),'Fuel Issues'!$A$5:$A$440,"&lt;"&amp;DATE(2026,8,1)))</f>
        <v/>
      </c>
      <c r="E40" s="8">
        <f>IF(SUMIFS('Fuel Issues'!$E$5:$E$440,'Fuel Issues'!$C$5:$C$440,$A40,'Fuel Issues'!$A$5:$A$440,"&gt;="&amp;DATE(2026,8,1),'Fuel Issues'!$A$5:$A$440,"&lt;"&amp;DATE(2026,9,1))=0,"",SUMIFS('Fuel Issues'!$E$5:$E$440,'Fuel Issues'!$C$5:$C$440,$A40,'Fuel Issues'!$A$5:$A$440,"&gt;="&amp;DATE(2026,8,1),'Fuel Issues'!$A$5:$A$440,"&lt;"&amp;DATE(2026,9,1)))</f>
        <v>30</v>
      </c>
      <c r="F40" s="8">
        <f>SUMIFS('Fuel Issues'!$E$5:$E$440,'Fuel Issues'!$C$5:$C$440,$A40)</f>
        <v>30</v>
      </c>
      <c r="G40" s="8">
        <f>COUNTIFS('Fuel Issues'!$C$5:$C$440,$A40)</f>
        <v>1</v>
      </c>
      <c r="H40" s="4">
        <f>_xlfn.MINIFS('Fuel Issues'!$A$5:$A$440,'Fuel Issues'!$C$5:$C$440,$A40)</f>
        <v>46239</v>
      </c>
      <c r="I40" s="15">
        <f t="shared" si="0"/>
        <v>1.6301689941857307E-3</v>
      </c>
    </row>
    <row r="41" spans="1:9" x14ac:dyDescent="0.3">
      <c r="A41" s="6" t="s">
        <v>34</v>
      </c>
      <c r="B41" s="8" t="str">
        <f>IF(SUMIFS('Fuel Issues'!$E$5:$E$440,'Fuel Issues'!$C$5:$C$440,$A41,'Fuel Issues'!$A$5:$A$440,"&gt;="&amp;DATE(2026,5,1),'Fuel Issues'!$A$5:$A$440,"&lt;"&amp;DATE(2026,6,1))=0,"",SUMIFS('Fuel Issues'!$E$5:$E$440,'Fuel Issues'!$C$5:$C$440,$A41,'Fuel Issues'!$A$5:$A$440,"&gt;="&amp;DATE(2026,5,1),'Fuel Issues'!$A$5:$A$440,"&lt;"&amp;DATE(2026,6,1)))</f>
        <v/>
      </c>
      <c r="C41" s="8" t="str">
        <f>IF(SUMIFS('Fuel Issues'!$E$5:$E$440,'Fuel Issues'!$C$5:$C$440,$A41,'Fuel Issues'!$A$5:$A$440,"&gt;="&amp;DATE(2026,6,1),'Fuel Issues'!$A$5:$A$440,"&lt;"&amp;DATE(2026,7,1))=0,"",SUMIFS('Fuel Issues'!$E$5:$E$440,'Fuel Issues'!$C$5:$C$440,$A41,'Fuel Issues'!$A$5:$A$440,"&gt;="&amp;DATE(2026,6,1),'Fuel Issues'!$A$5:$A$440,"&lt;"&amp;DATE(2026,7,1)))</f>
        <v/>
      </c>
      <c r="D41" s="8">
        <f>IF(SUMIFS('Fuel Issues'!$E$5:$E$440,'Fuel Issues'!$C$5:$C$440,$A41,'Fuel Issues'!$A$5:$A$440,"&gt;="&amp;DATE(2026,7,1),'Fuel Issues'!$A$5:$A$440,"&lt;"&amp;DATE(2026,8,1))=0,"",SUMIFS('Fuel Issues'!$E$5:$E$440,'Fuel Issues'!$C$5:$C$440,$A41,'Fuel Issues'!$A$5:$A$440,"&gt;="&amp;DATE(2026,7,1),'Fuel Issues'!$A$5:$A$440,"&lt;"&amp;DATE(2026,8,1)))</f>
        <v>30</v>
      </c>
      <c r="E41" s="8" t="str">
        <f>IF(SUMIFS('Fuel Issues'!$E$5:$E$440,'Fuel Issues'!$C$5:$C$440,$A41,'Fuel Issues'!$A$5:$A$440,"&gt;="&amp;DATE(2026,8,1),'Fuel Issues'!$A$5:$A$440,"&lt;"&amp;DATE(2026,9,1))=0,"",SUMIFS('Fuel Issues'!$E$5:$E$440,'Fuel Issues'!$C$5:$C$440,$A41,'Fuel Issues'!$A$5:$A$440,"&gt;="&amp;DATE(2026,8,1),'Fuel Issues'!$A$5:$A$440,"&lt;"&amp;DATE(2026,9,1)))</f>
        <v/>
      </c>
      <c r="F41" s="8">
        <f>SUMIFS('Fuel Issues'!$E$5:$E$440,'Fuel Issues'!$C$5:$C$440,$A41)</f>
        <v>30</v>
      </c>
      <c r="G41" s="8">
        <f>COUNTIFS('Fuel Issues'!$C$5:$C$440,$A41)</f>
        <v>1</v>
      </c>
      <c r="H41" s="4">
        <f>_xlfn.MINIFS('Fuel Issues'!$A$5:$A$440,'Fuel Issues'!$C$5:$C$440,$A41)</f>
        <v>46209</v>
      </c>
      <c r="I41" s="15">
        <f t="shared" si="0"/>
        <v>1.6301689941857307E-3</v>
      </c>
    </row>
    <row r="42" spans="1:9" x14ac:dyDescent="0.3">
      <c r="A42" s="6" t="s">
        <v>53</v>
      </c>
      <c r="B42" s="8" t="str">
        <f>IF(SUMIFS('Fuel Issues'!$E$5:$E$440,'Fuel Issues'!$C$5:$C$440,$A42,'Fuel Issues'!$A$5:$A$440,"&gt;="&amp;DATE(2026,5,1),'Fuel Issues'!$A$5:$A$440,"&lt;"&amp;DATE(2026,6,1))=0,"",SUMIFS('Fuel Issues'!$E$5:$E$440,'Fuel Issues'!$C$5:$C$440,$A42,'Fuel Issues'!$A$5:$A$440,"&gt;="&amp;DATE(2026,5,1),'Fuel Issues'!$A$5:$A$440,"&lt;"&amp;DATE(2026,6,1)))</f>
        <v/>
      </c>
      <c r="C42" s="8" t="str">
        <f>IF(SUMIFS('Fuel Issues'!$E$5:$E$440,'Fuel Issues'!$C$5:$C$440,$A42,'Fuel Issues'!$A$5:$A$440,"&gt;="&amp;DATE(2026,6,1),'Fuel Issues'!$A$5:$A$440,"&lt;"&amp;DATE(2026,7,1))=0,"",SUMIFS('Fuel Issues'!$E$5:$E$440,'Fuel Issues'!$C$5:$C$440,$A42,'Fuel Issues'!$A$5:$A$440,"&gt;="&amp;DATE(2026,6,1),'Fuel Issues'!$A$5:$A$440,"&lt;"&amp;DATE(2026,7,1)))</f>
        <v/>
      </c>
      <c r="D42" s="8">
        <f>IF(SUMIFS('Fuel Issues'!$E$5:$E$440,'Fuel Issues'!$C$5:$C$440,$A42,'Fuel Issues'!$A$5:$A$440,"&gt;="&amp;DATE(2026,7,1),'Fuel Issues'!$A$5:$A$440,"&lt;"&amp;DATE(2026,8,1))=0,"",SUMIFS('Fuel Issues'!$E$5:$E$440,'Fuel Issues'!$C$5:$C$440,$A42,'Fuel Issues'!$A$5:$A$440,"&gt;="&amp;DATE(2026,7,1),'Fuel Issues'!$A$5:$A$440,"&lt;"&amp;DATE(2026,8,1)))</f>
        <v>10</v>
      </c>
      <c r="E42" s="8" t="str">
        <f>IF(SUMIFS('Fuel Issues'!$E$5:$E$440,'Fuel Issues'!$C$5:$C$440,$A42,'Fuel Issues'!$A$5:$A$440,"&gt;="&amp;DATE(2026,8,1),'Fuel Issues'!$A$5:$A$440,"&lt;"&amp;DATE(2026,9,1))=0,"",SUMIFS('Fuel Issues'!$E$5:$E$440,'Fuel Issues'!$C$5:$C$440,$A42,'Fuel Issues'!$A$5:$A$440,"&gt;="&amp;DATE(2026,8,1),'Fuel Issues'!$A$5:$A$440,"&lt;"&amp;DATE(2026,9,1)))</f>
        <v/>
      </c>
      <c r="F42" s="8">
        <f>SUMIFS('Fuel Issues'!$E$5:$E$440,'Fuel Issues'!$C$5:$C$440,$A42)</f>
        <v>10</v>
      </c>
      <c r="G42" s="8">
        <f>COUNTIFS('Fuel Issues'!$C$5:$C$440,$A42)</f>
        <v>1</v>
      </c>
      <c r="H42" s="4">
        <f>_xlfn.MINIFS('Fuel Issues'!$A$5:$A$440,'Fuel Issues'!$C$5:$C$440,$A42)</f>
        <v>46229</v>
      </c>
      <c r="I42" s="15">
        <f t="shared" si="0"/>
        <v>5.4338966472857689E-4</v>
      </c>
    </row>
    <row r="43" spans="1:9" x14ac:dyDescent="0.3">
      <c r="A43" s="11" t="s">
        <v>64</v>
      </c>
      <c r="B43" s="16">
        <f t="shared" ref="B43:G43" si="1">SUM(B5:B42)</f>
        <v>240</v>
      </c>
      <c r="C43" s="16">
        <f t="shared" si="1"/>
        <v>2455</v>
      </c>
      <c r="D43" s="16">
        <f t="shared" si="1"/>
        <v>13053</v>
      </c>
      <c r="E43" s="16">
        <f t="shared" si="1"/>
        <v>2655</v>
      </c>
      <c r="F43" s="16">
        <f t="shared" si="1"/>
        <v>18403</v>
      </c>
      <c r="G43" s="16">
        <f t="shared" si="1"/>
        <v>436</v>
      </c>
      <c r="H43" s="10"/>
      <c r="I43" s="17">
        <f>SUM(I5:I42)</f>
        <v>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40"/>
  <sheetViews>
    <sheetView showGridLines="0" zoomScaleNormal="100" workbookViewId="0"/>
  </sheetViews>
  <sheetFormatPr defaultColWidth="8.6640625" defaultRowHeight="14.4" x14ac:dyDescent="0.3"/>
  <cols>
    <col min="1" max="1" width="38" customWidth="1"/>
    <col min="2" max="2" width="18" customWidth="1"/>
    <col min="3" max="4" width="16" customWidth="1"/>
    <col min="5" max="5" width="14" customWidth="1"/>
  </cols>
  <sheetData>
    <row r="1" spans="1:2" ht="17.399999999999999" x14ac:dyDescent="0.3">
      <c r="A1" s="1" t="s">
        <v>130</v>
      </c>
    </row>
    <row r="2" spans="1:2" x14ac:dyDescent="0.3">
      <c r="A2" s="2" t="s">
        <v>131</v>
      </c>
    </row>
    <row r="4" spans="1:2" x14ac:dyDescent="0.3">
      <c r="A4" s="18" t="s">
        <v>132</v>
      </c>
      <c r="B4" s="19"/>
    </row>
    <row r="5" spans="1:2" x14ac:dyDescent="0.3">
      <c r="A5" s="6" t="s">
        <v>133</v>
      </c>
      <c r="B5" s="24">
        <f>_xlfn.MINIFS('Fuel Issues'!$A$5:$A$440,'Fuel Issues'!$E$5:$E$440,"&gt;0")</f>
        <v>46153</v>
      </c>
    </row>
    <row r="6" spans="1:2" x14ac:dyDescent="0.3">
      <c r="A6" s="6" t="s">
        <v>134</v>
      </c>
      <c r="B6" s="24">
        <f>_xlfn.MAXIFS('Fuel Issues'!$A$5:$A$440,'Fuel Issues'!$E$5:$E$440,"&gt;0")</f>
        <v>46239</v>
      </c>
    </row>
    <row r="7" spans="1:2" x14ac:dyDescent="0.3">
      <c r="A7" s="6" t="s">
        <v>135</v>
      </c>
      <c r="B7" s="25">
        <f>B6-B5+1</f>
        <v>87</v>
      </c>
    </row>
    <row r="8" spans="1:2" x14ac:dyDescent="0.3">
      <c r="A8" s="18" t="s">
        <v>136</v>
      </c>
      <c r="B8" s="19"/>
    </row>
    <row r="9" spans="1:2" x14ac:dyDescent="0.3">
      <c r="A9" s="6" t="s">
        <v>137</v>
      </c>
      <c r="B9" s="25">
        <f>SUM(Receipts!$D$5:$D$37)</f>
        <v>16836</v>
      </c>
    </row>
    <row r="10" spans="1:2" x14ac:dyDescent="0.3">
      <c r="A10" s="6" t="s">
        <v>138</v>
      </c>
      <c r="B10" s="25">
        <f>SUM('Fuel Issues'!$E$5:$E$440)</f>
        <v>18403</v>
      </c>
    </row>
    <row r="11" spans="1:2" x14ac:dyDescent="0.3">
      <c r="A11" s="6" t="s">
        <v>139</v>
      </c>
      <c r="B11" s="25">
        <f>B9-B10</f>
        <v>-1567</v>
      </c>
    </row>
    <row r="12" spans="1:2" x14ac:dyDescent="0.3">
      <c r="A12" s="6" t="s">
        <v>140</v>
      </c>
      <c r="B12" s="25">
        <f>COUNT('Fuel Issues'!$E$5:$E$440)</f>
        <v>436</v>
      </c>
    </row>
    <row r="13" spans="1:2" x14ac:dyDescent="0.3">
      <c r="A13" s="6" t="s">
        <v>141</v>
      </c>
      <c r="B13" s="26">
        <f>B10/B12</f>
        <v>42.208715596330272</v>
      </c>
    </row>
    <row r="14" spans="1:2" x14ac:dyDescent="0.3">
      <c r="A14" s="6" t="s">
        <v>142</v>
      </c>
      <c r="B14" s="26">
        <f>B10/B7</f>
        <v>211.5287356321839</v>
      </c>
    </row>
    <row r="15" spans="1:2" x14ac:dyDescent="0.3">
      <c r="A15" s="18" t="s">
        <v>143</v>
      </c>
      <c r="B15" s="19"/>
    </row>
    <row r="16" spans="1:2" x14ac:dyDescent="0.3">
      <c r="A16" s="6" t="s">
        <v>144</v>
      </c>
      <c r="B16" s="25">
        <f>COUNTA('Allocation Register'!$B$5:$B$42)</f>
        <v>38</v>
      </c>
    </row>
    <row r="17" spans="1:5" x14ac:dyDescent="0.3">
      <c r="A17" s="6" t="s">
        <v>145</v>
      </c>
      <c r="B17" s="25">
        <f>COUNTIFS('Allocation Register'!$G$5:$G$42,"&lt;=7")</f>
        <v>24</v>
      </c>
    </row>
    <row r="18" spans="1:5" x14ac:dyDescent="0.3">
      <c r="A18" s="6" t="s">
        <v>146</v>
      </c>
      <c r="B18" s="25">
        <f>COUNTIFS('Allocation Register'!$G$5:$G$42,"&gt;7")</f>
        <v>14</v>
      </c>
    </row>
    <row r="19" spans="1:5" x14ac:dyDescent="0.3">
      <c r="A19" s="6" t="s">
        <v>147</v>
      </c>
      <c r="B19" s="25">
        <f>MAX('Allocation Register'!$I$5:$I$42)</f>
        <v>2920</v>
      </c>
    </row>
    <row r="20" spans="1:5" x14ac:dyDescent="0.3">
      <c r="A20" s="6" t="s">
        <v>148</v>
      </c>
      <c r="B20" s="27" t="str">
        <f>INDEX('Allocation Register'!$B$5:$B$42,MATCH($B$19,'Allocation Register'!$I$5:$I$42,0))</f>
        <v>HEX-45</v>
      </c>
    </row>
    <row r="22" spans="1:5" x14ac:dyDescent="0.3">
      <c r="A22" s="28" t="s">
        <v>149</v>
      </c>
    </row>
    <row r="23" spans="1:5" ht="27" x14ac:dyDescent="0.3">
      <c r="A23" s="29" t="s">
        <v>3</v>
      </c>
      <c r="B23" s="29" t="s">
        <v>108</v>
      </c>
      <c r="C23" s="29" t="s">
        <v>150</v>
      </c>
      <c r="D23" s="29" t="s">
        <v>105</v>
      </c>
    </row>
    <row r="24" spans="1:5" x14ac:dyDescent="0.3">
      <c r="A24" s="5">
        <v>46143</v>
      </c>
      <c r="B24" s="8">
        <f>'Monthly Issues'!G5</f>
        <v>1</v>
      </c>
      <c r="C24" s="8">
        <f>'Monthly Issues'!H5</f>
        <v>1</v>
      </c>
      <c r="D24" s="8">
        <f>'Monthly Issues'!C5</f>
        <v>240</v>
      </c>
    </row>
    <row r="25" spans="1:5" x14ac:dyDescent="0.3">
      <c r="A25" s="5">
        <v>46174</v>
      </c>
      <c r="B25" s="8">
        <f>'Monthly Issues'!G6</f>
        <v>10</v>
      </c>
      <c r="C25" s="8">
        <f>'Monthly Issues'!H6</f>
        <v>11</v>
      </c>
      <c r="D25" s="8">
        <f>'Monthly Issues'!C6</f>
        <v>2455</v>
      </c>
    </row>
    <row r="26" spans="1:5" x14ac:dyDescent="0.3">
      <c r="A26" s="5">
        <v>46204</v>
      </c>
      <c r="B26" s="8">
        <f>'Monthly Issues'!G7</f>
        <v>24</v>
      </c>
      <c r="C26" s="8">
        <f>'Monthly Issues'!H7</f>
        <v>35</v>
      </c>
      <c r="D26" s="8">
        <f>'Monthly Issues'!C7</f>
        <v>13053</v>
      </c>
    </row>
    <row r="27" spans="1:5" x14ac:dyDescent="0.3">
      <c r="A27" s="5">
        <v>46235</v>
      </c>
      <c r="B27" s="8">
        <f>'Monthly Issues'!G8</f>
        <v>3</v>
      </c>
      <c r="C27" s="8">
        <f>'Monthly Issues'!H8</f>
        <v>38</v>
      </c>
      <c r="D27" s="8">
        <f>'Monthly Issues'!C8</f>
        <v>2655</v>
      </c>
    </row>
    <row r="29" spans="1:5" x14ac:dyDescent="0.3">
      <c r="A29" s="28" t="s">
        <v>151</v>
      </c>
    </row>
    <row r="30" spans="1:5" x14ac:dyDescent="0.3">
      <c r="A30" s="29" t="s">
        <v>152</v>
      </c>
      <c r="B30" s="29" t="s">
        <v>4</v>
      </c>
      <c r="C30" s="29" t="s">
        <v>88</v>
      </c>
      <c r="D30" s="29" t="s">
        <v>114</v>
      </c>
      <c r="E30" s="29" t="s">
        <v>153</v>
      </c>
    </row>
    <row r="31" spans="1:5" x14ac:dyDescent="0.3">
      <c r="A31" s="9">
        <v>1</v>
      </c>
      <c r="B31" s="6" t="s">
        <v>16</v>
      </c>
      <c r="C31" s="8">
        <f>SUMIFS('Fuel Issues'!$E$5:$E$440,'Fuel Issues'!$C$5:$C$440,$B31)</f>
        <v>2920</v>
      </c>
      <c r="D31" s="4">
        <f>_xlfn.MINIFS('Fuel Issues'!$A$5:$A$440,'Fuel Issues'!$C$5:$C$440,$B31)</f>
        <v>46182</v>
      </c>
      <c r="E31" s="15">
        <f t="shared" ref="E31:E40" si="0">IFERROR($C31/$B$10,"")</f>
        <v>0.15866978210074445</v>
      </c>
    </row>
    <row r="32" spans="1:5" x14ac:dyDescent="0.3">
      <c r="A32" s="9">
        <v>2</v>
      </c>
      <c r="B32" s="6" t="s">
        <v>30</v>
      </c>
      <c r="C32" s="8">
        <f>SUMIFS('Fuel Issues'!$E$5:$E$440,'Fuel Issues'!$C$5:$C$440,$B32)</f>
        <v>2090</v>
      </c>
      <c r="D32" s="4">
        <f>_xlfn.MINIFS('Fuel Issues'!$A$5:$A$440,'Fuel Issues'!$C$5:$C$440,$B32)</f>
        <v>46208</v>
      </c>
      <c r="E32" s="15">
        <f t="shared" si="0"/>
        <v>0.11356843992827256</v>
      </c>
    </row>
    <row r="33" spans="1:5" x14ac:dyDescent="0.3">
      <c r="A33" s="9">
        <v>3</v>
      </c>
      <c r="B33" s="6" t="s">
        <v>39</v>
      </c>
      <c r="C33" s="8">
        <f>SUMIFS('Fuel Issues'!$E$5:$E$440,'Fuel Issues'!$C$5:$C$440,$B33)</f>
        <v>1940</v>
      </c>
      <c r="D33" s="4">
        <f>_xlfn.MINIFS('Fuel Issues'!$A$5:$A$440,'Fuel Issues'!$C$5:$C$440,$B33)</f>
        <v>46211</v>
      </c>
      <c r="E33" s="15">
        <f t="shared" si="0"/>
        <v>0.10541759495734392</v>
      </c>
    </row>
    <row r="34" spans="1:5" x14ac:dyDescent="0.3">
      <c r="A34" s="9">
        <v>4</v>
      </c>
      <c r="B34" s="6" t="s">
        <v>46</v>
      </c>
      <c r="C34" s="8">
        <f>SUMIFS('Fuel Issues'!$E$5:$E$440,'Fuel Issues'!$C$5:$C$440,$B34)</f>
        <v>1660</v>
      </c>
      <c r="D34" s="4">
        <f>_xlfn.MINIFS('Fuel Issues'!$A$5:$A$440,'Fuel Issues'!$C$5:$C$440,$B34)</f>
        <v>46223</v>
      </c>
      <c r="E34" s="15">
        <f t="shared" si="0"/>
        <v>9.0202684344943759E-2</v>
      </c>
    </row>
    <row r="35" spans="1:5" x14ac:dyDescent="0.3">
      <c r="A35" s="9">
        <v>5</v>
      </c>
      <c r="B35" s="6" t="s">
        <v>14</v>
      </c>
      <c r="C35" s="8">
        <f>SUMIFS('Fuel Issues'!$E$5:$E$440,'Fuel Issues'!$C$5:$C$440,$B35)</f>
        <v>1455</v>
      </c>
      <c r="D35" s="4">
        <f>_xlfn.MINIFS('Fuel Issues'!$A$5:$A$440,'Fuel Issues'!$C$5:$C$440,$B35)</f>
        <v>46181</v>
      </c>
      <c r="E35" s="15">
        <f t="shared" si="0"/>
        <v>7.9063196218007933E-2</v>
      </c>
    </row>
    <row r="36" spans="1:5" x14ac:dyDescent="0.3">
      <c r="A36" s="9">
        <v>6</v>
      </c>
      <c r="B36" s="6" t="s">
        <v>20</v>
      </c>
      <c r="C36" s="8">
        <f>SUMIFS('Fuel Issues'!$E$5:$E$440,'Fuel Issues'!$C$5:$C$440,$B36)</f>
        <v>890</v>
      </c>
      <c r="D36" s="4">
        <f>_xlfn.MINIFS('Fuel Issues'!$A$5:$A$440,'Fuel Issues'!$C$5:$C$440,$B36)</f>
        <v>46190</v>
      </c>
      <c r="E36" s="15">
        <f t="shared" si="0"/>
        <v>4.8361680160843343E-2</v>
      </c>
    </row>
    <row r="37" spans="1:5" x14ac:dyDescent="0.3">
      <c r="A37" s="9">
        <v>7</v>
      </c>
      <c r="B37" s="6" t="s">
        <v>43</v>
      </c>
      <c r="C37" s="8">
        <f>SUMIFS('Fuel Issues'!$E$5:$E$440,'Fuel Issues'!$C$5:$C$440,$B37)</f>
        <v>810</v>
      </c>
      <c r="D37" s="4">
        <f>_xlfn.MINIFS('Fuel Issues'!$A$5:$A$440,'Fuel Issues'!$C$5:$C$440,$B37)</f>
        <v>46215</v>
      </c>
      <c r="E37" s="15">
        <f t="shared" si="0"/>
        <v>4.4014562843014728E-2</v>
      </c>
    </row>
    <row r="38" spans="1:5" x14ac:dyDescent="0.3">
      <c r="A38" s="9">
        <v>8</v>
      </c>
      <c r="B38" s="6" t="s">
        <v>23</v>
      </c>
      <c r="C38" s="8">
        <f>SUMIFS('Fuel Issues'!$E$5:$E$440,'Fuel Issues'!$C$5:$C$440,$B38)</f>
        <v>780</v>
      </c>
      <c r="D38" s="4">
        <f>_xlfn.MINIFS('Fuel Issues'!$A$5:$A$440,'Fuel Issues'!$C$5:$C$440,$B38)</f>
        <v>46197</v>
      </c>
      <c r="E38" s="15">
        <f t="shared" si="0"/>
        <v>4.2384393848828993E-2</v>
      </c>
    </row>
    <row r="39" spans="1:5" x14ac:dyDescent="0.3">
      <c r="A39" s="9">
        <v>9</v>
      </c>
      <c r="B39" s="6" t="s">
        <v>8</v>
      </c>
      <c r="C39" s="8">
        <f>SUMIFS('Fuel Issues'!$E$5:$E$440,'Fuel Issues'!$C$5:$C$440,$B39)</f>
        <v>576</v>
      </c>
      <c r="D39" s="4">
        <f>_xlfn.MINIFS('Fuel Issues'!$A$5:$A$440,'Fuel Issues'!$C$5:$C$440,$B39)</f>
        <v>46153</v>
      </c>
      <c r="E39" s="15">
        <f t="shared" si="0"/>
        <v>3.1299244688366028E-2</v>
      </c>
    </row>
    <row r="40" spans="1:5" x14ac:dyDescent="0.3">
      <c r="A40" s="9">
        <v>10</v>
      </c>
      <c r="B40" s="6" t="s">
        <v>21</v>
      </c>
      <c r="C40" s="8">
        <f>SUMIFS('Fuel Issues'!$E$5:$E$440,'Fuel Issues'!$C$5:$C$440,$B40)</f>
        <v>533</v>
      </c>
      <c r="D40" s="4">
        <f>_xlfn.MINIFS('Fuel Issues'!$A$5:$A$440,'Fuel Issues'!$C$5:$C$440,$B40)</f>
        <v>46193</v>
      </c>
      <c r="E40" s="15">
        <f t="shared" si="0"/>
        <v>2.8962669130033147E-2</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6"/>
  <sheetViews>
    <sheetView showGridLines="0" zoomScaleNormal="100" workbookViewId="0"/>
  </sheetViews>
  <sheetFormatPr defaultColWidth="8.6640625" defaultRowHeight="14.4" x14ac:dyDescent="0.3"/>
  <cols>
    <col min="1" max="1" width="30" customWidth="1"/>
    <col min="2" max="2" width="115" customWidth="1"/>
  </cols>
  <sheetData>
    <row r="1" spans="1:2" ht="17.399999999999999" x14ac:dyDescent="0.3">
      <c r="A1" s="1" t="s">
        <v>154</v>
      </c>
    </row>
    <row r="3" spans="1:2" x14ac:dyDescent="0.3">
      <c r="A3" s="30" t="s">
        <v>155</v>
      </c>
      <c r="B3" s="31"/>
    </row>
    <row r="4" spans="1:2" ht="27.75" customHeight="1" x14ac:dyDescent="0.3">
      <c r="B4" s="32" t="s">
        <v>156</v>
      </c>
    </row>
    <row r="5" spans="1:2" ht="42" customHeight="1" x14ac:dyDescent="0.3">
      <c r="B5" s="32" t="s">
        <v>157</v>
      </c>
    </row>
    <row r="6" spans="1:2" ht="27.75" customHeight="1" x14ac:dyDescent="0.3">
      <c r="B6" s="32" t="s">
        <v>158</v>
      </c>
    </row>
    <row r="7" spans="1:2" ht="42" customHeight="1" x14ac:dyDescent="0.3">
      <c r="B7" s="32" t="s">
        <v>159</v>
      </c>
    </row>
    <row r="8" spans="1:2" x14ac:dyDescent="0.3">
      <c r="A8" s="30" t="s">
        <v>160</v>
      </c>
      <c r="B8" s="31"/>
    </row>
    <row r="9" spans="1:2" ht="42" customHeight="1" x14ac:dyDescent="0.3">
      <c r="B9" s="32" t="s">
        <v>161</v>
      </c>
    </row>
    <row r="10" spans="1:2" ht="42" customHeight="1" x14ac:dyDescent="0.3">
      <c r="B10" s="32" t="s">
        <v>162</v>
      </c>
    </row>
    <row r="11" spans="1:2" x14ac:dyDescent="0.3">
      <c r="A11" s="30" t="s">
        <v>163</v>
      </c>
      <c r="B11" s="31"/>
    </row>
    <row r="12" spans="1:2" ht="42" customHeight="1" x14ac:dyDescent="0.3">
      <c r="B12" s="32" t="s">
        <v>164</v>
      </c>
    </row>
    <row r="13" spans="1:2" ht="27.75" customHeight="1" x14ac:dyDescent="0.3">
      <c r="B13" s="32" t="s">
        <v>165</v>
      </c>
    </row>
    <row r="14" spans="1:2" ht="27.75" customHeight="1" x14ac:dyDescent="0.3">
      <c r="B14" s="32" t="s">
        <v>166</v>
      </c>
    </row>
    <row r="15" spans="1:2" ht="27.75" customHeight="1" x14ac:dyDescent="0.3">
      <c r="B15" s="32" t="s">
        <v>167</v>
      </c>
    </row>
    <row r="16" spans="1:2" ht="27.75" customHeight="1" x14ac:dyDescent="0.3">
      <c r="B16" s="32" t="s">
        <v>168</v>
      </c>
    </row>
    <row r="17" spans="1:2" ht="42" customHeight="1" x14ac:dyDescent="0.3">
      <c r="B17" s="32" t="s">
        <v>169</v>
      </c>
    </row>
    <row r="18" spans="1:2" ht="27.75" customHeight="1" x14ac:dyDescent="0.3">
      <c r="B18" s="32" t="s">
        <v>170</v>
      </c>
    </row>
    <row r="19" spans="1:2" x14ac:dyDescent="0.3">
      <c r="A19" s="30" t="s">
        <v>171</v>
      </c>
      <c r="B19" s="31"/>
    </row>
    <row r="20" spans="1:2" ht="27.75" customHeight="1" x14ac:dyDescent="0.3">
      <c r="B20" s="32" t="s">
        <v>172</v>
      </c>
    </row>
    <row r="21" spans="1:2" ht="42" customHeight="1" x14ac:dyDescent="0.3">
      <c r="B21" s="32" t="s">
        <v>173</v>
      </c>
    </row>
    <row r="22" spans="1:2" ht="55.5" customHeight="1" x14ac:dyDescent="0.3">
      <c r="B22" s="32" t="s">
        <v>174</v>
      </c>
    </row>
    <row r="23" spans="1:2" ht="27.75" customHeight="1" x14ac:dyDescent="0.3">
      <c r="B23" s="32" t="s">
        <v>175</v>
      </c>
    </row>
    <row r="24" spans="1:2" x14ac:dyDescent="0.3">
      <c r="A24" s="30" t="s">
        <v>176</v>
      </c>
      <c r="B24" s="31"/>
    </row>
    <row r="25" spans="1:2" ht="42" customHeight="1" x14ac:dyDescent="0.3">
      <c r="B25" s="32" t="s">
        <v>177</v>
      </c>
    </row>
    <row r="26" spans="1:2" ht="42" customHeight="1" x14ac:dyDescent="0.3">
      <c r="B26" s="32" t="s">
        <v>178</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Fuel Issues</vt:lpstr>
      <vt:lpstr>Receipts</vt:lpstr>
      <vt:lpstr>Allocation Register</vt:lpstr>
      <vt:lpstr>Monthly Issues</vt:lpstr>
      <vt:lpstr>Monthly Allocations</vt:lpstr>
      <vt:lpstr>Vehicle x Month</vt:lpstr>
      <vt:lpstr>Summary</vt:lpstr>
      <vt:lpstr>Sources &amp; Name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2026-08-06T16:07:08Z</dcterms:created>
  <dcterms:modified xsi:type="dcterms:W3CDTF">2026-08-07T04:56:38Z</dcterms:modified>
  <dc:language>en-US</dc:language>
</cp:coreProperties>
</file>