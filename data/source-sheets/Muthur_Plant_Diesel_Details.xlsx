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99D4CB4-0826-49F2-A37F-144B059E3FC7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Fuel Report" sheetId="1" r:id="rId1"/>
  </sheets>
  <definedNames>
    <definedName name="_xlnm.Print_Area" localSheetId="0">'Fuel Report'!$A$1:$AT$50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AP26" i="1" l="1"/>
  <c r="AP9" i="1" l="1"/>
  <c r="AP23" i="1" l="1"/>
  <c r="F33" i="1" l="1"/>
  <c r="G33" i="1"/>
  <c r="H33" i="1"/>
  <c r="AP22" i="1" l="1"/>
  <c r="I33" i="1" l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P32" i="1" l="1"/>
  <c r="AP24" i="1"/>
  <c r="AP25" i="1"/>
  <c r="AP27" i="1"/>
  <c r="AP28" i="1"/>
  <c r="AP29" i="1"/>
  <c r="AP30" i="1"/>
  <c r="AP31" i="1"/>
  <c r="AP12" i="1" l="1"/>
  <c r="AP13" i="1"/>
  <c r="AP14" i="1"/>
  <c r="AP15" i="1"/>
  <c r="AP16" i="1"/>
  <c r="AP17" i="1"/>
  <c r="AP18" i="1"/>
  <c r="AP19" i="1"/>
  <c r="AK13" i="1"/>
  <c r="AK14" i="1"/>
  <c r="AM14" i="1" s="1"/>
  <c r="AK15" i="1"/>
  <c r="AM15" i="1" s="1"/>
  <c r="AT15" i="1" s="1"/>
  <c r="AK16" i="1"/>
  <c r="AM16" i="1" s="1"/>
  <c r="AK17" i="1"/>
  <c r="AM17" i="1" s="1"/>
  <c r="AK18" i="1"/>
  <c r="AM18" i="1" s="1"/>
  <c r="AK19" i="1"/>
  <c r="AM19" i="1" s="1"/>
  <c r="AT19" i="1" s="1"/>
  <c r="AK20" i="1"/>
  <c r="AM20" i="1" s="1"/>
  <c r="AT20" i="1" s="1"/>
  <c r="AK23" i="1"/>
  <c r="AK24" i="1"/>
  <c r="AK25" i="1"/>
  <c r="AK26" i="1"/>
  <c r="AK27" i="1"/>
  <c r="AQ27" i="1" s="1"/>
  <c r="AK28" i="1"/>
  <c r="AK29" i="1"/>
  <c r="AK30" i="1"/>
  <c r="AK31" i="1"/>
  <c r="AK32" i="1"/>
  <c r="AK22" i="1"/>
  <c r="AM22" i="1" s="1"/>
  <c r="AQ22" i="1" s="1"/>
  <c r="AM23" i="1"/>
  <c r="AM24" i="1"/>
  <c r="AQ24" i="1" s="1"/>
  <c r="AM25" i="1"/>
  <c r="AM26" i="1"/>
  <c r="AM27" i="1"/>
  <c r="AM28" i="1"/>
  <c r="AM29" i="1"/>
  <c r="AM30" i="1"/>
  <c r="AM31" i="1"/>
  <c r="AM32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L21" i="1"/>
  <c r="F21" i="1"/>
  <c r="AQ14" i="1" l="1"/>
  <c r="AT14" i="1"/>
  <c r="AQ17" i="1"/>
  <c r="AT17" i="1"/>
  <c r="AQ18" i="1"/>
  <c r="AT18" i="1"/>
  <c r="AQ16" i="1"/>
  <c r="AT16" i="1"/>
  <c r="AQ19" i="1"/>
  <c r="AM33" i="1"/>
  <c r="AQ15" i="1"/>
  <c r="AK33" i="1"/>
  <c r="AT22" i="1"/>
  <c r="AQ31" i="1" l="1"/>
  <c r="AT31" i="1"/>
  <c r="AL33" i="1" l="1"/>
  <c r="AN33" i="1"/>
  <c r="AN37" i="1" s="1"/>
  <c r="AO33" i="1"/>
  <c r="AO37" i="1" s="1"/>
  <c r="AR33" i="1"/>
  <c r="AR37" i="1" s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P7" i="1"/>
  <c r="AP8" i="1"/>
  <c r="AP10" i="1"/>
  <c r="AP11" i="1"/>
  <c r="AP20" i="1"/>
  <c r="AQ20" i="1" s="1"/>
  <c r="AQ23" i="1"/>
  <c r="AP6" i="1"/>
  <c r="AP5" i="1"/>
  <c r="AK7" i="1"/>
  <c r="AM7" i="1" s="1"/>
  <c r="AK8" i="1"/>
  <c r="AM8" i="1" s="1"/>
  <c r="AT8" i="1" s="1"/>
  <c r="AK9" i="1"/>
  <c r="AM9" i="1" s="1"/>
  <c r="AT9" i="1" s="1"/>
  <c r="AK10" i="1"/>
  <c r="AM10" i="1" s="1"/>
  <c r="AK11" i="1"/>
  <c r="AM11" i="1" s="1"/>
  <c r="AK12" i="1"/>
  <c r="AM12" i="1" s="1"/>
  <c r="AT12" i="1" s="1"/>
  <c r="AM13" i="1"/>
  <c r="AT24" i="1"/>
  <c r="AT25" i="1"/>
  <c r="AT26" i="1"/>
  <c r="AT32" i="1"/>
  <c r="AK6" i="1"/>
  <c r="AM6" i="1" s="1"/>
  <c r="AT6" i="1" s="1"/>
  <c r="AK5" i="1"/>
  <c r="AK21" i="1" l="1"/>
  <c r="AK37" i="1" s="1"/>
  <c r="E43" i="1" s="1"/>
  <c r="AT13" i="1"/>
  <c r="AQ30" i="1"/>
  <c r="AT30" i="1"/>
  <c r="AQ29" i="1"/>
  <c r="AT29" i="1"/>
  <c r="AQ28" i="1"/>
  <c r="AT28" i="1"/>
  <c r="AT27" i="1"/>
  <c r="AT23" i="1"/>
  <c r="AQ32" i="1"/>
  <c r="F37" i="1"/>
  <c r="AQ25" i="1"/>
  <c r="AQ26" i="1"/>
  <c r="AQ6" i="1"/>
  <c r="AP33" i="1"/>
  <c r="AP37" i="1" s="1"/>
  <c r="AL37" i="1"/>
  <c r="AQ11" i="1"/>
  <c r="AQ7" i="1"/>
  <c r="AQ10" i="1"/>
  <c r="AT11" i="1"/>
  <c r="AT10" i="1"/>
  <c r="AT7" i="1"/>
  <c r="AQ13" i="1"/>
  <c r="AQ9" i="1"/>
  <c r="AQ12" i="1"/>
  <c r="AQ8" i="1"/>
  <c r="AM5" i="1"/>
  <c r="AM21" i="1" s="1"/>
  <c r="F38" i="1" l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AT33" i="1"/>
  <c r="AT5" i="1"/>
  <c r="AT21" i="1" s="1"/>
  <c r="AQ5" i="1"/>
  <c r="U38" i="1" l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E44" i="1" s="1"/>
  <c r="AT37" i="1"/>
  <c r="AT42" i="1" s="1"/>
  <c r="AM37" i="1"/>
  <c r="AQ33" i="1"/>
  <c r="AQ37" i="1" s="1"/>
</calcChain>
</file>

<file path=xl/sharedStrings.xml><?xml version="1.0" encoding="utf-8"?>
<sst xmlns="http://schemas.openxmlformats.org/spreadsheetml/2006/main" count="121" uniqueCount="77">
  <si>
    <t xml:space="preserve"> </t>
  </si>
  <si>
    <t>S. No.</t>
  </si>
  <si>
    <t>Company Code</t>
  </si>
  <si>
    <t>Type of Vehicle/ Machine</t>
  </si>
  <si>
    <t>Daily closing balance at site tank (ℓ)</t>
  </si>
  <si>
    <t>Vehicle Reg. No.</t>
  </si>
  <si>
    <t>Location/ Project:</t>
  </si>
  <si>
    <t>Day</t>
  </si>
  <si>
    <t xml:space="preserve">Total ℓ from Site Tank </t>
  </si>
  <si>
    <t>Total Fuel ℓ (A)</t>
  </si>
  <si>
    <t>Opening Meter km/ hrs.</t>
  </si>
  <si>
    <t>Closing Meter km/ hrs.</t>
  </si>
  <si>
    <t>Total issue for the vehicle (ℓ)</t>
  </si>
  <si>
    <t xml:space="preserve">Total issue for the machinery (ℓ) </t>
  </si>
  <si>
    <t>Total ℓ from Outside</t>
  </si>
  <si>
    <t>Total Running    km/ hrs.(B)</t>
  </si>
  <si>
    <t xml:space="preserve">Consumption per km or hrs. (B/A) </t>
  </si>
  <si>
    <t>Fuel Rate Rs. (C)</t>
  </si>
  <si>
    <t xml:space="preserve">Fuel Cost Rs. (A*C) </t>
  </si>
  <si>
    <t xml:space="preserve">Previous month consumption </t>
  </si>
  <si>
    <t>Fuel Type</t>
  </si>
  <si>
    <t>Daily Total Issue for Vehicle and Machinery (ℓ)</t>
  </si>
  <si>
    <t xml:space="preserve">                                                             Year and Month:</t>
  </si>
  <si>
    <t xml:space="preserve">                                                           Monthly Fuel Consumption Report (Daily/ Average)</t>
  </si>
  <si>
    <t>Total deduction (Rs.)</t>
  </si>
  <si>
    <t>Monthly Opening Balance (ℓ)</t>
  </si>
  <si>
    <t>Project fuel cost (Rs.)</t>
  </si>
  <si>
    <t>Monthly Closing Balance (ℓ)</t>
  </si>
  <si>
    <t>Monthly Consumption (ℓ)</t>
  </si>
  <si>
    <t>Daily Opening balance at site tank (ℓ)</t>
  </si>
  <si>
    <t>Daily Fuel Purchase (ℓ)</t>
  </si>
  <si>
    <t>Edward and Christie (Pvt) Ltd</t>
  </si>
  <si>
    <t xml:space="preserve">Prepared By                                                    Checked By                                        Reviewed By                                       Reviewed By                                           Reviewed By                                   Approved By          </t>
  </si>
  <si>
    <t xml:space="preserve">Store Keeper                                              Transport Officer                                      Project Manager                         Account Executive (HO)                          Manager Logistics (HO)                        Director Construction     </t>
  </si>
  <si>
    <t>…………………………….                                                 ………………………………                                        …………………………………..                                      ….....................................                                     ...................................                                               …………………………………….</t>
  </si>
  <si>
    <t>GE-121</t>
  </si>
  <si>
    <t>GE-10</t>
  </si>
  <si>
    <t>GE-106</t>
  </si>
  <si>
    <t>WG-63</t>
  </si>
  <si>
    <t>TIPPER</t>
  </si>
  <si>
    <t>LODER</t>
  </si>
  <si>
    <t>EXCAVETOR</t>
  </si>
  <si>
    <t>GENI</t>
  </si>
  <si>
    <t>W/GENI</t>
  </si>
  <si>
    <t>MUTHUR PLANT</t>
  </si>
  <si>
    <t>LI-3405</t>
  </si>
  <si>
    <t>Diesel</t>
  </si>
  <si>
    <t>LD-07</t>
  </si>
  <si>
    <t>LI-3395</t>
  </si>
  <si>
    <t>HEX-26</t>
  </si>
  <si>
    <t>HS-1773</t>
  </si>
  <si>
    <t>LP-1718</t>
  </si>
  <si>
    <t>Miscellaneous Receving (ℓ)</t>
  </si>
  <si>
    <t xml:space="preserve">Monthiy Fuel Purchase (L) </t>
  </si>
  <si>
    <t>LD-01</t>
  </si>
  <si>
    <t>AC-42</t>
  </si>
  <si>
    <t>AIR COMPRESHER</t>
  </si>
  <si>
    <t>LI-3402</t>
  </si>
  <si>
    <t>LI-3401</t>
  </si>
  <si>
    <t>HEAT BUNNER</t>
  </si>
  <si>
    <t>C/CAB</t>
  </si>
  <si>
    <t>47-5112</t>
  </si>
  <si>
    <t>L/ACE</t>
  </si>
  <si>
    <t>LP-1716</t>
  </si>
  <si>
    <t>Crusher Plant</t>
  </si>
  <si>
    <t>LO-9810</t>
  </si>
  <si>
    <t>S/CAB</t>
  </si>
  <si>
    <t>LO-4816</t>
  </si>
  <si>
    <t>LP-1710</t>
  </si>
  <si>
    <t>LO-4672</t>
  </si>
  <si>
    <t>BITUMEN BOWUSER</t>
  </si>
  <si>
    <t>BLACK DIESEL TANK</t>
  </si>
  <si>
    <t>43-1191</t>
  </si>
  <si>
    <t>W/Bowser</t>
  </si>
  <si>
    <t>HEX-40</t>
  </si>
  <si>
    <t>June- 2026</t>
  </si>
  <si>
    <t>51-8083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</si>
</sst>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Segoe UI Light"/>
      <family val="2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2" fontId="1" fillId="0" borderId="2" xfId="0" applyNumberFormat="1" applyFont="1" applyBorder="1"/>
    <xf numFmtId="164" fontId="2" fillId="0" borderId="0" xfId="1" applyFont="1"/>
    <xf numFmtId="164" fontId="1" fillId="0" borderId="3" xfId="1" applyFont="1" applyBorder="1"/>
    <xf numFmtId="164" fontId="1" fillId="0" borderId="0" xfId="1" applyFont="1"/>
    <xf numFmtId="164" fontId="1" fillId="0" borderId="3" xfId="0" applyNumberFormat="1" applyFont="1" applyBorder="1"/>
    <xf numFmtId="164" fontId="1" fillId="0" borderId="2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3" xfId="0" applyNumberFormat="1" applyFont="1" applyBorder="1"/>
    <xf numFmtId="164" fontId="1" fillId="0" borderId="11" xfId="0" applyNumberFormat="1" applyFont="1" applyBorder="1"/>
    <xf numFmtId="0" fontId="1" fillId="0" borderId="0" xfId="0" applyFont="1" applyBorder="1" applyAlignment="1">
      <alignment horizontal="center" wrapText="1"/>
    </xf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1" fillId="0" borderId="11" xfId="0" applyNumberFormat="1" applyFont="1" applyBorder="1"/>
    <xf numFmtId="0" fontId="6" fillId="0" borderId="0" xfId="0" applyFont="1"/>
    <xf numFmtId="0" fontId="7" fillId="0" borderId="2" xfId="0" applyFont="1" applyBorder="1"/>
    <xf numFmtId="49" fontId="2" fillId="0" borderId="18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3" xfId="1" applyFont="1" applyBorder="1" applyAlignment="1">
      <alignment horizontal="center" vertical="center" wrapText="1"/>
    </xf>
    <xf numFmtId="164" fontId="1" fillId="0" borderId="4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3"/>
  <sheetViews>
    <sheetView tabSelected="1" topLeftCell="A7" zoomScaleNormal="100" workbookViewId="0">
      <pane xSplit="2" topLeftCell="C1" activePane="topRight" state="frozen"/>
      <selection pane="topRight" activeCell="A33" sqref="A33"/>
    </sheetView>
  </sheetViews>
  <sheetFormatPr defaultRowHeight="15.75" x14ac:dyDescent="0.25"/>
  <cols>
    <col min="1" max="1" width="4.140625" style="2" customWidth="1"/>
    <col min="2" max="2" width="25.140625" style="1" customWidth="1"/>
    <col min="3" max="3" width="10.42578125" style="1" customWidth="1"/>
    <col min="4" max="4" width="10.7109375" style="1" customWidth="1"/>
    <col min="5" max="5" width="9" style="1" customWidth="1"/>
    <col min="6" max="7" width="4.7109375" style="1" customWidth="1"/>
    <col min="8" max="8" width="4.85546875" style="1" customWidth="1"/>
    <col min="9" max="25" width="4.7109375" style="1" customWidth="1"/>
    <col min="26" max="26" width="6.140625" style="1" customWidth="1"/>
    <col min="27" max="27" width="5.5703125" style="1" customWidth="1"/>
    <col min="28" max="30" width="4.7109375" style="1" customWidth="1"/>
    <col min="31" max="31" width="6.140625" style="1" customWidth="1"/>
    <col min="32" max="36" width="4.7109375" style="1" customWidth="1"/>
    <col min="37" max="37" width="8.42578125" style="2" customWidth="1"/>
    <col min="38" max="38" width="7.5703125" style="2" customWidth="1"/>
    <col min="39" max="39" width="15" style="2" customWidth="1"/>
    <col min="40" max="40" width="9.7109375" style="2" customWidth="1"/>
    <col min="41" max="41" width="11.42578125" style="2" customWidth="1"/>
    <col min="42" max="42" width="10.42578125" style="2" customWidth="1"/>
    <col min="43" max="44" width="11.7109375" style="1" customWidth="1"/>
    <col min="45" max="45" width="8" style="21" customWidth="1"/>
    <col min="46" max="46" width="12.85546875" style="1" customWidth="1"/>
    <col min="47" max="16384" width="9.140625" style="1"/>
  </cols>
  <sheetData>
    <row r="1" spans="1:48" x14ac:dyDescent="0.25">
      <c r="A1" s="13" t="s">
        <v>31</v>
      </c>
      <c r="E1" s="14" t="s">
        <v>23</v>
      </c>
      <c r="R1" s="14"/>
    </row>
    <row r="2" spans="1:48" x14ac:dyDescent="0.25">
      <c r="A2" s="13" t="s">
        <v>6</v>
      </c>
      <c r="C2" s="1" t="s">
        <v>44</v>
      </c>
      <c r="E2" s="14" t="s">
        <v>22</v>
      </c>
      <c r="O2" s="41" t="s">
        <v>75</v>
      </c>
      <c r="P2" s="41"/>
      <c r="Q2" s="41"/>
      <c r="R2" s="41"/>
    </row>
    <row r="3" spans="1:48" ht="15.75" customHeight="1" x14ac:dyDescent="0.25">
      <c r="A3" s="42" t="s">
        <v>1</v>
      </c>
      <c r="B3" s="42" t="s">
        <v>5</v>
      </c>
      <c r="C3" s="42" t="s">
        <v>2</v>
      </c>
      <c r="D3" s="42" t="s">
        <v>3</v>
      </c>
      <c r="E3" s="42" t="s">
        <v>20</v>
      </c>
      <c r="F3" s="46" t="s">
        <v>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8"/>
      <c r="AK3" s="42" t="s">
        <v>8</v>
      </c>
      <c r="AL3" s="42" t="s">
        <v>14</v>
      </c>
      <c r="AM3" s="42" t="s">
        <v>9</v>
      </c>
      <c r="AN3" s="42" t="s">
        <v>10</v>
      </c>
      <c r="AO3" s="42" t="s">
        <v>11</v>
      </c>
      <c r="AP3" s="42" t="s">
        <v>15</v>
      </c>
      <c r="AQ3" s="42" t="s">
        <v>16</v>
      </c>
      <c r="AR3" s="42" t="s">
        <v>19</v>
      </c>
      <c r="AS3" s="44" t="s">
        <v>17</v>
      </c>
      <c r="AT3" s="42" t="s">
        <v>18</v>
      </c>
    </row>
    <row r="4" spans="1:48" s="3" customFormat="1" ht="27" customHeight="1" x14ac:dyDescent="0.25">
      <c r="A4" s="43"/>
      <c r="B4" s="43"/>
      <c r="C4" s="43"/>
      <c r="D4" s="43"/>
      <c r="E4" s="43"/>
      <c r="F4" s="4">
        <v>1</v>
      </c>
      <c r="G4" s="4"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  <c r="N4" s="4">
        <v>9</v>
      </c>
      <c r="O4" s="4">
        <v>10</v>
      </c>
      <c r="P4" s="4">
        <v>11</v>
      </c>
      <c r="Q4" s="4">
        <v>12</v>
      </c>
      <c r="R4" s="4">
        <v>13</v>
      </c>
      <c r="S4" s="4">
        <v>14</v>
      </c>
      <c r="T4" s="4">
        <v>15</v>
      </c>
      <c r="U4" s="4">
        <v>16</v>
      </c>
      <c r="V4" s="4">
        <v>17</v>
      </c>
      <c r="W4" s="4">
        <v>18</v>
      </c>
      <c r="X4" s="4">
        <v>19</v>
      </c>
      <c r="Y4" s="4">
        <v>20</v>
      </c>
      <c r="Z4" s="4">
        <v>21</v>
      </c>
      <c r="AA4" s="4">
        <v>22</v>
      </c>
      <c r="AB4" s="4">
        <v>23</v>
      </c>
      <c r="AC4" s="4">
        <v>24</v>
      </c>
      <c r="AD4" s="4">
        <v>25</v>
      </c>
      <c r="AE4" s="4">
        <v>26</v>
      </c>
      <c r="AF4" s="4">
        <v>27</v>
      </c>
      <c r="AG4" s="4">
        <v>28</v>
      </c>
      <c r="AH4" s="4">
        <v>29</v>
      </c>
      <c r="AI4" s="4">
        <v>30</v>
      </c>
      <c r="AJ4" s="4">
        <v>31</v>
      </c>
      <c r="AK4" s="43"/>
      <c r="AL4" s="43"/>
      <c r="AM4" s="43"/>
      <c r="AN4" s="43"/>
      <c r="AO4" s="43"/>
      <c r="AP4" s="43"/>
      <c r="AQ4" s="43"/>
      <c r="AR4" s="43"/>
      <c r="AS4" s="45"/>
      <c r="AT4" s="43"/>
    </row>
    <row r="5" spans="1:48" ht="20.100000000000001" customHeight="1" x14ac:dyDescent="0.25">
      <c r="A5" s="5">
        <v>1</v>
      </c>
      <c r="B5" s="6" t="s">
        <v>50</v>
      </c>
      <c r="C5" s="6"/>
      <c r="D5" s="6" t="s">
        <v>39</v>
      </c>
      <c r="E5" s="6" t="s">
        <v>46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>SUM(F5:AJ5)</f>
        <v>0</v>
      </c>
      <c r="AL5" s="5"/>
      <c r="AM5" s="5">
        <f>AL5+AK5</f>
        <v>0</v>
      </c>
      <c r="AN5" s="8">
        <v>0</v>
      </c>
      <c r="AO5" s="5">
        <v>0</v>
      </c>
      <c r="AP5" s="5">
        <f>AO5-AN5</f>
        <v>0</v>
      </c>
      <c r="AQ5" s="6" t="e">
        <f>AP5/AM5</f>
        <v>#DIV/0!</v>
      </c>
      <c r="AR5" s="6"/>
      <c r="AS5" s="22">
        <v>407</v>
      </c>
      <c r="AT5" s="24">
        <f>AS5*AM5</f>
        <v>0</v>
      </c>
      <c r="AU5" s="7"/>
      <c r="AV5" s="7"/>
    </row>
    <row r="6" spans="1:48" ht="20.100000000000001" customHeight="1" x14ac:dyDescent="0.25">
      <c r="A6" s="8">
        <v>2</v>
      </c>
      <c r="B6" s="9" t="s">
        <v>45</v>
      </c>
      <c r="C6" s="9"/>
      <c r="D6" s="9" t="s">
        <v>39</v>
      </c>
      <c r="E6" s="6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>
        <f>SUM(F6:AJ6)</f>
        <v>0</v>
      </c>
      <c r="AL6" s="8"/>
      <c r="AM6" s="8">
        <f>AL6+AK6</f>
        <v>0</v>
      </c>
      <c r="AN6" s="8">
        <v>0</v>
      </c>
      <c r="AO6" s="8">
        <v>0</v>
      </c>
      <c r="AP6" s="8">
        <f>AO6-AN6</f>
        <v>0</v>
      </c>
      <c r="AQ6" s="20" t="e">
        <f>AP6/AM6</f>
        <v>#DIV/0!</v>
      </c>
      <c r="AR6" s="9"/>
      <c r="AS6" s="22">
        <v>407</v>
      </c>
      <c r="AT6" s="25">
        <f>AS6*AM6</f>
        <v>0</v>
      </c>
      <c r="AU6" s="7"/>
      <c r="AV6" s="7"/>
    </row>
    <row r="7" spans="1:48" ht="20.100000000000001" customHeight="1" x14ac:dyDescent="0.25">
      <c r="A7" s="8">
        <v>3</v>
      </c>
      <c r="B7" s="9" t="s">
        <v>57</v>
      </c>
      <c r="C7" s="9"/>
      <c r="D7" s="9" t="s">
        <v>39</v>
      </c>
      <c r="E7" s="6" t="s">
        <v>46</v>
      </c>
      <c r="F7" s="8">
        <v>15</v>
      </c>
      <c r="G7" s="8"/>
      <c r="H7" s="8">
        <v>20</v>
      </c>
      <c r="I7" s="8">
        <v>5</v>
      </c>
      <c r="J7" s="8">
        <v>10</v>
      </c>
      <c r="K7" s="8">
        <v>10</v>
      </c>
      <c r="L7" s="8">
        <v>10</v>
      </c>
      <c r="M7" s="8">
        <v>20</v>
      </c>
      <c r="N7" s="8">
        <v>10</v>
      </c>
      <c r="O7" s="8"/>
      <c r="P7" s="8"/>
      <c r="Q7" s="8"/>
      <c r="R7" s="8">
        <v>20</v>
      </c>
      <c r="S7" s="8"/>
      <c r="T7" s="8"/>
      <c r="U7" s="8">
        <v>10</v>
      </c>
      <c r="V7" s="8">
        <v>5</v>
      </c>
      <c r="W7" s="8">
        <v>5</v>
      </c>
      <c r="X7" s="8">
        <v>10</v>
      </c>
      <c r="Y7" s="8">
        <v>10</v>
      </c>
      <c r="Z7" s="8">
        <v>5</v>
      </c>
      <c r="AA7" s="8">
        <v>10</v>
      </c>
      <c r="AB7" s="8">
        <v>10</v>
      </c>
      <c r="AC7" s="8"/>
      <c r="AD7" s="8"/>
      <c r="AE7" s="8"/>
      <c r="AF7" s="8"/>
      <c r="AG7" s="8">
        <v>10</v>
      </c>
      <c r="AH7" s="8"/>
      <c r="AI7" s="8"/>
      <c r="AJ7" s="8"/>
      <c r="AK7" s="8">
        <f t="shared" ref="AK7:AK20" si="0">SUM(F7:AJ7)</f>
        <v>195</v>
      </c>
      <c r="AL7" s="8"/>
      <c r="AM7" s="8">
        <f t="shared" ref="AM7:AM20" si="1">AL7+AK7</f>
        <v>195</v>
      </c>
      <c r="AN7" s="8">
        <v>0</v>
      </c>
      <c r="AO7" s="8">
        <v>0</v>
      </c>
      <c r="AP7" s="8">
        <f t="shared" ref="AP7:AP32" si="2">AO7-AN7</f>
        <v>0</v>
      </c>
      <c r="AQ7" s="20">
        <f t="shared" ref="AQ7:AQ20" si="3">AP7/AM7</f>
        <v>0</v>
      </c>
      <c r="AR7" s="9"/>
      <c r="AS7" s="22">
        <v>407</v>
      </c>
      <c r="AT7" s="25">
        <f t="shared" ref="AT7:AT20" si="4">AS7*AM7</f>
        <v>79365</v>
      </c>
      <c r="AU7" s="7"/>
      <c r="AV7" s="7"/>
    </row>
    <row r="8" spans="1:48" ht="20.100000000000001" customHeight="1" x14ac:dyDescent="0.25">
      <c r="A8" s="8">
        <v>4</v>
      </c>
      <c r="B8" s="9" t="s">
        <v>76</v>
      </c>
      <c r="C8" s="9"/>
      <c r="D8" s="9" t="s">
        <v>60</v>
      </c>
      <c r="E8" s="6" t="s">
        <v>46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>
        <v>10</v>
      </c>
      <c r="AD8" s="8"/>
      <c r="AE8" s="8"/>
      <c r="AF8" s="8"/>
      <c r="AG8" s="8"/>
      <c r="AH8" s="8"/>
      <c r="AI8" s="8"/>
      <c r="AJ8" s="8"/>
      <c r="AK8" s="8">
        <f t="shared" si="0"/>
        <v>10</v>
      </c>
      <c r="AL8" s="8"/>
      <c r="AM8" s="8">
        <f t="shared" si="1"/>
        <v>10</v>
      </c>
      <c r="AN8" s="8">
        <v>0</v>
      </c>
      <c r="AO8" s="8">
        <v>0</v>
      </c>
      <c r="AP8" s="8">
        <f t="shared" si="2"/>
        <v>0</v>
      </c>
      <c r="AQ8" s="20">
        <f t="shared" si="3"/>
        <v>0</v>
      </c>
      <c r="AR8" s="9"/>
      <c r="AS8" s="22">
        <v>407</v>
      </c>
      <c r="AT8" s="25">
        <f t="shared" si="4"/>
        <v>4070</v>
      </c>
      <c r="AU8" s="7"/>
      <c r="AV8" s="7"/>
    </row>
    <row r="9" spans="1:48" ht="20.100000000000001" customHeight="1" x14ac:dyDescent="0.25">
      <c r="A9" s="8">
        <v>5</v>
      </c>
      <c r="B9" s="9" t="s">
        <v>61</v>
      </c>
      <c r="C9" s="9"/>
      <c r="D9" s="9" t="s">
        <v>62</v>
      </c>
      <c r="E9" s="6" t="s">
        <v>46</v>
      </c>
      <c r="F9" s="8">
        <v>10</v>
      </c>
      <c r="G9" s="8"/>
      <c r="H9" s="8"/>
      <c r="I9" s="8"/>
      <c r="J9" s="8">
        <v>10</v>
      </c>
      <c r="K9" s="8"/>
      <c r="L9" s="8">
        <v>5</v>
      </c>
      <c r="M9" s="8"/>
      <c r="N9" s="8">
        <v>10</v>
      </c>
      <c r="O9" s="8"/>
      <c r="P9" s="8"/>
      <c r="Q9" s="8"/>
      <c r="R9" s="8">
        <v>10</v>
      </c>
      <c r="S9" s="8"/>
      <c r="T9" s="8"/>
      <c r="U9" s="8">
        <v>14</v>
      </c>
      <c r="V9" s="8"/>
      <c r="W9" s="8"/>
      <c r="X9" s="8"/>
      <c r="Y9" s="8">
        <v>10</v>
      </c>
      <c r="Z9" s="8"/>
      <c r="AA9" s="8"/>
      <c r="AB9" s="8"/>
      <c r="AC9" s="8">
        <v>10</v>
      </c>
      <c r="AD9" s="8"/>
      <c r="AE9" s="8"/>
      <c r="AF9" s="8"/>
      <c r="AG9" s="8">
        <v>10</v>
      </c>
      <c r="AH9" s="8"/>
      <c r="AI9" s="8">
        <v>10</v>
      </c>
      <c r="AJ9" s="8"/>
      <c r="AK9" s="8">
        <f t="shared" si="0"/>
        <v>99</v>
      </c>
      <c r="AL9" s="8"/>
      <c r="AM9" s="8">
        <f t="shared" si="1"/>
        <v>99</v>
      </c>
      <c r="AN9" s="8">
        <v>372016</v>
      </c>
      <c r="AO9" s="8">
        <v>373087</v>
      </c>
      <c r="AP9" s="8">
        <f t="shared" si="2"/>
        <v>1071</v>
      </c>
      <c r="AQ9" s="20">
        <f t="shared" si="3"/>
        <v>10.818181818181818</v>
      </c>
      <c r="AR9" s="9"/>
      <c r="AS9" s="22">
        <v>407</v>
      </c>
      <c r="AT9" s="25">
        <f t="shared" si="4"/>
        <v>40293</v>
      </c>
      <c r="AU9" s="7"/>
      <c r="AV9" s="7"/>
    </row>
    <row r="10" spans="1:48" ht="20.100000000000001" customHeight="1" x14ac:dyDescent="0.25">
      <c r="A10" s="8">
        <v>6</v>
      </c>
      <c r="B10" s="9" t="s">
        <v>58</v>
      </c>
      <c r="C10" s="9"/>
      <c r="D10" s="9" t="s">
        <v>39</v>
      </c>
      <c r="E10" s="6" t="s">
        <v>46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f t="shared" si="0"/>
        <v>0</v>
      </c>
      <c r="AL10" s="8"/>
      <c r="AM10" s="8">
        <f t="shared" si="1"/>
        <v>0</v>
      </c>
      <c r="AN10" s="8">
        <v>0</v>
      </c>
      <c r="AO10" s="8">
        <v>0</v>
      </c>
      <c r="AP10" s="8">
        <f t="shared" si="2"/>
        <v>0</v>
      </c>
      <c r="AQ10" s="20" t="e">
        <f t="shared" si="3"/>
        <v>#DIV/0!</v>
      </c>
      <c r="AR10" s="9"/>
      <c r="AS10" s="22">
        <v>407</v>
      </c>
      <c r="AT10" s="25">
        <f t="shared" si="4"/>
        <v>0</v>
      </c>
      <c r="AU10" s="7"/>
      <c r="AV10" s="7"/>
    </row>
    <row r="11" spans="1:48" ht="20.100000000000001" hidden="1" customHeight="1" x14ac:dyDescent="0.25">
      <c r="A11" s="8">
        <v>7</v>
      </c>
      <c r="B11" s="9" t="s">
        <v>63</v>
      </c>
      <c r="C11" s="9"/>
      <c r="D11" s="9" t="s">
        <v>39</v>
      </c>
      <c r="E11" s="6" t="s">
        <v>46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>
        <f t="shared" si="0"/>
        <v>0</v>
      </c>
      <c r="AL11" s="8"/>
      <c r="AM11" s="8">
        <f t="shared" si="1"/>
        <v>0</v>
      </c>
      <c r="AN11" s="8">
        <v>0</v>
      </c>
      <c r="AO11" s="8">
        <v>0</v>
      </c>
      <c r="AP11" s="8">
        <f t="shared" si="2"/>
        <v>0</v>
      </c>
      <c r="AQ11" s="20" t="e">
        <f t="shared" si="3"/>
        <v>#DIV/0!</v>
      </c>
      <c r="AR11" s="9"/>
      <c r="AS11" s="22">
        <v>407</v>
      </c>
      <c r="AT11" s="25">
        <f t="shared" si="4"/>
        <v>0</v>
      </c>
      <c r="AU11" s="7"/>
      <c r="AV11" s="7"/>
    </row>
    <row r="12" spans="1:48" ht="20.100000000000001" customHeight="1" x14ac:dyDescent="0.25">
      <c r="A12" s="8">
        <v>7</v>
      </c>
      <c r="B12" s="9" t="s">
        <v>51</v>
      </c>
      <c r="C12" s="9"/>
      <c r="D12" s="9" t="s">
        <v>39</v>
      </c>
      <c r="E12" s="6" t="s">
        <v>46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>
        <v>10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f t="shared" si="0"/>
        <v>10</v>
      </c>
      <c r="AL12" s="8"/>
      <c r="AM12" s="8">
        <f t="shared" si="1"/>
        <v>10</v>
      </c>
      <c r="AN12" s="8">
        <v>140170</v>
      </c>
      <c r="AO12" s="8"/>
      <c r="AP12" s="8">
        <f t="shared" si="2"/>
        <v>-140170</v>
      </c>
      <c r="AQ12" s="20">
        <f t="shared" si="3"/>
        <v>-14017</v>
      </c>
      <c r="AR12" s="9"/>
      <c r="AS12" s="22">
        <v>407</v>
      </c>
      <c r="AT12" s="25">
        <f t="shared" si="4"/>
        <v>4070</v>
      </c>
      <c r="AU12" s="7"/>
      <c r="AV12" s="7"/>
    </row>
    <row r="13" spans="1:48" ht="20.100000000000001" hidden="1" customHeight="1" x14ac:dyDescent="0.25">
      <c r="A13" s="8">
        <v>9</v>
      </c>
      <c r="B13" s="9" t="s">
        <v>67</v>
      </c>
      <c r="C13" s="9"/>
      <c r="D13" s="9" t="s">
        <v>39</v>
      </c>
      <c r="E13" s="6" t="s">
        <v>46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>
        <f t="shared" si="0"/>
        <v>0</v>
      </c>
      <c r="AL13" s="8"/>
      <c r="AM13" s="8">
        <f t="shared" si="1"/>
        <v>0</v>
      </c>
      <c r="AN13" s="8">
        <v>0</v>
      </c>
      <c r="AO13" s="8">
        <v>0</v>
      </c>
      <c r="AP13" s="8">
        <f t="shared" si="2"/>
        <v>0</v>
      </c>
      <c r="AQ13" s="20" t="e">
        <f t="shared" si="3"/>
        <v>#DIV/0!</v>
      </c>
      <c r="AR13" s="9"/>
      <c r="AS13" s="22">
        <v>407</v>
      </c>
      <c r="AT13" s="25">
        <f t="shared" si="4"/>
        <v>0</v>
      </c>
      <c r="AU13" s="7"/>
      <c r="AV13" s="7"/>
    </row>
    <row r="14" spans="1:48" ht="20.100000000000001" hidden="1" customHeight="1" x14ac:dyDescent="0.25">
      <c r="A14" s="8">
        <v>10</v>
      </c>
      <c r="B14" s="9" t="s">
        <v>65</v>
      </c>
      <c r="C14" s="9"/>
      <c r="D14" s="9" t="s">
        <v>66</v>
      </c>
      <c r="E14" s="6" t="s">
        <v>46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8">
        <f t="shared" si="0"/>
        <v>0</v>
      </c>
      <c r="AL14" s="26"/>
      <c r="AM14" s="8">
        <f t="shared" si="1"/>
        <v>0</v>
      </c>
      <c r="AN14" s="8">
        <v>0</v>
      </c>
      <c r="AO14" s="8">
        <v>0</v>
      </c>
      <c r="AP14" s="8">
        <f t="shared" si="2"/>
        <v>0</v>
      </c>
      <c r="AQ14" s="20" t="e">
        <f t="shared" si="3"/>
        <v>#DIV/0!</v>
      </c>
      <c r="AR14" s="9"/>
      <c r="AS14" s="22">
        <v>407</v>
      </c>
      <c r="AT14" s="25">
        <f t="shared" si="4"/>
        <v>0</v>
      </c>
      <c r="AU14" s="7"/>
      <c r="AV14" s="7"/>
    </row>
    <row r="15" spans="1:48" ht="20.100000000000001" hidden="1" customHeight="1" x14ac:dyDescent="0.25">
      <c r="A15" s="8">
        <v>11</v>
      </c>
      <c r="B15" s="9" t="s">
        <v>68</v>
      </c>
      <c r="C15" s="9"/>
      <c r="D15" s="9" t="s">
        <v>39</v>
      </c>
      <c r="E15" s="6" t="s">
        <v>46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8">
        <f t="shared" si="0"/>
        <v>0</v>
      </c>
      <c r="AL15" s="26"/>
      <c r="AM15" s="8">
        <f t="shared" si="1"/>
        <v>0</v>
      </c>
      <c r="AN15" s="8">
        <v>0</v>
      </c>
      <c r="AO15" s="8">
        <v>0</v>
      </c>
      <c r="AP15" s="8">
        <f t="shared" si="2"/>
        <v>0</v>
      </c>
      <c r="AQ15" s="20" t="e">
        <f t="shared" si="3"/>
        <v>#DIV/0!</v>
      </c>
      <c r="AR15" s="9"/>
      <c r="AS15" s="22">
        <v>407</v>
      </c>
      <c r="AT15" s="25">
        <f t="shared" si="4"/>
        <v>0</v>
      </c>
      <c r="AU15" s="7"/>
      <c r="AV15" s="7"/>
    </row>
    <row r="16" spans="1:48" ht="20.100000000000001" hidden="1" customHeight="1" x14ac:dyDescent="0.25">
      <c r="A16" s="8">
        <v>12</v>
      </c>
      <c r="B16" s="9"/>
      <c r="C16" s="9"/>
      <c r="D16" s="9" t="s">
        <v>39</v>
      </c>
      <c r="E16" s="6" t="s">
        <v>46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8">
        <f t="shared" si="0"/>
        <v>0</v>
      </c>
      <c r="AL16" s="26"/>
      <c r="AM16" s="8">
        <f t="shared" si="1"/>
        <v>0</v>
      </c>
      <c r="AN16" s="8">
        <v>0</v>
      </c>
      <c r="AO16" s="8">
        <v>0</v>
      </c>
      <c r="AP16" s="8">
        <f t="shared" si="2"/>
        <v>0</v>
      </c>
      <c r="AQ16" s="20" t="e">
        <f t="shared" si="3"/>
        <v>#DIV/0!</v>
      </c>
      <c r="AR16" s="9"/>
      <c r="AS16" s="22">
        <v>407</v>
      </c>
      <c r="AT16" s="25">
        <f t="shared" si="4"/>
        <v>0</v>
      </c>
      <c r="AU16" s="7"/>
      <c r="AV16" s="7"/>
    </row>
    <row r="17" spans="1:48" ht="20.100000000000001" hidden="1" customHeight="1" x14ac:dyDescent="0.25">
      <c r="A17" s="8">
        <v>13</v>
      </c>
      <c r="B17" s="9" t="s">
        <v>72</v>
      </c>
      <c r="C17" s="9"/>
      <c r="D17" s="9" t="s">
        <v>73</v>
      </c>
      <c r="E17" s="6" t="s">
        <v>46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8">
        <f t="shared" si="0"/>
        <v>0</v>
      </c>
      <c r="AL17" s="26"/>
      <c r="AM17" s="8">
        <f t="shared" si="1"/>
        <v>0</v>
      </c>
      <c r="AN17" s="8">
        <v>0</v>
      </c>
      <c r="AO17" s="8">
        <v>0</v>
      </c>
      <c r="AP17" s="8">
        <f t="shared" si="2"/>
        <v>0</v>
      </c>
      <c r="AQ17" s="20" t="e">
        <f>AP17/AM17</f>
        <v>#DIV/0!</v>
      </c>
      <c r="AR17" s="9"/>
      <c r="AS17" s="22">
        <v>407</v>
      </c>
      <c r="AT17" s="25">
        <f t="shared" si="4"/>
        <v>0</v>
      </c>
      <c r="AU17" s="7"/>
      <c r="AV17" s="7"/>
    </row>
    <row r="18" spans="1:48" ht="20.100000000000001" hidden="1" customHeight="1" x14ac:dyDescent="0.25">
      <c r="A18" s="8">
        <v>14</v>
      </c>
      <c r="B18" s="9" t="s">
        <v>69</v>
      </c>
      <c r="C18" s="9"/>
      <c r="D18" s="9" t="s">
        <v>70</v>
      </c>
      <c r="E18" s="6" t="s">
        <v>46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8">
        <f t="shared" si="0"/>
        <v>0</v>
      </c>
      <c r="AL18" s="26"/>
      <c r="AM18" s="8">
        <f t="shared" si="1"/>
        <v>0</v>
      </c>
      <c r="AN18" s="8">
        <v>0</v>
      </c>
      <c r="AO18" s="8">
        <v>0</v>
      </c>
      <c r="AP18" s="8">
        <f t="shared" si="2"/>
        <v>0</v>
      </c>
      <c r="AQ18" s="20" t="e">
        <f t="shared" si="3"/>
        <v>#DIV/0!</v>
      </c>
      <c r="AR18" s="9"/>
      <c r="AS18" s="22">
        <v>407</v>
      </c>
      <c r="AT18" s="25">
        <f t="shared" si="4"/>
        <v>0</v>
      </c>
      <c r="AU18" s="7"/>
      <c r="AV18" s="7"/>
    </row>
    <row r="19" spans="1:48" ht="20.100000000000001" customHeight="1" x14ac:dyDescent="0.25">
      <c r="A19" s="8">
        <v>8</v>
      </c>
      <c r="B19" s="9" t="s">
        <v>48</v>
      </c>
      <c r="C19" s="9"/>
      <c r="D19" s="9" t="s">
        <v>39</v>
      </c>
      <c r="E19" s="6" t="s">
        <v>46</v>
      </c>
      <c r="F19" s="26">
        <v>15</v>
      </c>
      <c r="G19" s="26" t="s">
        <v>0</v>
      </c>
      <c r="H19" s="26"/>
      <c r="I19" s="26">
        <v>10</v>
      </c>
      <c r="J19" s="26">
        <v>20</v>
      </c>
      <c r="K19" s="26">
        <v>10</v>
      </c>
      <c r="L19" s="26">
        <v>10</v>
      </c>
      <c r="M19" s="26">
        <v>20</v>
      </c>
      <c r="N19" s="26"/>
      <c r="O19" s="26"/>
      <c r="P19" s="26"/>
      <c r="Q19" s="26"/>
      <c r="R19" s="26">
        <v>10</v>
      </c>
      <c r="S19" s="26"/>
      <c r="T19" s="26">
        <v>5</v>
      </c>
      <c r="U19" s="26">
        <v>10</v>
      </c>
      <c r="V19" s="26">
        <v>5</v>
      </c>
      <c r="W19" s="26">
        <v>5</v>
      </c>
      <c r="X19" s="26">
        <v>10</v>
      </c>
      <c r="Y19" s="26">
        <v>10</v>
      </c>
      <c r="Z19" s="26">
        <v>5</v>
      </c>
      <c r="AA19" s="26">
        <v>10</v>
      </c>
      <c r="AB19" s="26">
        <v>5</v>
      </c>
      <c r="AC19" s="26"/>
      <c r="AD19" s="26"/>
      <c r="AE19" s="26"/>
      <c r="AF19" s="26"/>
      <c r="AG19" s="26">
        <v>10</v>
      </c>
      <c r="AH19" s="26"/>
      <c r="AI19" s="26"/>
      <c r="AJ19" s="26" t="s">
        <v>0</v>
      </c>
      <c r="AK19" s="8">
        <f t="shared" si="0"/>
        <v>170</v>
      </c>
      <c r="AL19" s="26"/>
      <c r="AM19" s="8">
        <f t="shared" si="1"/>
        <v>170</v>
      </c>
      <c r="AN19" s="8">
        <v>0</v>
      </c>
      <c r="AO19" s="8">
        <v>0</v>
      </c>
      <c r="AP19" s="8">
        <f t="shared" si="2"/>
        <v>0</v>
      </c>
      <c r="AQ19" s="20">
        <f t="shared" si="3"/>
        <v>0</v>
      </c>
      <c r="AR19" s="9"/>
      <c r="AS19" s="22">
        <v>407</v>
      </c>
      <c r="AT19" s="25">
        <f t="shared" si="4"/>
        <v>69190</v>
      </c>
      <c r="AU19" s="7"/>
      <c r="AV19" s="7"/>
    </row>
    <row r="20" spans="1:48" ht="20.100000000000001" hidden="1" customHeight="1" x14ac:dyDescent="0.25">
      <c r="A20" s="8">
        <v>16</v>
      </c>
      <c r="B20" s="9" t="s">
        <v>64</v>
      </c>
      <c r="C20" s="9"/>
      <c r="D20" s="40"/>
      <c r="E20" s="6" t="s">
        <v>46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8">
        <f t="shared" si="0"/>
        <v>0</v>
      </c>
      <c r="AL20" s="26"/>
      <c r="AM20" s="8">
        <f t="shared" si="1"/>
        <v>0</v>
      </c>
      <c r="AN20" s="8">
        <v>0</v>
      </c>
      <c r="AO20" s="8">
        <v>0</v>
      </c>
      <c r="AP20" s="8">
        <f t="shared" si="2"/>
        <v>0</v>
      </c>
      <c r="AQ20" s="20" t="e">
        <f t="shared" si="3"/>
        <v>#DIV/0!</v>
      </c>
      <c r="AR20" s="9"/>
      <c r="AS20" s="22">
        <v>407</v>
      </c>
      <c r="AT20" s="25">
        <f t="shared" si="4"/>
        <v>0</v>
      </c>
      <c r="AU20" s="7"/>
      <c r="AV20" s="7"/>
    </row>
    <row r="21" spans="1:48" ht="20.100000000000001" customHeight="1" thickBot="1" x14ac:dyDescent="0.3">
      <c r="A21" s="8"/>
      <c r="B21" s="49" t="s">
        <v>12</v>
      </c>
      <c r="C21" s="50"/>
      <c r="D21" s="50"/>
      <c r="E21" s="51"/>
      <c r="F21" s="28">
        <f>SUM(F5:F20)</f>
        <v>40</v>
      </c>
      <c r="G21" s="28">
        <f t="shared" ref="G21:AM21" si="5">SUM(G5:G20)</f>
        <v>0</v>
      </c>
      <c r="H21" s="28">
        <f t="shared" si="5"/>
        <v>20</v>
      </c>
      <c r="I21" s="28">
        <f t="shared" si="5"/>
        <v>15</v>
      </c>
      <c r="J21" s="28">
        <f t="shared" si="5"/>
        <v>40</v>
      </c>
      <c r="K21" s="28">
        <f t="shared" si="5"/>
        <v>20</v>
      </c>
      <c r="L21" s="28">
        <f t="shared" si="5"/>
        <v>25</v>
      </c>
      <c r="M21" s="28">
        <f t="shared" si="5"/>
        <v>40</v>
      </c>
      <c r="N21" s="28">
        <f t="shared" si="5"/>
        <v>20</v>
      </c>
      <c r="O21" s="28">
        <f t="shared" si="5"/>
        <v>0</v>
      </c>
      <c r="P21" s="28">
        <f t="shared" si="5"/>
        <v>0</v>
      </c>
      <c r="Q21" s="28">
        <f t="shared" si="5"/>
        <v>0</v>
      </c>
      <c r="R21" s="28">
        <f t="shared" si="5"/>
        <v>40</v>
      </c>
      <c r="S21" s="28">
        <f t="shared" si="5"/>
        <v>0</v>
      </c>
      <c r="T21" s="28">
        <f t="shared" si="5"/>
        <v>5</v>
      </c>
      <c r="U21" s="28">
        <f t="shared" si="5"/>
        <v>34</v>
      </c>
      <c r="V21" s="28">
        <f t="shared" si="5"/>
        <v>20</v>
      </c>
      <c r="W21" s="28">
        <f t="shared" si="5"/>
        <v>10</v>
      </c>
      <c r="X21" s="28">
        <f t="shared" si="5"/>
        <v>20</v>
      </c>
      <c r="Y21" s="28">
        <f t="shared" si="5"/>
        <v>30</v>
      </c>
      <c r="Z21" s="28">
        <f t="shared" si="5"/>
        <v>10</v>
      </c>
      <c r="AA21" s="28">
        <f t="shared" si="5"/>
        <v>20</v>
      </c>
      <c r="AB21" s="28">
        <f t="shared" si="5"/>
        <v>15</v>
      </c>
      <c r="AC21" s="28">
        <f t="shared" si="5"/>
        <v>20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30</v>
      </c>
      <c r="AH21" s="28">
        <f t="shared" si="5"/>
        <v>0</v>
      </c>
      <c r="AI21" s="28">
        <f t="shared" si="5"/>
        <v>10</v>
      </c>
      <c r="AJ21" s="28">
        <f t="shared" si="5"/>
        <v>0</v>
      </c>
      <c r="AK21" s="28">
        <f t="shared" si="5"/>
        <v>484</v>
      </c>
      <c r="AL21" s="28">
        <f t="shared" si="5"/>
        <v>0</v>
      </c>
      <c r="AM21" s="28">
        <f t="shared" si="5"/>
        <v>484</v>
      </c>
      <c r="AN21" s="8">
        <v>0</v>
      </c>
      <c r="AO21" s="8"/>
      <c r="AP21" s="8"/>
      <c r="AQ21" s="20"/>
      <c r="AR21" s="9"/>
      <c r="AS21" s="22">
        <v>407</v>
      </c>
      <c r="AT21" s="30">
        <f>SUM(AT5:AT20)</f>
        <v>196988</v>
      </c>
      <c r="AU21" s="7"/>
      <c r="AV21" s="7"/>
    </row>
    <row r="22" spans="1:48" ht="20.100000000000001" customHeight="1" thickTop="1" x14ac:dyDescent="0.25">
      <c r="A22" s="8">
        <v>9</v>
      </c>
      <c r="B22" s="9" t="s">
        <v>47</v>
      </c>
      <c r="C22" s="9"/>
      <c r="D22" s="9" t="s">
        <v>40</v>
      </c>
      <c r="E22" s="9" t="s">
        <v>46</v>
      </c>
      <c r="F22" s="27"/>
      <c r="G22" s="27"/>
      <c r="H22" s="27">
        <v>5</v>
      </c>
      <c r="I22" s="27">
        <v>20</v>
      </c>
      <c r="J22" s="27">
        <v>10</v>
      </c>
      <c r="K22" s="27">
        <v>20</v>
      </c>
      <c r="L22" s="27">
        <v>10</v>
      </c>
      <c r="M22" s="27"/>
      <c r="N22" s="27">
        <v>10</v>
      </c>
      <c r="O22" s="27">
        <v>20</v>
      </c>
      <c r="P22" s="27">
        <v>5</v>
      </c>
      <c r="Q22" s="27">
        <v>15</v>
      </c>
      <c r="R22" s="27">
        <v>20</v>
      </c>
      <c r="S22" s="27"/>
      <c r="T22" s="27">
        <v>10</v>
      </c>
      <c r="U22" s="27">
        <v>10</v>
      </c>
      <c r="V22" s="27">
        <v>30</v>
      </c>
      <c r="W22" s="27">
        <v>30</v>
      </c>
      <c r="X22" s="27">
        <v>20</v>
      </c>
      <c r="Y22" s="27">
        <v>20</v>
      </c>
      <c r="Z22" s="27">
        <v>20</v>
      </c>
      <c r="AA22" s="27">
        <v>40</v>
      </c>
      <c r="AB22" s="27">
        <v>20</v>
      </c>
      <c r="AC22" s="27">
        <v>20</v>
      </c>
      <c r="AD22" s="27"/>
      <c r="AE22" s="27">
        <v>20</v>
      </c>
      <c r="AF22" s="27"/>
      <c r="AG22" s="27">
        <v>10</v>
      </c>
      <c r="AH22" s="27"/>
      <c r="AI22" s="27">
        <v>20</v>
      </c>
      <c r="AJ22" s="27"/>
      <c r="AK22" s="27">
        <f>SUM(F22:AJ22)</f>
        <v>405</v>
      </c>
      <c r="AL22" s="27"/>
      <c r="AM22" s="27">
        <f>AK22+AL22</f>
        <v>405</v>
      </c>
      <c r="AN22" s="8">
        <v>9996</v>
      </c>
      <c r="AO22" s="8">
        <v>10105.799999999999</v>
      </c>
      <c r="AP22" s="8">
        <f t="shared" si="2"/>
        <v>109.79999999999927</v>
      </c>
      <c r="AQ22" s="20">
        <f>AM22/AP22</f>
        <v>3.6885245901639587</v>
      </c>
      <c r="AR22" s="9"/>
      <c r="AS22" s="22">
        <v>407</v>
      </c>
      <c r="AT22" s="29">
        <f>AM22*AS22</f>
        <v>164835</v>
      </c>
      <c r="AU22" s="7"/>
      <c r="AV22" s="7"/>
    </row>
    <row r="23" spans="1:48" ht="20.100000000000001" customHeight="1" x14ac:dyDescent="0.25">
      <c r="A23" s="8">
        <v>10</v>
      </c>
      <c r="B23" s="9" t="s">
        <v>54</v>
      </c>
      <c r="C23" s="9"/>
      <c r="D23" s="9" t="s">
        <v>40</v>
      </c>
      <c r="E23" s="9" t="s">
        <v>46</v>
      </c>
      <c r="F23" s="8">
        <v>20</v>
      </c>
      <c r="G23" s="8">
        <v>20</v>
      </c>
      <c r="H23" s="8"/>
      <c r="I23" s="8"/>
      <c r="J23" s="8"/>
      <c r="K23" s="8"/>
      <c r="L23" s="8"/>
      <c r="M23" s="8"/>
      <c r="N23" s="8"/>
      <c r="O23" s="8"/>
      <c r="P23" s="27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27">
        <f t="shared" ref="AK23:AK32" si="6">SUM(F23:AJ23)</f>
        <v>40</v>
      </c>
      <c r="AL23" s="8"/>
      <c r="AM23" s="27">
        <f t="shared" ref="AM23:AM32" si="7">SUM(F23:AJ23)</f>
        <v>40</v>
      </c>
      <c r="AN23" s="8">
        <v>18022.400000000001</v>
      </c>
      <c r="AO23" s="8">
        <v>18031.7</v>
      </c>
      <c r="AP23" s="8">
        <f t="shared" si="2"/>
        <v>9.2999999999992724</v>
      </c>
      <c r="AQ23" s="20">
        <f>AM23/AP23</f>
        <v>4.3010752688175407</v>
      </c>
      <c r="AR23" s="9"/>
      <c r="AS23" s="22">
        <v>407</v>
      </c>
      <c r="AT23" s="29">
        <f t="shared" ref="AT23:AT32" si="8">AM23*AS23</f>
        <v>16280</v>
      </c>
      <c r="AU23" s="7"/>
      <c r="AV23" s="7"/>
    </row>
    <row r="24" spans="1:48" ht="20.100000000000001" hidden="1" customHeight="1" x14ac:dyDescent="0.25">
      <c r="A24" s="8">
        <v>19</v>
      </c>
      <c r="B24" s="9" t="s">
        <v>49</v>
      </c>
      <c r="C24" s="9"/>
      <c r="D24" s="9" t="s">
        <v>41</v>
      </c>
      <c r="E24" s="9" t="s">
        <v>46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27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27">
        <f t="shared" si="6"/>
        <v>0</v>
      </c>
      <c r="AL24" s="8"/>
      <c r="AM24" s="27">
        <f t="shared" si="7"/>
        <v>0</v>
      </c>
      <c r="AN24" s="8">
        <v>10236.5</v>
      </c>
      <c r="AO24" s="8"/>
      <c r="AP24" s="8">
        <f t="shared" si="2"/>
        <v>-10236.5</v>
      </c>
      <c r="AQ24" s="20">
        <f>AM24/AP24</f>
        <v>0</v>
      </c>
      <c r="AR24" s="9"/>
      <c r="AS24" s="22">
        <v>407</v>
      </c>
      <c r="AT24" s="29">
        <f t="shared" si="8"/>
        <v>0</v>
      </c>
      <c r="AU24" s="7"/>
      <c r="AV24" s="7"/>
    </row>
    <row r="25" spans="1:48" ht="20.100000000000001" customHeight="1" x14ac:dyDescent="0.25">
      <c r="A25" s="8">
        <v>11</v>
      </c>
      <c r="B25" s="9" t="s">
        <v>74</v>
      </c>
      <c r="C25" s="9"/>
      <c r="D25" s="9" t="s">
        <v>41</v>
      </c>
      <c r="E25" s="9" t="s">
        <v>46</v>
      </c>
      <c r="F25" s="8">
        <v>80</v>
      </c>
      <c r="G25" s="8">
        <v>40</v>
      </c>
      <c r="H25" s="8"/>
      <c r="I25" s="8">
        <v>60</v>
      </c>
      <c r="J25" s="8"/>
      <c r="K25" s="8">
        <v>60</v>
      </c>
      <c r="L25" s="8">
        <v>80</v>
      </c>
      <c r="M25" s="8"/>
      <c r="N25" s="8">
        <v>80</v>
      </c>
      <c r="O25" s="8">
        <v>70</v>
      </c>
      <c r="P25" s="27">
        <v>40</v>
      </c>
      <c r="Q25" s="8"/>
      <c r="R25" s="8">
        <v>90</v>
      </c>
      <c r="S25" s="8">
        <v>25</v>
      </c>
      <c r="T25" s="8">
        <v>60</v>
      </c>
      <c r="U25" s="8">
        <v>60</v>
      </c>
      <c r="V25" s="8">
        <v>60</v>
      </c>
      <c r="W25" s="8">
        <v>50</v>
      </c>
      <c r="X25" s="8">
        <v>60</v>
      </c>
      <c r="Y25" s="8">
        <v>45</v>
      </c>
      <c r="Z25" s="8">
        <v>45</v>
      </c>
      <c r="AA25" s="8">
        <v>60</v>
      </c>
      <c r="AB25" s="8">
        <v>25</v>
      </c>
      <c r="AC25" s="8"/>
      <c r="AD25" s="8">
        <v>35</v>
      </c>
      <c r="AE25" s="8"/>
      <c r="AF25" s="8"/>
      <c r="AG25" s="8">
        <v>60</v>
      </c>
      <c r="AH25" s="8"/>
      <c r="AI25" s="8">
        <v>60</v>
      </c>
      <c r="AJ25" s="8"/>
      <c r="AK25" s="27">
        <f t="shared" si="6"/>
        <v>1245</v>
      </c>
      <c r="AL25" s="8"/>
      <c r="AM25" s="27">
        <f t="shared" si="7"/>
        <v>1245</v>
      </c>
      <c r="AN25" s="8">
        <v>1624.8</v>
      </c>
      <c r="AO25" s="8">
        <v>1726.3</v>
      </c>
      <c r="AP25" s="8">
        <f t="shared" si="2"/>
        <v>101.5</v>
      </c>
      <c r="AQ25" s="20">
        <f>AK25/AP25</f>
        <v>12.266009852216749</v>
      </c>
      <c r="AR25" s="9"/>
      <c r="AS25" s="22">
        <v>407</v>
      </c>
      <c r="AT25" s="29">
        <f t="shared" si="8"/>
        <v>506715</v>
      </c>
      <c r="AU25" s="7"/>
      <c r="AV25" s="7"/>
    </row>
    <row r="26" spans="1:48" ht="20.100000000000001" customHeight="1" x14ac:dyDescent="0.25">
      <c r="A26" s="8">
        <v>12</v>
      </c>
      <c r="B26" s="9" t="s">
        <v>35</v>
      </c>
      <c r="C26" s="9"/>
      <c r="D26" s="9" t="s">
        <v>42</v>
      </c>
      <c r="E26" s="9" t="s">
        <v>46</v>
      </c>
      <c r="F26" s="8">
        <v>200</v>
      </c>
      <c r="G26" s="8"/>
      <c r="H26" s="8"/>
      <c r="I26" s="8">
        <v>200</v>
      </c>
      <c r="J26" s="8"/>
      <c r="K26" s="8">
        <v>200</v>
      </c>
      <c r="L26" s="8">
        <v>170</v>
      </c>
      <c r="M26" s="8"/>
      <c r="N26" s="8"/>
      <c r="O26" s="8"/>
      <c r="P26" s="27"/>
      <c r="Q26" s="8"/>
      <c r="R26" s="8">
        <v>150</v>
      </c>
      <c r="S26" s="8"/>
      <c r="T26" s="8"/>
      <c r="U26" s="8">
        <v>200</v>
      </c>
      <c r="V26" s="8">
        <v>150</v>
      </c>
      <c r="W26" s="8">
        <v>40</v>
      </c>
      <c r="X26" s="8">
        <v>200</v>
      </c>
      <c r="Y26" s="8">
        <v>200</v>
      </c>
      <c r="Z26" s="8">
        <v>100</v>
      </c>
      <c r="AA26" s="8">
        <v>200</v>
      </c>
      <c r="AB26" s="8">
        <v>100</v>
      </c>
      <c r="AC26" s="8">
        <v>200</v>
      </c>
      <c r="AD26" s="8"/>
      <c r="AE26" s="8"/>
      <c r="AF26" s="8"/>
      <c r="AG26" s="8"/>
      <c r="AH26" s="8"/>
      <c r="AI26" s="8">
        <v>150</v>
      </c>
      <c r="AJ26" s="8"/>
      <c r="AK26" s="27">
        <f t="shared" si="6"/>
        <v>2460</v>
      </c>
      <c r="AL26" s="8"/>
      <c r="AM26" s="27">
        <f t="shared" si="7"/>
        <v>2460</v>
      </c>
      <c r="AN26" s="8">
        <v>4969.3999999999996</v>
      </c>
      <c r="AO26" s="8">
        <v>5027.8</v>
      </c>
      <c r="AP26" s="8">
        <f t="shared" si="2"/>
        <v>58.400000000000546</v>
      </c>
      <c r="AQ26" s="20">
        <f t="shared" ref="AQ26:AQ32" si="9">AK26/AP26</f>
        <v>42.123287671232482</v>
      </c>
      <c r="AR26" s="9"/>
      <c r="AS26" s="22">
        <v>407</v>
      </c>
      <c r="AT26" s="29">
        <f t="shared" si="8"/>
        <v>1001220</v>
      </c>
      <c r="AU26" s="7"/>
      <c r="AV26" s="7"/>
    </row>
    <row r="27" spans="1:48" ht="20.100000000000001" customHeight="1" x14ac:dyDescent="0.25">
      <c r="A27" s="8">
        <v>13</v>
      </c>
      <c r="B27" s="9" t="s">
        <v>36</v>
      </c>
      <c r="C27" s="9"/>
      <c r="D27" s="9" t="s">
        <v>42</v>
      </c>
      <c r="E27" s="9" t="s">
        <v>46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2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27">
        <f t="shared" si="6"/>
        <v>0</v>
      </c>
      <c r="AL27" s="8"/>
      <c r="AM27" s="27">
        <f t="shared" si="7"/>
        <v>0</v>
      </c>
      <c r="AN27" s="8">
        <v>1815.4</v>
      </c>
      <c r="AO27" s="8"/>
      <c r="AP27" s="8">
        <f t="shared" si="2"/>
        <v>-1815.4</v>
      </c>
      <c r="AQ27" s="20">
        <f>AK27/AP27</f>
        <v>0</v>
      </c>
      <c r="AR27" s="9"/>
      <c r="AS27" s="22">
        <v>407</v>
      </c>
      <c r="AT27" s="29">
        <f t="shared" si="8"/>
        <v>0</v>
      </c>
      <c r="AU27" s="7"/>
      <c r="AV27" s="7"/>
    </row>
    <row r="28" spans="1:48" ht="20.100000000000001" customHeight="1" x14ac:dyDescent="0.25">
      <c r="A28" s="8">
        <v>14</v>
      </c>
      <c r="B28" s="9" t="s">
        <v>37</v>
      </c>
      <c r="C28" s="9"/>
      <c r="D28" s="9" t="s">
        <v>42</v>
      </c>
      <c r="E28" s="9" t="s">
        <v>46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2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27">
        <f t="shared" si="6"/>
        <v>0</v>
      </c>
      <c r="AL28" s="8"/>
      <c r="AM28" s="27">
        <f t="shared" si="7"/>
        <v>0</v>
      </c>
      <c r="AN28" s="8">
        <v>16893.900000000001</v>
      </c>
      <c r="AO28" s="8"/>
      <c r="AP28" s="8">
        <f t="shared" si="2"/>
        <v>-16893.900000000001</v>
      </c>
      <c r="AQ28" s="20">
        <f t="shared" si="9"/>
        <v>0</v>
      </c>
      <c r="AR28" s="9"/>
      <c r="AS28" s="22">
        <v>407</v>
      </c>
      <c r="AT28" s="29">
        <f t="shared" si="8"/>
        <v>0</v>
      </c>
      <c r="AU28" s="7"/>
      <c r="AV28" s="7"/>
    </row>
    <row r="29" spans="1:48" ht="20.100000000000001" hidden="1" customHeight="1" x14ac:dyDescent="0.25">
      <c r="A29" s="8">
        <v>24</v>
      </c>
      <c r="B29" s="9" t="s">
        <v>71</v>
      </c>
      <c r="C29" s="9"/>
      <c r="D29" s="9"/>
      <c r="E29" s="9" t="s">
        <v>46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27">
        <f t="shared" si="6"/>
        <v>0</v>
      </c>
      <c r="AL29" s="8"/>
      <c r="AM29" s="27">
        <f t="shared" si="7"/>
        <v>0</v>
      </c>
      <c r="AN29" s="8">
        <v>0</v>
      </c>
      <c r="AO29" s="8">
        <v>0</v>
      </c>
      <c r="AP29" s="8">
        <f t="shared" si="2"/>
        <v>0</v>
      </c>
      <c r="AQ29" s="20" t="e">
        <f t="shared" si="9"/>
        <v>#DIV/0!</v>
      </c>
      <c r="AR29" s="9"/>
      <c r="AS29" s="22">
        <v>407</v>
      </c>
      <c r="AT29" s="29">
        <f t="shared" si="8"/>
        <v>0</v>
      </c>
      <c r="AU29" s="7"/>
      <c r="AV29" s="7"/>
    </row>
    <row r="30" spans="1:48" ht="20.100000000000001" customHeight="1" x14ac:dyDescent="0.25">
      <c r="A30" s="8">
        <v>15</v>
      </c>
      <c r="B30" s="9" t="s">
        <v>38</v>
      </c>
      <c r="C30" s="9"/>
      <c r="D30" s="9" t="s">
        <v>43</v>
      </c>
      <c r="E30" s="9" t="s">
        <v>46</v>
      </c>
      <c r="F30" s="8"/>
      <c r="G30" s="8">
        <v>5</v>
      </c>
      <c r="H30" s="8">
        <v>5</v>
      </c>
      <c r="I30" s="8"/>
      <c r="J30" s="8"/>
      <c r="K30" s="8"/>
      <c r="L30" s="8"/>
      <c r="M30" s="8"/>
      <c r="N30" s="8"/>
      <c r="O30" s="8">
        <v>10</v>
      </c>
      <c r="P30" s="27"/>
      <c r="Q30" s="8"/>
      <c r="R30" s="8"/>
      <c r="S30" s="8"/>
      <c r="T30" s="8"/>
      <c r="U30" s="8"/>
      <c r="V30" s="8">
        <v>5</v>
      </c>
      <c r="W30" s="8"/>
      <c r="X30" s="8"/>
      <c r="Y30" s="8"/>
      <c r="Z30" s="8"/>
      <c r="AA30" s="8"/>
      <c r="AB30" s="8"/>
      <c r="AC30" s="8"/>
      <c r="AD30" s="8"/>
      <c r="AE30" s="8">
        <v>10</v>
      </c>
      <c r="AF30" s="8">
        <v>5</v>
      </c>
      <c r="AG30" s="8"/>
      <c r="AH30" s="8"/>
      <c r="AI30" s="8">
        <v>5</v>
      </c>
      <c r="AJ30" s="8"/>
      <c r="AK30" s="27">
        <f t="shared" si="6"/>
        <v>45</v>
      </c>
      <c r="AL30" s="8"/>
      <c r="AM30" s="27">
        <f t="shared" si="7"/>
        <v>45</v>
      </c>
      <c r="AN30" s="8">
        <v>0</v>
      </c>
      <c r="AO30" s="8">
        <v>0</v>
      </c>
      <c r="AP30" s="8">
        <f t="shared" si="2"/>
        <v>0</v>
      </c>
      <c r="AQ30" s="20" t="e">
        <f t="shared" si="9"/>
        <v>#DIV/0!</v>
      </c>
      <c r="AR30" s="9"/>
      <c r="AS30" s="22">
        <v>407</v>
      </c>
      <c r="AT30" s="29">
        <f t="shared" si="8"/>
        <v>18315</v>
      </c>
      <c r="AU30" s="7"/>
      <c r="AV30" s="7"/>
    </row>
    <row r="31" spans="1:48" ht="20.100000000000001" customHeight="1" x14ac:dyDescent="0.25">
      <c r="A31" s="8">
        <v>16</v>
      </c>
      <c r="B31" s="9" t="s">
        <v>55</v>
      </c>
      <c r="C31" s="9"/>
      <c r="D31" s="9" t="s">
        <v>56</v>
      </c>
      <c r="E31" s="9" t="s">
        <v>46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>
        <v>5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7">
        <f t="shared" si="6"/>
        <v>5</v>
      </c>
      <c r="AL31" s="26"/>
      <c r="AM31" s="27">
        <f t="shared" si="7"/>
        <v>5</v>
      </c>
      <c r="AN31" s="8">
        <v>277</v>
      </c>
      <c r="AO31" s="8"/>
      <c r="AP31" s="8">
        <f t="shared" si="2"/>
        <v>-277</v>
      </c>
      <c r="AQ31" s="20">
        <f t="shared" si="9"/>
        <v>-1.8050541516245487E-2</v>
      </c>
      <c r="AR31" s="9"/>
      <c r="AS31" s="22">
        <v>407</v>
      </c>
      <c r="AT31" s="29">
        <f t="shared" si="8"/>
        <v>2035</v>
      </c>
      <c r="AU31" s="7"/>
      <c r="AV31" s="7"/>
    </row>
    <row r="32" spans="1:48" ht="20.100000000000001" hidden="1" customHeight="1" x14ac:dyDescent="0.25">
      <c r="A32" s="8">
        <v>27</v>
      </c>
      <c r="B32" s="9" t="s">
        <v>59</v>
      </c>
      <c r="C32" s="9"/>
      <c r="D32" s="9"/>
      <c r="E32" s="9" t="s">
        <v>46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7">
        <f t="shared" si="6"/>
        <v>0</v>
      </c>
      <c r="AL32" s="26"/>
      <c r="AM32" s="27">
        <f t="shared" si="7"/>
        <v>0</v>
      </c>
      <c r="AN32" s="8">
        <v>0</v>
      </c>
      <c r="AO32" s="8">
        <v>0</v>
      </c>
      <c r="AP32" s="8">
        <f t="shared" si="2"/>
        <v>0</v>
      </c>
      <c r="AQ32" s="20" t="e">
        <f t="shared" si="9"/>
        <v>#DIV/0!</v>
      </c>
      <c r="AR32" s="9"/>
      <c r="AS32" s="22">
        <v>407</v>
      </c>
      <c r="AT32" s="29">
        <f t="shared" si="8"/>
        <v>0</v>
      </c>
      <c r="AU32" s="7"/>
      <c r="AV32" s="7"/>
    </row>
    <row r="33" spans="1:48" ht="20.100000000000001" customHeight="1" thickBot="1" x14ac:dyDescent="0.3">
      <c r="A33" s="10"/>
      <c r="B33" s="52" t="s">
        <v>13</v>
      </c>
      <c r="C33" s="53"/>
      <c r="D33" s="53"/>
      <c r="E33" s="54"/>
      <c r="F33" s="32">
        <f t="shared" ref="F33:AJ33" si="10">SUM(F22:F32)</f>
        <v>300</v>
      </c>
      <c r="G33" s="32">
        <f t="shared" si="10"/>
        <v>65</v>
      </c>
      <c r="H33" s="32">
        <f t="shared" si="10"/>
        <v>10</v>
      </c>
      <c r="I33" s="32">
        <f t="shared" si="10"/>
        <v>280</v>
      </c>
      <c r="J33" s="32">
        <f t="shared" si="10"/>
        <v>10</v>
      </c>
      <c r="K33" s="32">
        <f t="shared" si="10"/>
        <v>280</v>
      </c>
      <c r="L33" s="32">
        <f t="shared" si="10"/>
        <v>260</v>
      </c>
      <c r="M33" s="32">
        <f t="shared" si="10"/>
        <v>0</v>
      </c>
      <c r="N33" s="32">
        <f t="shared" si="10"/>
        <v>90</v>
      </c>
      <c r="O33" s="32">
        <f t="shared" si="10"/>
        <v>100</v>
      </c>
      <c r="P33" s="32">
        <f t="shared" si="10"/>
        <v>45</v>
      </c>
      <c r="Q33" s="32">
        <f t="shared" si="10"/>
        <v>15</v>
      </c>
      <c r="R33" s="32">
        <f t="shared" si="10"/>
        <v>260</v>
      </c>
      <c r="S33" s="32">
        <f t="shared" si="10"/>
        <v>25</v>
      </c>
      <c r="T33" s="32">
        <f t="shared" si="10"/>
        <v>70</v>
      </c>
      <c r="U33" s="32">
        <f t="shared" si="10"/>
        <v>270</v>
      </c>
      <c r="V33" s="32">
        <f t="shared" si="10"/>
        <v>245</v>
      </c>
      <c r="W33" s="32">
        <f t="shared" si="10"/>
        <v>120</v>
      </c>
      <c r="X33" s="32">
        <f t="shared" si="10"/>
        <v>280</v>
      </c>
      <c r="Y33" s="32">
        <f t="shared" si="10"/>
        <v>265</v>
      </c>
      <c r="Z33" s="32">
        <f t="shared" si="10"/>
        <v>170</v>
      </c>
      <c r="AA33" s="32">
        <f t="shared" si="10"/>
        <v>300</v>
      </c>
      <c r="AB33" s="32">
        <f t="shared" si="10"/>
        <v>145</v>
      </c>
      <c r="AC33" s="32">
        <f t="shared" si="10"/>
        <v>220</v>
      </c>
      <c r="AD33" s="32">
        <f t="shared" si="10"/>
        <v>35</v>
      </c>
      <c r="AE33" s="32">
        <f t="shared" si="10"/>
        <v>30</v>
      </c>
      <c r="AF33" s="32">
        <f t="shared" si="10"/>
        <v>5</v>
      </c>
      <c r="AG33" s="32">
        <f t="shared" si="10"/>
        <v>70</v>
      </c>
      <c r="AH33" s="32">
        <f t="shared" si="10"/>
        <v>0</v>
      </c>
      <c r="AI33" s="32">
        <f t="shared" si="10"/>
        <v>235</v>
      </c>
      <c r="AJ33" s="32">
        <f t="shared" si="10"/>
        <v>0</v>
      </c>
      <c r="AK33" s="32">
        <f>SUM(AK22:AK32)</f>
        <v>4200</v>
      </c>
      <c r="AL33" s="32">
        <f t="shared" ref="AL33:AR33" si="11">SUM(AL23:AL32)</f>
        <v>0</v>
      </c>
      <c r="AM33" s="32">
        <f>SUM(AM22:AM32)</f>
        <v>4200</v>
      </c>
      <c r="AN33" s="11">
        <f t="shared" si="11"/>
        <v>53839.4</v>
      </c>
      <c r="AO33" s="11">
        <f t="shared" si="11"/>
        <v>24785.8</v>
      </c>
      <c r="AP33" s="11">
        <f t="shared" si="11"/>
        <v>-29053.599999999999</v>
      </c>
      <c r="AQ33" s="11" t="e">
        <f t="shared" si="11"/>
        <v>#DIV/0!</v>
      </c>
      <c r="AR33" s="11">
        <f t="shared" si="11"/>
        <v>0</v>
      </c>
      <c r="AS33" s="11">
        <v>0</v>
      </c>
      <c r="AT33" s="38">
        <f>SUM(AT22:AT32)</f>
        <v>1709400</v>
      </c>
      <c r="AU33" s="7"/>
      <c r="AV33" s="7"/>
    </row>
    <row r="34" spans="1:48" ht="9.9499999999999993" customHeight="1" thickTop="1" x14ac:dyDescent="0.25">
      <c r="A34" s="19"/>
      <c r="B34" s="31"/>
      <c r="C34" s="31"/>
      <c r="D34" s="31"/>
      <c r="E34" s="31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7"/>
      <c r="AV34" s="7"/>
    </row>
    <row r="35" spans="1:48" ht="20.100000000000001" customHeight="1" x14ac:dyDescent="0.25">
      <c r="A35" s="19"/>
      <c r="B35" s="36" t="s">
        <v>29</v>
      </c>
      <c r="C35" s="31"/>
      <c r="D35" s="31"/>
      <c r="E35" s="31"/>
      <c r="F35" s="18">
        <v>721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7"/>
      <c r="AV35" s="7"/>
    </row>
    <row r="36" spans="1:48" ht="20.100000000000001" customHeight="1" x14ac:dyDescent="0.25">
      <c r="A36" s="19"/>
      <c r="B36" s="36" t="s">
        <v>30</v>
      </c>
      <c r="C36" s="31"/>
      <c r="D36" s="31"/>
      <c r="E36" s="31"/>
      <c r="F36" s="18"/>
      <c r="G36" s="18">
        <v>400</v>
      </c>
      <c r="H36" s="18"/>
      <c r="I36" s="18"/>
      <c r="J36" s="18">
        <v>500</v>
      </c>
      <c r="K36" s="18"/>
      <c r="L36" s="18"/>
      <c r="M36" s="18">
        <v>100</v>
      </c>
      <c r="N36" s="18">
        <v>200</v>
      </c>
      <c r="O36" s="18"/>
      <c r="P36" s="18">
        <v>400</v>
      </c>
      <c r="Q36" s="18"/>
      <c r="R36" s="18"/>
      <c r="S36" s="18"/>
      <c r="T36" s="18"/>
      <c r="U36" s="18">
        <v>300</v>
      </c>
      <c r="V36" s="18">
        <v>400</v>
      </c>
      <c r="W36" s="18"/>
      <c r="X36" s="18">
        <v>300</v>
      </c>
      <c r="Y36" s="18">
        <v>300</v>
      </c>
      <c r="Z36" s="18">
        <v>200</v>
      </c>
      <c r="AA36" s="18">
        <v>400</v>
      </c>
      <c r="AB36" s="18">
        <v>100</v>
      </c>
      <c r="AC36" s="18">
        <v>400</v>
      </c>
      <c r="AD36" s="18"/>
      <c r="AE36" s="18"/>
      <c r="AF36" s="18"/>
      <c r="AG36" s="18"/>
      <c r="AH36" s="18">
        <v>400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7"/>
      <c r="AV36" s="7"/>
    </row>
    <row r="37" spans="1:48" x14ac:dyDescent="0.25">
      <c r="A37" s="12"/>
      <c r="B37" s="7" t="s">
        <v>21</v>
      </c>
      <c r="E37" s="7"/>
      <c r="F37" s="7">
        <f>F33+F21</f>
        <v>340</v>
      </c>
      <c r="G37" s="7">
        <f t="shared" ref="G37:AL37" si="12">G33+G21</f>
        <v>65</v>
      </c>
      <c r="H37" s="7">
        <f t="shared" si="12"/>
        <v>30</v>
      </c>
      <c r="I37" s="7">
        <f t="shared" si="12"/>
        <v>295</v>
      </c>
      <c r="J37" s="7">
        <f t="shared" si="12"/>
        <v>50</v>
      </c>
      <c r="K37" s="7">
        <f t="shared" si="12"/>
        <v>300</v>
      </c>
      <c r="L37" s="7">
        <f t="shared" si="12"/>
        <v>285</v>
      </c>
      <c r="M37" s="7">
        <f t="shared" si="12"/>
        <v>40</v>
      </c>
      <c r="N37" s="7">
        <f t="shared" si="12"/>
        <v>110</v>
      </c>
      <c r="O37" s="7">
        <f t="shared" si="12"/>
        <v>100</v>
      </c>
      <c r="P37" s="7">
        <f t="shared" si="12"/>
        <v>45</v>
      </c>
      <c r="Q37" s="7">
        <f t="shared" si="12"/>
        <v>15</v>
      </c>
      <c r="R37" s="7">
        <f t="shared" si="12"/>
        <v>300</v>
      </c>
      <c r="S37" s="7">
        <f t="shared" si="12"/>
        <v>25</v>
      </c>
      <c r="T37" s="7">
        <f t="shared" si="12"/>
        <v>75</v>
      </c>
      <c r="U37" s="7">
        <f t="shared" si="12"/>
        <v>304</v>
      </c>
      <c r="V37" s="7">
        <f t="shared" si="12"/>
        <v>265</v>
      </c>
      <c r="W37" s="7">
        <f t="shared" si="12"/>
        <v>130</v>
      </c>
      <c r="X37" s="7">
        <f t="shared" si="12"/>
        <v>300</v>
      </c>
      <c r="Y37" s="7">
        <f t="shared" si="12"/>
        <v>295</v>
      </c>
      <c r="Z37" s="7">
        <f t="shared" si="12"/>
        <v>180</v>
      </c>
      <c r="AA37" s="7">
        <f t="shared" si="12"/>
        <v>320</v>
      </c>
      <c r="AB37" s="7">
        <f t="shared" si="12"/>
        <v>160</v>
      </c>
      <c r="AC37" s="7">
        <f t="shared" si="12"/>
        <v>240</v>
      </c>
      <c r="AD37" s="7">
        <f t="shared" si="12"/>
        <v>35</v>
      </c>
      <c r="AE37" s="7">
        <f t="shared" si="12"/>
        <v>30</v>
      </c>
      <c r="AF37" s="7">
        <f t="shared" si="12"/>
        <v>5</v>
      </c>
      <c r="AG37" s="7">
        <f t="shared" si="12"/>
        <v>100</v>
      </c>
      <c r="AH37" s="7">
        <f t="shared" si="12"/>
        <v>0</v>
      </c>
      <c r="AI37" s="7">
        <f t="shared" si="12"/>
        <v>245</v>
      </c>
      <c r="AJ37" s="7">
        <f t="shared" si="12"/>
        <v>0</v>
      </c>
      <c r="AK37" s="7">
        <f t="shared" si="12"/>
        <v>4684</v>
      </c>
      <c r="AL37" s="7">
        <f t="shared" si="12"/>
        <v>0</v>
      </c>
      <c r="AM37" s="7">
        <f>AM33+AM21</f>
        <v>4684</v>
      </c>
      <c r="AN37" s="7">
        <f t="shared" ref="AN37:AT37" si="13">AN33+AN21</f>
        <v>53839.4</v>
      </c>
      <c r="AO37" s="7">
        <f t="shared" si="13"/>
        <v>24785.8</v>
      </c>
      <c r="AP37" s="7">
        <f t="shared" si="13"/>
        <v>-29053.599999999999</v>
      </c>
      <c r="AQ37" s="7" t="e">
        <f t="shared" si="13"/>
        <v>#DIV/0!</v>
      </c>
      <c r="AR37" s="7">
        <f t="shared" si="13"/>
        <v>0</v>
      </c>
      <c r="AS37" s="7">
        <v>407</v>
      </c>
      <c r="AT37" s="7">
        <f t="shared" si="13"/>
        <v>1906388</v>
      </c>
      <c r="AU37" s="7" t="s">
        <v>0</v>
      </c>
      <c r="AV37" s="7" t="s">
        <v>0</v>
      </c>
    </row>
    <row r="38" spans="1:48" x14ac:dyDescent="0.25">
      <c r="A38" s="16"/>
      <c r="B38" s="7" t="s">
        <v>4</v>
      </c>
      <c r="E38" s="7"/>
      <c r="F38" s="7">
        <f>(F35+F36)-F37</f>
        <v>381</v>
      </c>
      <c r="G38" s="7">
        <f>(F38+G36)-G37</f>
        <v>716</v>
      </c>
      <c r="H38" s="7">
        <f t="shared" ref="H38:AJ38" si="14">(G38+H36)-H37</f>
        <v>686</v>
      </c>
      <c r="I38" s="7">
        <f t="shared" si="14"/>
        <v>391</v>
      </c>
      <c r="J38" s="7">
        <f t="shared" si="14"/>
        <v>841</v>
      </c>
      <c r="K38" s="7">
        <f t="shared" si="14"/>
        <v>541</v>
      </c>
      <c r="L38" s="7">
        <f t="shared" si="14"/>
        <v>256</v>
      </c>
      <c r="M38" s="7">
        <f t="shared" si="14"/>
        <v>316</v>
      </c>
      <c r="N38" s="7">
        <f t="shared" si="14"/>
        <v>406</v>
      </c>
      <c r="O38" s="7">
        <f t="shared" si="14"/>
        <v>306</v>
      </c>
      <c r="P38" s="7">
        <f t="shared" si="14"/>
        <v>661</v>
      </c>
      <c r="Q38" s="7">
        <f t="shared" si="14"/>
        <v>646</v>
      </c>
      <c r="R38" s="7">
        <f t="shared" si="14"/>
        <v>346</v>
      </c>
      <c r="S38" s="7">
        <f t="shared" si="14"/>
        <v>321</v>
      </c>
      <c r="T38" s="7">
        <f t="shared" si="14"/>
        <v>246</v>
      </c>
      <c r="U38" s="7">
        <f t="shared" si="14"/>
        <v>242</v>
      </c>
      <c r="V38" s="7">
        <f t="shared" si="14"/>
        <v>377</v>
      </c>
      <c r="W38" s="7">
        <f t="shared" si="14"/>
        <v>247</v>
      </c>
      <c r="X38" s="7">
        <f t="shared" si="14"/>
        <v>247</v>
      </c>
      <c r="Y38" s="7">
        <f t="shared" si="14"/>
        <v>252</v>
      </c>
      <c r="Z38" s="7">
        <f t="shared" si="14"/>
        <v>272</v>
      </c>
      <c r="AA38" s="7">
        <f t="shared" si="14"/>
        <v>352</v>
      </c>
      <c r="AB38" s="7">
        <f t="shared" si="14"/>
        <v>292</v>
      </c>
      <c r="AC38" s="7">
        <f t="shared" si="14"/>
        <v>452</v>
      </c>
      <c r="AD38" s="7">
        <f t="shared" si="14"/>
        <v>417</v>
      </c>
      <c r="AE38" s="7">
        <f t="shared" si="14"/>
        <v>387</v>
      </c>
      <c r="AF38" s="7">
        <f t="shared" si="14"/>
        <v>382</v>
      </c>
      <c r="AG38" s="7">
        <f t="shared" si="14"/>
        <v>282</v>
      </c>
      <c r="AH38" s="7">
        <f t="shared" si="14"/>
        <v>682</v>
      </c>
      <c r="AI38" s="7">
        <f t="shared" si="14"/>
        <v>437</v>
      </c>
      <c r="AJ38" s="7">
        <f t="shared" si="14"/>
        <v>437</v>
      </c>
      <c r="AK38" s="7"/>
      <c r="AL38" s="7"/>
      <c r="AM38" s="7"/>
      <c r="AN38" s="16"/>
      <c r="AO38" s="16"/>
      <c r="AP38" s="16"/>
      <c r="AQ38" s="7"/>
      <c r="AR38" s="7"/>
      <c r="AS38" s="23"/>
      <c r="AT38" s="7"/>
      <c r="AU38" s="7"/>
      <c r="AV38" s="7"/>
    </row>
    <row r="39" spans="1:48" x14ac:dyDescent="0.25">
      <c r="A39" s="12"/>
      <c r="B39" s="7" t="s"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16"/>
      <c r="AL39" s="16"/>
      <c r="AM39" s="16"/>
      <c r="AN39" s="16"/>
      <c r="AO39" s="16"/>
      <c r="AP39" s="16"/>
      <c r="AQ39" s="7"/>
      <c r="AR39" s="7"/>
      <c r="AS39" s="23"/>
      <c r="AT39" s="7"/>
      <c r="AU39" s="7"/>
      <c r="AV39" s="7"/>
    </row>
    <row r="40" spans="1:48" ht="16.5" thickBot="1" x14ac:dyDescent="0.3">
      <c r="A40" s="33"/>
      <c r="B40" s="7" t="s">
        <v>25</v>
      </c>
      <c r="C40" s="7"/>
      <c r="D40" s="7"/>
      <c r="E40" s="7">
        <v>721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"/>
      <c r="AL40" s="1"/>
      <c r="AM40" s="1"/>
      <c r="AN40" s="1"/>
      <c r="AO40" s="33"/>
      <c r="AP40" s="33"/>
      <c r="AQ40" s="1" t="s">
        <v>24</v>
      </c>
      <c r="AR40" s="33"/>
      <c r="AS40" s="33"/>
      <c r="AT40" s="35">
        <v>0</v>
      </c>
      <c r="AU40" s="7"/>
      <c r="AV40" s="7"/>
    </row>
    <row r="41" spans="1:48" ht="16.5" thickTop="1" x14ac:dyDescent="0.25">
      <c r="A41" s="33"/>
      <c r="B41" s="7" t="s">
        <v>53</v>
      </c>
      <c r="C41" s="7"/>
      <c r="D41" s="7"/>
      <c r="E41" s="7">
        <f>F36+G36+H36+I36+J36+K36+L36+M36+N36+O36+P36+Q36+R36+S36+T36+U36+V36+W36+X36+Y36+Z36+AA36+AB36+AC36+AD36+AE36+AF36+AG36+AH36+AI36+AJ36</f>
        <v>4400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"/>
      <c r="AL41" s="1"/>
      <c r="AM41" s="1"/>
      <c r="AN41" s="1"/>
      <c r="AO41" s="33"/>
      <c r="AP41" s="33"/>
      <c r="AR41" s="33"/>
      <c r="AS41" s="33"/>
      <c r="AT41" s="19"/>
      <c r="AU41" s="7"/>
      <c r="AV41" s="7"/>
    </row>
    <row r="42" spans="1:48" x14ac:dyDescent="0.25">
      <c r="A42" s="33"/>
      <c r="B42" s="7" t="s">
        <v>52</v>
      </c>
      <c r="C42" s="7"/>
      <c r="D42" s="7"/>
      <c r="E42" s="7">
        <v>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1"/>
      <c r="AL42" s="1"/>
      <c r="AM42" s="1"/>
      <c r="AN42" s="34"/>
      <c r="AO42" s="33"/>
      <c r="AP42" s="33"/>
      <c r="AQ42" s="1" t="s">
        <v>26</v>
      </c>
      <c r="AR42" s="33"/>
      <c r="AS42" s="33"/>
      <c r="AT42" s="33">
        <f>AT37-AT40</f>
        <v>1906388</v>
      </c>
      <c r="AU42" s="7"/>
      <c r="AV42" s="7"/>
    </row>
    <row r="43" spans="1:48" x14ac:dyDescent="0.25">
      <c r="A43" s="33"/>
      <c r="B43" s="7" t="s">
        <v>28</v>
      </c>
      <c r="C43" s="7"/>
      <c r="D43" s="7"/>
      <c r="E43" s="7">
        <f>AK37</f>
        <v>4684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"/>
      <c r="AL43" s="1"/>
      <c r="AM43" s="1"/>
      <c r="AN43" s="34"/>
      <c r="AO43" s="33"/>
      <c r="AP43" s="33"/>
      <c r="AR43" s="33"/>
      <c r="AS43" s="33"/>
      <c r="AT43" s="33"/>
      <c r="AU43" s="7"/>
      <c r="AV43" s="7"/>
    </row>
    <row r="44" spans="1:48" ht="17.25" x14ac:dyDescent="0.3">
      <c r="A44" s="33"/>
      <c r="B44" s="7" t="s">
        <v>27</v>
      </c>
      <c r="C44" s="7"/>
      <c r="D44" s="7"/>
      <c r="E44" s="39">
        <f>AJ38</f>
        <v>437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33"/>
      <c r="AL44" s="33"/>
      <c r="AM44" s="33"/>
      <c r="AN44" s="33"/>
      <c r="AO44" s="33"/>
      <c r="AP44" s="33"/>
      <c r="AQ44" s="7"/>
      <c r="AR44" s="7"/>
      <c r="AS44" s="23"/>
      <c r="AT44" s="7"/>
      <c r="AU44" s="7"/>
      <c r="AV44" s="7"/>
    </row>
    <row r="45" spans="1:48" x14ac:dyDescent="0.25">
      <c r="A45" s="33"/>
      <c r="C45" s="7"/>
      <c r="D45" s="7"/>
      <c r="E45" s="1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33"/>
      <c r="AL45" s="33"/>
      <c r="AM45" s="33"/>
      <c r="AN45" s="33"/>
      <c r="AO45" s="33"/>
      <c r="AP45" s="33"/>
      <c r="AQ45" s="7"/>
      <c r="AR45" s="7"/>
      <c r="AS45" s="23"/>
      <c r="AT45" s="7"/>
      <c r="AU45" s="7"/>
      <c r="AV45" s="7"/>
    </row>
    <row r="46" spans="1:48" x14ac:dyDescent="0.25">
      <c r="A46" s="33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33"/>
      <c r="AL46" s="33"/>
      <c r="AM46" s="33"/>
      <c r="AN46" s="33"/>
      <c r="AO46" s="33"/>
      <c r="AP46" s="33"/>
      <c r="AQ46" s="7"/>
      <c r="AR46" s="7"/>
      <c r="AS46" s="23"/>
      <c r="AT46" s="7"/>
      <c r="AU46" s="7"/>
      <c r="AV46" s="7"/>
    </row>
    <row r="47" spans="1:48" x14ac:dyDescent="0.25">
      <c r="A47" s="37" t="s">
        <v>34</v>
      </c>
      <c r="C47" s="7"/>
      <c r="D47" s="7"/>
      <c r="E47" s="17"/>
      <c r="K47" s="7"/>
      <c r="M47" s="15"/>
      <c r="N47" s="7"/>
      <c r="P47" s="7"/>
      <c r="Q47" s="7"/>
      <c r="R47" s="7"/>
      <c r="U47" s="15"/>
      <c r="V47" s="7"/>
      <c r="W47" s="7"/>
      <c r="X47" s="7"/>
      <c r="Y47" s="7"/>
      <c r="Z47" s="7"/>
      <c r="AA47" s="7"/>
      <c r="AB47" s="15"/>
      <c r="AC47" s="7"/>
      <c r="AD47" s="7"/>
      <c r="AE47" s="7"/>
      <c r="AF47" s="7"/>
      <c r="AG47" s="7"/>
      <c r="AH47" s="15"/>
      <c r="AI47" s="7"/>
      <c r="AJ47" s="7"/>
      <c r="AK47" s="7"/>
      <c r="AL47" s="33"/>
      <c r="AM47" s="33"/>
      <c r="AN47" s="33"/>
      <c r="AO47" s="33"/>
      <c r="AP47" s="33"/>
      <c r="AQ47" s="7"/>
      <c r="AR47" s="7"/>
      <c r="AS47" s="23"/>
      <c r="AT47" s="7"/>
      <c r="AU47" s="7"/>
      <c r="AV47" s="7"/>
    </row>
    <row r="48" spans="1:48" x14ac:dyDescent="0.25">
      <c r="A48" s="7" t="s">
        <v>32</v>
      </c>
      <c r="C48" s="7"/>
      <c r="D48" s="7"/>
      <c r="E48" s="17"/>
      <c r="K48" s="7"/>
      <c r="M48" s="15"/>
      <c r="N48" s="7"/>
      <c r="P48" s="7"/>
      <c r="Q48" s="7"/>
      <c r="R48" s="7"/>
      <c r="U48" s="15"/>
      <c r="V48" s="7"/>
      <c r="W48" s="7"/>
      <c r="X48" s="7"/>
      <c r="Y48" s="7"/>
      <c r="Z48" s="7"/>
      <c r="AA48" s="7"/>
      <c r="AB48" s="15"/>
      <c r="AC48" s="7"/>
      <c r="AD48" s="7"/>
      <c r="AE48" s="7"/>
      <c r="AF48" s="7"/>
      <c r="AG48" s="7"/>
      <c r="AH48" s="15"/>
      <c r="AI48" s="7"/>
      <c r="AJ48" s="7"/>
      <c r="AK48" s="7"/>
      <c r="AL48" s="33"/>
      <c r="AM48" s="33"/>
      <c r="AN48" s="33"/>
      <c r="AO48" s="33"/>
      <c r="AP48" s="33"/>
      <c r="AQ48" s="7"/>
      <c r="AR48" s="7"/>
      <c r="AS48" s="23"/>
      <c r="AT48" s="7"/>
      <c r="AU48" s="7"/>
      <c r="AV48" s="7"/>
    </row>
    <row r="49" spans="1:48" x14ac:dyDescent="0.25">
      <c r="A49" s="7" t="s">
        <v>33</v>
      </c>
      <c r="C49" s="7"/>
      <c r="D49" s="7"/>
      <c r="E49" s="17"/>
      <c r="K49" s="7"/>
      <c r="M49" s="15"/>
      <c r="N49" s="7"/>
      <c r="P49" s="7"/>
      <c r="Q49" s="7"/>
      <c r="R49" s="7"/>
      <c r="U49" s="15"/>
      <c r="V49" s="7"/>
      <c r="W49" s="7"/>
      <c r="X49" s="7"/>
      <c r="Y49" s="7"/>
      <c r="Z49" s="7"/>
      <c r="AA49" s="7"/>
      <c r="AB49" s="15"/>
      <c r="AC49" s="7"/>
      <c r="AD49" s="7"/>
      <c r="AE49" s="7"/>
      <c r="AF49" s="7"/>
      <c r="AG49" s="7"/>
      <c r="AH49" s="15"/>
      <c r="AI49" s="7"/>
      <c r="AJ49" s="7"/>
      <c r="AK49" s="7"/>
      <c r="AL49" s="33"/>
      <c r="AM49" s="33"/>
      <c r="AN49" s="33"/>
      <c r="AO49" s="33"/>
      <c r="AP49" s="33"/>
      <c r="AQ49" s="7"/>
      <c r="AR49" s="7"/>
      <c r="AS49" s="23"/>
      <c r="AT49" s="7"/>
      <c r="AU49" s="7"/>
      <c r="AV49" s="7"/>
    </row>
    <row r="50" spans="1:48" x14ac:dyDescent="0.25">
      <c r="A50" s="7" t="s">
        <v>0</v>
      </c>
      <c r="C50" s="7"/>
      <c r="D50" s="7"/>
      <c r="E50" s="17"/>
      <c r="K50" s="7"/>
      <c r="M50" s="15"/>
      <c r="N50" s="7"/>
      <c r="P50" s="7"/>
      <c r="Q50" s="7"/>
      <c r="R50" s="7"/>
      <c r="U50" s="15"/>
      <c r="V50" s="7"/>
      <c r="W50" s="7"/>
      <c r="X50" s="7"/>
      <c r="Y50" s="7"/>
      <c r="Z50" s="7"/>
      <c r="AA50" s="7"/>
      <c r="AB50" s="15"/>
      <c r="AC50" s="7"/>
      <c r="AD50" s="7"/>
      <c r="AE50" s="7"/>
      <c r="AF50" s="7"/>
      <c r="AG50" s="7"/>
      <c r="AH50" s="15"/>
      <c r="AI50" s="7"/>
      <c r="AJ50" s="7"/>
      <c r="AK50" s="7"/>
      <c r="AL50" s="33"/>
      <c r="AM50" s="33"/>
      <c r="AN50" s="33"/>
      <c r="AO50" s="33"/>
      <c r="AP50" s="33"/>
      <c r="AQ50" s="7"/>
      <c r="AR50" s="7"/>
      <c r="AS50" s="23"/>
      <c r="AT50" s="7"/>
      <c r="AU50" s="7"/>
      <c r="AV50" s="7"/>
    </row>
    <row r="53" spans="1:48" x14ac:dyDescent="0.25">
      <c r="B53" s="14"/>
    </row>
  </sheetData>
  <mergeCells count="19">
    <mergeCell ref="A3:A4"/>
    <mergeCell ref="F3:AJ3"/>
    <mergeCell ref="D3:D4"/>
    <mergeCell ref="B21:E21"/>
    <mergeCell ref="B33:E33"/>
    <mergeCell ref="E3:E4"/>
    <mergeCell ref="C3:C4"/>
    <mergeCell ref="B3:B4"/>
    <mergeCell ref="O2:R2"/>
    <mergeCell ref="AT3:AT4"/>
    <mergeCell ref="AK3:AK4"/>
    <mergeCell ref="AL3:AL4"/>
    <mergeCell ref="AM3:AM4"/>
    <mergeCell ref="AN3:AN4"/>
    <mergeCell ref="AO3:AO4"/>
    <mergeCell ref="AR3:AR4"/>
    <mergeCell ref="AQ3:AQ4"/>
    <mergeCell ref="AS3:AS4"/>
    <mergeCell ref="AP3:AP4"/>
  </mergeCells>
  <pageMargins left="0.196850393700787" right="0.196850393700787" top="0.74803149606299202" bottom="0.511811023622047" header="0.31496062992126" footer="3.9370078740157501E-2"/>
  <pageSetup paperSize="8" scale="70" orientation="landscape" r:id="rId1"/>
  <headerFooter>
    <oddFooter>&amp;L&amp;"Times New Roman,Regular"&amp;8Doc. No.: EC1.TR.FO.13:4:22.2&amp;R&amp;"Times New Roman,Regular"&amp;8Page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Fuel Report</vt:lpstr>
      <vt:lpstr>'Fuel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2026-07-06T12:26:52Z</dcterms:modified>
</cp:coreProperties>
</file>