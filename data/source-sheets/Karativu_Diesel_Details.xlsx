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635" windowHeight="6630" activeTab="3"/>
  </bookViews>
  <sheets>
    <sheet name="March-2026" sheetId="1" r:id="rId1"/>
    <sheet name="April-2026" sheetId="2" r:id="rId2"/>
    <sheet name="May 2026" sheetId="3" r:id="rId3"/>
    <sheet name="June 2026" sheetId="4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" i="4" l="1"/>
  <c r="Y9" i="4"/>
  <c r="L9" i="4"/>
  <c r="AT35" i="4" l="1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AS27" i="4"/>
  <c r="AR27" i="4"/>
  <c r="AQ27" i="4"/>
  <c r="AP27" i="4"/>
  <c r="AO27" i="4"/>
  <c r="AN27" i="4"/>
  <c r="AM27" i="4"/>
  <c r="AL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AT26" i="4"/>
  <c r="AK26" i="4"/>
  <c r="AT25" i="4"/>
  <c r="AK25" i="4"/>
  <c r="AT24" i="4"/>
  <c r="AK24" i="4"/>
  <c r="AT23" i="4"/>
  <c r="AK23" i="4"/>
  <c r="AT22" i="4"/>
  <c r="AK22" i="4"/>
  <c r="AT21" i="4"/>
  <c r="AK21" i="4"/>
  <c r="AT20" i="4"/>
  <c r="AK20" i="4"/>
  <c r="AT19" i="4"/>
  <c r="AK19" i="4"/>
  <c r="AT18" i="4"/>
  <c r="AT27" i="4" s="1"/>
  <c r="AK18" i="4"/>
  <c r="AT16" i="4"/>
  <c r="AM16" i="4"/>
  <c r="AL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AT15" i="4"/>
  <c r="AK15" i="4"/>
  <c r="AT14" i="4"/>
  <c r="AK14" i="4"/>
  <c r="AT13" i="4"/>
  <c r="AK13" i="4"/>
  <c r="AT12" i="4"/>
  <c r="AK12" i="4"/>
  <c r="AT11" i="4"/>
  <c r="AK11" i="4"/>
  <c r="AT10" i="4"/>
  <c r="AK10" i="4"/>
  <c r="AT9" i="4"/>
  <c r="AK9" i="4"/>
  <c r="AT8" i="4"/>
  <c r="AK8" i="4"/>
  <c r="AT7" i="4"/>
  <c r="AK7" i="4"/>
  <c r="AT6" i="4"/>
  <c r="AK6" i="4"/>
  <c r="AT5" i="4"/>
  <c r="AK5" i="4"/>
  <c r="AK16" i="4" l="1"/>
  <c r="AK27" i="4"/>
  <c r="AT27" i="3"/>
  <c r="AT16" i="3"/>
  <c r="AT19" i="3"/>
  <c r="AT20" i="3"/>
  <c r="AT21" i="3"/>
  <c r="AT22" i="3"/>
  <c r="AT23" i="3"/>
  <c r="AT24" i="3"/>
  <c r="AT25" i="3"/>
  <c r="AT26" i="3"/>
  <c r="AT6" i="3"/>
  <c r="AT7" i="3"/>
  <c r="AT8" i="3"/>
  <c r="AT9" i="3"/>
  <c r="AT10" i="3"/>
  <c r="AT11" i="3"/>
  <c r="AT12" i="3"/>
  <c r="AT13" i="3"/>
  <c r="AT14" i="3"/>
  <c r="AT15" i="3"/>
  <c r="AT5" i="3"/>
  <c r="AT18" i="3"/>
  <c r="AK6" i="3"/>
  <c r="AK7" i="3"/>
  <c r="AK8" i="3"/>
  <c r="AK20" i="3"/>
  <c r="AK21" i="3"/>
  <c r="AT35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AS27" i="3"/>
  <c r="AR27" i="3"/>
  <c r="AQ27" i="3"/>
  <c r="AP27" i="3"/>
  <c r="AO27" i="3"/>
  <c r="AN27" i="3"/>
  <c r="AM27" i="3"/>
  <c r="AL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AK26" i="3"/>
  <c r="AK25" i="3"/>
  <c r="AK24" i="3"/>
  <c r="AK23" i="3"/>
  <c r="AK22" i="3"/>
  <c r="AK19" i="3"/>
  <c r="AK18" i="3"/>
  <c r="AM16" i="3"/>
  <c r="AL16" i="3"/>
  <c r="AJ16" i="3"/>
  <c r="AI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K16" i="3"/>
  <c r="J16" i="3"/>
  <c r="I16" i="3"/>
  <c r="H16" i="3"/>
  <c r="F16" i="3"/>
  <c r="AK15" i="3"/>
  <c r="AK14" i="3"/>
  <c r="AK13" i="3"/>
  <c r="AK12" i="3"/>
  <c r="AK11" i="3"/>
  <c r="AK10" i="3"/>
  <c r="AH16" i="3"/>
  <c r="AG16" i="3"/>
  <c r="L16" i="3"/>
  <c r="G16" i="3"/>
  <c r="AK5" i="3"/>
  <c r="AK27" i="3" l="1"/>
  <c r="AK9" i="3"/>
  <c r="AK16" i="3" s="1"/>
  <c r="AH8" i="2"/>
  <c r="AG8" i="2"/>
  <c r="L8" i="2"/>
  <c r="G8" i="2" l="1"/>
  <c r="AT34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AS26" i="2"/>
  <c r="AR26" i="2"/>
  <c r="AQ26" i="2"/>
  <c r="AP26" i="2"/>
  <c r="AO26" i="2"/>
  <c r="AN26" i="2"/>
  <c r="AM26" i="2"/>
  <c r="AL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AK25" i="2"/>
  <c r="AT24" i="2"/>
  <c r="AK24" i="2"/>
  <c r="AT23" i="2"/>
  <c r="AK23" i="2"/>
  <c r="AT22" i="2"/>
  <c r="AK22" i="2"/>
  <c r="AT21" i="2"/>
  <c r="AK21" i="2"/>
  <c r="AT20" i="2"/>
  <c r="AK20" i="2"/>
  <c r="AT19" i="2"/>
  <c r="AK19" i="2"/>
  <c r="AT18" i="2"/>
  <c r="AK18" i="2"/>
  <c r="AT17" i="2"/>
  <c r="AT26" i="2" s="1"/>
  <c r="AK17" i="2"/>
  <c r="AK16" i="2"/>
  <c r="AT15" i="2"/>
  <c r="AM15" i="2"/>
  <c r="AL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AK14" i="2"/>
  <c r="AK13" i="2"/>
  <c r="AK12" i="2"/>
  <c r="AK11" i="2"/>
  <c r="AK10" i="2"/>
  <c r="AK9" i="2"/>
  <c r="AK8" i="2"/>
  <c r="AK7" i="2"/>
  <c r="AK6" i="2"/>
  <c r="AK5" i="2"/>
  <c r="AK15" i="2" l="1"/>
  <c r="AK26" i="2"/>
  <c r="AK25" i="1" l="1"/>
  <c r="AK17" i="1"/>
  <c r="AK18" i="1"/>
  <c r="AK19" i="1"/>
  <c r="AK20" i="1"/>
  <c r="AK21" i="1"/>
  <c r="AK22" i="1"/>
  <c r="AK23" i="1"/>
  <c r="AK24" i="1"/>
  <c r="AK16" i="1"/>
  <c r="AK11" i="1"/>
  <c r="AK12" i="1"/>
  <c r="AK13" i="1"/>
  <c r="AK14" i="1"/>
  <c r="AK6" i="1"/>
  <c r="AK7" i="1"/>
  <c r="AK8" i="1"/>
  <c r="AK9" i="1"/>
  <c r="AK10" i="1"/>
  <c r="AK5" i="1"/>
  <c r="AK15" i="1" s="1"/>
  <c r="AK26" i="1" l="1"/>
  <c r="AS26" i="1"/>
  <c r="AR26" i="1"/>
  <c r="AO26" i="1"/>
  <c r="AN26" i="1"/>
  <c r="AL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AT24" i="1"/>
  <c r="AT21" i="1"/>
  <c r="AT20" i="1"/>
  <c r="AT17" i="1"/>
  <c r="AL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G31" i="1" s="1"/>
  <c r="F15" i="1"/>
  <c r="AP26" i="1" l="1"/>
  <c r="H31" i="1"/>
  <c r="F31" i="1"/>
  <c r="AT19" i="1"/>
  <c r="AT22" i="1"/>
  <c r="AT18" i="1"/>
  <c r="AT23" i="1"/>
  <c r="AM15" i="1"/>
  <c r="AM26" i="1"/>
  <c r="AT26" i="1" l="1"/>
  <c r="I31" i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T15" i="1"/>
  <c r="AQ26" i="1"/>
  <c r="AT34" i="1" l="1"/>
</calcChain>
</file>

<file path=xl/sharedStrings.xml><?xml version="1.0" encoding="utf-8"?>
<sst xmlns="http://schemas.openxmlformats.org/spreadsheetml/2006/main" count="276" uniqueCount="69">
  <si>
    <t>Edward and Christie (Pvt) Ltd</t>
  </si>
  <si>
    <t xml:space="preserve">                                                           Monthly Fuel Consumption Report (Daily/ Average)</t>
  </si>
  <si>
    <t xml:space="preserve"> </t>
  </si>
  <si>
    <t>S. No.</t>
  </si>
  <si>
    <t>Vehicle Reg. No.</t>
  </si>
  <si>
    <t>Company Code</t>
  </si>
  <si>
    <t>Type of Vehicle/ Machine</t>
  </si>
  <si>
    <t>Fuel Type</t>
  </si>
  <si>
    <t>Day</t>
  </si>
  <si>
    <t xml:space="preserve">Total ℓ from Site Tank </t>
  </si>
  <si>
    <t>Total ℓ from Outside</t>
  </si>
  <si>
    <t>Total Fuel ℓ (A)</t>
  </si>
  <si>
    <t>Opening Meter km/ hrs.</t>
  </si>
  <si>
    <t>Closing Meter km/ hrs.</t>
  </si>
  <si>
    <t>Total Running    km/ hrs.(B)</t>
  </si>
  <si>
    <t xml:space="preserve">Consumption per km or hrs. (B/A) </t>
  </si>
  <si>
    <t xml:space="preserve">Previous month consumption </t>
  </si>
  <si>
    <t>Fuel Rate Rs. (C)</t>
  </si>
  <si>
    <t xml:space="preserve">Fuel Cost Rs. (A*C) </t>
  </si>
  <si>
    <t xml:space="preserve">Total issue for the machinery (ℓ) </t>
  </si>
  <si>
    <t>Total issue for the vehicle (ℓ)</t>
  </si>
  <si>
    <t>Daily Opening balance at site tank (ℓ)</t>
  </si>
  <si>
    <t>Daily Fuel Purchase (ℓ)</t>
  </si>
  <si>
    <t>Daily Total Issue for Vehicle and Machinery (ℓ)</t>
  </si>
  <si>
    <t>Daily closing balance at site tank (ℓ)</t>
  </si>
  <si>
    <t>Monthly Opening Balance (ℓ)</t>
  </si>
  <si>
    <t>Total deduction (Rs.)</t>
  </si>
  <si>
    <t>Monthly Purchasing (ℓ)</t>
  </si>
  <si>
    <t>Project fuel cost (Rs.)</t>
  </si>
  <si>
    <t>Monthly Closing Balance (ℓ)</t>
  </si>
  <si>
    <t>Monthly Consumption (ℓ)</t>
  </si>
  <si>
    <t>Location/ Project:</t>
  </si>
  <si>
    <t>Karaitivu Bridge</t>
  </si>
  <si>
    <t xml:space="preserve">                                                             Year and Month: 2026 - March</t>
  </si>
  <si>
    <t>40-8060</t>
  </si>
  <si>
    <t>Crew Cab</t>
  </si>
  <si>
    <t>PF-9571</t>
  </si>
  <si>
    <t>Hire Cab</t>
  </si>
  <si>
    <t>Double Cab (PM)</t>
  </si>
  <si>
    <t>Generator</t>
  </si>
  <si>
    <t>Hire (150kv)</t>
  </si>
  <si>
    <t>Generator (Sub, Lanka Pile)</t>
  </si>
  <si>
    <t>ZA-7968</t>
  </si>
  <si>
    <t>LB-14</t>
  </si>
  <si>
    <t>JCB Backhoe Loader</t>
  </si>
  <si>
    <t>GE-118</t>
  </si>
  <si>
    <t>Generator (20Kv)</t>
  </si>
  <si>
    <t>64-7131</t>
  </si>
  <si>
    <t>Hire Car</t>
  </si>
  <si>
    <t>Car (PM)</t>
  </si>
  <si>
    <t>VR-62</t>
  </si>
  <si>
    <t>04 Ton Roller</t>
  </si>
  <si>
    <t>LN-1867</t>
  </si>
  <si>
    <t>Crane</t>
  </si>
  <si>
    <t xml:space="preserve">Hire </t>
  </si>
  <si>
    <t>Crane (Sub, Lanka Pile)</t>
  </si>
  <si>
    <t xml:space="preserve">                                                             Year and Month: 2026 - April</t>
  </si>
  <si>
    <t>LM-6653</t>
  </si>
  <si>
    <t>Low Bed</t>
  </si>
  <si>
    <t>LC-0434</t>
  </si>
  <si>
    <t>LL-1782</t>
  </si>
  <si>
    <t xml:space="preserve">                                                             Year and Month: 2026 - May</t>
  </si>
  <si>
    <t>LK-5141</t>
  </si>
  <si>
    <t>325-3448</t>
  </si>
  <si>
    <t>= Panama Bridge Fuel Issues</t>
  </si>
  <si>
    <t>ZB-2586</t>
  </si>
  <si>
    <t>LB-22</t>
  </si>
  <si>
    <t xml:space="preserve">                                                             Year and Month: 2026 - June</t>
  </si>
  <si>
    <t>LY-1614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</si>
</sst>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43" fontId="3" fillId="0" borderId="0" xfId="1" applyFont="1"/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/>
    <xf numFmtId="0" fontId="4" fillId="0" borderId="1" xfId="0" applyFont="1" applyBorder="1"/>
    <xf numFmtId="0" fontId="4" fillId="0" borderId="7" xfId="0" applyFont="1" applyBorder="1" applyAlignment="1">
      <alignment horizontal="center"/>
    </xf>
    <xf numFmtId="43" fontId="4" fillId="0" borderId="1" xfId="1" applyFont="1" applyBorder="1"/>
    <xf numFmtId="43" fontId="4" fillId="0" borderId="1" xfId="0" applyNumberFormat="1" applyFont="1" applyBorder="1"/>
    <xf numFmtId="0" fontId="4" fillId="0" borderId="0" xfId="0" applyFont="1"/>
    <xf numFmtId="2" fontId="4" fillId="0" borderId="7" xfId="0" applyNumberFormat="1" applyFont="1" applyBorder="1"/>
    <xf numFmtId="43" fontId="4" fillId="0" borderId="7" xfId="0" applyNumberFormat="1" applyFont="1" applyBorder="1"/>
    <xf numFmtId="0" fontId="4" fillId="0" borderId="8" xfId="0" applyFont="1" applyBorder="1" applyAlignment="1">
      <alignment horizontal="center"/>
    </xf>
    <xf numFmtId="43" fontId="4" fillId="0" borderId="8" xfId="0" applyNumberFormat="1" applyFont="1" applyBorder="1"/>
    <xf numFmtId="0" fontId="4" fillId="0" borderId="12" xfId="0" applyFont="1" applyBorder="1" applyAlignment="1">
      <alignment horizontal="center"/>
    </xf>
    <xf numFmtId="43" fontId="4" fillId="0" borderId="7" xfId="1" applyFont="1" applyBorder="1"/>
    <xf numFmtId="43" fontId="4" fillId="0" borderId="12" xfId="0" applyNumberFormat="1" applyFont="1" applyBorder="1"/>
    <xf numFmtId="0" fontId="4" fillId="0" borderId="13" xfId="0" applyFont="1" applyBorder="1" applyAlignment="1">
      <alignment horizontal="center"/>
    </xf>
    <xf numFmtId="43" fontId="4" fillId="0" borderId="13" xfId="0" applyNumberFormat="1" applyFont="1" applyBorder="1"/>
    <xf numFmtId="0" fontId="4" fillId="2" borderId="7" xfId="0" applyFont="1" applyFill="1" applyBorder="1" applyAlignment="1">
      <alignment horizontal="center"/>
    </xf>
    <xf numFmtId="0" fontId="4" fillId="0" borderId="8" xfId="0" applyFont="1" applyBorder="1"/>
    <xf numFmtId="0" fontId="4" fillId="0" borderId="5" xfId="0" applyFont="1" applyBorder="1" applyAlignment="1">
      <alignment horizontal="center"/>
    </xf>
    <xf numFmtId="0" fontId="4" fillId="0" borderId="12" xfId="0" applyFont="1" applyBorder="1"/>
    <xf numFmtId="0" fontId="4" fillId="0" borderId="5" xfId="0" applyFont="1" applyBorder="1"/>
    <xf numFmtId="43" fontId="4" fillId="0" borderId="12" xfId="1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43" fontId="4" fillId="0" borderId="0" xfId="1" applyFont="1"/>
    <xf numFmtId="0" fontId="4" fillId="0" borderId="17" xfId="0" applyFont="1" applyBorder="1" applyAlignment="1">
      <alignment horizontal="center"/>
    </xf>
    <xf numFmtId="0" fontId="4" fillId="0" borderId="17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19" xfId="0" applyFont="1" applyBorder="1"/>
    <xf numFmtId="0" fontId="4" fillId="0" borderId="18" xfId="0" applyFont="1" applyBorder="1"/>
    <xf numFmtId="43" fontId="4" fillId="0" borderId="19" xfId="1" applyFont="1" applyBorder="1"/>
    <xf numFmtId="43" fontId="4" fillId="0" borderId="8" xfId="1" applyFont="1" applyBorder="1"/>
    <xf numFmtId="0" fontId="3" fillId="0" borderId="0" xfId="0" applyFont="1" applyFill="1"/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12" xfId="0" applyFont="1" applyFill="1" applyBorder="1"/>
    <xf numFmtId="0" fontId="4" fillId="0" borderId="0" xfId="0" applyFont="1" applyFill="1"/>
    <xf numFmtId="0" fontId="5" fillId="0" borderId="0" xfId="0" applyFont="1" applyFill="1"/>
    <xf numFmtId="0" fontId="4" fillId="3" borderId="7" xfId="0" applyFont="1" applyFill="1" applyBorder="1" applyAlignment="1">
      <alignment horizontal="center"/>
    </xf>
    <xf numFmtId="0" fontId="4" fillId="3" borderId="0" xfId="0" applyFont="1" applyFill="1"/>
    <xf numFmtId="49" fontId="6" fillId="0" borderId="0" xfId="0" applyNumberFormat="1" applyFont="1"/>
    <xf numFmtId="0" fontId="4" fillId="0" borderId="19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43" fontId="4" fillId="0" borderId="5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zoomScale="80" zoomScaleNormal="80" workbookViewId="0">
      <selection activeCell="D21" sqref="D21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27.8554687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2" customWidth="1"/>
    <col min="10" max="10" width="5.42578125" style="2" customWidth="1"/>
    <col min="11" max="11" width="5.7109375" style="2" customWidth="1"/>
    <col min="12" max="12" width="5.5703125" style="2" customWidth="1"/>
    <col min="13" max="13" width="5.85546875" style="2" customWidth="1"/>
    <col min="14" max="14" width="5.7109375" style="2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2" customWidth="1"/>
    <col min="27" max="28" width="5.42578125" style="2" customWidth="1"/>
    <col min="29" max="29" width="5.7109375" style="2" customWidth="1"/>
    <col min="30" max="33" width="5.42578125" style="2" customWidth="1"/>
    <col min="34" max="35" width="5.7109375" style="2" customWidth="1"/>
    <col min="36" max="36" width="5.42578125" style="2" customWidth="1"/>
    <col min="37" max="37" width="8.42578125" style="4" customWidth="1"/>
    <col min="38" max="38" width="7.5703125" style="4" customWidth="1"/>
    <col min="39" max="39" width="7.28515625" style="4" customWidth="1"/>
    <col min="40" max="40" width="8" style="4" customWidth="1"/>
    <col min="41" max="41" width="7.5703125" style="4" customWidth="1"/>
    <col min="42" max="42" width="10.42578125" style="4" customWidth="1"/>
    <col min="43" max="44" width="11.710937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D2" s="2" t="s">
        <v>32</v>
      </c>
      <c r="E2" s="3" t="s">
        <v>33</v>
      </c>
      <c r="R2" s="3" t="s">
        <v>2</v>
      </c>
    </row>
    <row r="3" spans="1:48" x14ac:dyDescent="0.25">
      <c r="A3" s="59" t="s">
        <v>3</v>
      </c>
      <c r="B3" s="59" t="s">
        <v>4</v>
      </c>
      <c r="C3" s="59" t="s">
        <v>5</v>
      </c>
      <c r="D3" s="59" t="s">
        <v>6</v>
      </c>
      <c r="E3" s="59" t="s">
        <v>7</v>
      </c>
      <c r="F3" s="66" t="s">
        <v>8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8"/>
      <c r="AK3" s="59" t="s">
        <v>9</v>
      </c>
      <c r="AL3" s="59" t="s">
        <v>10</v>
      </c>
      <c r="AM3" s="59" t="s">
        <v>11</v>
      </c>
      <c r="AN3" s="59" t="s">
        <v>12</v>
      </c>
      <c r="AO3" s="59" t="s">
        <v>13</v>
      </c>
      <c r="AP3" s="59" t="s">
        <v>14</v>
      </c>
      <c r="AQ3" s="59" t="s">
        <v>15</v>
      </c>
      <c r="AR3" s="59" t="s">
        <v>16</v>
      </c>
      <c r="AS3" s="61" t="s">
        <v>17</v>
      </c>
      <c r="AT3" s="59" t="s">
        <v>18</v>
      </c>
    </row>
    <row r="4" spans="1:48" s="7" customFormat="1" ht="27" customHeight="1" x14ac:dyDescent="0.25">
      <c r="A4" s="60"/>
      <c r="B4" s="60"/>
      <c r="C4" s="60"/>
      <c r="D4" s="60"/>
      <c r="E4" s="60"/>
      <c r="F4" s="6">
        <v>1</v>
      </c>
      <c r="G4" s="6">
        <v>2</v>
      </c>
      <c r="H4" s="6">
        <v>3</v>
      </c>
      <c r="I4" s="6">
        <v>4</v>
      </c>
      <c r="J4" s="6">
        <v>5</v>
      </c>
      <c r="K4" s="6">
        <v>6</v>
      </c>
      <c r="L4" s="6">
        <v>7</v>
      </c>
      <c r="M4" s="6">
        <v>8</v>
      </c>
      <c r="N4" s="6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6">
        <v>21</v>
      </c>
      <c r="AA4" s="6">
        <v>22</v>
      </c>
      <c r="AB4" s="6">
        <v>23</v>
      </c>
      <c r="AC4" s="6">
        <v>24</v>
      </c>
      <c r="AD4" s="6">
        <v>25</v>
      </c>
      <c r="AE4" s="6">
        <v>26</v>
      </c>
      <c r="AF4" s="6">
        <v>27</v>
      </c>
      <c r="AG4" s="6">
        <v>28</v>
      </c>
      <c r="AH4" s="6">
        <v>29</v>
      </c>
      <c r="AI4" s="6">
        <v>30</v>
      </c>
      <c r="AJ4" s="6">
        <v>31</v>
      </c>
      <c r="AK4" s="60"/>
      <c r="AL4" s="60"/>
      <c r="AM4" s="60"/>
      <c r="AN4" s="60"/>
      <c r="AO4" s="60"/>
      <c r="AP4" s="60"/>
      <c r="AQ4" s="60"/>
      <c r="AR4" s="60"/>
      <c r="AS4" s="62"/>
      <c r="AT4" s="60"/>
    </row>
    <row r="5" spans="1:48" x14ac:dyDescent="0.25">
      <c r="A5" s="8">
        <v>1</v>
      </c>
      <c r="B5" s="9" t="s">
        <v>42</v>
      </c>
      <c r="C5" s="9" t="s">
        <v>43</v>
      </c>
      <c r="D5" s="9" t="s">
        <v>44</v>
      </c>
      <c r="E5" s="40"/>
      <c r="F5" s="11"/>
      <c r="G5" s="11"/>
      <c r="H5" s="11"/>
      <c r="I5" s="11"/>
      <c r="J5" s="11">
        <v>20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>
        <v>20</v>
      </c>
      <c r="AA5" s="11"/>
      <c r="AB5" s="11"/>
      <c r="AC5" s="11"/>
      <c r="AD5" s="11"/>
      <c r="AE5" s="11"/>
      <c r="AF5" s="11"/>
      <c r="AG5" s="11"/>
      <c r="AH5" s="11">
        <v>40</v>
      </c>
      <c r="AI5" s="11"/>
      <c r="AJ5" s="11"/>
      <c r="AK5" s="8">
        <f>SUM(F5:AJ5)</f>
        <v>80</v>
      </c>
      <c r="AL5" s="11"/>
      <c r="AM5" s="8"/>
      <c r="AN5" s="8"/>
      <c r="AO5" s="8"/>
      <c r="AP5" s="8"/>
      <c r="AQ5" s="10"/>
      <c r="AR5" s="10"/>
      <c r="AS5" s="12"/>
      <c r="AT5" s="13"/>
      <c r="AU5" s="14"/>
      <c r="AV5" s="14"/>
    </row>
    <row r="6" spans="1:48" x14ac:dyDescent="0.25">
      <c r="A6" s="11">
        <v>2</v>
      </c>
      <c r="B6" s="9" t="s">
        <v>45</v>
      </c>
      <c r="C6" s="9" t="s">
        <v>45</v>
      </c>
      <c r="D6" s="9" t="s">
        <v>46</v>
      </c>
      <c r="E6" s="39"/>
      <c r="F6" s="11"/>
      <c r="G6" s="11"/>
      <c r="H6" s="11"/>
      <c r="I6" s="11"/>
      <c r="J6" s="11"/>
      <c r="K6" s="11"/>
      <c r="L6" s="11"/>
      <c r="M6" s="11">
        <v>20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8">
        <f t="shared" ref="AK6:AK25" si="0">SUM(F6:AJ6)</f>
        <v>20</v>
      </c>
      <c r="AL6" s="11"/>
      <c r="AM6" s="11"/>
      <c r="AN6" s="11"/>
      <c r="AO6" s="11"/>
      <c r="AP6" s="11"/>
      <c r="AQ6" s="15"/>
      <c r="AR6" s="9"/>
      <c r="AS6" s="20"/>
      <c r="AT6" s="16"/>
      <c r="AU6" s="14"/>
      <c r="AV6" s="14"/>
    </row>
    <row r="7" spans="1:48" x14ac:dyDescent="0.25">
      <c r="A7" s="11">
        <v>3</v>
      </c>
      <c r="B7" s="9" t="s">
        <v>50</v>
      </c>
      <c r="C7" s="9" t="s">
        <v>50</v>
      </c>
      <c r="D7" s="9" t="s">
        <v>51</v>
      </c>
      <c r="E7" s="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>
        <v>10</v>
      </c>
      <c r="T7" s="11"/>
      <c r="U7" s="11"/>
      <c r="V7" s="11"/>
      <c r="W7" s="11"/>
      <c r="X7" s="11"/>
      <c r="Y7" s="11"/>
      <c r="Z7" s="11"/>
      <c r="AA7" s="11"/>
      <c r="AB7" s="11"/>
      <c r="AC7" s="11">
        <v>10</v>
      </c>
      <c r="AD7" s="11"/>
      <c r="AE7" s="11"/>
      <c r="AF7" s="11"/>
      <c r="AG7" s="11"/>
      <c r="AH7" s="11"/>
      <c r="AI7" s="11"/>
      <c r="AJ7" s="11"/>
      <c r="AK7" s="8">
        <f t="shared" si="0"/>
        <v>20</v>
      </c>
      <c r="AL7" s="11"/>
      <c r="AM7" s="11"/>
      <c r="AN7" s="11"/>
      <c r="AO7" s="11"/>
      <c r="AP7" s="11"/>
      <c r="AQ7" s="15"/>
      <c r="AR7" s="9"/>
      <c r="AS7" s="41"/>
      <c r="AT7" s="16"/>
      <c r="AU7" s="14"/>
      <c r="AV7" s="14"/>
    </row>
    <row r="8" spans="1:48" x14ac:dyDescent="0.25">
      <c r="A8" s="11">
        <v>4</v>
      </c>
      <c r="B8" s="9" t="s">
        <v>39</v>
      </c>
      <c r="C8" s="9" t="s">
        <v>40</v>
      </c>
      <c r="D8" s="9" t="s">
        <v>41</v>
      </c>
      <c r="E8" s="25"/>
      <c r="F8" s="11"/>
      <c r="G8" s="11"/>
      <c r="H8" s="11"/>
      <c r="I8" s="11"/>
      <c r="J8" s="11">
        <v>40</v>
      </c>
      <c r="K8" s="11">
        <v>80</v>
      </c>
      <c r="L8" s="11">
        <v>120</v>
      </c>
      <c r="M8" s="11">
        <v>40</v>
      </c>
      <c r="N8" s="11">
        <v>40</v>
      </c>
      <c r="O8" s="11"/>
      <c r="P8" s="11"/>
      <c r="Q8" s="11">
        <v>40</v>
      </c>
      <c r="R8" s="11">
        <v>80</v>
      </c>
      <c r="S8" s="11">
        <v>80</v>
      </c>
      <c r="T8" s="11">
        <v>80</v>
      </c>
      <c r="U8" s="11">
        <v>40</v>
      </c>
      <c r="V8" s="11"/>
      <c r="W8" s="11">
        <v>80</v>
      </c>
      <c r="X8" s="11"/>
      <c r="Y8" s="11"/>
      <c r="Z8" s="11"/>
      <c r="AA8" s="11">
        <v>40</v>
      </c>
      <c r="AB8" s="11"/>
      <c r="AC8" s="11">
        <v>60</v>
      </c>
      <c r="AD8" s="11">
        <v>80</v>
      </c>
      <c r="AE8" s="11"/>
      <c r="AF8" s="11">
        <v>160</v>
      </c>
      <c r="AG8" s="11"/>
      <c r="AH8" s="11">
        <v>100</v>
      </c>
      <c r="AI8" s="11">
        <v>20</v>
      </c>
      <c r="AJ8" s="11">
        <v>40</v>
      </c>
      <c r="AK8" s="8">
        <f t="shared" si="0"/>
        <v>1220</v>
      </c>
      <c r="AL8" s="11"/>
      <c r="AM8" s="11"/>
      <c r="AN8" s="11"/>
      <c r="AO8" s="11"/>
      <c r="AP8" s="11"/>
      <c r="AQ8" s="15"/>
      <c r="AR8" s="9"/>
      <c r="AS8" s="42"/>
      <c r="AT8" s="16"/>
      <c r="AU8" s="14"/>
      <c r="AV8" s="14"/>
    </row>
    <row r="9" spans="1:48" x14ac:dyDescent="0.25">
      <c r="A9" s="11">
        <v>5</v>
      </c>
      <c r="B9" s="9" t="s">
        <v>53</v>
      </c>
      <c r="C9" s="9" t="s">
        <v>54</v>
      </c>
      <c r="D9" s="9" t="s">
        <v>55</v>
      </c>
      <c r="E9" s="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>
        <v>40</v>
      </c>
      <c r="AI9" s="11">
        <v>20</v>
      </c>
      <c r="AJ9" s="11"/>
      <c r="AK9" s="8">
        <f t="shared" si="0"/>
        <v>60</v>
      </c>
      <c r="AL9" s="11"/>
      <c r="AM9" s="11"/>
      <c r="AN9" s="11"/>
      <c r="AO9" s="11"/>
      <c r="AP9" s="11"/>
      <c r="AQ9" s="15"/>
      <c r="AR9" s="9"/>
      <c r="AS9" s="42"/>
      <c r="AT9" s="16"/>
      <c r="AU9" s="14"/>
      <c r="AV9" s="14"/>
    </row>
    <row r="10" spans="1:48" x14ac:dyDescent="0.25">
      <c r="A10" s="11">
        <v>6</v>
      </c>
      <c r="B10" s="9"/>
      <c r="C10" s="9"/>
      <c r="D10" s="9"/>
      <c r="E10" s="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8">
        <f t="shared" si="0"/>
        <v>0</v>
      </c>
      <c r="AL10" s="11"/>
      <c r="AM10" s="11"/>
      <c r="AN10" s="11"/>
      <c r="AO10" s="11"/>
      <c r="AP10" s="11"/>
      <c r="AQ10" s="15"/>
      <c r="AR10" s="9"/>
      <c r="AS10" s="42"/>
      <c r="AT10" s="16"/>
      <c r="AU10" s="14"/>
      <c r="AV10" s="14"/>
    </row>
    <row r="11" spans="1:48" x14ac:dyDescent="0.25">
      <c r="A11" s="11">
        <v>7</v>
      </c>
      <c r="B11" s="9"/>
      <c r="C11" s="9"/>
      <c r="D11" s="9"/>
      <c r="E11" s="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8">
        <f t="shared" si="0"/>
        <v>0</v>
      </c>
      <c r="AL11" s="11"/>
      <c r="AM11" s="11"/>
      <c r="AN11" s="11"/>
      <c r="AO11" s="11"/>
      <c r="AP11" s="11"/>
      <c r="AQ11" s="15"/>
      <c r="AR11" s="9"/>
      <c r="AS11" s="20"/>
      <c r="AT11" s="16"/>
      <c r="AU11" s="14"/>
      <c r="AV11" s="14"/>
    </row>
    <row r="12" spans="1:48" x14ac:dyDescent="0.25">
      <c r="A12" s="11"/>
      <c r="B12" s="9"/>
      <c r="C12" s="9"/>
      <c r="D12" s="9"/>
      <c r="E12" s="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8">
        <f t="shared" si="0"/>
        <v>0</v>
      </c>
      <c r="AL12" s="11"/>
      <c r="AM12" s="11"/>
      <c r="AN12" s="11"/>
      <c r="AO12" s="11"/>
      <c r="AP12" s="11"/>
      <c r="AQ12" s="15"/>
      <c r="AR12" s="9"/>
      <c r="AS12" s="41"/>
      <c r="AT12" s="16"/>
      <c r="AU12" s="14"/>
      <c r="AV12" s="14"/>
    </row>
    <row r="13" spans="1:48" x14ac:dyDescent="0.25">
      <c r="A13" s="11"/>
      <c r="B13" s="9"/>
      <c r="C13" s="9"/>
      <c r="D13" s="9"/>
      <c r="E13" s="25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8">
        <f t="shared" si="0"/>
        <v>0</v>
      </c>
      <c r="AL13" s="11"/>
      <c r="AM13" s="11"/>
      <c r="AN13" s="11"/>
      <c r="AO13" s="11"/>
      <c r="AP13" s="11"/>
      <c r="AQ13" s="15"/>
      <c r="AR13" s="9"/>
      <c r="AS13" s="20"/>
      <c r="AT13" s="16"/>
      <c r="AU13" s="14"/>
      <c r="AV13" s="14"/>
    </row>
    <row r="14" spans="1:48" x14ac:dyDescent="0.25">
      <c r="A14" s="11"/>
      <c r="B14" s="9"/>
      <c r="C14" s="9"/>
      <c r="D14" s="9"/>
      <c r="E14" s="9"/>
      <c r="F14" s="11"/>
      <c r="G14" s="11"/>
      <c r="H14" s="11"/>
      <c r="I14" s="11"/>
      <c r="J14" s="11"/>
      <c r="K14" s="11"/>
      <c r="L14" s="11"/>
      <c r="M14" s="11"/>
      <c r="N14" s="17"/>
      <c r="O14" s="1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8">
        <f t="shared" si="0"/>
        <v>0</v>
      </c>
      <c r="AL14" s="11"/>
      <c r="AM14" s="17"/>
      <c r="AN14" s="11"/>
      <c r="AO14" s="11"/>
      <c r="AP14" s="11"/>
      <c r="AQ14" s="15"/>
      <c r="AR14" s="9"/>
      <c r="AS14" s="41"/>
      <c r="AT14" s="18"/>
      <c r="AU14" s="14"/>
      <c r="AV14" s="14"/>
    </row>
    <row r="15" spans="1:48" ht="16.5" thickBot="1" x14ac:dyDescent="0.3">
      <c r="A15" s="11"/>
      <c r="B15" s="63" t="s">
        <v>19</v>
      </c>
      <c r="C15" s="64"/>
      <c r="D15" s="64"/>
      <c r="E15" s="65"/>
      <c r="F15" s="19">
        <f>SUM(F5:F14)</f>
        <v>0</v>
      </c>
      <c r="G15" s="19">
        <f t="shared" ref="G15:AJ15" si="1">SUM(G5:G14)</f>
        <v>0</v>
      </c>
      <c r="H15" s="19">
        <f t="shared" si="1"/>
        <v>0</v>
      </c>
      <c r="I15" s="19">
        <f t="shared" si="1"/>
        <v>0</v>
      </c>
      <c r="J15" s="19">
        <f t="shared" si="1"/>
        <v>60</v>
      </c>
      <c r="K15" s="19">
        <f t="shared" si="1"/>
        <v>80</v>
      </c>
      <c r="L15" s="19">
        <f t="shared" si="1"/>
        <v>120</v>
      </c>
      <c r="M15" s="19">
        <f t="shared" si="1"/>
        <v>60</v>
      </c>
      <c r="N15" s="19">
        <f t="shared" si="1"/>
        <v>40</v>
      </c>
      <c r="O15" s="19">
        <f t="shared" si="1"/>
        <v>0</v>
      </c>
      <c r="P15" s="19">
        <f t="shared" si="1"/>
        <v>0</v>
      </c>
      <c r="Q15" s="19">
        <f t="shared" si="1"/>
        <v>40</v>
      </c>
      <c r="R15" s="19">
        <f t="shared" si="1"/>
        <v>80</v>
      </c>
      <c r="S15" s="19">
        <f t="shared" si="1"/>
        <v>90</v>
      </c>
      <c r="T15" s="19">
        <f t="shared" si="1"/>
        <v>80</v>
      </c>
      <c r="U15" s="19">
        <f t="shared" si="1"/>
        <v>40</v>
      </c>
      <c r="V15" s="19">
        <f t="shared" si="1"/>
        <v>0</v>
      </c>
      <c r="W15" s="19">
        <f t="shared" si="1"/>
        <v>80</v>
      </c>
      <c r="X15" s="19">
        <f t="shared" si="1"/>
        <v>0</v>
      </c>
      <c r="Y15" s="19">
        <f t="shared" si="1"/>
        <v>0</v>
      </c>
      <c r="Z15" s="19">
        <f t="shared" si="1"/>
        <v>20</v>
      </c>
      <c r="AA15" s="19">
        <f t="shared" si="1"/>
        <v>40</v>
      </c>
      <c r="AB15" s="19">
        <f t="shared" si="1"/>
        <v>0</v>
      </c>
      <c r="AC15" s="19">
        <f t="shared" si="1"/>
        <v>70</v>
      </c>
      <c r="AD15" s="19">
        <f t="shared" si="1"/>
        <v>80</v>
      </c>
      <c r="AE15" s="19">
        <f t="shared" si="1"/>
        <v>0</v>
      </c>
      <c r="AF15" s="19">
        <f t="shared" si="1"/>
        <v>160</v>
      </c>
      <c r="AG15" s="19">
        <f t="shared" si="1"/>
        <v>0</v>
      </c>
      <c r="AH15" s="19">
        <f t="shared" si="1"/>
        <v>180</v>
      </c>
      <c r="AI15" s="19">
        <f t="shared" si="1"/>
        <v>40</v>
      </c>
      <c r="AJ15" s="19">
        <f t="shared" si="1"/>
        <v>40</v>
      </c>
      <c r="AK15" s="19">
        <f>SUM(AK5:AK14)</f>
        <v>1400</v>
      </c>
      <c r="AL15" s="19">
        <f>SUM(AL5:AL14)</f>
        <v>0</v>
      </c>
      <c r="AM15" s="19">
        <f>SUM(AM5:AM14)</f>
        <v>0</v>
      </c>
      <c r="AN15" s="11"/>
      <c r="AO15" s="11"/>
      <c r="AP15" s="11"/>
      <c r="AQ15" s="15"/>
      <c r="AR15" s="9"/>
      <c r="AS15" s="20"/>
      <c r="AT15" s="21">
        <f>SUM(AT5:AT14)</f>
        <v>0</v>
      </c>
      <c r="AU15" s="14"/>
      <c r="AV15" s="14"/>
    </row>
    <row r="16" spans="1:48" ht="16.5" thickTop="1" x14ac:dyDescent="0.25">
      <c r="A16" s="11"/>
      <c r="B16" s="9"/>
      <c r="C16" s="9"/>
      <c r="D16" s="9"/>
      <c r="E16" s="9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8">
        <f t="shared" si="0"/>
        <v>0</v>
      </c>
      <c r="AL16" s="22"/>
      <c r="AM16" s="22"/>
      <c r="AN16" s="11"/>
      <c r="AO16" s="11"/>
      <c r="AP16" s="11"/>
      <c r="AQ16" s="15"/>
      <c r="AR16" s="9"/>
      <c r="AS16" s="42"/>
      <c r="AT16" s="23"/>
      <c r="AU16" s="14"/>
      <c r="AV16" s="14"/>
    </row>
    <row r="17" spans="1:48" x14ac:dyDescent="0.25">
      <c r="A17" s="11">
        <v>11</v>
      </c>
      <c r="B17" s="10" t="s">
        <v>34</v>
      </c>
      <c r="C17" s="10"/>
      <c r="D17" s="10" t="s">
        <v>35</v>
      </c>
      <c r="E17" s="10"/>
      <c r="F17" s="22"/>
      <c r="G17" s="22">
        <v>10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11"/>
      <c r="S17" s="11"/>
      <c r="T17" s="11"/>
      <c r="U17" s="11"/>
      <c r="V17" s="11"/>
      <c r="W17" s="11"/>
      <c r="X17" s="22"/>
      <c r="Y17" s="22"/>
      <c r="Z17" s="22"/>
      <c r="AA17" s="22"/>
      <c r="AB17" s="22"/>
      <c r="AC17" s="11"/>
      <c r="AD17" s="11"/>
      <c r="AE17" s="11"/>
      <c r="AF17" s="11"/>
      <c r="AG17" s="24"/>
      <c r="AH17" s="24"/>
      <c r="AI17" s="24"/>
      <c r="AJ17" s="22"/>
      <c r="AK17" s="8">
        <f t="shared" si="0"/>
        <v>10</v>
      </c>
      <c r="AL17" s="11"/>
      <c r="AM17" s="11"/>
      <c r="AN17" s="11"/>
      <c r="AO17" s="11"/>
      <c r="AP17" s="11"/>
      <c r="AQ17" s="15"/>
      <c r="AR17" s="9"/>
      <c r="AS17" s="20">
        <v>0</v>
      </c>
      <c r="AT17" s="16">
        <f t="shared" ref="AT17:AT24" si="2">AS17*AM17</f>
        <v>0</v>
      </c>
      <c r="AU17" s="14"/>
      <c r="AV17" s="14"/>
    </row>
    <row r="18" spans="1:48" x14ac:dyDescent="0.25">
      <c r="A18" s="11">
        <v>12</v>
      </c>
      <c r="B18" s="9" t="s">
        <v>52</v>
      </c>
      <c r="C18" s="9"/>
      <c r="D18" s="9" t="s">
        <v>35</v>
      </c>
      <c r="E18" s="9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>
        <v>10</v>
      </c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8">
        <f t="shared" si="0"/>
        <v>10</v>
      </c>
      <c r="AL18" s="11"/>
      <c r="AM18" s="11"/>
      <c r="AN18" s="11"/>
      <c r="AO18" s="11"/>
      <c r="AP18" s="11"/>
      <c r="AQ18" s="15"/>
      <c r="AR18" s="9"/>
      <c r="AS18" s="20">
        <v>0</v>
      </c>
      <c r="AT18" s="16">
        <f t="shared" si="2"/>
        <v>0</v>
      </c>
      <c r="AU18" s="14"/>
      <c r="AV18" s="14"/>
    </row>
    <row r="19" spans="1:48" x14ac:dyDescent="0.25">
      <c r="A19" s="11">
        <v>13</v>
      </c>
      <c r="B19" s="9" t="s">
        <v>36</v>
      </c>
      <c r="C19" s="9" t="s">
        <v>37</v>
      </c>
      <c r="D19" s="9" t="s">
        <v>38</v>
      </c>
      <c r="E19" s="9"/>
      <c r="F19" s="11"/>
      <c r="G19" s="11"/>
      <c r="H19" s="11"/>
      <c r="I19" s="11">
        <v>10</v>
      </c>
      <c r="J19" s="11">
        <v>25</v>
      </c>
      <c r="K19" s="11">
        <v>20</v>
      </c>
      <c r="L19" s="11">
        <v>20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8">
        <f t="shared" si="0"/>
        <v>75</v>
      </c>
      <c r="AL19" s="11"/>
      <c r="AM19" s="11"/>
      <c r="AN19" s="11"/>
      <c r="AO19" s="11"/>
      <c r="AP19" s="11"/>
      <c r="AQ19" s="15"/>
      <c r="AR19" s="9"/>
      <c r="AS19" s="20">
        <v>0</v>
      </c>
      <c r="AT19" s="16">
        <f t="shared" si="2"/>
        <v>0</v>
      </c>
      <c r="AU19" s="14"/>
      <c r="AV19" s="14"/>
    </row>
    <row r="20" spans="1:48" x14ac:dyDescent="0.25">
      <c r="A20" s="11">
        <v>14</v>
      </c>
      <c r="B20" s="9" t="s">
        <v>47</v>
      </c>
      <c r="C20" s="9" t="s">
        <v>48</v>
      </c>
      <c r="D20" s="9" t="s">
        <v>49</v>
      </c>
      <c r="E20" s="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20</v>
      </c>
      <c r="Q20" s="11"/>
      <c r="R20" s="11"/>
      <c r="S20" s="11">
        <v>20</v>
      </c>
      <c r="T20" s="11"/>
      <c r="U20" s="11">
        <v>20</v>
      </c>
      <c r="V20" s="11"/>
      <c r="W20" s="11"/>
      <c r="X20" s="11">
        <v>20</v>
      </c>
      <c r="Y20" s="11"/>
      <c r="Z20" s="11"/>
      <c r="AA20" s="11"/>
      <c r="AB20" s="11">
        <v>20</v>
      </c>
      <c r="AC20" s="11"/>
      <c r="AD20" s="11"/>
      <c r="AE20" s="11"/>
      <c r="AF20" s="11">
        <v>20</v>
      </c>
      <c r="AG20" s="11"/>
      <c r="AH20" s="11">
        <v>20</v>
      </c>
      <c r="AI20" s="11"/>
      <c r="AJ20" s="11"/>
      <c r="AK20" s="8">
        <f t="shared" si="0"/>
        <v>140</v>
      </c>
      <c r="AL20" s="11"/>
      <c r="AM20" s="11"/>
      <c r="AN20" s="11"/>
      <c r="AO20" s="11"/>
      <c r="AP20" s="11"/>
      <c r="AQ20" s="15"/>
      <c r="AR20" s="9"/>
      <c r="AS20" s="20">
        <v>0</v>
      </c>
      <c r="AT20" s="16">
        <f t="shared" si="2"/>
        <v>0</v>
      </c>
      <c r="AU20" s="14"/>
      <c r="AV20" s="14"/>
    </row>
    <row r="21" spans="1:48" x14ac:dyDescent="0.25">
      <c r="A21" s="11">
        <v>15</v>
      </c>
      <c r="B21" s="9"/>
      <c r="C21" s="9"/>
      <c r="D21" s="9"/>
      <c r="E21" s="9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8">
        <f t="shared" si="0"/>
        <v>0</v>
      </c>
      <c r="AL21" s="11"/>
      <c r="AM21" s="11"/>
      <c r="AN21" s="11"/>
      <c r="AO21" s="11"/>
      <c r="AP21" s="11"/>
      <c r="AQ21" s="15"/>
      <c r="AR21" s="9"/>
      <c r="AS21" s="41">
        <v>0</v>
      </c>
      <c r="AT21" s="16">
        <f t="shared" si="2"/>
        <v>0</v>
      </c>
      <c r="AU21" s="14"/>
      <c r="AV21" s="14"/>
    </row>
    <row r="22" spans="1:48" x14ac:dyDescent="0.25">
      <c r="A22" s="11">
        <v>16</v>
      </c>
      <c r="B22" s="9"/>
      <c r="C22" s="9"/>
      <c r="D22" s="9"/>
      <c r="E22" s="9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8">
        <f t="shared" si="0"/>
        <v>0</v>
      </c>
      <c r="AL22" s="11"/>
      <c r="AM22" s="11"/>
      <c r="AN22" s="11"/>
      <c r="AO22" s="11"/>
      <c r="AP22" s="11"/>
      <c r="AQ22" s="15"/>
      <c r="AR22" s="9"/>
      <c r="AS22" s="20">
        <v>0</v>
      </c>
      <c r="AT22" s="16">
        <f t="shared" si="2"/>
        <v>0</v>
      </c>
      <c r="AU22" s="14"/>
      <c r="AV22" s="14"/>
    </row>
    <row r="23" spans="1:48" x14ac:dyDescent="0.25">
      <c r="A23" s="11">
        <v>17</v>
      </c>
      <c r="B23" s="9"/>
      <c r="C23" s="9"/>
      <c r="D23" s="9"/>
      <c r="E23" s="9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8">
        <f t="shared" si="0"/>
        <v>0</v>
      </c>
      <c r="AL23" s="11"/>
      <c r="AM23" s="11"/>
      <c r="AN23" s="11"/>
      <c r="AO23" s="11"/>
      <c r="AP23" s="11"/>
      <c r="AQ23" s="15"/>
      <c r="AR23" s="9"/>
      <c r="AS23" s="20">
        <v>0</v>
      </c>
      <c r="AT23" s="16">
        <f t="shared" si="2"/>
        <v>0</v>
      </c>
      <c r="AU23" s="14"/>
      <c r="AV23" s="14"/>
    </row>
    <row r="24" spans="1:48" x14ac:dyDescent="0.25">
      <c r="A24" s="11">
        <v>18</v>
      </c>
      <c r="B24" s="9"/>
      <c r="C24" s="9"/>
      <c r="D24" s="9"/>
      <c r="E24" s="9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8">
        <f t="shared" si="0"/>
        <v>0</v>
      </c>
      <c r="AL24" s="11"/>
      <c r="AM24" s="11"/>
      <c r="AN24" s="11"/>
      <c r="AO24" s="11"/>
      <c r="AP24" s="11"/>
      <c r="AQ24" s="15"/>
      <c r="AR24" s="9"/>
      <c r="AS24" s="41">
        <v>0</v>
      </c>
      <c r="AT24" s="16">
        <f t="shared" si="2"/>
        <v>0</v>
      </c>
      <c r="AU24" s="14"/>
      <c r="AV24" s="14"/>
    </row>
    <row r="25" spans="1:48" x14ac:dyDescent="0.25">
      <c r="A25" s="11">
        <v>19</v>
      </c>
      <c r="B25" s="9"/>
      <c r="C25" s="9"/>
      <c r="D25" s="9"/>
      <c r="E25" s="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8">
        <f t="shared" si="0"/>
        <v>0</v>
      </c>
      <c r="AL25" s="17"/>
      <c r="AM25" s="17"/>
      <c r="AN25" s="11"/>
      <c r="AO25" s="11"/>
      <c r="AP25" s="11"/>
      <c r="AQ25" s="9"/>
      <c r="AR25" s="9"/>
      <c r="AS25" s="20"/>
      <c r="AT25" s="25"/>
      <c r="AU25" s="14"/>
      <c r="AV25" s="14"/>
    </row>
    <row r="26" spans="1:48" ht="16.5" thickBot="1" x14ac:dyDescent="0.3">
      <c r="A26" s="26">
        <v>20</v>
      </c>
      <c r="B26" s="56" t="s">
        <v>20</v>
      </c>
      <c r="C26" s="57"/>
      <c r="D26" s="57"/>
      <c r="E26" s="58"/>
      <c r="F26" s="27">
        <f>SUM(F17:F25)</f>
        <v>0</v>
      </c>
      <c r="G26" s="27">
        <f t="shared" ref="G26:AT26" si="3">SUM(G17:G25)</f>
        <v>10</v>
      </c>
      <c r="H26" s="27">
        <f t="shared" si="3"/>
        <v>0</v>
      </c>
      <c r="I26" s="27">
        <f t="shared" si="3"/>
        <v>10</v>
      </c>
      <c r="J26" s="27">
        <f t="shared" si="3"/>
        <v>25</v>
      </c>
      <c r="K26" s="27">
        <f t="shared" si="3"/>
        <v>20</v>
      </c>
      <c r="L26" s="27">
        <f t="shared" si="3"/>
        <v>20</v>
      </c>
      <c r="M26" s="27">
        <f t="shared" si="3"/>
        <v>0</v>
      </c>
      <c r="N26" s="27">
        <f t="shared" si="3"/>
        <v>0</v>
      </c>
      <c r="O26" s="27">
        <f t="shared" si="3"/>
        <v>0</v>
      </c>
      <c r="P26" s="27">
        <f t="shared" si="3"/>
        <v>20</v>
      </c>
      <c r="Q26" s="27">
        <f t="shared" si="3"/>
        <v>0</v>
      </c>
      <c r="R26" s="27">
        <f t="shared" si="3"/>
        <v>0</v>
      </c>
      <c r="S26" s="27">
        <f t="shared" si="3"/>
        <v>20</v>
      </c>
      <c r="T26" s="27">
        <f t="shared" si="3"/>
        <v>0</v>
      </c>
      <c r="U26" s="27">
        <f t="shared" si="3"/>
        <v>20</v>
      </c>
      <c r="V26" s="27">
        <f t="shared" si="3"/>
        <v>10</v>
      </c>
      <c r="W26" s="27">
        <f t="shared" si="3"/>
        <v>0</v>
      </c>
      <c r="X26" s="27">
        <f t="shared" si="3"/>
        <v>20</v>
      </c>
      <c r="Y26" s="27">
        <f t="shared" si="3"/>
        <v>0</v>
      </c>
      <c r="Z26" s="27">
        <f t="shared" si="3"/>
        <v>0</v>
      </c>
      <c r="AA26" s="27">
        <f t="shared" si="3"/>
        <v>0</v>
      </c>
      <c r="AB26" s="27">
        <f t="shared" si="3"/>
        <v>20</v>
      </c>
      <c r="AC26" s="27">
        <f t="shared" si="3"/>
        <v>0</v>
      </c>
      <c r="AD26" s="27">
        <f t="shared" si="3"/>
        <v>0</v>
      </c>
      <c r="AE26" s="27">
        <f t="shared" si="3"/>
        <v>0</v>
      </c>
      <c r="AF26" s="27">
        <f t="shared" si="3"/>
        <v>20</v>
      </c>
      <c r="AG26" s="27">
        <f t="shared" si="3"/>
        <v>0</v>
      </c>
      <c r="AH26" s="27">
        <f t="shared" si="3"/>
        <v>20</v>
      </c>
      <c r="AI26" s="27">
        <f t="shared" si="3"/>
        <v>0</v>
      </c>
      <c r="AJ26" s="27">
        <f t="shared" si="3"/>
        <v>0</v>
      </c>
      <c r="AK26" s="19">
        <f>SUM(AK16:AK25)</f>
        <v>235</v>
      </c>
      <c r="AL26" s="27">
        <f t="shared" si="3"/>
        <v>0</v>
      </c>
      <c r="AM26" s="27">
        <f t="shared" si="3"/>
        <v>0</v>
      </c>
      <c r="AN26" s="28">
        <f t="shared" si="3"/>
        <v>0</v>
      </c>
      <c r="AO26" s="28">
        <f t="shared" si="3"/>
        <v>0</v>
      </c>
      <c r="AP26" s="28">
        <f t="shared" si="3"/>
        <v>0</v>
      </c>
      <c r="AQ26" s="28">
        <f t="shared" si="3"/>
        <v>0</v>
      </c>
      <c r="AR26" s="28">
        <f t="shared" si="3"/>
        <v>0</v>
      </c>
      <c r="AS26" s="28">
        <f t="shared" si="3"/>
        <v>0</v>
      </c>
      <c r="AT26" s="29">
        <f t="shared" si="3"/>
        <v>0</v>
      </c>
      <c r="AU26" s="14"/>
      <c r="AV26" s="14"/>
    </row>
    <row r="27" spans="1:48" ht="16.5" thickTop="1" x14ac:dyDescent="0.25">
      <c r="A27" s="30"/>
      <c r="B27" s="56"/>
      <c r="C27" s="57"/>
      <c r="D27" s="57"/>
      <c r="E27" s="58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x14ac:dyDescent="0.25">
      <c r="A28" s="30"/>
      <c r="B28" s="31" t="s">
        <v>21</v>
      </c>
      <c r="C28" s="32"/>
      <c r="D28" s="32"/>
      <c r="E28" s="3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30"/>
      <c r="B29" s="31" t="s">
        <v>22</v>
      </c>
      <c r="C29" s="32"/>
      <c r="D29" s="32"/>
      <c r="E29" s="32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30"/>
      <c r="B30" s="14" t="s">
        <v>23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 t="s">
        <v>2</v>
      </c>
      <c r="AV30" s="14" t="s">
        <v>2</v>
      </c>
    </row>
    <row r="31" spans="1:48" x14ac:dyDescent="0.25">
      <c r="A31" s="30"/>
      <c r="B31" s="14" t="s">
        <v>24</v>
      </c>
      <c r="E31" s="14"/>
      <c r="F31" s="14">
        <f>(F28+F29)-F30</f>
        <v>0</v>
      </c>
      <c r="G31" s="14">
        <f t="shared" ref="G31:AJ31" si="4">(G28+G29)-G30</f>
        <v>0</v>
      </c>
      <c r="H31" s="14">
        <f t="shared" si="4"/>
        <v>0</v>
      </c>
      <c r="I31" s="14">
        <f t="shared" si="4"/>
        <v>0</v>
      </c>
      <c r="J31" s="14">
        <f t="shared" si="4"/>
        <v>0</v>
      </c>
      <c r="K31" s="14">
        <f t="shared" si="4"/>
        <v>0</v>
      </c>
      <c r="L31" s="14">
        <f t="shared" si="4"/>
        <v>0</v>
      </c>
      <c r="M31" s="14">
        <f t="shared" si="4"/>
        <v>0</v>
      </c>
      <c r="N31" s="14">
        <f t="shared" si="4"/>
        <v>0</v>
      </c>
      <c r="O31" s="14">
        <f t="shared" si="4"/>
        <v>0</v>
      </c>
      <c r="P31" s="14">
        <f t="shared" si="4"/>
        <v>0</v>
      </c>
      <c r="Q31" s="14">
        <f t="shared" si="4"/>
        <v>0</v>
      </c>
      <c r="R31" s="14">
        <f t="shared" si="4"/>
        <v>0</v>
      </c>
      <c r="S31" s="14">
        <f t="shared" si="4"/>
        <v>0</v>
      </c>
      <c r="T31" s="14">
        <f t="shared" si="4"/>
        <v>0</v>
      </c>
      <c r="U31" s="14">
        <f t="shared" si="4"/>
        <v>0</v>
      </c>
      <c r="V31" s="14">
        <f t="shared" si="4"/>
        <v>0</v>
      </c>
      <c r="W31" s="14">
        <f t="shared" si="4"/>
        <v>0</v>
      </c>
      <c r="X31" s="14">
        <f t="shared" si="4"/>
        <v>0</v>
      </c>
      <c r="Y31" s="14">
        <f t="shared" si="4"/>
        <v>0</v>
      </c>
      <c r="Z31" s="14">
        <f t="shared" si="4"/>
        <v>0</v>
      </c>
      <c r="AA31" s="14">
        <f t="shared" si="4"/>
        <v>0</v>
      </c>
      <c r="AB31" s="14">
        <f t="shared" si="4"/>
        <v>0</v>
      </c>
      <c r="AC31" s="14">
        <f t="shared" si="4"/>
        <v>0</v>
      </c>
      <c r="AD31" s="14">
        <f t="shared" si="4"/>
        <v>0</v>
      </c>
      <c r="AE31" s="14">
        <f t="shared" si="4"/>
        <v>0</v>
      </c>
      <c r="AF31" s="14">
        <f t="shared" si="4"/>
        <v>0</v>
      </c>
      <c r="AG31" s="14">
        <f t="shared" si="4"/>
        <v>0</v>
      </c>
      <c r="AH31" s="14">
        <f t="shared" si="4"/>
        <v>0</v>
      </c>
      <c r="AI31" s="14">
        <f t="shared" si="4"/>
        <v>0</v>
      </c>
      <c r="AJ31" s="14">
        <f t="shared" si="4"/>
        <v>0</v>
      </c>
      <c r="AK31" s="14"/>
      <c r="AL31" s="14"/>
      <c r="AM31" s="30"/>
      <c r="AN31" s="30"/>
      <c r="AO31" s="30"/>
      <c r="AP31" s="30"/>
      <c r="AQ31" s="14"/>
      <c r="AR31" s="14"/>
      <c r="AS31" s="33"/>
      <c r="AT31" s="14"/>
      <c r="AU31" s="14"/>
      <c r="AV31" s="14"/>
    </row>
    <row r="32" spans="1:48" x14ac:dyDescent="0.25">
      <c r="A32" s="30"/>
      <c r="B32" s="14" t="s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30"/>
      <c r="AL32" s="30"/>
      <c r="AM32" s="30"/>
      <c r="AN32" s="30"/>
      <c r="AO32" s="30"/>
      <c r="AP32" s="30"/>
      <c r="AQ32" s="14"/>
      <c r="AR32" s="14"/>
      <c r="AS32" s="33"/>
      <c r="AT32" s="14"/>
      <c r="AU32" s="14"/>
      <c r="AV32" s="14"/>
    </row>
    <row r="33" spans="1:48" ht="16.5" thickBot="1" x14ac:dyDescent="0.3">
      <c r="A33" s="30"/>
      <c r="B33" s="14" t="s">
        <v>25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2"/>
      <c r="AL33" s="2"/>
      <c r="AM33" s="2"/>
      <c r="AN33" s="2"/>
      <c r="AO33" s="30"/>
      <c r="AP33" s="30"/>
      <c r="AQ33" s="2" t="s">
        <v>26</v>
      </c>
      <c r="AR33" s="30"/>
      <c r="AS33" s="30"/>
      <c r="AT33" s="34">
        <v>0</v>
      </c>
      <c r="AU33" s="14"/>
      <c r="AV33" s="14"/>
    </row>
    <row r="34" spans="1:48" ht="16.5" thickTop="1" x14ac:dyDescent="0.25">
      <c r="A34" s="30"/>
      <c r="B34" s="14" t="s">
        <v>27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2"/>
      <c r="AL34" s="2"/>
      <c r="AM34" s="2"/>
      <c r="AN34" s="31"/>
      <c r="AO34" s="30"/>
      <c r="AP34" s="30"/>
      <c r="AQ34" s="2" t="s">
        <v>28</v>
      </c>
      <c r="AR34" s="30"/>
      <c r="AS34" s="30"/>
      <c r="AT34" s="30">
        <f>AT30-AT33</f>
        <v>0</v>
      </c>
      <c r="AU34" s="14"/>
      <c r="AV34" s="14"/>
    </row>
    <row r="35" spans="1:48" x14ac:dyDescent="0.25">
      <c r="A35" s="30"/>
      <c r="B35" s="14" t="s">
        <v>29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30"/>
      <c r="AL35" s="30"/>
      <c r="AM35" s="30"/>
      <c r="AN35" s="30"/>
      <c r="AO35" s="30"/>
      <c r="AP35" s="30"/>
      <c r="AQ35" s="14"/>
      <c r="AR35" s="14"/>
      <c r="AS35" s="33"/>
      <c r="AT35" s="14"/>
      <c r="AU35" s="14"/>
      <c r="AV35" s="14"/>
    </row>
    <row r="36" spans="1:48" ht="16.5" thickBot="1" x14ac:dyDescent="0.3">
      <c r="A36" s="30"/>
      <c r="B36" s="14" t="s">
        <v>30</v>
      </c>
      <c r="C36" s="14"/>
      <c r="D36" s="14"/>
      <c r="E36" s="3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30"/>
      <c r="AL36" s="30"/>
      <c r="AM36" s="30"/>
      <c r="AN36" s="30"/>
      <c r="AO36" s="30"/>
      <c r="AP36" s="30"/>
      <c r="AQ36" s="14"/>
      <c r="AR36" s="14"/>
      <c r="AS36" s="33"/>
      <c r="AT36" s="14"/>
      <c r="AU36" s="14"/>
      <c r="AV36" s="14"/>
    </row>
    <row r="37" spans="1:48" ht="16.5" thickTop="1" x14ac:dyDescent="0.25">
      <c r="A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30"/>
      <c r="AL37" s="30"/>
      <c r="AM37" s="30"/>
      <c r="AN37" s="30"/>
      <c r="AO37" s="30"/>
      <c r="AP37" s="30"/>
      <c r="AQ37" s="14"/>
      <c r="AR37" s="14"/>
      <c r="AS37" s="33"/>
      <c r="AT37" s="14"/>
      <c r="AU37" s="14"/>
      <c r="AV37" s="14"/>
    </row>
    <row r="38" spans="1:48" x14ac:dyDescent="0.25">
      <c r="A38" s="36"/>
      <c r="C38" s="14"/>
      <c r="D38" s="14"/>
      <c r="E38" s="37"/>
      <c r="K38" s="14"/>
      <c r="M38" s="38"/>
      <c r="N38" s="14"/>
      <c r="P38" s="14"/>
      <c r="Q38" s="14"/>
      <c r="R38" s="14"/>
      <c r="U38" s="38"/>
      <c r="V38" s="14"/>
      <c r="W38" s="14"/>
      <c r="X38" s="14"/>
      <c r="Y38" s="14"/>
      <c r="Z38" s="14"/>
      <c r="AA38" s="14"/>
      <c r="AB38" s="38"/>
      <c r="AC38" s="14"/>
      <c r="AD38" s="14"/>
      <c r="AE38" s="14"/>
      <c r="AF38" s="14"/>
      <c r="AG38" s="14"/>
      <c r="AH38" s="38"/>
      <c r="AI38" s="14"/>
      <c r="AJ38" s="14"/>
      <c r="AK38" s="14"/>
      <c r="AL38" s="30"/>
      <c r="AM38" s="30"/>
      <c r="AN38" s="30"/>
      <c r="AO38" s="30"/>
      <c r="AP38" s="30"/>
      <c r="AQ38" s="14"/>
      <c r="AR38" s="14"/>
      <c r="AS38" s="33"/>
      <c r="AT38" s="14"/>
      <c r="AU38" s="14"/>
      <c r="AV38" s="14"/>
    </row>
    <row r="39" spans="1:48" x14ac:dyDescent="0.25">
      <c r="A39" s="14"/>
      <c r="C39" s="14"/>
      <c r="D39" s="14"/>
      <c r="E39" s="37"/>
      <c r="K39" s="14"/>
      <c r="M39" s="38"/>
      <c r="N39" s="14"/>
      <c r="P39" s="14"/>
      <c r="Q39" s="14"/>
      <c r="R39" s="14"/>
      <c r="U39" s="38"/>
      <c r="V39" s="14"/>
      <c r="W39" s="14"/>
      <c r="X39" s="14"/>
      <c r="Y39" s="14"/>
      <c r="Z39" s="14"/>
      <c r="AA39" s="14"/>
      <c r="AB39" s="38"/>
      <c r="AC39" s="14"/>
      <c r="AD39" s="14"/>
      <c r="AE39" s="14"/>
      <c r="AF39" s="14"/>
      <c r="AG39" s="14"/>
      <c r="AH39" s="38"/>
      <c r="AI39" s="14"/>
      <c r="AJ39" s="14"/>
      <c r="AK39" s="14"/>
      <c r="AL39" s="30"/>
      <c r="AM39" s="30"/>
      <c r="AN39" s="30"/>
      <c r="AO39" s="30"/>
      <c r="AP39" s="30"/>
      <c r="AQ39" s="14"/>
      <c r="AR39" s="14"/>
      <c r="AS39" s="33"/>
      <c r="AT39" s="14"/>
      <c r="AU39" s="14"/>
      <c r="AV39" s="14"/>
    </row>
    <row r="40" spans="1:48" x14ac:dyDescent="0.25">
      <c r="A40" s="14"/>
      <c r="C40" s="14"/>
      <c r="D40" s="14"/>
      <c r="E40" s="37"/>
      <c r="K40" s="14"/>
      <c r="M40" s="38"/>
      <c r="N40" s="14"/>
      <c r="P40" s="14"/>
      <c r="Q40" s="14"/>
      <c r="R40" s="14"/>
      <c r="U40" s="38"/>
      <c r="V40" s="14"/>
      <c r="W40" s="14"/>
      <c r="X40" s="14"/>
      <c r="Y40" s="14"/>
      <c r="Z40" s="14"/>
      <c r="AA40" s="14"/>
      <c r="AB40" s="38"/>
      <c r="AC40" s="14"/>
      <c r="AD40" s="14"/>
      <c r="AE40" s="14"/>
      <c r="AF40" s="14"/>
      <c r="AG40" s="14"/>
      <c r="AH40" s="38"/>
      <c r="AI40" s="14"/>
      <c r="AJ40" s="14"/>
      <c r="AK40" s="14"/>
      <c r="AL40" s="30"/>
      <c r="AM40" s="30"/>
      <c r="AN40" s="30"/>
      <c r="AO40" s="30"/>
      <c r="AP40" s="30"/>
      <c r="AQ40" s="14"/>
      <c r="AR40" s="14"/>
      <c r="AS40" s="33"/>
      <c r="AT40" s="14"/>
      <c r="AU40" s="14"/>
      <c r="AV40" s="14"/>
    </row>
    <row r="41" spans="1:48" x14ac:dyDescent="0.25">
      <c r="A41" s="14"/>
      <c r="C41" s="14"/>
      <c r="D41" s="14"/>
      <c r="E41" s="37"/>
      <c r="K41" s="14"/>
      <c r="M41" s="38"/>
      <c r="N41" s="14"/>
      <c r="P41" s="14"/>
      <c r="Q41" s="14"/>
      <c r="R41" s="14"/>
      <c r="U41" s="38"/>
      <c r="V41" s="14"/>
      <c r="W41" s="14"/>
      <c r="X41" s="14"/>
      <c r="Y41" s="14"/>
      <c r="Z41" s="14"/>
      <c r="AA41" s="14"/>
      <c r="AB41" s="38"/>
      <c r="AC41" s="14"/>
      <c r="AD41" s="14"/>
      <c r="AE41" s="14"/>
      <c r="AF41" s="14"/>
      <c r="AG41" s="14"/>
      <c r="AH41" s="38"/>
      <c r="AI41" s="14"/>
      <c r="AJ41" s="14"/>
      <c r="AK41" s="14"/>
      <c r="AL41" s="30"/>
      <c r="AM41" s="30"/>
      <c r="AN41" s="30"/>
      <c r="AO41" s="30"/>
      <c r="AP41" s="30"/>
      <c r="AQ41" s="14"/>
      <c r="AR41" s="14"/>
      <c r="AS41" s="33"/>
      <c r="AT41" s="14"/>
      <c r="AU41" s="14"/>
      <c r="AV41" s="14"/>
    </row>
  </sheetData>
  <mergeCells count="19">
    <mergeCell ref="A3:A4"/>
    <mergeCell ref="B3:B4"/>
    <mergeCell ref="C3:C4"/>
    <mergeCell ref="D3:D4"/>
    <mergeCell ref="E3:E4"/>
    <mergeCell ref="B27:E27"/>
    <mergeCell ref="AQ3:AQ4"/>
    <mergeCell ref="AR3:AR4"/>
    <mergeCell ref="AS3:AS4"/>
    <mergeCell ref="AT3:AT4"/>
    <mergeCell ref="B15:E15"/>
    <mergeCell ref="B26:E26"/>
    <mergeCell ref="AK3:AK4"/>
    <mergeCell ref="AL3:AL4"/>
    <mergeCell ref="AM3:AM4"/>
    <mergeCell ref="AN3:AN4"/>
    <mergeCell ref="AO3:AO4"/>
    <mergeCell ref="AP3:AP4"/>
    <mergeCell ref="F3:A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zoomScale="80" zoomScaleNormal="80" workbookViewId="0">
      <selection activeCell="A20" sqref="A20:XFD20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27.8554687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43" customWidth="1"/>
    <col min="10" max="10" width="5.42578125" style="43" customWidth="1"/>
    <col min="11" max="11" width="5.7109375" style="43" customWidth="1"/>
    <col min="12" max="12" width="5.5703125" style="43" customWidth="1"/>
    <col min="13" max="13" width="5.85546875" style="43" customWidth="1"/>
    <col min="14" max="14" width="5.7109375" style="43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43" customWidth="1"/>
    <col min="27" max="27" width="5.42578125" style="43" customWidth="1"/>
    <col min="28" max="28" width="5.42578125" style="2" customWidth="1"/>
    <col min="29" max="29" width="5.7109375" style="2" customWidth="1"/>
    <col min="30" max="33" width="5.42578125" style="43" customWidth="1"/>
    <col min="34" max="35" width="5.7109375" style="43" customWidth="1"/>
    <col min="36" max="36" width="5.42578125" style="2" customWidth="1"/>
    <col min="37" max="37" width="8.42578125" style="4" customWidth="1"/>
    <col min="38" max="38" width="7.5703125" style="4" customWidth="1"/>
    <col min="39" max="39" width="7.28515625" style="4" customWidth="1"/>
    <col min="40" max="40" width="8" style="4" customWidth="1"/>
    <col min="41" max="41" width="7.5703125" style="4" customWidth="1"/>
    <col min="42" max="42" width="10.42578125" style="4" customWidth="1"/>
    <col min="43" max="44" width="11.710937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D2" s="2" t="s">
        <v>32</v>
      </c>
      <c r="E2" s="3" t="s">
        <v>56</v>
      </c>
      <c r="R2" s="3" t="s">
        <v>2</v>
      </c>
    </row>
    <row r="3" spans="1:48" x14ac:dyDescent="0.25">
      <c r="A3" s="59" t="s">
        <v>3</v>
      </c>
      <c r="B3" s="59" t="s">
        <v>4</v>
      </c>
      <c r="C3" s="59" t="s">
        <v>5</v>
      </c>
      <c r="D3" s="59" t="s">
        <v>6</v>
      </c>
      <c r="E3" s="59" t="s">
        <v>7</v>
      </c>
      <c r="F3" s="66" t="s">
        <v>8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8"/>
      <c r="AK3" s="59" t="s">
        <v>9</v>
      </c>
      <c r="AL3" s="59" t="s">
        <v>10</v>
      </c>
      <c r="AM3" s="59" t="s">
        <v>11</v>
      </c>
      <c r="AN3" s="59" t="s">
        <v>12</v>
      </c>
      <c r="AO3" s="59" t="s">
        <v>13</v>
      </c>
      <c r="AP3" s="59" t="s">
        <v>14</v>
      </c>
      <c r="AQ3" s="59" t="s">
        <v>15</v>
      </c>
      <c r="AR3" s="59" t="s">
        <v>16</v>
      </c>
      <c r="AS3" s="61" t="s">
        <v>17</v>
      </c>
      <c r="AT3" s="59" t="s">
        <v>18</v>
      </c>
    </row>
    <row r="4" spans="1:48" s="7" customFormat="1" ht="27" customHeight="1" x14ac:dyDescent="0.25">
      <c r="A4" s="60"/>
      <c r="B4" s="60"/>
      <c r="C4" s="60"/>
      <c r="D4" s="60"/>
      <c r="E4" s="60"/>
      <c r="F4" s="6">
        <v>1</v>
      </c>
      <c r="G4" s="6">
        <v>2</v>
      </c>
      <c r="H4" s="6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44">
        <v>21</v>
      </c>
      <c r="AA4" s="44">
        <v>22</v>
      </c>
      <c r="AB4" s="6">
        <v>23</v>
      </c>
      <c r="AC4" s="6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4">
        <v>30</v>
      </c>
      <c r="AJ4" s="6">
        <v>31</v>
      </c>
      <c r="AK4" s="60"/>
      <c r="AL4" s="60"/>
      <c r="AM4" s="60"/>
      <c r="AN4" s="60"/>
      <c r="AO4" s="60"/>
      <c r="AP4" s="60"/>
      <c r="AQ4" s="60"/>
      <c r="AR4" s="60"/>
      <c r="AS4" s="62"/>
      <c r="AT4" s="60"/>
    </row>
    <row r="5" spans="1:48" x14ac:dyDescent="0.25">
      <c r="A5" s="8">
        <v>1</v>
      </c>
      <c r="B5" s="9" t="s">
        <v>42</v>
      </c>
      <c r="C5" s="9" t="s">
        <v>43</v>
      </c>
      <c r="D5" s="9" t="s">
        <v>44</v>
      </c>
      <c r="E5" s="40"/>
      <c r="F5" s="11"/>
      <c r="G5" s="11">
        <v>40</v>
      </c>
      <c r="H5" s="11">
        <v>20</v>
      </c>
      <c r="I5" s="45">
        <v>20</v>
      </c>
      <c r="J5" s="45"/>
      <c r="K5" s="45"/>
      <c r="L5" s="45"/>
      <c r="M5" s="45"/>
      <c r="N5" s="45">
        <v>20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45"/>
      <c r="AA5" s="45">
        <v>40</v>
      </c>
      <c r="AB5" s="11"/>
      <c r="AC5" s="11"/>
      <c r="AD5" s="45"/>
      <c r="AE5" s="45"/>
      <c r="AF5" s="45">
        <v>40</v>
      </c>
      <c r="AG5" s="45"/>
      <c r="AH5" s="45"/>
      <c r="AI5" s="45"/>
      <c r="AJ5" s="11"/>
      <c r="AK5" s="8">
        <f>SUM(F5:AJ5)</f>
        <v>180</v>
      </c>
      <c r="AL5" s="11"/>
      <c r="AM5" s="8"/>
      <c r="AN5" s="8"/>
      <c r="AO5" s="8"/>
      <c r="AP5" s="8"/>
      <c r="AQ5" s="10"/>
      <c r="AR5" s="10"/>
      <c r="AS5" s="12"/>
      <c r="AT5" s="13"/>
      <c r="AU5" s="14"/>
      <c r="AV5" s="14"/>
    </row>
    <row r="6" spans="1:48" x14ac:dyDescent="0.25">
      <c r="A6" s="11">
        <v>2</v>
      </c>
      <c r="B6" s="9" t="s">
        <v>45</v>
      </c>
      <c r="C6" s="9" t="s">
        <v>45</v>
      </c>
      <c r="D6" s="9" t="s">
        <v>46</v>
      </c>
      <c r="E6" s="39"/>
      <c r="F6" s="11"/>
      <c r="G6" s="11"/>
      <c r="H6" s="11"/>
      <c r="I6" s="45"/>
      <c r="J6" s="45"/>
      <c r="K6" s="45"/>
      <c r="L6" s="45"/>
      <c r="M6" s="45"/>
      <c r="N6" s="4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45"/>
      <c r="AA6" s="45"/>
      <c r="AB6" s="11"/>
      <c r="AC6" s="11"/>
      <c r="AD6" s="45"/>
      <c r="AE6" s="45"/>
      <c r="AF6" s="45"/>
      <c r="AG6" s="45"/>
      <c r="AH6" s="45"/>
      <c r="AI6" s="45"/>
      <c r="AJ6" s="11"/>
      <c r="AK6" s="8">
        <f t="shared" ref="AK6:AK25" si="0">SUM(F6:AJ6)</f>
        <v>0</v>
      </c>
      <c r="AL6" s="11"/>
      <c r="AM6" s="11"/>
      <c r="AN6" s="11"/>
      <c r="AO6" s="11"/>
      <c r="AP6" s="11"/>
      <c r="AQ6" s="15"/>
      <c r="AR6" s="9"/>
      <c r="AS6" s="20"/>
      <c r="AT6" s="16"/>
      <c r="AU6" s="14"/>
      <c r="AV6" s="14"/>
    </row>
    <row r="7" spans="1:48" x14ac:dyDescent="0.25">
      <c r="A7" s="11">
        <v>3</v>
      </c>
      <c r="B7" s="9" t="s">
        <v>50</v>
      </c>
      <c r="C7" s="9" t="s">
        <v>50</v>
      </c>
      <c r="D7" s="9" t="s">
        <v>51</v>
      </c>
      <c r="E7" s="9"/>
      <c r="F7" s="11"/>
      <c r="G7" s="11"/>
      <c r="H7" s="11"/>
      <c r="I7" s="45"/>
      <c r="J7" s="45"/>
      <c r="K7" s="45"/>
      <c r="L7" s="45"/>
      <c r="M7" s="45"/>
      <c r="N7" s="45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45"/>
      <c r="AA7" s="45"/>
      <c r="AB7" s="11"/>
      <c r="AC7" s="11"/>
      <c r="AD7" s="45"/>
      <c r="AE7" s="45"/>
      <c r="AF7" s="45"/>
      <c r="AG7" s="45"/>
      <c r="AH7" s="45"/>
      <c r="AI7" s="45"/>
      <c r="AJ7" s="11"/>
      <c r="AK7" s="8">
        <f t="shared" si="0"/>
        <v>0</v>
      </c>
      <c r="AL7" s="11"/>
      <c r="AM7" s="11"/>
      <c r="AN7" s="11"/>
      <c r="AO7" s="11"/>
      <c r="AP7" s="11"/>
      <c r="AQ7" s="15"/>
      <c r="AR7" s="9"/>
      <c r="AS7" s="41"/>
      <c r="AT7" s="16"/>
      <c r="AU7" s="14"/>
      <c r="AV7" s="14"/>
    </row>
    <row r="8" spans="1:48" x14ac:dyDescent="0.25">
      <c r="A8" s="11">
        <v>4</v>
      </c>
      <c r="B8" s="9" t="s">
        <v>39</v>
      </c>
      <c r="C8" s="9" t="s">
        <v>40</v>
      </c>
      <c r="D8" s="9" t="s">
        <v>41</v>
      </c>
      <c r="E8" s="25"/>
      <c r="F8" s="11">
        <v>40</v>
      </c>
      <c r="G8" s="11">
        <f>40+20</f>
        <v>60</v>
      </c>
      <c r="H8" s="11"/>
      <c r="I8" s="45"/>
      <c r="J8" s="45">
        <v>40</v>
      </c>
      <c r="K8" s="45"/>
      <c r="L8" s="45">
        <f>40+20</f>
        <v>60</v>
      </c>
      <c r="M8" s="45">
        <v>60</v>
      </c>
      <c r="N8" s="45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45"/>
      <c r="AA8" s="45">
        <v>60</v>
      </c>
      <c r="AB8" s="11"/>
      <c r="AC8" s="11"/>
      <c r="AD8" s="45">
        <v>40</v>
      </c>
      <c r="AE8" s="45">
        <v>60</v>
      </c>
      <c r="AF8" s="45">
        <v>60</v>
      </c>
      <c r="AG8" s="45">
        <f>80+40</f>
        <v>120</v>
      </c>
      <c r="AH8" s="45">
        <f>50+40</f>
        <v>90</v>
      </c>
      <c r="AI8" s="45">
        <v>80</v>
      </c>
      <c r="AJ8" s="11"/>
      <c r="AK8" s="8">
        <f t="shared" si="0"/>
        <v>770</v>
      </c>
      <c r="AL8" s="11"/>
      <c r="AM8" s="11"/>
      <c r="AN8" s="11"/>
      <c r="AO8" s="11"/>
      <c r="AP8" s="11"/>
      <c r="AQ8" s="15"/>
      <c r="AR8" s="9"/>
      <c r="AS8" s="42"/>
      <c r="AT8" s="16"/>
      <c r="AU8" s="14"/>
      <c r="AV8" s="14"/>
    </row>
    <row r="9" spans="1:48" x14ac:dyDescent="0.25">
      <c r="A9" s="11">
        <v>5</v>
      </c>
      <c r="B9" s="9" t="s">
        <v>53</v>
      </c>
      <c r="C9" s="9" t="s">
        <v>54</v>
      </c>
      <c r="D9" s="9" t="s">
        <v>55</v>
      </c>
      <c r="E9" s="9"/>
      <c r="F9" s="11"/>
      <c r="G9" s="11"/>
      <c r="H9" s="11"/>
      <c r="I9" s="45"/>
      <c r="J9" s="45"/>
      <c r="K9" s="45"/>
      <c r="L9" s="45"/>
      <c r="M9" s="45"/>
      <c r="N9" s="45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45"/>
      <c r="AA9" s="45"/>
      <c r="AB9" s="11"/>
      <c r="AC9" s="11"/>
      <c r="AD9" s="45"/>
      <c r="AE9" s="45"/>
      <c r="AF9" s="45"/>
      <c r="AG9" s="45"/>
      <c r="AH9" s="45"/>
      <c r="AI9" s="45"/>
      <c r="AJ9" s="11"/>
      <c r="AK9" s="8">
        <f t="shared" si="0"/>
        <v>0</v>
      </c>
      <c r="AL9" s="11"/>
      <c r="AM9" s="11"/>
      <c r="AN9" s="11"/>
      <c r="AO9" s="11"/>
      <c r="AP9" s="11"/>
      <c r="AQ9" s="15"/>
      <c r="AR9" s="9"/>
      <c r="AS9" s="42"/>
      <c r="AT9" s="16"/>
      <c r="AU9" s="14"/>
      <c r="AV9" s="14"/>
    </row>
    <row r="10" spans="1:48" x14ac:dyDescent="0.25">
      <c r="A10" s="11">
        <v>6</v>
      </c>
      <c r="C10" s="9"/>
      <c r="D10" s="9"/>
      <c r="E10" s="9"/>
      <c r="F10" s="11"/>
      <c r="G10" s="11"/>
      <c r="H10" s="11"/>
      <c r="I10" s="45"/>
      <c r="J10" s="45"/>
      <c r="K10" s="45"/>
      <c r="L10" s="45"/>
      <c r="M10" s="45"/>
      <c r="N10" s="45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45"/>
      <c r="AA10" s="45"/>
      <c r="AB10" s="11"/>
      <c r="AC10" s="11"/>
      <c r="AD10" s="45"/>
      <c r="AE10" s="45"/>
      <c r="AF10" s="45"/>
      <c r="AG10" s="45"/>
      <c r="AH10" s="45"/>
      <c r="AI10" s="45"/>
      <c r="AJ10" s="11"/>
      <c r="AK10" s="8">
        <f t="shared" si="0"/>
        <v>0</v>
      </c>
      <c r="AL10" s="11"/>
      <c r="AM10" s="11"/>
      <c r="AN10" s="11"/>
      <c r="AO10" s="11"/>
      <c r="AP10" s="11"/>
      <c r="AQ10" s="15"/>
      <c r="AR10" s="9"/>
      <c r="AS10" s="42"/>
      <c r="AT10" s="16"/>
      <c r="AU10" s="14"/>
      <c r="AV10" s="14"/>
    </row>
    <row r="11" spans="1:48" x14ac:dyDescent="0.25">
      <c r="A11" s="11">
        <v>7</v>
      </c>
      <c r="B11" s="9"/>
      <c r="C11" s="9"/>
      <c r="D11" s="9"/>
      <c r="E11" s="9"/>
      <c r="F11" s="11"/>
      <c r="G11" s="11"/>
      <c r="H11" s="11"/>
      <c r="I11" s="45"/>
      <c r="J11" s="45"/>
      <c r="K11" s="45"/>
      <c r="L11" s="45"/>
      <c r="M11" s="45"/>
      <c r="N11" s="45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5"/>
      <c r="AA11" s="45"/>
      <c r="AB11" s="11"/>
      <c r="AC11" s="11"/>
      <c r="AD11" s="45"/>
      <c r="AE11" s="45"/>
      <c r="AF11" s="45"/>
      <c r="AG11" s="45"/>
      <c r="AH11" s="45"/>
      <c r="AI11" s="45"/>
      <c r="AJ11" s="11"/>
      <c r="AK11" s="8">
        <f t="shared" si="0"/>
        <v>0</v>
      </c>
      <c r="AL11" s="11"/>
      <c r="AM11" s="11"/>
      <c r="AN11" s="11"/>
      <c r="AO11" s="11"/>
      <c r="AP11" s="11"/>
      <c r="AQ11" s="15"/>
      <c r="AR11" s="9"/>
      <c r="AS11" s="20"/>
      <c r="AT11" s="16"/>
      <c r="AU11" s="14"/>
      <c r="AV11" s="14"/>
    </row>
    <row r="12" spans="1:48" x14ac:dyDescent="0.25">
      <c r="A12" s="11"/>
      <c r="B12" s="9"/>
      <c r="C12" s="9"/>
      <c r="D12" s="9"/>
      <c r="E12" s="9"/>
      <c r="F12" s="11"/>
      <c r="G12" s="11"/>
      <c r="H12" s="11"/>
      <c r="I12" s="45"/>
      <c r="J12" s="45"/>
      <c r="K12" s="45"/>
      <c r="L12" s="45"/>
      <c r="M12" s="45"/>
      <c r="N12" s="45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45"/>
      <c r="AA12" s="45"/>
      <c r="AB12" s="11"/>
      <c r="AC12" s="11"/>
      <c r="AD12" s="45"/>
      <c r="AE12" s="45"/>
      <c r="AF12" s="45"/>
      <c r="AG12" s="45"/>
      <c r="AH12" s="45"/>
      <c r="AI12" s="45"/>
      <c r="AJ12" s="11"/>
      <c r="AK12" s="8">
        <f t="shared" si="0"/>
        <v>0</v>
      </c>
      <c r="AL12" s="11"/>
      <c r="AM12" s="11"/>
      <c r="AN12" s="11"/>
      <c r="AO12" s="11"/>
      <c r="AP12" s="11"/>
      <c r="AQ12" s="15"/>
      <c r="AR12" s="9"/>
      <c r="AS12" s="41"/>
      <c r="AT12" s="16"/>
      <c r="AU12" s="14"/>
      <c r="AV12" s="14"/>
    </row>
    <row r="13" spans="1:48" x14ac:dyDescent="0.25">
      <c r="A13" s="11"/>
      <c r="B13" s="9"/>
      <c r="C13" s="9"/>
      <c r="D13" s="9"/>
      <c r="E13" s="25"/>
      <c r="F13" s="11"/>
      <c r="G13" s="11"/>
      <c r="H13" s="11"/>
      <c r="I13" s="45"/>
      <c r="J13" s="45"/>
      <c r="K13" s="45"/>
      <c r="L13" s="45"/>
      <c r="M13" s="45"/>
      <c r="N13" s="45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45"/>
      <c r="AA13" s="45"/>
      <c r="AB13" s="11"/>
      <c r="AC13" s="11"/>
      <c r="AD13" s="45"/>
      <c r="AE13" s="45"/>
      <c r="AF13" s="45"/>
      <c r="AG13" s="45"/>
      <c r="AH13" s="45"/>
      <c r="AI13" s="45"/>
      <c r="AJ13" s="11"/>
      <c r="AK13" s="8">
        <f t="shared" si="0"/>
        <v>0</v>
      </c>
      <c r="AL13" s="11"/>
      <c r="AM13" s="11"/>
      <c r="AN13" s="11"/>
      <c r="AO13" s="11"/>
      <c r="AP13" s="11"/>
      <c r="AQ13" s="15"/>
      <c r="AR13" s="9"/>
      <c r="AS13" s="20"/>
      <c r="AT13" s="16"/>
      <c r="AU13" s="14"/>
      <c r="AV13" s="14"/>
    </row>
    <row r="14" spans="1:48" x14ac:dyDescent="0.25">
      <c r="A14" s="11"/>
      <c r="B14" s="9"/>
      <c r="C14" s="9"/>
      <c r="D14" s="9"/>
      <c r="E14" s="9"/>
      <c r="F14" s="11"/>
      <c r="G14" s="11"/>
      <c r="H14" s="11"/>
      <c r="I14" s="45"/>
      <c r="J14" s="45"/>
      <c r="K14" s="45"/>
      <c r="L14" s="45"/>
      <c r="M14" s="45"/>
      <c r="N14" s="48"/>
      <c r="O14" s="17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45"/>
      <c r="AA14" s="45"/>
      <c r="AB14" s="11"/>
      <c r="AC14" s="11"/>
      <c r="AD14" s="45"/>
      <c r="AE14" s="45"/>
      <c r="AF14" s="45"/>
      <c r="AG14" s="45"/>
      <c r="AH14" s="45"/>
      <c r="AI14" s="45"/>
      <c r="AJ14" s="11"/>
      <c r="AK14" s="8">
        <f t="shared" si="0"/>
        <v>0</v>
      </c>
      <c r="AL14" s="11"/>
      <c r="AM14" s="17"/>
      <c r="AN14" s="11"/>
      <c r="AO14" s="11"/>
      <c r="AP14" s="11"/>
      <c r="AQ14" s="15"/>
      <c r="AR14" s="9"/>
      <c r="AS14" s="41"/>
      <c r="AT14" s="18"/>
      <c r="AU14" s="14"/>
      <c r="AV14" s="14"/>
    </row>
    <row r="15" spans="1:48" ht="16.5" thickBot="1" x14ac:dyDescent="0.3">
      <c r="A15" s="11"/>
      <c r="B15" s="63" t="s">
        <v>19</v>
      </c>
      <c r="C15" s="64"/>
      <c r="D15" s="64"/>
      <c r="E15" s="65"/>
      <c r="F15" s="19">
        <f>SUM(F5:F14)</f>
        <v>40</v>
      </c>
      <c r="G15" s="19">
        <f t="shared" ref="G15:AJ15" si="1">SUM(G5:G14)</f>
        <v>100</v>
      </c>
      <c r="H15" s="19">
        <f t="shared" si="1"/>
        <v>20</v>
      </c>
      <c r="I15" s="46">
        <f t="shared" si="1"/>
        <v>20</v>
      </c>
      <c r="J15" s="46">
        <f t="shared" si="1"/>
        <v>40</v>
      </c>
      <c r="K15" s="46">
        <f t="shared" si="1"/>
        <v>0</v>
      </c>
      <c r="L15" s="46">
        <f t="shared" si="1"/>
        <v>60</v>
      </c>
      <c r="M15" s="46">
        <f t="shared" si="1"/>
        <v>60</v>
      </c>
      <c r="N15" s="46">
        <f t="shared" si="1"/>
        <v>20</v>
      </c>
      <c r="O15" s="19">
        <f t="shared" si="1"/>
        <v>0</v>
      </c>
      <c r="P15" s="19">
        <f t="shared" si="1"/>
        <v>0</v>
      </c>
      <c r="Q15" s="19">
        <f t="shared" si="1"/>
        <v>0</v>
      </c>
      <c r="R15" s="19">
        <f t="shared" si="1"/>
        <v>0</v>
      </c>
      <c r="S15" s="19">
        <f t="shared" si="1"/>
        <v>0</v>
      </c>
      <c r="T15" s="19">
        <f t="shared" si="1"/>
        <v>0</v>
      </c>
      <c r="U15" s="19">
        <f t="shared" si="1"/>
        <v>0</v>
      </c>
      <c r="V15" s="19">
        <f t="shared" si="1"/>
        <v>0</v>
      </c>
      <c r="W15" s="19">
        <f t="shared" si="1"/>
        <v>0</v>
      </c>
      <c r="X15" s="19">
        <f t="shared" si="1"/>
        <v>0</v>
      </c>
      <c r="Y15" s="19">
        <f t="shared" si="1"/>
        <v>0</v>
      </c>
      <c r="Z15" s="46">
        <f t="shared" si="1"/>
        <v>0</v>
      </c>
      <c r="AA15" s="46">
        <f t="shared" si="1"/>
        <v>100</v>
      </c>
      <c r="AB15" s="19">
        <f t="shared" si="1"/>
        <v>0</v>
      </c>
      <c r="AC15" s="19">
        <f t="shared" si="1"/>
        <v>0</v>
      </c>
      <c r="AD15" s="46">
        <f t="shared" si="1"/>
        <v>40</v>
      </c>
      <c r="AE15" s="46">
        <f t="shared" si="1"/>
        <v>60</v>
      </c>
      <c r="AF15" s="46">
        <f t="shared" si="1"/>
        <v>100</v>
      </c>
      <c r="AG15" s="46">
        <f t="shared" si="1"/>
        <v>120</v>
      </c>
      <c r="AH15" s="46">
        <f t="shared" si="1"/>
        <v>90</v>
      </c>
      <c r="AI15" s="46">
        <f t="shared" si="1"/>
        <v>80</v>
      </c>
      <c r="AJ15" s="19">
        <f t="shared" si="1"/>
        <v>0</v>
      </c>
      <c r="AK15" s="19">
        <f>SUM(AK5:AK14)</f>
        <v>950</v>
      </c>
      <c r="AL15" s="19">
        <f>SUM(AL5:AL14)</f>
        <v>0</v>
      </c>
      <c r="AM15" s="19">
        <f>SUM(AM5:AM14)</f>
        <v>0</v>
      </c>
      <c r="AN15" s="11"/>
      <c r="AO15" s="11"/>
      <c r="AP15" s="11"/>
      <c r="AQ15" s="15"/>
      <c r="AR15" s="9"/>
      <c r="AS15" s="20"/>
      <c r="AT15" s="21">
        <f>SUM(AT5:AT14)</f>
        <v>0</v>
      </c>
      <c r="AU15" s="14"/>
      <c r="AV15" s="14"/>
    </row>
    <row r="16" spans="1:48" ht="16.5" thickTop="1" x14ac:dyDescent="0.25">
      <c r="A16" s="11"/>
      <c r="B16" s="9"/>
      <c r="C16" s="9"/>
      <c r="D16" s="9"/>
      <c r="E16" s="9"/>
      <c r="F16" s="22"/>
      <c r="G16" s="22"/>
      <c r="H16" s="22"/>
      <c r="I16" s="47"/>
      <c r="J16" s="47"/>
      <c r="K16" s="47"/>
      <c r="L16" s="47"/>
      <c r="M16" s="47"/>
      <c r="N16" s="47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47"/>
      <c r="AA16" s="47"/>
      <c r="AB16" s="22"/>
      <c r="AC16" s="22"/>
      <c r="AD16" s="47"/>
      <c r="AE16" s="47"/>
      <c r="AF16" s="47"/>
      <c r="AG16" s="47"/>
      <c r="AH16" s="47"/>
      <c r="AI16" s="47"/>
      <c r="AJ16" s="22"/>
      <c r="AK16" s="8">
        <f t="shared" si="0"/>
        <v>0</v>
      </c>
      <c r="AL16" s="22"/>
      <c r="AM16" s="22"/>
      <c r="AN16" s="11"/>
      <c r="AO16" s="11"/>
      <c r="AP16" s="11"/>
      <c r="AQ16" s="15"/>
      <c r="AR16" s="9"/>
      <c r="AS16" s="42"/>
      <c r="AT16" s="23"/>
      <c r="AU16" s="14"/>
      <c r="AV16" s="14"/>
    </row>
    <row r="17" spans="1:48" x14ac:dyDescent="0.25">
      <c r="A17" s="11">
        <v>11</v>
      </c>
      <c r="B17" s="10" t="s">
        <v>34</v>
      </c>
      <c r="C17" s="10"/>
      <c r="D17" s="10" t="s">
        <v>35</v>
      </c>
      <c r="E17" s="10"/>
      <c r="F17" s="22"/>
      <c r="G17" s="22"/>
      <c r="H17" s="22"/>
      <c r="I17" s="47"/>
      <c r="J17" s="47"/>
      <c r="K17" s="47"/>
      <c r="L17" s="47"/>
      <c r="M17" s="47"/>
      <c r="N17" s="47"/>
      <c r="O17" s="22"/>
      <c r="P17" s="22"/>
      <c r="Q17" s="22"/>
      <c r="R17" s="11"/>
      <c r="S17" s="11"/>
      <c r="T17" s="11"/>
      <c r="U17" s="11"/>
      <c r="V17" s="11"/>
      <c r="W17" s="11"/>
      <c r="X17" s="22"/>
      <c r="Y17" s="22"/>
      <c r="Z17" s="47"/>
      <c r="AA17" s="47"/>
      <c r="AB17" s="22"/>
      <c r="AC17" s="11"/>
      <c r="AD17" s="45"/>
      <c r="AE17" s="45"/>
      <c r="AF17" s="45"/>
      <c r="AG17" s="45"/>
      <c r="AH17" s="45"/>
      <c r="AI17" s="45"/>
      <c r="AJ17" s="22"/>
      <c r="AK17" s="8">
        <f t="shared" si="0"/>
        <v>0</v>
      </c>
      <c r="AL17" s="11"/>
      <c r="AM17" s="11"/>
      <c r="AN17" s="11"/>
      <c r="AO17" s="11"/>
      <c r="AP17" s="11"/>
      <c r="AQ17" s="15"/>
      <c r="AR17" s="9"/>
      <c r="AS17" s="20">
        <v>0</v>
      </c>
      <c r="AT17" s="16">
        <f t="shared" ref="AT17:AT24" si="2">AS17*AM17</f>
        <v>0</v>
      </c>
      <c r="AU17" s="14"/>
      <c r="AV17" s="14"/>
    </row>
    <row r="18" spans="1:48" x14ac:dyDescent="0.25">
      <c r="A18" s="11">
        <v>12</v>
      </c>
      <c r="B18" s="9" t="s">
        <v>52</v>
      </c>
      <c r="C18" s="9"/>
      <c r="D18" s="9" t="s">
        <v>35</v>
      </c>
      <c r="E18" s="9"/>
      <c r="F18" s="11"/>
      <c r="G18" s="11"/>
      <c r="H18" s="11"/>
      <c r="I18" s="45"/>
      <c r="J18" s="45"/>
      <c r="K18" s="45"/>
      <c r="L18" s="45"/>
      <c r="M18" s="45"/>
      <c r="N18" s="45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45"/>
      <c r="AA18" s="45"/>
      <c r="AB18" s="11"/>
      <c r="AC18" s="11"/>
      <c r="AD18" s="45"/>
      <c r="AE18" s="45"/>
      <c r="AF18" s="45"/>
      <c r="AG18" s="45"/>
      <c r="AH18" s="45"/>
      <c r="AI18" s="45"/>
      <c r="AJ18" s="11"/>
      <c r="AK18" s="8">
        <f t="shared" si="0"/>
        <v>0</v>
      </c>
      <c r="AL18" s="11"/>
      <c r="AM18" s="11"/>
      <c r="AN18" s="11"/>
      <c r="AO18" s="11"/>
      <c r="AP18" s="11"/>
      <c r="AQ18" s="15"/>
      <c r="AR18" s="9"/>
      <c r="AS18" s="20">
        <v>0</v>
      </c>
      <c r="AT18" s="16">
        <f t="shared" si="2"/>
        <v>0</v>
      </c>
      <c r="AU18" s="14"/>
      <c r="AV18" s="14"/>
    </row>
    <row r="19" spans="1:48" x14ac:dyDescent="0.25">
      <c r="A19" s="11">
        <v>13</v>
      </c>
      <c r="B19" s="9" t="s">
        <v>36</v>
      </c>
      <c r="C19" s="9" t="s">
        <v>37</v>
      </c>
      <c r="D19" s="9" t="s">
        <v>38</v>
      </c>
      <c r="E19" s="9"/>
      <c r="F19" s="11"/>
      <c r="G19" s="11"/>
      <c r="H19" s="11"/>
      <c r="I19" s="45"/>
      <c r="J19" s="45"/>
      <c r="K19" s="45"/>
      <c r="L19" s="45"/>
      <c r="M19" s="45"/>
      <c r="N19" s="45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45"/>
      <c r="AA19" s="45"/>
      <c r="AB19" s="11"/>
      <c r="AC19" s="11"/>
      <c r="AD19" s="45"/>
      <c r="AE19" s="45"/>
      <c r="AF19" s="45"/>
      <c r="AG19" s="45"/>
      <c r="AH19" s="45"/>
      <c r="AI19" s="45"/>
      <c r="AJ19" s="11"/>
      <c r="AK19" s="8">
        <f t="shared" si="0"/>
        <v>0</v>
      </c>
      <c r="AL19" s="11"/>
      <c r="AM19" s="11"/>
      <c r="AN19" s="11"/>
      <c r="AO19" s="11"/>
      <c r="AP19" s="11"/>
      <c r="AQ19" s="15"/>
      <c r="AR19" s="9"/>
      <c r="AS19" s="20">
        <v>0</v>
      </c>
      <c r="AT19" s="16">
        <f t="shared" si="2"/>
        <v>0</v>
      </c>
      <c r="AU19" s="14"/>
      <c r="AV19" s="14"/>
    </row>
    <row r="20" spans="1:48" x14ac:dyDescent="0.25">
      <c r="A20" s="11">
        <v>14</v>
      </c>
      <c r="B20" s="9" t="s">
        <v>47</v>
      </c>
      <c r="C20" s="9" t="s">
        <v>48</v>
      </c>
      <c r="D20" s="9" t="s">
        <v>49</v>
      </c>
      <c r="E20" s="9"/>
      <c r="F20" s="11">
        <v>20</v>
      </c>
      <c r="G20" s="11"/>
      <c r="H20" s="11"/>
      <c r="I20" s="45">
        <v>20</v>
      </c>
      <c r="J20" s="45"/>
      <c r="K20" s="45"/>
      <c r="L20" s="45">
        <v>20</v>
      </c>
      <c r="M20" s="45"/>
      <c r="N20" s="45">
        <v>20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5">
        <v>20</v>
      </c>
      <c r="AA20" s="45"/>
      <c r="AB20" s="11"/>
      <c r="AC20" s="11"/>
      <c r="AD20" s="45">
        <v>20</v>
      </c>
      <c r="AE20" s="45"/>
      <c r="AF20" s="45"/>
      <c r="AG20" s="45">
        <v>20</v>
      </c>
      <c r="AH20" s="45"/>
      <c r="AI20" s="45"/>
      <c r="AJ20" s="11"/>
      <c r="AK20" s="8">
        <f t="shared" si="0"/>
        <v>140</v>
      </c>
      <c r="AL20" s="11"/>
      <c r="AM20" s="11"/>
      <c r="AN20" s="11"/>
      <c r="AO20" s="11"/>
      <c r="AP20" s="11"/>
      <c r="AQ20" s="15"/>
      <c r="AR20" s="9"/>
      <c r="AS20" s="20">
        <v>0</v>
      </c>
      <c r="AT20" s="16">
        <f t="shared" si="2"/>
        <v>0</v>
      </c>
      <c r="AU20" s="14"/>
      <c r="AV20" s="14"/>
    </row>
    <row r="21" spans="1:48" x14ac:dyDescent="0.25">
      <c r="A21" s="11">
        <v>15</v>
      </c>
      <c r="B21" s="9" t="s">
        <v>57</v>
      </c>
      <c r="C21" s="9"/>
      <c r="D21" s="9" t="s">
        <v>58</v>
      </c>
      <c r="E21" s="9"/>
      <c r="F21" s="11"/>
      <c r="G21" s="11">
        <v>100</v>
      </c>
      <c r="H21" s="11"/>
      <c r="I21" s="45"/>
      <c r="J21" s="45"/>
      <c r="K21" s="45"/>
      <c r="L21" s="45"/>
      <c r="M21" s="45"/>
      <c r="N21" s="45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45"/>
      <c r="AA21" s="45"/>
      <c r="AB21" s="11"/>
      <c r="AC21" s="11"/>
      <c r="AD21" s="45"/>
      <c r="AE21" s="45"/>
      <c r="AF21" s="45"/>
      <c r="AG21" s="45"/>
      <c r="AH21" s="45"/>
      <c r="AI21" s="45"/>
      <c r="AJ21" s="11"/>
      <c r="AK21" s="8">
        <f t="shared" si="0"/>
        <v>100</v>
      </c>
      <c r="AL21" s="11"/>
      <c r="AM21" s="11"/>
      <c r="AN21" s="11"/>
      <c r="AO21" s="11"/>
      <c r="AP21" s="11"/>
      <c r="AQ21" s="15"/>
      <c r="AR21" s="9"/>
      <c r="AS21" s="41">
        <v>0</v>
      </c>
      <c r="AT21" s="16">
        <f t="shared" si="2"/>
        <v>0</v>
      </c>
      <c r="AU21" s="14"/>
      <c r="AV21" s="14"/>
    </row>
    <row r="22" spans="1:48" x14ac:dyDescent="0.25">
      <c r="A22" s="11">
        <v>16</v>
      </c>
      <c r="B22" s="9" t="s">
        <v>59</v>
      </c>
      <c r="C22" s="9"/>
      <c r="D22" s="9" t="s">
        <v>58</v>
      </c>
      <c r="E22" s="9"/>
      <c r="F22" s="11"/>
      <c r="G22" s="11"/>
      <c r="H22" s="11"/>
      <c r="I22" s="45"/>
      <c r="J22" s="45">
        <v>60</v>
      </c>
      <c r="K22" s="45"/>
      <c r="L22" s="45"/>
      <c r="M22" s="45"/>
      <c r="N22" s="45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45"/>
      <c r="AA22" s="45"/>
      <c r="AB22" s="11"/>
      <c r="AC22" s="11"/>
      <c r="AD22" s="45"/>
      <c r="AE22" s="45"/>
      <c r="AF22" s="45"/>
      <c r="AG22" s="45"/>
      <c r="AH22" s="45"/>
      <c r="AI22" s="45"/>
      <c r="AJ22" s="11"/>
      <c r="AK22" s="8">
        <f t="shared" si="0"/>
        <v>60</v>
      </c>
      <c r="AL22" s="11"/>
      <c r="AM22" s="11"/>
      <c r="AN22" s="11"/>
      <c r="AO22" s="11"/>
      <c r="AP22" s="11"/>
      <c r="AQ22" s="15"/>
      <c r="AR22" s="9"/>
      <c r="AS22" s="20">
        <v>0</v>
      </c>
      <c r="AT22" s="16">
        <f t="shared" si="2"/>
        <v>0</v>
      </c>
      <c r="AU22" s="14"/>
      <c r="AV22" s="14"/>
    </row>
    <row r="23" spans="1:48" x14ac:dyDescent="0.25">
      <c r="A23" s="11">
        <v>17</v>
      </c>
      <c r="B23" s="9" t="s">
        <v>60</v>
      </c>
      <c r="C23" s="9"/>
      <c r="D23" s="9" t="s">
        <v>58</v>
      </c>
      <c r="E23" s="9"/>
      <c r="F23" s="11"/>
      <c r="G23" s="11"/>
      <c r="H23" s="11"/>
      <c r="I23" s="45"/>
      <c r="J23" s="45"/>
      <c r="K23" s="45"/>
      <c r="L23" s="45">
        <v>120</v>
      </c>
      <c r="M23" s="45"/>
      <c r="N23" s="45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45"/>
      <c r="AA23" s="45"/>
      <c r="AB23" s="11"/>
      <c r="AC23" s="11"/>
      <c r="AD23" s="45"/>
      <c r="AE23" s="45"/>
      <c r="AF23" s="45"/>
      <c r="AG23" s="45"/>
      <c r="AH23" s="45"/>
      <c r="AI23" s="45"/>
      <c r="AJ23" s="11"/>
      <c r="AK23" s="8">
        <f t="shared" si="0"/>
        <v>120</v>
      </c>
      <c r="AL23" s="11"/>
      <c r="AM23" s="11"/>
      <c r="AN23" s="11"/>
      <c r="AO23" s="11"/>
      <c r="AP23" s="11"/>
      <c r="AQ23" s="15"/>
      <c r="AR23" s="9"/>
      <c r="AS23" s="20">
        <v>0</v>
      </c>
      <c r="AT23" s="16">
        <f t="shared" si="2"/>
        <v>0</v>
      </c>
      <c r="AU23" s="14"/>
      <c r="AV23" s="14"/>
    </row>
    <row r="24" spans="1:48" x14ac:dyDescent="0.25">
      <c r="A24" s="11">
        <v>18</v>
      </c>
      <c r="B24" s="9"/>
      <c r="C24" s="9"/>
      <c r="D24" s="9"/>
      <c r="E24" s="9"/>
      <c r="F24" s="11"/>
      <c r="G24" s="11"/>
      <c r="H24" s="11"/>
      <c r="I24" s="45"/>
      <c r="J24" s="45"/>
      <c r="K24" s="45"/>
      <c r="L24" s="45"/>
      <c r="M24" s="45"/>
      <c r="N24" s="45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45"/>
      <c r="AA24" s="45"/>
      <c r="AB24" s="11"/>
      <c r="AC24" s="11"/>
      <c r="AD24" s="45"/>
      <c r="AE24" s="45"/>
      <c r="AF24" s="45"/>
      <c r="AG24" s="45"/>
      <c r="AH24" s="45"/>
      <c r="AI24" s="45"/>
      <c r="AJ24" s="11"/>
      <c r="AK24" s="8">
        <f t="shared" si="0"/>
        <v>0</v>
      </c>
      <c r="AL24" s="11"/>
      <c r="AM24" s="11"/>
      <c r="AN24" s="11"/>
      <c r="AO24" s="11"/>
      <c r="AP24" s="11"/>
      <c r="AQ24" s="15"/>
      <c r="AR24" s="9"/>
      <c r="AS24" s="41">
        <v>0</v>
      </c>
      <c r="AT24" s="16">
        <f t="shared" si="2"/>
        <v>0</v>
      </c>
      <c r="AU24" s="14"/>
      <c r="AV24" s="14"/>
    </row>
    <row r="25" spans="1:48" x14ac:dyDescent="0.25">
      <c r="A25" s="11">
        <v>19</v>
      </c>
      <c r="B25" s="9"/>
      <c r="C25" s="9"/>
      <c r="D25" s="9"/>
      <c r="E25" s="9"/>
      <c r="F25" s="17"/>
      <c r="G25" s="17"/>
      <c r="H25" s="17"/>
      <c r="I25" s="48"/>
      <c r="J25" s="48"/>
      <c r="K25" s="48"/>
      <c r="L25" s="48"/>
      <c r="M25" s="48"/>
      <c r="N25" s="48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48"/>
      <c r="AA25" s="48"/>
      <c r="AB25" s="17"/>
      <c r="AC25" s="17"/>
      <c r="AD25" s="48"/>
      <c r="AE25" s="48"/>
      <c r="AF25" s="48"/>
      <c r="AG25" s="48"/>
      <c r="AH25" s="48"/>
      <c r="AI25" s="48"/>
      <c r="AJ25" s="17"/>
      <c r="AK25" s="8">
        <f t="shared" si="0"/>
        <v>0</v>
      </c>
      <c r="AL25" s="17"/>
      <c r="AM25" s="17"/>
      <c r="AN25" s="11"/>
      <c r="AO25" s="11"/>
      <c r="AP25" s="11"/>
      <c r="AQ25" s="9"/>
      <c r="AR25" s="9"/>
      <c r="AS25" s="20"/>
      <c r="AT25" s="25"/>
      <c r="AU25" s="14"/>
      <c r="AV25" s="14"/>
    </row>
    <row r="26" spans="1:48" ht="16.5" thickBot="1" x14ac:dyDescent="0.3">
      <c r="A26" s="26">
        <v>20</v>
      </c>
      <c r="B26" s="56" t="s">
        <v>20</v>
      </c>
      <c r="C26" s="57"/>
      <c r="D26" s="57"/>
      <c r="E26" s="58"/>
      <c r="F26" s="27">
        <f>SUM(F17:F25)</f>
        <v>20</v>
      </c>
      <c r="G26" s="27">
        <f t="shared" ref="G26:AT26" si="3">SUM(G17:G25)</f>
        <v>100</v>
      </c>
      <c r="H26" s="27">
        <f t="shared" si="3"/>
        <v>0</v>
      </c>
      <c r="I26" s="49">
        <f t="shared" si="3"/>
        <v>20</v>
      </c>
      <c r="J26" s="49">
        <f t="shared" si="3"/>
        <v>60</v>
      </c>
      <c r="K26" s="49">
        <f t="shared" si="3"/>
        <v>0</v>
      </c>
      <c r="L26" s="49">
        <f t="shared" si="3"/>
        <v>140</v>
      </c>
      <c r="M26" s="49">
        <f t="shared" si="3"/>
        <v>0</v>
      </c>
      <c r="N26" s="49">
        <f t="shared" si="3"/>
        <v>20</v>
      </c>
      <c r="O26" s="27">
        <f t="shared" si="3"/>
        <v>0</v>
      </c>
      <c r="P26" s="27">
        <f t="shared" si="3"/>
        <v>0</v>
      </c>
      <c r="Q26" s="27">
        <f t="shared" si="3"/>
        <v>0</v>
      </c>
      <c r="R26" s="27">
        <f t="shared" si="3"/>
        <v>0</v>
      </c>
      <c r="S26" s="27">
        <f t="shared" si="3"/>
        <v>0</v>
      </c>
      <c r="T26" s="27">
        <f t="shared" si="3"/>
        <v>0</v>
      </c>
      <c r="U26" s="27">
        <f t="shared" si="3"/>
        <v>0</v>
      </c>
      <c r="V26" s="27">
        <f t="shared" si="3"/>
        <v>0</v>
      </c>
      <c r="W26" s="27">
        <f t="shared" si="3"/>
        <v>0</v>
      </c>
      <c r="X26" s="27">
        <f t="shared" si="3"/>
        <v>0</v>
      </c>
      <c r="Y26" s="27">
        <f t="shared" si="3"/>
        <v>0</v>
      </c>
      <c r="Z26" s="49">
        <f t="shared" si="3"/>
        <v>20</v>
      </c>
      <c r="AA26" s="49">
        <f t="shared" si="3"/>
        <v>0</v>
      </c>
      <c r="AB26" s="27">
        <f t="shared" si="3"/>
        <v>0</v>
      </c>
      <c r="AC26" s="27">
        <f t="shared" si="3"/>
        <v>0</v>
      </c>
      <c r="AD26" s="49">
        <f t="shared" si="3"/>
        <v>20</v>
      </c>
      <c r="AE26" s="49">
        <f t="shared" si="3"/>
        <v>0</v>
      </c>
      <c r="AF26" s="49">
        <f t="shared" si="3"/>
        <v>0</v>
      </c>
      <c r="AG26" s="49">
        <f t="shared" si="3"/>
        <v>20</v>
      </c>
      <c r="AH26" s="49">
        <f t="shared" si="3"/>
        <v>0</v>
      </c>
      <c r="AI26" s="49">
        <f t="shared" si="3"/>
        <v>0</v>
      </c>
      <c r="AJ26" s="27">
        <f t="shared" si="3"/>
        <v>0</v>
      </c>
      <c r="AK26" s="19">
        <f>SUM(AK16:AK25)</f>
        <v>420</v>
      </c>
      <c r="AL26" s="27">
        <f t="shared" si="3"/>
        <v>0</v>
      </c>
      <c r="AM26" s="27">
        <f t="shared" si="3"/>
        <v>0</v>
      </c>
      <c r="AN26" s="28">
        <f t="shared" si="3"/>
        <v>0</v>
      </c>
      <c r="AO26" s="28">
        <f t="shared" si="3"/>
        <v>0</v>
      </c>
      <c r="AP26" s="28">
        <f t="shared" si="3"/>
        <v>0</v>
      </c>
      <c r="AQ26" s="28">
        <f t="shared" si="3"/>
        <v>0</v>
      </c>
      <c r="AR26" s="28">
        <f t="shared" si="3"/>
        <v>0</v>
      </c>
      <c r="AS26" s="28">
        <f t="shared" si="3"/>
        <v>0</v>
      </c>
      <c r="AT26" s="29">
        <f t="shared" si="3"/>
        <v>0</v>
      </c>
      <c r="AU26" s="14"/>
      <c r="AV26" s="14"/>
    </row>
    <row r="27" spans="1:48" ht="16.5" thickTop="1" x14ac:dyDescent="0.25">
      <c r="A27" s="30"/>
      <c r="B27" s="56"/>
      <c r="C27" s="57"/>
      <c r="D27" s="57"/>
      <c r="E27" s="58"/>
      <c r="F27" s="14"/>
      <c r="G27" s="14"/>
      <c r="H27" s="14"/>
      <c r="I27" s="50"/>
      <c r="J27" s="50"/>
      <c r="K27" s="50"/>
      <c r="L27" s="50"/>
      <c r="M27" s="50"/>
      <c r="N27" s="50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50"/>
      <c r="AA27" s="50"/>
      <c r="AB27" s="14"/>
      <c r="AC27" s="14"/>
      <c r="AD27" s="50"/>
      <c r="AE27" s="50"/>
      <c r="AF27" s="50"/>
      <c r="AG27" s="50"/>
      <c r="AH27" s="50"/>
      <c r="AI27" s="50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x14ac:dyDescent="0.25">
      <c r="A28" s="30"/>
      <c r="B28" s="31" t="s">
        <v>21</v>
      </c>
      <c r="C28" s="32"/>
      <c r="D28" s="32"/>
      <c r="E28" s="32"/>
      <c r="F28" s="14"/>
      <c r="G28" s="14"/>
      <c r="H28" s="14"/>
      <c r="I28" s="50"/>
      <c r="J28" s="50"/>
      <c r="K28" s="50"/>
      <c r="L28" s="50"/>
      <c r="M28" s="50"/>
      <c r="N28" s="50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50"/>
      <c r="AA28" s="50"/>
      <c r="AB28" s="14"/>
      <c r="AC28" s="14"/>
      <c r="AD28" s="50"/>
      <c r="AE28" s="50"/>
      <c r="AF28" s="50"/>
      <c r="AG28" s="50"/>
      <c r="AH28" s="50"/>
      <c r="AI28" s="50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30"/>
      <c r="B29" s="31" t="s">
        <v>22</v>
      </c>
      <c r="C29" s="32"/>
      <c r="D29" s="32"/>
      <c r="E29" s="32"/>
      <c r="F29" s="14"/>
      <c r="G29" s="14"/>
      <c r="H29" s="14"/>
      <c r="I29" s="50"/>
      <c r="J29" s="50"/>
      <c r="K29" s="50"/>
      <c r="L29" s="50"/>
      <c r="M29" s="50"/>
      <c r="N29" s="5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50"/>
      <c r="AA29" s="50"/>
      <c r="AB29" s="14"/>
      <c r="AC29" s="14"/>
      <c r="AD29" s="50"/>
      <c r="AE29" s="50"/>
      <c r="AF29" s="50"/>
      <c r="AG29" s="50"/>
      <c r="AH29" s="50"/>
      <c r="AI29" s="50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30"/>
      <c r="B30" s="14" t="s">
        <v>23</v>
      </c>
      <c r="E30" s="14"/>
      <c r="F30" s="14"/>
      <c r="G30" s="14"/>
      <c r="H30" s="14"/>
      <c r="I30" s="50"/>
      <c r="J30" s="50"/>
      <c r="K30" s="50"/>
      <c r="L30" s="50"/>
      <c r="M30" s="50"/>
      <c r="N30" s="50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50"/>
      <c r="AA30" s="50"/>
      <c r="AB30" s="14"/>
      <c r="AC30" s="14"/>
      <c r="AD30" s="50"/>
      <c r="AE30" s="50"/>
      <c r="AF30" s="50"/>
      <c r="AG30" s="50"/>
      <c r="AH30" s="50"/>
      <c r="AI30" s="50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 t="s">
        <v>2</v>
      </c>
      <c r="AV30" s="14" t="s">
        <v>2</v>
      </c>
    </row>
    <row r="31" spans="1:48" x14ac:dyDescent="0.25">
      <c r="A31" s="30"/>
      <c r="B31" s="14" t="s">
        <v>24</v>
      </c>
      <c r="E31" s="14"/>
      <c r="F31" s="14">
        <f>(F28+F29)-F30</f>
        <v>0</v>
      </c>
      <c r="G31" s="14">
        <f t="shared" ref="G31:AJ31" si="4">(G28+G29)-G30</f>
        <v>0</v>
      </c>
      <c r="H31" s="14">
        <f t="shared" si="4"/>
        <v>0</v>
      </c>
      <c r="I31" s="50">
        <f t="shared" si="4"/>
        <v>0</v>
      </c>
      <c r="J31" s="50">
        <f t="shared" si="4"/>
        <v>0</v>
      </c>
      <c r="K31" s="50">
        <f t="shared" si="4"/>
        <v>0</v>
      </c>
      <c r="L31" s="50">
        <f t="shared" si="4"/>
        <v>0</v>
      </c>
      <c r="M31" s="50">
        <f t="shared" si="4"/>
        <v>0</v>
      </c>
      <c r="N31" s="50">
        <f t="shared" si="4"/>
        <v>0</v>
      </c>
      <c r="O31" s="14">
        <f t="shared" si="4"/>
        <v>0</v>
      </c>
      <c r="P31" s="14">
        <f t="shared" si="4"/>
        <v>0</v>
      </c>
      <c r="Q31" s="14">
        <f t="shared" si="4"/>
        <v>0</v>
      </c>
      <c r="R31" s="14">
        <f t="shared" si="4"/>
        <v>0</v>
      </c>
      <c r="S31" s="14">
        <f t="shared" si="4"/>
        <v>0</v>
      </c>
      <c r="T31" s="14">
        <f t="shared" si="4"/>
        <v>0</v>
      </c>
      <c r="U31" s="14">
        <f t="shared" si="4"/>
        <v>0</v>
      </c>
      <c r="V31" s="14">
        <f t="shared" si="4"/>
        <v>0</v>
      </c>
      <c r="W31" s="14">
        <f t="shared" si="4"/>
        <v>0</v>
      </c>
      <c r="X31" s="14">
        <f t="shared" si="4"/>
        <v>0</v>
      </c>
      <c r="Y31" s="14">
        <f t="shared" si="4"/>
        <v>0</v>
      </c>
      <c r="Z31" s="50">
        <f t="shared" si="4"/>
        <v>0</v>
      </c>
      <c r="AA31" s="50">
        <f t="shared" si="4"/>
        <v>0</v>
      </c>
      <c r="AB31" s="14">
        <f t="shared" si="4"/>
        <v>0</v>
      </c>
      <c r="AC31" s="14">
        <f t="shared" si="4"/>
        <v>0</v>
      </c>
      <c r="AD31" s="50">
        <f t="shared" si="4"/>
        <v>0</v>
      </c>
      <c r="AE31" s="50">
        <f t="shared" si="4"/>
        <v>0</v>
      </c>
      <c r="AF31" s="50">
        <f t="shared" si="4"/>
        <v>0</v>
      </c>
      <c r="AG31" s="50">
        <f t="shared" si="4"/>
        <v>0</v>
      </c>
      <c r="AH31" s="50">
        <f t="shared" si="4"/>
        <v>0</v>
      </c>
      <c r="AI31" s="50">
        <f t="shared" si="4"/>
        <v>0</v>
      </c>
      <c r="AJ31" s="14">
        <f t="shared" si="4"/>
        <v>0</v>
      </c>
      <c r="AK31" s="14"/>
      <c r="AL31" s="14"/>
      <c r="AM31" s="30"/>
      <c r="AN31" s="30"/>
      <c r="AO31" s="30"/>
      <c r="AP31" s="30"/>
      <c r="AQ31" s="14"/>
      <c r="AR31" s="14"/>
      <c r="AS31" s="33"/>
      <c r="AT31" s="14"/>
      <c r="AU31" s="14"/>
      <c r="AV31" s="14"/>
    </row>
    <row r="32" spans="1:48" x14ac:dyDescent="0.25">
      <c r="A32" s="30"/>
      <c r="B32" s="14" t="s">
        <v>2</v>
      </c>
      <c r="C32" s="14"/>
      <c r="D32" s="14"/>
      <c r="E32" s="14"/>
      <c r="F32" s="14"/>
      <c r="G32" s="14"/>
      <c r="H32" s="14"/>
      <c r="I32" s="50"/>
      <c r="J32" s="50"/>
      <c r="K32" s="50"/>
      <c r="L32" s="50"/>
      <c r="M32" s="50"/>
      <c r="N32" s="50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50"/>
      <c r="AA32" s="50"/>
      <c r="AB32" s="14"/>
      <c r="AC32" s="14"/>
      <c r="AD32" s="50"/>
      <c r="AE32" s="50"/>
      <c r="AF32" s="50"/>
      <c r="AG32" s="50"/>
      <c r="AH32" s="50"/>
      <c r="AI32" s="50"/>
      <c r="AJ32" s="14"/>
      <c r="AK32" s="30"/>
      <c r="AL32" s="30"/>
      <c r="AM32" s="30"/>
      <c r="AN32" s="30"/>
      <c r="AO32" s="30"/>
      <c r="AP32" s="30"/>
      <c r="AQ32" s="14"/>
      <c r="AR32" s="14"/>
      <c r="AS32" s="33"/>
      <c r="AT32" s="14"/>
      <c r="AU32" s="14"/>
      <c r="AV32" s="14"/>
    </row>
    <row r="33" spans="1:48" ht="16.5" thickBot="1" x14ac:dyDescent="0.3">
      <c r="A33" s="30"/>
      <c r="B33" s="14" t="s">
        <v>25</v>
      </c>
      <c r="C33" s="14"/>
      <c r="D33" s="14"/>
      <c r="E33" s="14"/>
      <c r="F33" s="14"/>
      <c r="G33" s="14"/>
      <c r="H33" s="14"/>
      <c r="I33" s="50"/>
      <c r="J33" s="50"/>
      <c r="K33" s="50"/>
      <c r="L33" s="50"/>
      <c r="M33" s="50"/>
      <c r="N33" s="50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50"/>
      <c r="AA33" s="50"/>
      <c r="AB33" s="14"/>
      <c r="AC33" s="14"/>
      <c r="AD33" s="50"/>
      <c r="AE33" s="50"/>
      <c r="AF33" s="50"/>
      <c r="AG33" s="50"/>
      <c r="AH33" s="50"/>
      <c r="AI33" s="50"/>
      <c r="AJ33" s="14"/>
      <c r="AK33" s="2"/>
      <c r="AL33" s="2"/>
      <c r="AM33" s="2"/>
      <c r="AN33" s="2"/>
      <c r="AO33" s="30"/>
      <c r="AP33" s="30"/>
      <c r="AQ33" s="2" t="s">
        <v>26</v>
      </c>
      <c r="AR33" s="30"/>
      <c r="AS33" s="30"/>
      <c r="AT33" s="34">
        <v>0</v>
      </c>
      <c r="AU33" s="14"/>
      <c r="AV33" s="14"/>
    </row>
    <row r="34" spans="1:48" ht="16.5" thickTop="1" x14ac:dyDescent="0.25">
      <c r="A34" s="30"/>
      <c r="B34" s="14" t="s">
        <v>27</v>
      </c>
      <c r="C34" s="14"/>
      <c r="D34" s="14"/>
      <c r="E34" s="14"/>
      <c r="F34" s="14"/>
      <c r="G34" s="14"/>
      <c r="H34" s="14"/>
      <c r="I34" s="50"/>
      <c r="J34" s="50"/>
      <c r="K34" s="50"/>
      <c r="L34" s="50"/>
      <c r="M34" s="50"/>
      <c r="N34" s="50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50"/>
      <c r="AA34" s="50"/>
      <c r="AB34" s="14"/>
      <c r="AC34" s="14"/>
      <c r="AD34" s="50"/>
      <c r="AE34" s="50"/>
      <c r="AF34" s="50"/>
      <c r="AG34" s="50"/>
      <c r="AH34" s="50"/>
      <c r="AI34" s="50"/>
      <c r="AJ34" s="14"/>
      <c r="AK34" s="2"/>
      <c r="AL34" s="2"/>
      <c r="AM34" s="2"/>
      <c r="AN34" s="31"/>
      <c r="AO34" s="30"/>
      <c r="AP34" s="30"/>
      <c r="AQ34" s="2" t="s">
        <v>28</v>
      </c>
      <c r="AR34" s="30"/>
      <c r="AS34" s="30"/>
      <c r="AT34" s="30">
        <f>AT30-AT33</f>
        <v>0</v>
      </c>
      <c r="AU34" s="14"/>
      <c r="AV34" s="14"/>
    </row>
    <row r="35" spans="1:48" x14ac:dyDescent="0.25">
      <c r="A35" s="30"/>
      <c r="B35" s="14" t="s">
        <v>29</v>
      </c>
      <c r="C35" s="14"/>
      <c r="D35" s="14"/>
      <c r="E35" s="14"/>
      <c r="F35" s="14"/>
      <c r="G35" s="14"/>
      <c r="H35" s="14"/>
      <c r="I35" s="50"/>
      <c r="J35" s="50"/>
      <c r="K35" s="50"/>
      <c r="L35" s="50"/>
      <c r="M35" s="50"/>
      <c r="N35" s="50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50"/>
      <c r="AA35" s="50"/>
      <c r="AB35" s="14"/>
      <c r="AC35" s="14"/>
      <c r="AD35" s="50"/>
      <c r="AE35" s="50"/>
      <c r="AF35" s="50"/>
      <c r="AG35" s="50"/>
      <c r="AH35" s="50"/>
      <c r="AI35" s="50"/>
      <c r="AJ35" s="14"/>
      <c r="AK35" s="30"/>
      <c r="AL35" s="30"/>
      <c r="AM35" s="30"/>
      <c r="AN35" s="30"/>
      <c r="AO35" s="30"/>
      <c r="AP35" s="30"/>
      <c r="AQ35" s="14"/>
      <c r="AR35" s="14"/>
      <c r="AS35" s="33"/>
      <c r="AT35" s="14"/>
      <c r="AU35" s="14"/>
      <c r="AV35" s="14"/>
    </row>
    <row r="36" spans="1:48" ht="16.5" thickBot="1" x14ac:dyDescent="0.3">
      <c r="A36" s="30"/>
      <c r="B36" s="14" t="s">
        <v>30</v>
      </c>
      <c r="C36" s="14"/>
      <c r="D36" s="14"/>
      <c r="E36" s="35"/>
      <c r="F36" s="14"/>
      <c r="G36" s="14"/>
      <c r="H36" s="14"/>
      <c r="I36" s="50"/>
      <c r="J36" s="50"/>
      <c r="K36" s="50"/>
      <c r="L36" s="50"/>
      <c r="M36" s="50"/>
      <c r="N36" s="50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50"/>
      <c r="AA36" s="50"/>
      <c r="AB36" s="14"/>
      <c r="AC36" s="14"/>
      <c r="AD36" s="50"/>
      <c r="AE36" s="50"/>
      <c r="AF36" s="50"/>
      <c r="AG36" s="50"/>
      <c r="AH36" s="50"/>
      <c r="AI36" s="50"/>
      <c r="AJ36" s="14"/>
      <c r="AK36" s="30"/>
      <c r="AL36" s="30"/>
      <c r="AM36" s="30"/>
      <c r="AN36" s="30"/>
      <c r="AO36" s="30"/>
      <c r="AP36" s="30"/>
      <c r="AQ36" s="14"/>
      <c r="AR36" s="14"/>
      <c r="AS36" s="33"/>
      <c r="AT36" s="14"/>
      <c r="AU36" s="14"/>
      <c r="AV36" s="14"/>
    </row>
    <row r="37" spans="1:48" ht="16.5" thickTop="1" x14ac:dyDescent="0.25">
      <c r="A37" s="30"/>
      <c r="F37" s="14"/>
      <c r="G37" s="14"/>
      <c r="H37" s="14"/>
      <c r="I37" s="50"/>
      <c r="J37" s="50"/>
      <c r="K37" s="50"/>
      <c r="L37" s="50"/>
      <c r="M37" s="50"/>
      <c r="N37" s="50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50"/>
      <c r="AA37" s="50"/>
      <c r="AB37" s="14"/>
      <c r="AC37" s="14"/>
      <c r="AD37" s="50"/>
      <c r="AE37" s="50"/>
      <c r="AF37" s="50"/>
      <c r="AG37" s="50"/>
      <c r="AH37" s="50"/>
      <c r="AI37" s="50"/>
      <c r="AJ37" s="14"/>
      <c r="AK37" s="30"/>
      <c r="AL37" s="30"/>
      <c r="AM37" s="30"/>
      <c r="AN37" s="30"/>
      <c r="AO37" s="30"/>
      <c r="AP37" s="30"/>
      <c r="AQ37" s="14"/>
      <c r="AR37" s="14"/>
      <c r="AS37" s="33"/>
      <c r="AT37" s="14"/>
      <c r="AU37" s="14"/>
      <c r="AV37" s="14"/>
    </row>
    <row r="38" spans="1:48" x14ac:dyDescent="0.25">
      <c r="A38" s="36"/>
      <c r="C38" s="14"/>
      <c r="D38" s="14"/>
      <c r="E38" s="37"/>
      <c r="K38" s="50"/>
      <c r="M38" s="51"/>
      <c r="N38" s="50"/>
      <c r="P38" s="14"/>
      <c r="Q38" s="14"/>
      <c r="R38" s="14"/>
      <c r="U38" s="38"/>
      <c r="V38" s="14"/>
      <c r="W38" s="14"/>
      <c r="X38" s="14"/>
      <c r="Y38" s="14"/>
      <c r="Z38" s="50"/>
      <c r="AA38" s="50"/>
      <c r="AB38" s="38"/>
      <c r="AC38" s="14"/>
      <c r="AD38" s="50"/>
      <c r="AE38" s="50"/>
      <c r="AF38" s="50"/>
      <c r="AG38" s="50"/>
      <c r="AH38" s="51"/>
      <c r="AI38" s="50"/>
      <c r="AJ38" s="14"/>
      <c r="AK38" s="14"/>
      <c r="AL38" s="30"/>
      <c r="AM38" s="30"/>
      <c r="AN38" s="30"/>
      <c r="AO38" s="30"/>
      <c r="AP38" s="30"/>
      <c r="AQ38" s="14"/>
      <c r="AR38" s="14"/>
      <c r="AS38" s="33"/>
      <c r="AT38" s="14"/>
      <c r="AU38" s="14"/>
      <c r="AV38" s="14"/>
    </row>
    <row r="39" spans="1:48" x14ac:dyDescent="0.25">
      <c r="A39" s="14"/>
      <c r="C39" s="14"/>
      <c r="D39" s="14"/>
      <c r="E39" s="37"/>
      <c r="K39" s="50"/>
      <c r="M39" s="51"/>
      <c r="N39" s="50"/>
      <c r="P39" s="14"/>
      <c r="Q39" s="14"/>
      <c r="R39" s="14"/>
      <c r="U39" s="38"/>
      <c r="V39" s="14"/>
      <c r="W39" s="14"/>
      <c r="X39" s="14"/>
      <c r="Y39" s="14"/>
      <c r="Z39" s="50"/>
      <c r="AA39" s="50"/>
      <c r="AB39" s="38"/>
      <c r="AC39" s="14"/>
      <c r="AD39" s="50"/>
      <c r="AE39" s="50"/>
      <c r="AF39" s="50"/>
      <c r="AG39" s="50"/>
      <c r="AH39" s="51"/>
      <c r="AI39" s="50"/>
      <c r="AJ39" s="14"/>
      <c r="AK39" s="14"/>
      <c r="AL39" s="30"/>
      <c r="AM39" s="30"/>
      <c r="AN39" s="30"/>
      <c r="AO39" s="30"/>
      <c r="AP39" s="30"/>
      <c r="AQ39" s="14"/>
      <c r="AR39" s="14"/>
      <c r="AS39" s="33"/>
      <c r="AT39" s="14"/>
      <c r="AU39" s="14"/>
      <c r="AV39" s="14"/>
    </row>
    <row r="40" spans="1:48" x14ac:dyDescent="0.25">
      <c r="A40" s="14"/>
      <c r="C40" s="14"/>
      <c r="D40" s="14"/>
      <c r="E40" s="37"/>
      <c r="K40" s="50"/>
      <c r="M40" s="51"/>
      <c r="N40" s="50"/>
      <c r="P40" s="14"/>
      <c r="Q40" s="14"/>
      <c r="R40" s="14"/>
      <c r="U40" s="38"/>
      <c r="V40" s="14"/>
      <c r="W40" s="14"/>
      <c r="X40" s="14"/>
      <c r="Y40" s="14"/>
      <c r="Z40" s="50"/>
      <c r="AA40" s="50"/>
      <c r="AB40" s="38"/>
      <c r="AC40" s="14"/>
      <c r="AD40" s="50"/>
      <c r="AE40" s="50"/>
      <c r="AF40" s="50"/>
      <c r="AG40" s="50"/>
      <c r="AH40" s="51"/>
      <c r="AI40" s="50"/>
      <c r="AJ40" s="14"/>
      <c r="AK40" s="14"/>
      <c r="AL40" s="30"/>
      <c r="AM40" s="30"/>
      <c r="AN40" s="30"/>
      <c r="AO40" s="30"/>
      <c r="AP40" s="30"/>
      <c r="AQ40" s="14"/>
      <c r="AR40" s="14"/>
      <c r="AS40" s="33"/>
      <c r="AT40" s="14"/>
      <c r="AU40" s="14"/>
      <c r="AV40" s="14"/>
    </row>
    <row r="41" spans="1:48" x14ac:dyDescent="0.25">
      <c r="A41" s="14"/>
      <c r="C41" s="14"/>
      <c r="D41" s="14"/>
      <c r="E41" s="37"/>
      <c r="K41" s="50"/>
      <c r="M41" s="51"/>
      <c r="N41" s="50"/>
      <c r="P41" s="14"/>
      <c r="Q41" s="14"/>
      <c r="R41" s="14"/>
      <c r="U41" s="38"/>
      <c r="V41" s="14"/>
      <c r="W41" s="14"/>
      <c r="X41" s="14"/>
      <c r="Y41" s="14"/>
      <c r="Z41" s="50"/>
      <c r="AA41" s="50"/>
      <c r="AB41" s="38"/>
      <c r="AC41" s="14"/>
      <c r="AD41" s="50"/>
      <c r="AE41" s="50"/>
      <c r="AF41" s="50"/>
      <c r="AG41" s="50"/>
      <c r="AH41" s="51"/>
      <c r="AI41" s="50"/>
      <c r="AJ41" s="14"/>
      <c r="AK41" s="14"/>
      <c r="AL41" s="30"/>
      <c r="AM41" s="30"/>
      <c r="AN41" s="30"/>
      <c r="AO41" s="30"/>
      <c r="AP41" s="30"/>
      <c r="AQ41" s="14"/>
      <c r="AR41" s="14"/>
      <c r="AS41" s="33"/>
      <c r="AT41" s="14"/>
      <c r="AU41" s="14"/>
      <c r="AV41" s="14"/>
    </row>
  </sheetData>
  <mergeCells count="19">
    <mergeCell ref="B27:E27"/>
    <mergeCell ref="AQ3:AQ4"/>
    <mergeCell ref="AR3:AR4"/>
    <mergeCell ref="AS3:AS4"/>
    <mergeCell ref="AT3:AT4"/>
    <mergeCell ref="B15:E15"/>
    <mergeCell ref="B26:E26"/>
    <mergeCell ref="AK3:AK4"/>
    <mergeCell ref="AL3:AL4"/>
    <mergeCell ref="AM3:AM4"/>
    <mergeCell ref="AN3:AN4"/>
    <mergeCell ref="AO3:AO4"/>
    <mergeCell ref="AP3:AP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zoomScale="80" zoomScaleNormal="80" workbookViewId="0">
      <selection activeCell="AN19" sqref="AN19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27.8554687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43" customWidth="1"/>
    <col min="10" max="10" width="5.42578125" style="43" customWidth="1"/>
    <col min="11" max="11" width="5.7109375" style="43" customWidth="1"/>
    <col min="12" max="12" width="5.5703125" style="43" customWidth="1"/>
    <col min="13" max="13" width="5.85546875" style="43" customWidth="1"/>
    <col min="14" max="14" width="5.7109375" style="43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43" customWidth="1"/>
    <col min="27" max="27" width="5.42578125" style="43" customWidth="1"/>
    <col min="28" max="28" width="5.42578125" style="2" customWidth="1"/>
    <col min="29" max="29" width="5.7109375" style="2" customWidth="1"/>
    <col min="30" max="33" width="5.42578125" style="43" customWidth="1"/>
    <col min="34" max="35" width="5.7109375" style="43" customWidth="1"/>
    <col min="36" max="36" width="5.42578125" style="2" customWidth="1"/>
    <col min="37" max="37" width="8.42578125" style="4" customWidth="1"/>
    <col min="38" max="38" width="7.5703125" style="4" customWidth="1"/>
    <col min="39" max="39" width="7.28515625" style="4" customWidth="1"/>
    <col min="40" max="40" width="8" style="4" customWidth="1"/>
    <col min="41" max="41" width="7.5703125" style="4" customWidth="1"/>
    <col min="42" max="42" width="10.42578125" style="4" customWidth="1"/>
    <col min="43" max="44" width="11.710937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D2" s="2" t="s">
        <v>32</v>
      </c>
      <c r="E2" s="3" t="s">
        <v>61</v>
      </c>
      <c r="R2" s="3" t="s">
        <v>2</v>
      </c>
    </row>
    <row r="3" spans="1:48" x14ac:dyDescent="0.25">
      <c r="A3" s="59" t="s">
        <v>3</v>
      </c>
      <c r="B3" s="59" t="s">
        <v>4</v>
      </c>
      <c r="C3" s="59" t="s">
        <v>5</v>
      </c>
      <c r="D3" s="59" t="s">
        <v>6</v>
      </c>
      <c r="E3" s="59" t="s">
        <v>7</v>
      </c>
      <c r="F3" s="66" t="s">
        <v>8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8"/>
      <c r="AK3" s="59" t="s">
        <v>9</v>
      </c>
      <c r="AL3" s="59" t="s">
        <v>10</v>
      </c>
      <c r="AM3" s="59" t="s">
        <v>11</v>
      </c>
      <c r="AN3" s="59" t="s">
        <v>12</v>
      </c>
      <c r="AO3" s="59" t="s">
        <v>13</v>
      </c>
      <c r="AP3" s="59" t="s">
        <v>14</v>
      </c>
      <c r="AQ3" s="59" t="s">
        <v>15</v>
      </c>
      <c r="AR3" s="59" t="s">
        <v>16</v>
      </c>
      <c r="AS3" s="61" t="s">
        <v>17</v>
      </c>
      <c r="AT3" s="59" t="s">
        <v>18</v>
      </c>
    </row>
    <row r="4" spans="1:48" s="7" customFormat="1" ht="27" customHeight="1" x14ac:dyDescent="0.25">
      <c r="A4" s="60"/>
      <c r="B4" s="60"/>
      <c r="C4" s="60"/>
      <c r="D4" s="60"/>
      <c r="E4" s="60"/>
      <c r="F4" s="6">
        <v>1</v>
      </c>
      <c r="G4" s="6">
        <v>2</v>
      </c>
      <c r="H4" s="6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44">
        <v>21</v>
      </c>
      <c r="AA4" s="44">
        <v>22</v>
      </c>
      <c r="AB4" s="6">
        <v>23</v>
      </c>
      <c r="AC4" s="6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4">
        <v>30</v>
      </c>
      <c r="AJ4" s="6">
        <v>31</v>
      </c>
      <c r="AK4" s="60"/>
      <c r="AL4" s="60"/>
      <c r="AM4" s="60"/>
      <c r="AN4" s="60"/>
      <c r="AO4" s="60"/>
      <c r="AP4" s="60"/>
      <c r="AQ4" s="60"/>
      <c r="AR4" s="60"/>
      <c r="AS4" s="62"/>
      <c r="AT4" s="60"/>
    </row>
    <row r="5" spans="1:48" x14ac:dyDescent="0.25">
      <c r="A5" s="8">
        <v>1</v>
      </c>
      <c r="B5" s="9" t="s">
        <v>42</v>
      </c>
      <c r="C5" s="9" t="s">
        <v>43</v>
      </c>
      <c r="D5" s="9" t="s">
        <v>44</v>
      </c>
      <c r="E5" s="40"/>
      <c r="F5" s="11"/>
      <c r="G5" s="11"/>
      <c r="H5" s="11"/>
      <c r="I5" s="45">
        <v>40</v>
      </c>
      <c r="J5" s="45">
        <v>40</v>
      </c>
      <c r="K5" s="45"/>
      <c r="L5" s="45">
        <v>40</v>
      </c>
      <c r="M5" s="45"/>
      <c r="N5" s="45">
        <v>20</v>
      </c>
      <c r="O5" s="11"/>
      <c r="P5" s="11">
        <v>40</v>
      </c>
      <c r="Q5" s="11">
        <v>40</v>
      </c>
      <c r="R5" s="11"/>
      <c r="S5" s="11"/>
      <c r="T5" s="11"/>
      <c r="U5" s="11"/>
      <c r="V5" s="11"/>
      <c r="W5" s="11"/>
      <c r="X5" s="11"/>
      <c r="Y5" s="11">
        <v>60</v>
      </c>
      <c r="Z5" s="45"/>
      <c r="AA5" s="45">
        <v>20</v>
      </c>
      <c r="AB5" s="11"/>
      <c r="AC5" s="11">
        <v>10</v>
      </c>
      <c r="AD5" s="45"/>
      <c r="AE5" s="45"/>
      <c r="AF5" s="45"/>
      <c r="AG5" s="45"/>
      <c r="AH5" s="45"/>
      <c r="AI5" s="45"/>
      <c r="AJ5" s="11"/>
      <c r="AK5" s="8">
        <f>SUM(F5:AJ5)</f>
        <v>310</v>
      </c>
      <c r="AL5" s="11"/>
      <c r="AM5" s="8"/>
      <c r="AN5" s="8"/>
      <c r="AO5" s="8"/>
      <c r="AP5" s="8"/>
      <c r="AQ5" s="10"/>
      <c r="AR5" s="10"/>
      <c r="AS5" s="12"/>
      <c r="AT5" s="13">
        <f>AS5*AM5</f>
        <v>0</v>
      </c>
      <c r="AU5" s="14"/>
      <c r="AV5" s="14"/>
    </row>
    <row r="6" spans="1:48" x14ac:dyDescent="0.25">
      <c r="A6" s="8">
        <v>2</v>
      </c>
      <c r="B6" s="9" t="s">
        <v>65</v>
      </c>
      <c r="C6" s="9" t="s">
        <v>66</v>
      </c>
      <c r="D6" s="9" t="s">
        <v>44</v>
      </c>
      <c r="E6" s="39"/>
      <c r="F6" s="11"/>
      <c r="G6" s="11"/>
      <c r="H6" s="11"/>
      <c r="I6" s="45"/>
      <c r="J6" s="45"/>
      <c r="K6" s="45"/>
      <c r="L6" s="45"/>
      <c r="M6" s="45"/>
      <c r="N6" s="4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45"/>
      <c r="AA6" s="45"/>
      <c r="AB6" s="11"/>
      <c r="AC6" s="11"/>
      <c r="AD6" s="45"/>
      <c r="AE6" s="45"/>
      <c r="AF6" s="45">
        <v>20</v>
      </c>
      <c r="AG6" s="45"/>
      <c r="AH6" s="45"/>
      <c r="AI6" s="45"/>
      <c r="AJ6" s="11"/>
      <c r="AK6" s="8">
        <f t="shared" ref="AK6:AK8" si="0">SUM(F6:AJ6)</f>
        <v>20</v>
      </c>
      <c r="AL6" s="11"/>
      <c r="AM6" s="55"/>
      <c r="AN6" s="55"/>
      <c r="AO6" s="55"/>
      <c r="AP6" s="55"/>
      <c r="AQ6" s="39"/>
      <c r="AR6" s="39"/>
      <c r="AS6" s="41"/>
      <c r="AT6" s="13">
        <f t="shared" ref="AT6:AT15" si="1">AS6*AM6</f>
        <v>0</v>
      </c>
      <c r="AU6" s="14"/>
      <c r="AV6" s="14"/>
    </row>
    <row r="7" spans="1:48" x14ac:dyDescent="0.25">
      <c r="A7" s="8">
        <v>3</v>
      </c>
      <c r="B7" s="9" t="s">
        <v>45</v>
      </c>
      <c r="C7" s="9" t="s">
        <v>45</v>
      </c>
      <c r="D7" s="9" t="s">
        <v>46</v>
      </c>
      <c r="E7" s="39"/>
      <c r="F7" s="11"/>
      <c r="G7" s="11"/>
      <c r="H7" s="11"/>
      <c r="I7" s="45"/>
      <c r="J7" s="45"/>
      <c r="K7" s="45"/>
      <c r="L7" s="45"/>
      <c r="M7" s="45"/>
      <c r="N7" s="45"/>
      <c r="O7" s="11"/>
      <c r="P7" s="11">
        <v>20</v>
      </c>
      <c r="Q7" s="11">
        <v>10</v>
      </c>
      <c r="R7" s="11">
        <v>10</v>
      </c>
      <c r="S7" s="11"/>
      <c r="T7" s="11"/>
      <c r="U7" s="11"/>
      <c r="V7" s="11"/>
      <c r="W7" s="11"/>
      <c r="X7" s="11"/>
      <c r="Y7" s="11"/>
      <c r="Z7" s="45"/>
      <c r="AA7" s="45"/>
      <c r="AB7" s="11"/>
      <c r="AC7" s="11"/>
      <c r="AD7" s="45"/>
      <c r="AE7" s="45"/>
      <c r="AF7" s="45"/>
      <c r="AG7" s="45">
        <v>20</v>
      </c>
      <c r="AH7" s="45"/>
      <c r="AI7" s="45"/>
      <c r="AJ7" s="11"/>
      <c r="AK7" s="8">
        <f t="shared" si="0"/>
        <v>60</v>
      </c>
      <c r="AL7" s="11"/>
      <c r="AM7" s="11"/>
      <c r="AN7" s="11"/>
      <c r="AO7" s="11"/>
      <c r="AP7" s="11"/>
      <c r="AQ7" s="15"/>
      <c r="AR7" s="9"/>
      <c r="AS7" s="20"/>
      <c r="AT7" s="13">
        <f t="shared" si="1"/>
        <v>0</v>
      </c>
      <c r="AU7" s="14"/>
      <c r="AV7" s="14"/>
    </row>
    <row r="8" spans="1:48" x14ac:dyDescent="0.25">
      <c r="A8" s="8">
        <v>4</v>
      </c>
      <c r="B8" s="9" t="s">
        <v>50</v>
      </c>
      <c r="C8" s="9" t="s">
        <v>50</v>
      </c>
      <c r="D8" s="9" t="s">
        <v>51</v>
      </c>
      <c r="E8" s="9"/>
      <c r="F8" s="11"/>
      <c r="G8" s="11"/>
      <c r="H8" s="11"/>
      <c r="I8" s="45"/>
      <c r="J8" s="45"/>
      <c r="K8" s="45"/>
      <c r="L8" s="45"/>
      <c r="M8" s="45"/>
      <c r="N8" s="45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45"/>
      <c r="AA8" s="45"/>
      <c r="AB8" s="11"/>
      <c r="AC8" s="11"/>
      <c r="AD8" s="45"/>
      <c r="AE8" s="45"/>
      <c r="AF8" s="45"/>
      <c r="AG8" s="45"/>
      <c r="AH8" s="45"/>
      <c r="AI8" s="45"/>
      <c r="AJ8" s="11"/>
      <c r="AK8" s="8">
        <f t="shared" si="0"/>
        <v>0</v>
      </c>
      <c r="AL8" s="11"/>
      <c r="AM8" s="11"/>
      <c r="AN8" s="11"/>
      <c r="AO8" s="11"/>
      <c r="AP8" s="11"/>
      <c r="AQ8" s="15"/>
      <c r="AR8" s="9"/>
      <c r="AS8" s="41"/>
      <c r="AT8" s="13">
        <f t="shared" si="1"/>
        <v>0</v>
      </c>
      <c r="AU8" s="14"/>
      <c r="AV8" s="14"/>
    </row>
    <row r="9" spans="1:48" x14ac:dyDescent="0.25">
      <c r="A9" s="8">
        <v>5</v>
      </c>
      <c r="B9" s="9" t="s">
        <v>39</v>
      </c>
      <c r="C9" s="9" t="s">
        <v>40</v>
      </c>
      <c r="D9" s="9" t="s">
        <v>41</v>
      </c>
      <c r="E9" s="25"/>
      <c r="F9" s="11"/>
      <c r="G9" s="11"/>
      <c r="H9" s="11"/>
      <c r="I9" s="45">
        <v>40</v>
      </c>
      <c r="J9" s="45"/>
      <c r="K9" s="45"/>
      <c r="L9" s="45"/>
      <c r="M9" s="45"/>
      <c r="N9" s="45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45"/>
      <c r="AA9" s="45"/>
      <c r="AB9" s="11"/>
      <c r="AC9" s="11">
        <v>40</v>
      </c>
      <c r="AD9" s="45"/>
      <c r="AE9" s="45"/>
      <c r="AF9" s="45"/>
      <c r="AG9" s="45"/>
      <c r="AH9" s="45"/>
      <c r="AI9" s="45"/>
      <c r="AJ9" s="11"/>
      <c r="AK9" s="8">
        <f t="shared" ref="AK9:AK26" si="2">SUM(F9:AJ9)</f>
        <v>80</v>
      </c>
      <c r="AL9" s="11"/>
      <c r="AM9" s="11"/>
      <c r="AN9" s="11"/>
      <c r="AO9" s="11"/>
      <c r="AP9" s="11"/>
      <c r="AQ9" s="15"/>
      <c r="AR9" s="9"/>
      <c r="AS9" s="42"/>
      <c r="AT9" s="13">
        <f t="shared" si="1"/>
        <v>0</v>
      </c>
      <c r="AU9" s="14"/>
      <c r="AV9" s="14"/>
    </row>
    <row r="10" spans="1:48" x14ac:dyDescent="0.25">
      <c r="A10" s="8">
        <v>6</v>
      </c>
      <c r="B10" s="9" t="s">
        <v>53</v>
      </c>
      <c r="C10" s="9" t="s">
        <v>54</v>
      </c>
      <c r="D10" s="9" t="s">
        <v>55</v>
      </c>
      <c r="E10" s="9"/>
      <c r="F10" s="11"/>
      <c r="G10" s="11"/>
      <c r="H10" s="11"/>
      <c r="I10" s="45"/>
      <c r="J10" s="45"/>
      <c r="K10" s="45"/>
      <c r="L10" s="45"/>
      <c r="M10" s="45"/>
      <c r="N10" s="45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v>20</v>
      </c>
      <c r="Z10" s="45"/>
      <c r="AA10" s="45"/>
      <c r="AB10" s="11"/>
      <c r="AC10" s="11"/>
      <c r="AD10" s="45"/>
      <c r="AE10" s="45">
        <v>20</v>
      </c>
      <c r="AF10" s="45"/>
      <c r="AG10" s="45"/>
      <c r="AH10" s="45"/>
      <c r="AI10" s="45"/>
      <c r="AJ10" s="11"/>
      <c r="AK10" s="8">
        <f t="shared" si="2"/>
        <v>40</v>
      </c>
      <c r="AL10" s="11"/>
      <c r="AM10" s="11"/>
      <c r="AN10" s="11"/>
      <c r="AO10" s="11"/>
      <c r="AP10" s="11"/>
      <c r="AQ10" s="15"/>
      <c r="AR10" s="9"/>
      <c r="AS10" s="42"/>
      <c r="AT10" s="13">
        <f t="shared" si="1"/>
        <v>0</v>
      </c>
      <c r="AU10" s="14"/>
      <c r="AV10" s="14"/>
    </row>
    <row r="11" spans="1:48" x14ac:dyDescent="0.25">
      <c r="A11" s="8">
        <v>7</v>
      </c>
      <c r="C11" s="9"/>
      <c r="D11" s="9"/>
      <c r="E11" s="9"/>
      <c r="F11" s="11"/>
      <c r="G11" s="11"/>
      <c r="H11" s="11"/>
      <c r="I11" s="45"/>
      <c r="J11" s="45"/>
      <c r="K11" s="45"/>
      <c r="L11" s="45"/>
      <c r="M11" s="45"/>
      <c r="N11" s="45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5"/>
      <c r="AA11" s="45"/>
      <c r="AB11" s="11"/>
      <c r="AC11" s="11"/>
      <c r="AD11" s="45"/>
      <c r="AE11" s="45"/>
      <c r="AF11" s="45"/>
      <c r="AG11" s="45"/>
      <c r="AH11" s="45"/>
      <c r="AI11" s="45"/>
      <c r="AJ11" s="11"/>
      <c r="AK11" s="8">
        <f t="shared" si="2"/>
        <v>0</v>
      </c>
      <c r="AL11" s="11"/>
      <c r="AM11" s="11"/>
      <c r="AN11" s="11"/>
      <c r="AO11" s="11"/>
      <c r="AP11" s="11"/>
      <c r="AQ11" s="15"/>
      <c r="AR11" s="9"/>
      <c r="AS11" s="42"/>
      <c r="AT11" s="13">
        <f t="shared" si="1"/>
        <v>0</v>
      </c>
      <c r="AU11" s="14"/>
      <c r="AV11" s="14"/>
    </row>
    <row r="12" spans="1:48" x14ac:dyDescent="0.25">
      <c r="A12" s="8">
        <v>8</v>
      </c>
      <c r="B12" s="9"/>
      <c r="C12" s="9"/>
      <c r="D12" s="9"/>
      <c r="E12" s="9"/>
      <c r="F12" s="11"/>
      <c r="G12" s="11"/>
      <c r="H12" s="11"/>
      <c r="I12" s="45"/>
      <c r="J12" s="45"/>
      <c r="K12" s="45"/>
      <c r="L12" s="45"/>
      <c r="M12" s="45"/>
      <c r="N12" s="45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45"/>
      <c r="AA12" s="45"/>
      <c r="AB12" s="11"/>
      <c r="AC12" s="11"/>
      <c r="AD12" s="45"/>
      <c r="AE12" s="45"/>
      <c r="AF12" s="45"/>
      <c r="AG12" s="45"/>
      <c r="AH12" s="45"/>
      <c r="AI12" s="45"/>
      <c r="AJ12" s="11"/>
      <c r="AK12" s="8">
        <f t="shared" si="2"/>
        <v>0</v>
      </c>
      <c r="AL12" s="11"/>
      <c r="AM12" s="11"/>
      <c r="AN12" s="11"/>
      <c r="AO12" s="11"/>
      <c r="AP12" s="11"/>
      <c r="AQ12" s="15"/>
      <c r="AR12" s="9"/>
      <c r="AS12" s="20"/>
      <c r="AT12" s="13">
        <f t="shared" si="1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45"/>
      <c r="J13" s="45"/>
      <c r="K13" s="45"/>
      <c r="L13" s="45"/>
      <c r="M13" s="45"/>
      <c r="N13" s="45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45"/>
      <c r="AA13" s="45"/>
      <c r="AB13" s="11"/>
      <c r="AC13" s="11"/>
      <c r="AD13" s="45"/>
      <c r="AE13" s="45"/>
      <c r="AF13" s="45"/>
      <c r="AG13" s="45"/>
      <c r="AH13" s="45"/>
      <c r="AI13" s="45"/>
      <c r="AJ13" s="11"/>
      <c r="AK13" s="8">
        <f t="shared" si="2"/>
        <v>0</v>
      </c>
      <c r="AL13" s="11"/>
      <c r="AM13" s="11"/>
      <c r="AN13" s="11"/>
      <c r="AO13" s="11"/>
      <c r="AP13" s="11"/>
      <c r="AQ13" s="15"/>
      <c r="AR13" s="9"/>
      <c r="AS13" s="41"/>
      <c r="AT13" s="13">
        <f t="shared" si="1"/>
        <v>0</v>
      </c>
      <c r="AU13" s="14"/>
      <c r="AV13" s="14"/>
    </row>
    <row r="14" spans="1:48" x14ac:dyDescent="0.25">
      <c r="A14" s="11"/>
      <c r="B14" s="9"/>
      <c r="C14" s="9"/>
      <c r="D14" s="9"/>
      <c r="E14" s="25"/>
      <c r="F14" s="11"/>
      <c r="G14" s="11"/>
      <c r="H14" s="11"/>
      <c r="I14" s="45"/>
      <c r="J14" s="45"/>
      <c r="K14" s="45"/>
      <c r="L14" s="45"/>
      <c r="M14" s="45"/>
      <c r="N14" s="45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45"/>
      <c r="AA14" s="45"/>
      <c r="AB14" s="11"/>
      <c r="AC14" s="11"/>
      <c r="AD14" s="45"/>
      <c r="AE14" s="45"/>
      <c r="AF14" s="45"/>
      <c r="AG14" s="45"/>
      <c r="AH14" s="45"/>
      <c r="AI14" s="45"/>
      <c r="AJ14" s="11"/>
      <c r="AK14" s="8">
        <f t="shared" si="2"/>
        <v>0</v>
      </c>
      <c r="AL14" s="11"/>
      <c r="AM14" s="11"/>
      <c r="AN14" s="11"/>
      <c r="AO14" s="11"/>
      <c r="AP14" s="11"/>
      <c r="AQ14" s="15"/>
      <c r="AR14" s="9"/>
      <c r="AS14" s="20"/>
      <c r="AT14" s="13">
        <f t="shared" si="1"/>
        <v>0</v>
      </c>
      <c r="AU14" s="14"/>
      <c r="AV14" s="14"/>
    </row>
    <row r="15" spans="1:48" x14ac:dyDescent="0.25">
      <c r="A15" s="11"/>
      <c r="B15" s="9"/>
      <c r="C15" s="9"/>
      <c r="D15" s="9"/>
      <c r="E15" s="9"/>
      <c r="F15" s="11"/>
      <c r="G15" s="11"/>
      <c r="H15" s="11"/>
      <c r="I15" s="45"/>
      <c r="J15" s="45"/>
      <c r="K15" s="45"/>
      <c r="L15" s="45"/>
      <c r="M15" s="45"/>
      <c r="N15" s="48"/>
      <c r="O15" s="1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45"/>
      <c r="AA15" s="45"/>
      <c r="AB15" s="11"/>
      <c r="AC15" s="11"/>
      <c r="AD15" s="45"/>
      <c r="AE15" s="45"/>
      <c r="AF15" s="45"/>
      <c r="AG15" s="45"/>
      <c r="AH15" s="45"/>
      <c r="AI15" s="45"/>
      <c r="AJ15" s="11"/>
      <c r="AK15" s="8">
        <f t="shared" si="2"/>
        <v>0</v>
      </c>
      <c r="AL15" s="11"/>
      <c r="AM15" s="17"/>
      <c r="AN15" s="11"/>
      <c r="AO15" s="11"/>
      <c r="AP15" s="11"/>
      <c r="AQ15" s="15"/>
      <c r="AR15" s="9"/>
      <c r="AS15" s="41"/>
      <c r="AT15" s="13">
        <f t="shared" si="1"/>
        <v>0</v>
      </c>
      <c r="AU15" s="14"/>
      <c r="AV15" s="14"/>
    </row>
    <row r="16" spans="1:48" ht="16.5" thickBot="1" x14ac:dyDescent="0.3">
      <c r="A16" s="11"/>
      <c r="B16" s="63" t="s">
        <v>19</v>
      </c>
      <c r="C16" s="64"/>
      <c r="D16" s="64"/>
      <c r="E16" s="65"/>
      <c r="F16" s="19">
        <f>SUM(F5:F15)</f>
        <v>0</v>
      </c>
      <c r="G16" s="19">
        <f t="shared" ref="G16:AJ16" si="3">SUM(G5:G15)</f>
        <v>0</v>
      </c>
      <c r="H16" s="19">
        <f t="shared" si="3"/>
        <v>0</v>
      </c>
      <c r="I16" s="46">
        <f t="shared" si="3"/>
        <v>80</v>
      </c>
      <c r="J16" s="46">
        <f t="shared" si="3"/>
        <v>40</v>
      </c>
      <c r="K16" s="46">
        <f t="shared" si="3"/>
        <v>0</v>
      </c>
      <c r="L16" s="46">
        <f t="shared" si="3"/>
        <v>40</v>
      </c>
      <c r="M16" s="46">
        <f t="shared" si="3"/>
        <v>0</v>
      </c>
      <c r="N16" s="46">
        <f t="shared" si="3"/>
        <v>20</v>
      </c>
      <c r="O16" s="19">
        <f t="shared" si="3"/>
        <v>0</v>
      </c>
      <c r="P16" s="19">
        <f t="shared" si="3"/>
        <v>60</v>
      </c>
      <c r="Q16" s="19">
        <f t="shared" si="3"/>
        <v>50</v>
      </c>
      <c r="R16" s="19">
        <f t="shared" si="3"/>
        <v>10</v>
      </c>
      <c r="S16" s="19">
        <f t="shared" si="3"/>
        <v>0</v>
      </c>
      <c r="T16" s="19">
        <f t="shared" si="3"/>
        <v>0</v>
      </c>
      <c r="U16" s="19">
        <f t="shared" si="3"/>
        <v>0</v>
      </c>
      <c r="V16" s="19">
        <f t="shared" si="3"/>
        <v>0</v>
      </c>
      <c r="W16" s="19">
        <f t="shared" si="3"/>
        <v>0</v>
      </c>
      <c r="X16" s="19">
        <f t="shared" si="3"/>
        <v>0</v>
      </c>
      <c r="Y16" s="19">
        <f t="shared" si="3"/>
        <v>80</v>
      </c>
      <c r="Z16" s="46">
        <f t="shared" si="3"/>
        <v>0</v>
      </c>
      <c r="AA16" s="46">
        <f t="shared" si="3"/>
        <v>20</v>
      </c>
      <c r="AB16" s="19">
        <f t="shared" si="3"/>
        <v>0</v>
      </c>
      <c r="AC16" s="19">
        <f t="shared" si="3"/>
        <v>50</v>
      </c>
      <c r="AD16" s="46">
        <f t="shared" si="3"/>
        <v>0</v>
      </c>
      <c r="AE16" s="46">
        <f t="shared" si="3"/>
        <v>20</v>
      </c>
      <c r="AF16" s="46">
        <f t="shared" si="3"/>
        <v>20</v>
      </c>
      <c r="AG16" s="46">
        <f t="shared" si="3"/>
        <v>20</v>
      </c>
      <c r="AH16" s="46">
        <f t="shared" si="3"/>
        <v>0</v>
      </c>
      <c r="AI16" s="46">
        <f t="shared" si="3"/>
        <v>0</v>
      </c>
      <c r="AJ16" s="19">
        <f t="shared" si="3"/>
        <v>0</v>
      </c>
      <c r="AK16" s="19">
        <f>SUM(AK5:AK15)</f>
        <v>510</v>
      </c>
      <c r="AL16" s="19">
        <f>SUM(AL5:AL15)</f>
        <v>0</v>
      </c>
      <c r="AM16" s="19">
        <f>SUM(AM5:AM15)</f>
        <v>0</v>
      </c>
      <c r="AN16" s="11"/>
      <c r="AO16" s="11"/>
      <c r="AP16" s="11"/>
      <c r="AQ16" s="15"/>
      <c r="AR16" s="9"/>
      <c r="AS16" s="20"/>
      <c r="AT16" s="21">
        <f>SUM(AT5:AT15)</f>
        <v>0</v>
      </c>
      <c r="AU16" s="14"/>
      <c r="AV16" s="14"/>
    </row>
    <row r="17" spans="1:48" ht="16.5" thickTop="1" x14ac:dyDescent="0.25">
      <c r="A17" s="11"/>
      <c r="B17" s="9"/>
      <c r="C17" s="9"/>
      <c r="D17" s="9"/>
      <c r="E17" s="9"/>
      <c r="F17" s="22"/>
      <c r="G17" s="22"/>
      <c r="H17" s="22"/>
      <c r="I17" s="47"/>
      <c r="J17" s="47"/>
      <c r="K17" s="47"/>
      <c r="L17" s="47"/>
      <c r="M17" s="47"/>
      <c r="N17" s="47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47"/>
      <c r="AA17" s="47"/>
      <c r="AB17" s="22"/>
      <c r="AC17" s="22"/>
      <c r="AD17" s="47"/>
      <c r="AE17" s="47"/>
      <c r="AF17" s="47"/>
      <c r="AG17" s="47"/>
      <c r="AH17" s="47"/>
      <c r="AI17" s="47"/>
      <c r="AJ17" s="22"/>
      <c r="AK17" s="8"/>
      <c r="AL17" s="22"/>
      <c r="AM17" s="22"/>
      <c r="AN17" s="11"/>
      <c r="AO17" s="11"/>
      <c r="AP17" s="11"/>
      <c r="AQ17" s="15"/>
      <c r="AR17" s="9"/>
      <c r="AS17" s="42"/>
      <c r="AT17" s="23"/>
      <c r="AU17" s="14"/>
      <c r="AV17" s="14"/>
    </row>
    <row r="18" spans="1:48" x14ac:dyDescent="0.25">
      <c r="A18" s="11">
        <v>11</v>
      </c>
      <c r="B18" s="10" t="s">
        <v>34</v>
      </c>
      <c r="C18" s="10"/>
      <c r="D18" s="10" t="s">
        <v>35</v>
      </c>
      <c r="E18" s="10"/>
      <c r="F18" s="22">
        <v>20</v>
      </c>
      <c r="G18" s="22"/>
      <c r="H18" s="22"/>
      <c r="I18" s="47"/>
      <c r="J18" s="47"/>
      <c r="K18" s="47"/>
      <c r="L18" s="47"/>
      <c r="M18" s="47"/>
      <c r="N18" s="47"/>
      <c r="O18" s="22"/>
      <c r="P18" s="22"/>
      <c r="Q18" s="22"/>
      <c r="R18" s="11"/>
      <c r="S18" s="11"/>
      <c r="T18" s="11"/>
      <c r="U18" s="11"/>
      <c r="V18" s="11"/>
      <c r="W18" s="11"/>
      <c r="X18" s="22"/>
      <c r="Y18" s="22"/>
      <c r="Z18" s="47"/>
      <c r="AA18" s="47"/>
      <c r="AB18" s="22"/>
      <c r="AC18" s="11"/>
      <c r="AD18" s="45"/>
      <c r="AE18" s="45"/>
      <c r="AF18" s="45"/>
      <c r="AG18" s="45"/>
      <c r="AH18" s="45"/>
      <c r="AI18" s="45"/>
      <c r="AJ18" s="22"/>
      <c r="AK18" s="8">
        <f t="shared" si="2"/>
        <v>20</v>
      </c>
      <c r="AL18" s="11"/>
      <c r="AM18" s="11"/>
      <c r="AN18" s="11"/>
      <c r="AO18" s="11"/>
      <c r="AP18" s="11"/>
      <c r="AQ18" s="15"/>
      <c r="AR18" s="9"/>
      <c r="AS18" s="42"/>
      <c r="AT18" s="16">
        <f>AS18*AM18</f>
        <v>0</v>
      </c>
      <c r="AU18" s="14"/>
      <c r="AV18" s="14"/>
    </row>
    <row r="19" spans="1:48" x14ac:dyDescent="0.25">
      <c r="A19" s="11">
        <v>12</v>
      </c>
      <c r="B19" s="9" t="s">
        <v>52</v>
      </c>
      <c r="C19" s="9"/>
      <c r="D19" s="9" t="s">
        <v>35</v>
      </c>
      <c r="E19" s="9"/>
      <c r="F19" s="11"/>
      <c r="G19" s="11"/>
      <c r="H19" s="11"/>
      <c r="I19" s="45"/>
      <c r="J19" s="45"/>
      <c r="K19" s="45"/>
      <c r="L19" s="45"/>
      <c r="M19" s="45"/>
      <c r="N19" s="45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45"/>
      <c r="AA19" s="45"/>
      <c r="AB19" s="11"/>
      <c r="AC19" s="11"/>
      <c r="AD19" s="45"/>
      <c r="AE19" s="45"/>
      <c r="AF19" s="45"/>
      <c r="AG19" s="45">
        <v>10</v>
      </c>
      <c r="AH19" s="45"/>
      <c r="AI19" s="45"/>
      <c r="AJ19" s="11"/>
      <c r="AK19" s="8">
        <f t="shared" si="2"/>
        <v>10</v>
      </c>
      <c r="AL19" s="11"/>
      <c r="AM19" s="11"/>
      <c r="AN19" s="11"/>
      <c r="AO19" s="11"/>
      <c r="AP19" s="11"/>
      <c r="AQ19" s="15"/>
      <c r="AR19" s="9"/>
      <c r="AS19" s="42"/>
      <c r="AT19" s="16">
        <f t="shared" ref="AT19:AT26" si="4">AS19*AM19</f>
        <v>0</v>
      </c>
      <c r="AU19" s="14"/>
      <c r="AV19" s="14"/>
    </row>
    <row r="20" spans="1:48" x14ac:dyDescent="0.25">
      <c r="A20" s="11">
        <v>13</v>
      </c>
      <c r="B20" s="9" t="s">
        <v>63</v>
      </c>
      <c r="C20" s="9"/>
      <c r="D20" s="9" t="s">
        <v>35</v>
      </c>
      <c r="E20" s="9"/>
      <c r="F20" s="11"/>
      <c r="G20" s="11"/>
      <c r="H20" s="11"/>
      <c r="I20" s="45"/>
      <c r="J20" s="45"/>
      <c r="K20" s="45">
        <v>20</v>
      </c>
      <c r="L20" s="45">
        <v>10</v>
      </c>
      <c r="M20" s="45"/>
      <c r="N20" s="45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5"/>
      <c r="AA20" s="45"/>
      <c r="AB20" s="11"/>
      <c r="AC20" s="11"/>
      <c r="AD20" s="45"/>
      <c r="AE20" s="45"/>
      <c r="AF20" s="45"/>
      <c r="AG20" s="45"/>
      <c r="AH20" s="45"/>
      <c r="AI20" s="45"/>
      <c r="AJ20" s="11"/>
      <c r="AK20" s="8">
        <f t="shared" si="2"/>
        <v>30</v>
      </c>
      <c r="AL20" s="11"/>
      <c r="AM20" s="11"/>
      <c r="AN20" s="11"/>
      <c r="AO20" s="11"/>
      <c r="AP20" s="11"/>
      <c r="AQ20" s="15"/>
      <c r="AR20" s="9"/>
      <c r="AS20" s="42"/>
      <c r="AT20" s="16">
        <f t="shared" si="4"/>
        <v>0</v>
      </c>
      <c r="AU20" s="14"/>
      <c r="AV20" s="14"/>
    </row>
    <row r="21" spans="1:48" x14ac:dyDescent="0.25">
      <c r="A21" s="11">
        <v>14</v>
      </c>
      <c r="B21" s="9" t="s">
        <v>47</v>
      </c>
      <c r="C21" s="9" t="s">
        <v>48</v>
      </c>
      <c r="D21" s="9" t="s">
        <v>49</v>
      </c>
      <c r="E21" s="9"/>
      <c r="F21" s="11"/>
      <c r="G21" s="11">
        <v>30</v>
      </c>
      <c r="H21" s="11"/>
      <c r="I21" s="45"/>
      <c r="J21" s="45">
        <v>30</v>
      </c>
      <c r="K21" s="45">
        <v>20</v>
      </c>
      <c r="L21" s="45"/>
      <c r="M21" s="45"/>
      <c r="N21" s="45">
        <v>30</v>
      </c>
      <c r="O21" s="11"/>
      <c r="P21" s="11"/>
      <c r="Q21" s="11"/>
      <c r="R21" s="11">
        <v>20</v>
      </c>
      <c r="S21" s="11"/>
      <c r="T21" s="11"/>
      <c r="U21" s="11"/>
      <c r="V21" s="11"/>
      <c r="W21" s="11"/>
      <c r="X21" s="11">
        <v>30</v>
      </c>
      <c r="Y21" s="11"/>
      <c r="Z21" s="45"/>
      <c r="AA21" s="45">
        <v>20</v>
      </c>
      <c r="AB21" s="11"/>
      <c r="AC21" s="11"/>
      <c r="AD21" s="45">
        <v>20</v>
      </c>
      <c r="AE21" s="45"/>
      <c r="AF21" s="45"/>
      <c r="AG21" s="45">
        <v>30</v>
      </c>
      <c r="AH21" s="45"/>
      <c r="AI21" s="45"/>
      <c r="AJ21" s="11"/>
      <c r="AK21" s="8">
        <f t="shared" si="2"/>
        <v>230</v>
      </c>
      <c r="AL21" s="11"/>
      <c r="AM21" s="11"/>
      <c r="AN21" s="11"/>
      <c r="AO21" s="11"/>
      <c r="AP21" s="11"/>
      <c r="AQ21" s="15"/>
      <c r="AR21" s="9"/>
      <c r="AS21" s="42"/>
      <c r="AT21" s="16">
        <f t="shared" si="4"/>
        <v>0</v>
      </c>
      <c r="AU21" s="14"/>
      <c r="AV21" s="14"/>
    </row>
    <row r="22" spans="1:48" x14ac:dyDescent="0.25">
      <c r="A22" s="11">
        <v>15</v>
      </c>
      <c r="B22" s="9" t="s">
        <v>57</v>
      </c>
      <c r="C22" s="9"/>
      <c r="D22" s="9" t="s">
        <v>58</v>
      </c>
      <c r="E22" s="9"/>
      <c r="F22" s="11"/>
      <c r="G22" s="11"/>
      <c r="H22" s="11"/>
      <c r="I22" s="45"/>
      <c r="J22" s="52">
        <v>30</v>
      </c>
      <c r="K22" s="45"/>
      <c r="L22" s="45"/>
      <c r="M22" s="45"/>
      <c r="N22" s="45"/>
      <c r="O22" s="11"/>
      <c r="P22" s="52">
        <v>100</v>
      </c>
      <c r="Q22" s="11"/>
      <c r="R22" s="11"/>
      <c r="S22" s="11"/>
      <c r="T22" s="11"/>
      <c r="U22" s="11"/>
      <c r="V22" s="11"/>
      <c r="W22" s="11"/>
      <c r="X22" s="11"/>
      <c r="Y22" s="11"/>
      <c r="Z22" s="45"/>
      <c r="AA22" s="45">
        <v>70</v>
      </c>
      <c r="AB22" s="11"/>
      <c r="AC22" s="52">
        <v>100</v>
      </c>
      <c r="AD22" s="45"/>
      <c r="AE22" s="45"/>
      <c r="AF22" s="45"/>
      <c r="AG22" s="45"/>
      <c r="AH22" s="45"/>
      <c r="AI22" s="45"/>
      <c r="AJ22" s="11"/>
      <c r="AK22" s="8">
        <f t="shared" si="2"/>
        <v>300</v>
      </c>
      <c r="AL22" s="11"/>
      <c r="AM22" s="11"/>
      <c r="AN22" s="11"/>
      <c r="AO22" s="11"/>
      <c r="AP22" s="11"/>
      <c r="AQ22" s="15"/>
      <c r="AR22" s="9"/>
      <c r="AS22" s="42"/>
      <c r="AT22" s="16">
        <f t="shared" si="4"/>
        <v>0</v>
      </c>
      <c r="AU22" s="14"/>
      <c r="AV22" s="14"/>
    </row>
    <row r="23" spans="1:48" x14ac:dyDescent="0.25">
      <c r="A23" s="11">
        <v>16</v>
      </c>
      <c r="B23" s="9" t="s">
        <v>59</v>
      </c>
      <c r="C23" s="9"/>
      <c r="D23" s="9" t="s">
        <v>58</v>
      </c>
      <c r="E23" s="9"/>
      <c r="F23" s="11"/>
      <c r="G23" s="11"/>
      <c r="H23" s="11"/>
      <c r="I23" s="45"/>
      <c r="J23" s="45"/>
      <c r="K23" s="45"/>
      <c r="L23" s="45"/>
      <c r="M23" s="45"/>
      <c r="N23" s="45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45"/>
      <c r="AA23" s="45"/>
      <c r="AB23" s="11"/>
      <c r="AC23" s="11"/>
      <c r="AD23" s="45"/>
      <c r="AE23" s="45"/>
      <c r="AF23" s="45"/>
      <c r="AG23" s="45"/>
      <c r="AH23" s="45"/>
      <c r="AI23" s="45"/>
      <c r="AJ23" s="11"/>
      <c r="AK23" s="8">
        <f t="shared" si="2"/>
        <v>0</v>
      </c>
      <c r="AL23" s="11"/>
      <c r="AM23" s="11"/>
      <c r="AN23" s="11"/>
      <c r="AO23" s="11"/>
      <c r="AP23" s="11"/>
      <c r="AQ23" s="15"/>
      <c r="AR23" s="9"/>
      <c r="AS23" s="42"/>
      <c r="AT23" s="16">
        <f t="shared" si="4"/>
        <v>0</v>
      </c>
      <c r="AU23" s="14"/>
      <c r="AV23" s="14"/>
    </row>
    <row r="24" spans="1:48" x14ac:dyDescent="0.25">
      <c r="A24" s="11">
        <v>17</v>
      </c>
      <c r="B24" s="9" t="s">
        <v>60</v>
      </c>
      <c r="C24" s="9"/>
      <c r="D24" s="9" t="s">
        <v>58</v>
      </c>
      <c r="E24" s="9"/>
      <c r="F24" s="11"/>
      <c r="G24" s="11"/>
      <c r="H24" s="11"/>
      <c r="I24" s="45"/>
      <c r="J24" s="45"/>
      <c r="K24" s="45"/>
      <c r="L24" s="45"/>
      <c r="M24" s="45"/>
      <c r="N24" s="45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45"/>
      <c r="AA24" s="45"/>
      <c r="AB24" s="11"/>
      <c r="AC24" s="11"/>
      <c r="AD24" s="45"/>
      <c r="AE24" s="45"/>
      <c r="AF24" s="45"/>
      <c r="AG24" s="45"/>
      <c r="AH24" s="45"/>
      <c r="AI24" s="45"/>
      <c r="AJ24" s="11"/>
      <c r="AK24" s="8">
        <f t="shared" si="2"/>
        <v>0</v>
      </c>
      <c r="AL24" s="11"/>
      <c r="AM24" s="11"/>
      <c r="AN24" s="11"/>
      <c r="AO24" s="11"/>
      <c r="AP24" s="11"/>
      <c r="AQ24" s="15"/>
      <c r="AR24" s="9"/>
      <c r="AS24" s="42"/>
      <c r="AT24" s="16">
        <f t="shared" si="4"/>
        <v>0</v>
      </c>
      <c r="AU24" s="14"/>
      <c r="AV24" s="14"/>
    </row>
    <row r="25" spans="1:48" x14ac:dyDescent="0.25">
      <c r="A25" s="11">
        <v>18</v>
      </c>
      <c r="B25" s="9" t="s">
        <v>62</v>
      </c>
      <c r="C25" s="9"/>
      <c r="D25" s="9" t="s">
        <v>58</v>
      </c>
      <c r="E25" s="9"/>
      <c r="F25" s="11"/>
      <c r="G25" s="11"/>
      <c r="H25" s="11"/>
      <c r="I25" s="45"/>
      <c r="J25" s="45"/>
      <c r="K25" s="45">
        <v>100</v>
      </c>
      <c r="L25" s="45"/>
      <c r="M25" s="45">
        <v>100</v>
      </c>
      <c r="N25" s="45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45"/>
      <c r="AA25" s="45"/>
      <c r="AB25" s="11"/>
      <c r="AC25" s="11"/>
      <c r="AD25" s="45"/>
      <c r="AE25" s="45"/>
      <c r="AF25" s="45"/>
      <c r="AG25" s="45"/>
      <c r="AH25" s="45"/>
      <c r="AI25" s="45"/>
      <c r="AJ25" s="11"/>
      <c r="AK25" s="8">
        <f t="shared" si="2"/>
        <v>200</v>
      </c>
      <c r="AL25" s="11"/>
      <c r="AM25" s="11"/>
      <c r="AN25" s="11"/>
      <c r="AO25" s="11"/>
      <c r="AP25" s="11"/>
      <c r="AQ25" s="15"/>
      <c r="AR25" s="9"/>
      <c r="AS25" s="42"/>
      <c r="AT25" s="16">
        <f t="shared" si="4"/>
        <v>0</v>
      </c>
      <c r="AU25" s="14"/>
      <c r="AV25" s="14"/>
    </row>
    <row r="26" spans="1:48" x14ac:dyDescent="0.25">
      <c r="A26" s="11">
        <v>19</v>
      </c>
      <c r="B26" s="9"/>
      <c r="C26" s="9"/>
      <c r="D26" s="9"/>
      <c r="E26" s="9"/>
      <c r="F26" s="17"/>
      <c r="G26" s="17"/>
      <c r="H26" s="17"/>
      <c r="I26" s="48"/>
      <c r="J26" s="48"/>
      <c r="K26" s="48"/>
      <c r="L26" s="48"/>
      <c r="M26" s="48"/>
      <c r="N26" s="48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48"/>
      <c r="AA26" s="48"/>
      <c r="AB26" s="17"/>
      <c r="AC26" s="17"/>
      <c r="AD26" s="48"/>
      <c r="AE26" s="48"/>
      <c r="AF26" s="48"/>
      <c r="AG26" s="48"/>
      <c r="AH26" s="48"/>
      <c r="AI26" s="48"/>
      <c r="AJ26" s="17"/>
      <c r="AK26" s="8">
        <f t="shared" si="2"/>
        <v>0</v>
      </c>
      <c r="AL26" s="17"/>
      <c r="AM26" s="17"/>
      <c r="AN26" s="11"/>
      <c r="AO26" s="11"/>
      <c r="AP26" s="11"/>
      <c r="AQ26" s="9"/>
      <c r="AR26" s="9"/>
      <c r="AS26" s="42"/>
      <c r="AT26" s="16">
        <f t="shared" si="4"/>
        <v>0</v>
      </c>
      <c r="AU26" s="14"/>
      <c r="AV26" s="14"/>
    </row>
    <row r="27" spans="1:48" ht="16.5" thickBot="1" x14ac:dyDescent="0.3">
      <c r="A27" s="11"/>
      <c r="B27" s="56" t="s">
        <v>20</v>
      </c>
      <c r="C27" s="57"/>
      <c r="D27" s="57"/>
      <c r="E27" s="58"/>
      <c r="F27" s="27">
        <f t="shared" ref="F27:AJ27" si="5">SUM(F18:F26)</f>
        <v>20</v>
      </c>
      <c r="G27" s="27">
        <f t="shared" si="5"/>
        <v>30</v>
      </c>
      <c r="H27" s="27">
        <f t="shared" si="5"/>
        <v>0</v>
      </c>
      <c r="I27" s="49">
        <f t="shared" si="5"/>
        <v>0</v>
      </c>
      <c r="J27" s="49">
        <f t="shared" si="5"/>
        <v>60</v>
      </c>
      <c r="K27" s="49">
        <f t="shared" si="5"/>
        <v>140</v>
      </c>
      <c r="L27" s="49">
        <f t="shared" si="5"/>
        <v>10</v>
      </c>
      <c r="M27" s="49">
        <f t="shared" si="5"/>
        <v>100</v>
      </c>
      <c r="N27" s="49">
        <f t="shared" si="5"/>
        <v>30</v>
      </c>
      <c r="O27" s="27">
        <f t="shared" si="5"/>
        <v>0</v>
      </c>
      <c r="P27" s="27">
        <f t="shared" si="5"/>
        <v>100</v>
      </c>
      <c r="Q27" s="27">
        <f t="shared" si="5"/>
        <v>0</v>
      </c>
      <c r="R27" s="27">
        <f t="shared" si="5"/>
        <v>20</v>
      </c>
      <c r="S27" s="27">
        <f t="shared" si="5"/>
        <v>0</v>
      </c>
      <c r="T27" s="27">
        <f t="shared" si="5"/>
        <v>0</v>
      </c>
      <c r="U27" s="27">
        <f t="shared" si="5"/>
        <v>0</v>
      </c>
      <c r="V27" s="27">
        <f t="shared" si="5"/>
        <v>0</v>
      </c>
      <c r="W27" s="27">
        <f t="shared" si="5"/>
        <v>0</v>
      </c>
      <c r="X27" s="27">
        <f t="shared" si="5"/>
        <v>30</v>
      </c>
      <c r="Y27" s="27">
        <f t="shared" si="5"/>
        <v>0</v>
      </c>
      <c r="Z27" s="49">
        <f t="shared" si="5"/>
        <v>0</v>
      </c>
      <c r="AA27" s="49">
        <f t="shared" si="5"/>
        <v>90</v>
      </c>
      <c r="AB27" s="27">
        <f t="shared" si="5"/>
        <v>0</v>
      </c>
      <c r="AC27" s="27">
        <f t="shared" si="5"/>
        <v>100</v>
      </c>
      <c r="AD27" s="49">
        <f t="shared" si="5"/>
        <v>20</v>
      </c>
      <c r="AE27" s="49">
        <f t="shared" si="5"/>
        <v>0</v>
      </c>
      <c r="AF27" s="49">
        <f t="shared" si="5"/>
        <v>0</v>
      </c>
      <c r="AG27" s="49">
        <f t="shared" si="5"/>
        <v>40</v>
      </c>
      <c r="AH27" s="49">
        <f t="shared" si="5"/>
        <v>0</v>
      </c>
      <c r="AI27" s="49">
        <f t="shared" si="5"/>
        <v>0</v>
      </c>
      <c r="AJ27" s="27">
        <f t="shared" si="5"/>
        <v>0</v>
      </c>
      <c r="AK27" s="19">
        <f>SUM(AK17:AK26)</f>
        <v>790</v>
      </c>
      <c r="AL27" s="27">
        <f t="shared" ref="AL27:AT27" si="6">SUM(AL18:AL26)</f>
        <v>0</v>
      </c>
      <c r="AM27" s="27">
        <f t="shared" si="6"/>
        <v>0</v>
      </c>
      <c r="AN27" s="28">
        <f t="shared" si="6"/>
        <v>0</v>
      </c>
      <c r="AO27" s="28">
        <f t="shared" si="6"/>
        <v>0</v>
      </c>
      <c r="AP27" s="28">
        <f t="shared" si="6"/>
        <v>0</v>
      </c>
      <c r="AQ27" s="28">
        <f t="shared" si="6"/>
        <v>0</v>
      </c>
      <c r="AR27" s="28">
        <f t="shared" si="6"/>
        <v>0</v>
      </c>
      <c r="AS27" s="28">
        <f t="shared" si="6"/>
        <v>0</v>
      </c>
      <c r="AT27" s="29">
        <f t="shared" si="6"/>
        <v>0</v>
      </c>
      <c r="AU27" s="14"/>
      <c r="AV27" s="14"/>
    </row>
    <row r="28" spans="1:48" ht="16.5" thickTop="1" x14ac:dyDescent="0.25">
      <c r="A28" s="30"/>
      <c r="B28" s="56"/>
      <c r="C28" s="57"/>
      <c r="D28" s="57"/>
      <c r="E28" s="58"/>
      <c r="F28" s="14"/>
      <c r="G28" s="14"/>
      <c r="H28" s="14"/>
      <c r="I28" s="50"/>
      <c r="J28" s="50"/>
      <c r="K28" s="50"/>
      <c r="L28" s="50"/>
      <c r="M28" s="50"/>
      <c r="N28" s="50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50"/>
      <c r="AA28" s="50"/>
      <c r="AB28" s="14"/>
      <c r="AC28" s="14"/>
      <c r="AD28" s="50"/>
      <c r="AE28" s="50"/>
      <c r="AF28" s="50"/>
      <c r="AG28" s="50"/>
      <c r="AH28" s="50"/>
      <c r="AI28" s="50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30"/>
      <c r="B29" s="31" t="s">
        <v>21</v>
      </c>
      <c r="C29" s="32"/>
      <c r="D29" s="32"/>
      <c r="E29" s="32"/>
      <c r="F29" s="14"/>
      <c r="G29" s="14"/>
      <c r="H29" s="14"/>
      <c r="I29" s="50"/>
      <c r="J29" s="50"/>
      <c r="K29" s="50"/>
      <c r="L29" s="50"/>
      <c r="M29" s="50"/>
      <c r="N29" s="5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50"/>
      <c r="AA29" s="50"/>
      <c r="AB29" s="14"/>
      <c r="AC29" s="14"/>
      <c r="AD29" s="50"/>
      <c r="AE29" s="50"/>
      <c r="AF29" s="50"/>
      <c r="AG29" s="50"/>
      <c r="AH29" s="50"/>
      <c r="AI29" s="50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30"/>
      <c r="B30" s="31" t="s">
        <v>22</v>
      </c>
      <c r="C30" s="32"/>
      <c r="D30" s="32"/>
      <c r="E30" s="32"/>
      <c r="F30" s="14"/>
      <c r="G30" s="14"/>
      <c r="H30" s="14"/>
      <c r="I30" s="50"/>
      <c r="J30" s="50"/>
      <c r="K30" s="50"/>
      <c r="L30" s="50"/>
      <c r="M30" s="50"/>
      <c r="N30" s="50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50"/>
      <c r="AA30" s="50"/>
      <c r="AB30" s="14"/>
      <c r="AC30" s="14"/>
      <c r="AD30" s="50"/>
      <c r="AE30" s="50"/>
      <c r="AF30" s="50"/>
      <c r="AG30" s="50"/>
      <c r="AH30" s="50"/>
      <c r="AI30" s="50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x14ac:dyDescent="0.25">
      <c r="A31" s="30"/>
      <c r="B31" s="14" t="s">
        <v>23</v>
      </c>
      <c r="E31" s="14"/>
      <c r="F31" s="14"/>
      <c r="G31" s="14"/>
      <c r="H31" s="14"/>
      <c r="I31" s="50"/>
      <c r="J31" s="50"/>
      <c r="K31" s="50"/>
      <c r="L31" s="50"/>
      <c r="M31" s="50"/>
      <c r="N31" s="50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0"/>
      <c r="AA31" s="50"/>
      <c r="AB31" s="14"/>
      <c r="AC31" s="14"/>
      <c r="AD31" s="50"/>
      <c r="AE31" s="50"/>
      <c r="AF31" s="50"/>
      <c r="AG31" s="50"/>
      <c r="AH31" s="50"/>
      <c r="AI31" s="50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2</v>
      </c>
      <c r="AV31" s="14" t="s">
        <v>2</v>
      </c>
    </row>
    <row r="32" spans="1:48" x14ac:dyDescent="0.25">
      <c r="A32" s="30"/>
      <c r="B32" s="14" t="s">
        <v>24</v>
      </c>
      <c r="E32" s="14"/>
      <c r="F32" s="14">
        <f>(F29+F30)-F31</f>
        <v>0</v>
      </c>
      <c r="G32" s="14">
        <f t="shared" ref="G32:AJ32" si="7">(G29+G30)-G31</f>
        <v>0</v>
      </c>
      <c r="H32" s="14">
        <f t="shared" si="7"/>
        <v>0</v>
      </c>
      <c r="I32" s="50">
        <f t="shared" si="7"/>
        <v>0</v>
      </c>
      <c r="J32" s="50">
        <f t="shared" si="7"/>
        <v>0</v>
      </c>
      <c r="K32" s="50">
        <f t="shared" si="7"/>
        <v>0</v>
      </c>
      <c r="L32" s="50">
        <f t="shared" si="7"/>
        <v>0</v>
      </c>
      <c r="M32" s="50">
        <f t="shared" si="7"/>
        <v>0</v>
      </c>
      <c r="N32" s="50">
        <f t="shared" si="7"/>
        <v>0</v>
      </c>
      <c r="O32" s="14">
        <f t="shared" si="7"/>
        <v>0</v>
      </c>
      <c r="P32" s="14">
        <f t="shared" si="7"/>
        <v>0</v>
      </c>
      <c r="Q32" s="14">
        <f t="shared" si="7"/>
        <v>0</v>
      </c>
      <c r="R32" s="14">
        <f t="shared" si="7"/>
        <v>0</v>
      </c>
      <c r="S32" s="14">
        <f t="shared" si="7"/>
        <v>0</v>
      </c>
      <c r="T32" s="14">
        <f t="shared" si="7"/>
        <v>0</v>
      </c>
      <c r="U32" s="14">
        <f t="shared" si="7"/>
        <v>0</v>
      </c>
      <c r="V32" s="14">
        <f t="shared" si="7"/>
        <v>0</v>
      </c>
      <c r="W32" s="14">
        <f t="shared" si="7"/>
        <v>0</v>
      </c>
      <c r="X32" s="14">
        <f t="shared" si="7"/>
        <v>0</v>
      </c>
      <c r="Y32" s="14">
        <f t="shared" si="7"/>
        <v>0</v>
      </c>
      <c r="Z32" s="50">
        <f t="shared" si="7"/>
        <v>0</v>
      </c>
      <c r="AA32" s="50">
        <f t="shared" si="7"/>
        <v>0</v>
      </c>
      <c r="AB32" s="14">
        <f t="shared" si="7"/>
        <v>0</v>
      </c>
      <c r="AC32" s="14">
        <f t="shared" si="7"/>
        <v>0</v>
      </c>
      <c r="AD32" s="50">
        <f t="shared" si="7"/>
        <v>0</v>
      </c>
      <c r="AE32" s="50">
        <f t="shared" si="7"/>
        <v>0</v>
      </c>
      <c r="AF32" s="50">
        <f t="shared" si="7"/>
        <v>0</v>
      </c>
      <c r="AG32" s="50">
        <f t="shared" si="7"/>
        <v>0</v>
      </c>
      <c r="AH32" s="50">
        <f t="shared" si="7"/>
        <v>0</v>
      </c>
      <c r="AI32" s="50">
        <f t="shared" si="7"/>
        <v>0</v>
      </c>
      <c r="AJ32" s="14">
        <f t="shared" si="7"/>
        <v>0</v>
      </c>
      <c r="AK32" s="14"/>
      <c r="AL32" s="14"/>
      <c r="AM32" s="30"/>
      <c r="AN32" s="30"/>
      <c r="AO32" s="30"/>
      <c r="AP32" s="30"/>
      <c r="AQ32" s="14"/>
      <c r="AR32" s="14"/>
      <c r="AS32" s="33"/>
      <c r="AT32" s="14"/>
      <c r="AU32" s="14"/>
      <c r="AV32" s="14"/>
    </row>
    <row r="33" spans="1:48" x14ac:dyDescent="0.25">
      <c r="A33" s="30"/>
      <c r="B33" s="14" t="s">
        <v>2</v>
      </c>
      <c r="C33" s="14"/>
      <c r="D33" s="14"/>
      <c r="E33" s="14"/>
      <c r="F33" s="14"/>
      <c r="G33" s="14"/>
      <c r="H33" s="14"/>
      <c r="I33" s="50"/>
      <c r="J33" s="50"/>
      <c r="K33" s="50"/>
      <c r="L33" s="50"/>
      <c r="M33" s="50"/>
      <c r="N33" s="50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50"/>
      <c r="AA33" s="50"/>
      <c r="AB33" s="14"/>
      <c r="AC33" s="14"/>
      <c r="AD33" s="50"/>
      <c r="AE33" s="50"/>
      <c r="AF33" s="50"/>
      <c r="AG33" s="50"/>
      <c r="AH33" s="50"/>
      <c r="AI33" s="50"/>
      <c r="AJ33" s="14"/>
      <c r="AK33" s="30"/>
      <c r="AL33" s="30"/>
      <c r="AM33" s="30"/>
      <c r="AN33" s="30"/>
      <c r="AO33" s="30"/>
      <c r="AP33" s="30"/>
      <c r="AQ33" s="14"/>
      <c r="AR33" s="14"/>
      <c r="AS33" s="33"/>
      <c r="AT33" s="14"/>
      <c r="AU33" s="14"/>
      <c r="AV33" s="14"/>
    </row>
    <row r="34" spans="1:48" ht="16.5" thickBot="1" x14ac:dyDescent="0.3">
      <c r="A34" s="30"/>
      <c r="B34" s="14" t="s">
        <v>25</v>
      </c>
      <c r="C34" s="14"/>
      <c r="D34" s="14"/>
      <c r="E34" s="14"/>
      <c r="F34" s="14"/>
      <c r="G34" s="14"/>
      <c r="H34" s="14"/>
      <c r="I34" s="50"/>
      <c r="J34" s="50"/>
      <c r="K34" s="50"/>
      <c r="L34" s="50"/>
      <c r="M34" s="50"/>
      <c r="N34" s="50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50"/>
      <c r="AA34" s="50"/>
      <c r="AB34" s="14"/>
      <c r="AC34" s="14"/>
      <c r="AD34" s="50"/>
      <c r="AE34" s="50"/>
      <c r="AF34" s="50"/>
      <c r="AG34" s="50"/>
      <c r="AH34" s="50"/>
      <c r="AI34" s="50"/>
      <c r="AJ34" s="14"/>
      <c r="AK34" s="2"/>
      <c r="AL34" s="2"/>
      <c r="AM34" s="2"/>
      <c r="AN34" s="2"/>
      <c r="AO34" s="30"/>
      <c r="AP34" s="30"/>
      <c r="AQ34" s="2" t="s">
        <v>26</v>
      </c>
      <c r="AR34" s="30"/>
      <c r="AS34" s="30"/>
      <c r="AT34" s="34">
        <v>0</v>
      </c>
      <c r="AU34" s="14"/>
      <c r="AV34" s="14"/>
    </row>
    <row r="35" spans="1:48" ht="16.5" thickTop="1" x14ac:dyDescent="0.25">
      <c r="A35" s="30"/>
      <c r="B35" s="14" t="s">
        <v>27</v>
      </c>
      <c r="C35" s="14"/>
      <c r="D35" s="14"/>
      <c r="E35" s="14"/>
      <c r="F35" s="14"/>
      <c r="G35" s="14"/>
      <c r="H35" s="14"/>
      <c r="I35" s="50"/>
      <c r="J35" s="50"/>
      <c r="K35" s="50"/>
      <c r="L35" s="50"/>
      <c r="M35" s="50"/>
      <c r="N35" s="50"/>
      <c r="O35" s="14"/>
      <c r="P35" s="14"/>
      <c r="Q35" s="53"/>
      <c r="R35" s="54" t="s">
        <v>64</v>
      </c>
      <c r="S35" s="14"/>
      <c r="T35" s="14"/>
      <c r="U35" s="14"/>
      <c r="V35" s="14"/>
      <c r="W35" s="14"/>
      <c r="X35" s="14"/>
      <c r="Y35" s="14"/>
      <c r="Z35" s="50"/>
      <c r="AA35" s="50"/>
      <c r="AB35" s="14"/>
      <c r="AC35" s="14"/>
      <c r="AD35" s="50"/>
      <c r="AE35" s="50"/>
      <c r="AF35" s="50"/>
      <c r="AG35" s="50"/>
      <c r="AH35" s="50"/>
      <c r="AI35" s="50"/>
      <c r="AJ35" s="14"/>
      <c r="AK35" s="2"/>
      <c r="AL35" s="2"/>
      <c r="AM35" s="2"/>
      <c r="AN35" s="31"/>
      <c r="AO35" s="30"/>
      <c r="AP35" s="30"/>
      <c r="AQ35" s="2" t="s">
        <v>28</v>
      </c>
      <c r="AR35" s="30"/>
      <c r="AS35" s="30"/>
      <c r="AT35" s="30">
        <f>AT31-AT34</f>
        <v>0</v>
      </c>
      <c r="AU35" s="14"/>
      <c r="AV35" s="14"/>
    </row>
    <row r="36" spans="1:48" x14ac:dyDescent="0.25">
      <c r="A36" s="30"/>
      <c r="B36" s="14" t="s">
        <v>29</v>
      </c>
      <c r="C36" s="14"/>
      <c r="D36" s="14"/>
      <c r="E36" s="14"/>
      <c r="F36" s="14"/>
      <c r="G36" s="14"/>
      <c r="H36" s="14"/>
      <c r="I36" s="50"/>
      <c r="J36" s="50"/>
      <c r="K36" s="50"/>
      <c r="L36" s="50"/>
      <c r="M36" s="50"/>
      <c r="N36" s="50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50"/>
      <c r="AA36" s="50"/>
      <c r="AB36" s="14"/>
      <c r="AC36" s="14"/>
      <c r="AD36" s="50"/>
      <c r="AE36" s="50"/>
      <c r="AF36" s="50"/>
      <c r="AG36" s="50"/>
      <c r="AH36" s="50"/>
      <c r="AI36" s="50"/>
      <c r="AJ36" s="14"/>
      <c r="AK36" s="30"/>
      <c r="AL36" s="30"/>
      <c r="AM36" s="30"/>
      <c r="AN36" s="30"/>
      <c r="AO36" s="30"/>
      <c r="AP36" s="30"/>
      <c r="AQ36" s="14"/>
      <c r="AR36" s="14"/>
      <c r="AS36" s="33"/>
      <c r="AT36" s="14"/>
      <c r="AU36" s="14"/>
      <c r="AV36" s="14"/>
    </row>
    <row r="37" spans="1:48" ht="16.5" thickBot="1" x14ac:dyDescent="0.3">
      <c r="A37" s="30"/>
      <c r="B37" s="14" t="s">
        <v>30</v>
      </c>
      <c r="C37" s="14"/>
      <c r="D37" s="14"/>
      <c r="E37" s="35"/>
      <c r="F37" s="14"/>
      <c r="G37" s="14"/>
      <c r="H37" s="14"/>
      <c r="I37" s="50"/>
      <c r="J37" s="50"/>
      <c r="K37" s="50"/>
      <c r="L37" s="50"/>
      <c r="M37" s="50"/>
      <c r="N37" s="50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50"/>
      <c r="AA37" s="50"/>
      <c r="AB37" s="14"/>
      <c r="AC37" s="14"/>
      <c r="AD37" s="50"/>
      <c r="AE37" s="50"/>
      <c r="AF37" s="50"/>
      <c r="AG37" s="50"/>
      <c r="AH37" s="50"/>
      <c r="AI37" s="50"/>
      <c r="AJ37" s="14"/>
      <c r="AK37" s="30"/>
      <c r="AL37" s="30"/>
      <c r="AM37" s="30"/>
      <c r="AN37" s="30"/>
      <c r="AO37" s="30"/>
      <c r="AP37" s="30"/>
      <c r="AQ37" s="14"/>
      <c r="AR37" s="14"/>
      <c r="AS37" s="33"/>
      <c r="AT37" s="14"/>
      <c r="AU37" s="14"/>
      <c r="AV37" s="14"/>
    </row>
    <row r="38" spans="1:48" ht="16.5" thickTop="1" x14ac:dyDescent="0.25">
      <c r="A38" s="30"/>
      <c r="F38" s="14"/>
      <c r="G38" s="14"/>
      <c r="H38" s="14"/>
      <c r="I38" s="50"/>
      <c r="J38" s="50"/>
      <c r="K38" s="50"/>
      <c r="L38" s="50"/>
      <c r="M38" s="50"/>
      <c r="N38" s="50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50"/>
      <c r="AA38" s="50"/>
      <c r="AB38" s="14"/>
      <c r="AC38" s="14"/>
      <c r="AD38" s="50"/>
      <c r="AE38" s="50"/>
      <c r="AF38" s="50"/>
      <c r="AG38" s="50"/>
      <c r="AH38" s="50"/>
      <c r="AI38" s="50"/>
      <c r="AJ38" s="14"/>
      <c r="AK38" s="30"/>
      <c r="AL38" s="30"/>
      <c r="AM38" s="30"/>
      <c r="AN38" s="30"/>
      <c r="AO38" s="30"/>
      <c r="AP38" s="30"/>
      <c r="AQ38" s="14"/>
      <c r="AR38" s="14"/>
      <c r="AS38" s="33"/>
      <c r="AT38" s="14"/>
      <c r="AU38" s="14"/>
      <c r="AV38" s="14"/>
    </row>
    <row r="39" spans="1:48" x14ac:dyDescent="0.25">
      <c r="A39" s="36"/>
      <c r="C39" s="14"/>
      <c r="D39" s="14"/>
      <c r="E39" s="37"/>
      <c r="K39" s="50"/>
      <c r="M39" s="51"/>
      <c r="N39" s="50"/>
      <c r="P39" s="14"/>
      <c r="Q39" s="14"/>
      <c r="R39" s="14"/>
      <c r="U39" s="38"/>
      <c r="V39" s="14"/>
      <c r="W39" s="14"/>
      <c r="X39" s="14"/>
      <c r="Y39" s="14"/>
      <c r="Z39" s="50"/>
      <c r="AA39" s="50"/>
      <c r="AB39" s="38"/>
      <c r="AC39" s="14"/>
      <c r="AD39" s="50"/>
      <c r="AE39" s="50"/>
      <c r="AF39" s="50"/>
      <c r="AG39" s="50"/>
      <c r="AH39" s="51"/>
      <c r="AI39" s="50"/>
      <c r="AJ39" s="14"/>
      <c r="AK39" s="14"/>
      <c r="AL39" s="30"/>
      <c r="AM39" s="30"/>
      <c r="AN39" s="30"/>
      <c r="AO39" s="30"/>
      <c r="AP39" s="30"/>
      <c r="AQ39" s="14"/>
      <c r="AR39" s="14"/>
      <c r="AS39" s="33"/>
      <c r="AT39" s="14"/>
      <c r="AU39" s="14"/>
      <c r="AV39" s="14"/>
    </row>
    <row r="40" spans="1:48" x14ac:dyDescent="0.25">
      <c r="A40" s="14"/>
      <c r="C40" s="14"/>
      <c r="D40" s="14"/>
      <c r="E40" s="37"/>
      <c r="K40" s="50"/>
      <c r="M40" s="51"/>
      <c r="N40" s="50"/>
      <c r="P40" s="14"/>
      <c r="Q40" s="14"/>
      <c r="R40" s="14"/>
      <c r="U40" s="38"/>
      <c r="V40" s="14"/>
      <c r="W40" s="14"/>
      <c r="X40" s="14"/>
      <c r="Y40" s="14"/>
      <c r="Z40" s="50"/>
      <c r="AA40" s="50"/>
      <c r="AB40" s="38"/>
      <c r="AC40" s="14"/>
      <c r="AD40" s="50"/>
      <c r="AE40" s="50"/>
      <c r="AF40" s="50"/>
      <c r="AG40" s="50"/>
      <c r="AH40" s="51"/>
      <c r="AI40" s="50"/>
      <c r="AJ40" s="14"/>
      <c r="AK40" s="14"/>
      <c r="AL40" s="30"/>
      <c r="AM40" s="30"/>
      <c r="AN40" s="30"/>
      <c r="AO40" s="30"/>
      <c r="AP40" s="30"/>
      <c r="AQ40" s="14"/>
      <c r="AR40" s="14"/>
      <c r="AS40" s="33"/>
      <c r="AT40" s="14"/>
      <c r="AU40" s="14"/>
      <c r="AV40" s="14"/>
    </row>
    <row r="41" spans="1:48" x14ac:dyDescent="0.25">
      <c r="A41" s="14"/>
      <c r="C41" s="14"/>
      <c r="D41" s="14"/>
      <c r="E41" s="37"/>
      <c r="K41" s="50"/>
      <c r="M41" s="51"/>
      <c r="N41" s="50"/>
      <c r="P41" s="14"/>
      <c r="Q41" s="14"/>
      <c r="R41" s="14"/>
      <c r="U41" s="38"/>
      <c r="V41" s="14"/>
      <c r="W41" s="14"/>
      <c r="X41" s="14"/>
      <c r="Y41" s="14"/>
      <c r="Z41" s="50"/>
      <c r="AA41" s="50"/>
      <c r="AB41" s="38"/>
      <c r="AC41" s="14"/>
      <c r="AD41" s="50"/>
      <c r="AE41" s="50"/>
      <c r="AF41" s="50"/>
      <c r="AG41" s="50"/>
      <c r="AH41" s="51"/>
      <c r="AI41" s="50"/>
      <c r="AJ41" s="14"/>
      <c r="AK41" s="14"/>
      <c r="AL41" s="30"/>
      <c r="AM41" s="30"/>
      <c r="AN41" s="30"/>
      <c r="AO41" s="30"/>
      <c r="AP41" s="30"/>
      <c r="AQ41" s="14"/>
      <c r="AR41" s="14"/>
      <c r="AS41" s="33"/>
      <c r="AT41" s="14"/>
      <c r="AU41" s="14"/>
      <c r="AV41" s="14"/>
    </row>
    <row r="42" spans="1:48" x14ac:dyDescent="0.25">
      <c r="A42" s="14"/>
      <c r="C42" s="14"/>
      <c r="D42" s="14"/>
      <c r="E42" s="37"/>
      <c r="K42" s="50"/>
      <c r="M42" s="51"/>
      <c r="N42" s="50"/>
      <c r="P42" s="14"/>
      <c r="Q42" s="14"/>
      <c r="R42" s="14"/>
      <c r="U42" s="38"/>
      <c r="V42" s="14"/>
      <c r="W42" s="14"/>
      <c r="X42" s="14"/>
      <c r="Y42" s="14"/>
      <c r="Z42" s="50"/>
      <c r="AA42" s="50"/>
      <c r="AB42" s="38"/>
      <c r="AC42" s="14"/>
      <c r="AD42" s="50"/>
      <c r="AE42" s="50"/>
      <c r="AF42" s="50"/>
      <c r="AG42" s="50"/>
      <c r="AH42" s="51"/>
      <c r="AI42" s="50"/>
      <c r="AJ42" s="14"/>
      <c r="AK42" s="14"/>
      <c r="AL42" s="30"/>
      <c r="AM42" s="30"/>
      <c r="AN42" s="30"/>
      <c r="AO42" s="30"/>
      <c r="AP42" s="30"/>
      <c r="AQ42" s="14"/>
      <c r="AR42" s="14"/>
      <c r="AS42" s="33"/>
      <c r="AT42" s="14"/>
      <c r="AU42" s="14"/>
      <c r="AV42" s="14"/>
    </row>
  </sheetData>
  <mergeCells count="19">
    <mergeCell ref="B28:E28"/>
    <mergeCell ref="AQ3:AQ4"/>
    <mergeCell ref="AR3:AR4"/>
    <mergeCell ref="AS3:AS4"/>
    <mergeCell ref="AT3:AT4"/>
    <mergeCell ref="B16:E16"/>
    <mergeCell ref="B27:E27"/>
    <mergeCell ref="AK3:AK4"/>
    <mergeCell ref="AL3:AL4"/>
    <mergeCell ref="AM3:AM4"/>
    <mergeCell ref="AN3:AN4"/>
    <mergeCell ref="AO3:AO4"/>
    <mergeCell ref="AP3:AP4"/>
    <mergeCell ref="F3:AJ3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2"/>
  <sheetViews>
    <sheetView tabSelected="1" topLeftCell="J1" zoomScale="80" zoomScaleNormal="80" workbookViewId="0">
      <selection activeCell="AG6" sqref="AG6"/>
    </sheetView>
  </sheetViews>
  <sheetFormatPr defaultColWidth="9.140625" defaultRowHeight="15.75" x14ac:dyDescent="0.25"/>
  <cols>
    <col min="1" max="1" width="4.140625" style="4" customWidth="1"/>
    <col min="2" max="2" width="12.7109375" style="2" customWidth="1"/>
    <col min="3" max="3" width="17.140625" style="2" customWidth="1"/>
    <col min="4" max="4" width="27.85546875" style="2" customWidth="1"/>
    <col min="5" max="5" width="9" style="2" customWidth="1"/>
    <col min="6" max="6" width="5.42578125" style="2" customWidth="1"/>
    <col min="7" max="7" width="5.7109375" style="2" customWidth="1"/>
    <col min="8" max="8" width="4.7109375" style="2" customWidth="1"/>
    <col min="9" max="9" width="6" style="43" customWidth="1"/>
    <col min="10" max="10" width="5.42578125" style="43" customWidth="1"/>
    <col min="11" max="11" width="5.7109375" style="43" customWidth="1"/>
    <col min="12" max="12" width="5.5703125" style="43" customWidth="1"/>
    <col min="13" max="13" width="5.85546875" style="43" customWidth="1"/>
    <col min="14" max="14" width="5.7109375" style="43" customWidth="1"/>
    <col min="15" max="15" width="5.5703125" style="2" customWidth="1"/>
    <col min="16" max="16" width="5.42578125" style="2" customWidth="1"/>
    <col min="17" max="17" width="5.7109375" style="2" customWidth="1"/>
    <col min="18" max="18" width="6" style="2" customWidth="1"/>
    <col min="19" max="19" width="5.42578125" style="2" customWidth="1"/>
    <col min="20" max="20" width="6" style="2" customWidth="1"/>
    <col min="21" max="21" width="6.140625" style="2" customWidth="1"/>
    <col min="22" max="22" width="5.7109375" style="2" customWidth="1"/>
    <col min="23" max="23" width="5.42578125" style="2" customWidth="1"/>
    <col min="24" max="24" width="5.7109375" style="2" customWidth="1"/>
    <col min="25" max="25" width="5.42578125" style="2" customWidth="1"/>
    <col min="26" max="26" width="5.7109375" style="43" customWidth="1"/>
    <col min="27" max="27" width="5.42578125" style="43" customWidth="1"/>
    <col min="28" max="28" width="5.42578125" style="2" customWidth="1"/>
    <col min="29" max="29" width="5.7109375" style="2" customWidth="1"/>
    <col min="30" max="33" width="5.42578125" style="43" customWidth="1"/>
    <col min="34" max="35" width="5.7109375" style="43" customWidth="1"/>
    <col min="36" max="36" width="5.42578125" style="2" customWidth="1"/>
    <col min="37" max="37" width="8.42578125" style="4" customWidth="1"/>
    <col min="38" max="38" width="7.5703125" style="4" customWidth="1"/>
    <col min="39" max="39" width="7.28515625" style="4" customWidth="1"/>
    <col min="40" max="40" width="8" style="4" customWidth="1"/>
    <col min="41" max="41" width="7.5703125" style="4" customWidth="1"/>
    <col min="42" max="42" width="10.42578125" style="4" customWidth="1"/>
    <col min="43" max="44" width="11.7109375" style="2" customWidth="1"/>
    <col min="45" max="45" width="8.7109375" style="5" customWidth="1"/>
    <col min="46" max="46" width="13.28515625" style="2" customWidth="1"/>
    <col min="47" max="16384" width="9.140625" style="2"/>
  </cols>
  <sheetData>
    <row r="1" spans="1:48" x14ac:dyDescent="0.25">
      <c r="A1" s="1" t="s">
        <v>0</v>
      </c>
      <c r="E1" s="3" t="s">
        <v>1</v>
      </c>
      <c r="R1" s="3"/>
    </row>
    <row r="2" spans="1:48" x14ac:dyDescent="0.25">
      <c r="A2" s="1" t="s">
        <v>31</v>
      </c>
      <c r="D2" s="2" t="s">
        <v>32</v>
      </c>
      <c r="E2" s="3" t="s">
        <v>67</v>
      </c>
      <c r="R2" s="3" t="s">
        <v>2</v>
      </c>
    </row>
    <row r="3" spans="1:48" x14ac:dyDescent="0.25">
      <c r="A3" s="59" t="s">
        <v>3</v>
      </c>
      <c r="B3" s="59" t="s">
        <v>4</v>
      </c>
      <c r="C3" s="59" t="s">
        <v>5</v>
      </c>
      <c r="D3" s="59" t="s">
        <v>6</v>
      </c>
      <c r="E3" s="59" t="s">
        <v>7</v>
      </c>
      <c r="F3" s="66" t="s">
        <v>8</v>
      </c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8"/>
      <c r="AK3" s="59" t="s">
        <v>9</v>
      </c>
      <c r="AL3" s="59" t="s">
        <v>10</v>
      </c>
      <c r="AM3" s="59" t="s">
        <v>11</v>
      </c>
      <c r="AN3" s="59" t="s">
        <v>12</v>
      </c>
      <c r="AO3" s="59" t="s">
        <v>13</v>
      </c>
      <c r="AP3" s="59" t="s">
        <v>14</v>
      </c>
      <c r="AQ3" s="59" t="s">
        <v>15</v>
      </c>
      <c r="AR3" s="59" t="s">
        <v>16</v>
      </c>
      <c r="AS3" s="61" t="s">
        <v>17</v>
      </c>
      <c r="AT3" s="59" t="s">
        <v>18</v>
      </c>
    </row>
    <row r="4" spans="1:48" s="7" customFormat="1" ht="27" customHeight="1" x14ac:dyDescent="0.25">
      <c r="A4" s="60"/>
      <c r="B4" s="60"/>
      <c r="C4" s="60"/>
      <c r="D4" s="60"/>
      <c r="E4" s="60"/>
      <c r="F4" s="6">
        <v>1</v>
      </c>
      <c r="G4" s="6">
        <v>2</v>
      </c>
      <c r="H4" s="6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6">
        <v>10</v>
      </c>
      <c r="P4" s="6">
        <v>11</v>
      </c>
      <c r="Q4" s="6">
        <v>12</v>
      </c>
      <c r="R4" s="6">
        <v>13</v>
      </c>
      <c r="S4" s="6">
        <v>14</v>
      </c>
      <c r="T4" s="6">
        <v>15</v>
      </c>
      <c r="U4" s="6">
        <v>16</v>
      </c>
      <c r="V4" s="6">
        <v>17</v>
      </c>
      <c r="W4" s="6">
        <v>18</v>
      </c>
      <c r="X4" s="6">
        <v>19</v>
      </c>
      <c r="Y4" s="6">
        <v>20</v>
      </c>
      <c r="Z4" s="44">
        <v>21</v>
      </c>
      <c r="AA4" s="44">
        <v>22</v>
      </c>
      <c r="AB4" s="6">
        <v>23</v>
      </c>
      <c r="AC4" s="6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4">
        <v>30</v>
      </c>
      <c r="AJ4" s="6">
        <v>31</v>
      </c>
      <c r="AK4" s="60"/>
      <c r="AL4" s="60"/>
      <c r="AM4" s="60"/>
      <c r="AN4" s="60"/>
      <c r="AO4" s="60"/>
      <c r="AP4" s="60"/>
      <c r="AQ4" s="60"/>
      <c r="AR4" s="60"/>
      <c r="AS4" s="62"/>
      <c r="AT4" s="60"/>
    </row>
    <row r="5" spans="1:48" x14ac:dyDescent="0.25">
      <c r="A5" s="8">
        <v>1</v>
      </c>
      <c r="B5" s="9" t="s">
        <v>42</v>
      </c>
      <c r="C5" s="9" t="s">
        <v>43</v>
      </c>
      <c r="D5" s="9" t="s">
        <v>44</v>
      </c>
      <c r="E5" s="40"/>
      <c r="F5" s="11"/>
      <c r="G5" s="11"/>
      <c r="H5" s="11"/>
      <c r="I5" s="45"/>
      <c r="J5" s="45"/>
      <c r="K5" s="45"/>
      <c r="L5" s="45"/>
      <c r="M5" s="45"/>
      <c r="N5" s="45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45"/>
      <c r="AA5" s="45"/>
      <c r="AB5" s="11"/>
      <c r="AC5" s="11"/>
      <c r="AD5" s="45"/>
      <c r="AE5" s="45"/>
      <c r="AF5" s="45"/>
      <c r="AG5" s="45"/>
      <c r="AH5" s="45"/>
      <c r="AI5" s="45"/>
      <c r="AJ5" s="11"/>
      <c r="AK5" s="8">
        <f>SUM(F5:AJ5)</f>
        <v>0</v>
      </c>
      <c r="AL5" s="11"/>
      <c r="AM5" s="8"/>
      <c r="AN5" s="8"/>
      <c r="AO5" s="8"/>
      <c r="AP5" s="8"/>
      <c r="AQ5" s="10"/>
      <c r="AR5" s="10"/>
      <c r="AS5" s="12"/>
      <c r="AT5" s="13">
        <f>AS5*AM5</f>
        <v>0</v>
      </c>
      <c r="AU5" s="14"/>
      <c r="AV5" s="14"/>
    </row>
    <row r="6" spans="1:48" x14ac:dyDescent="0.25">
      <c r="A6" s="8">
        <v>2</v>
      </c>
      <c r="B6" s="9" t="s">
        <v>65</v>
      </c>
      <c r="C6" s="9" t="s">
        <v>66</v>
      </c>
      <c r="D6" s="9" t="s">
        <v>44</v>
      </c>
      <c r="E6" s="39"/>
      <c r="F6" s="11"/>
      <c r="G6" s="11"/>
      <c r="H6" s="11"/>
      <c r="I6" s="45"/>
      <c r="J6" s="45">
        <v>20</v>
      </c>
      <c r="K6" s="45"/>
      <c r="L6" s="45"/>
      <c r="M6" s="45"/>
      <c r="N6" s="45">
        <v>20</v>
      </c>
      <c r="O6" s="11"/>
      <c r="P6" s="11"/>
      <c r="Q6" s="11"/>
      <c r="R6" s="11"/>
      <c r="S6" s="11"/>
      <c r="T6" s="11"/>
      <c r="U6" s="11"/>
      <c r="V6" s="11">
        <v>20</v>
      </c>
      <c r="W6" s="11"/>
      <c r="X6" s="11"/>
      <c r="Y6" s="11"/>
      <c r="Z6" s="45"/>
      <c r="AA6" s="45"/>
      <c r="AB6" s="11"/>
      <c r="AC6" s="11"/>
      <c r="AD6" s="45"/>
      <c r="AE6" s="45"/>
      <c r="AF6" s="45"/>
      <c r="AG6" s="45"/>
      <c r="AH6" s="45"/>
      <c r="AI6" s="45"/>
      <c r="AJ6" s="11"/>
      <c r="AK6" s="8">
        <f t="shared" ref="AK6:AK26" si="0">SUM(F6:AJ6)</f>
        <v>60</v>
      </c>
      <c r="AL6" s="11"/>
      <c r="AM6" s="55"/>
      <c r="AN6" s="55"/>
      <c r="AO6" s="55"/>
      <c r="AP6" s="55"/>
      <c r="AQ6" s="39"/>
      <c r="AR6" s="39"/>
      <c r="AS6" s="41"/>
      <c r="AT6" s="13">
        <f t="shared" ref="AT6:AT15" si="1">AS6*AM6</f>
        <v>0</v>
      </c>
      <c r="AU6" s="14"/>
      <c r="AV6" s="14"/>
    </row>
    <row r="7" spans="1:48" x14ac:dyDescent="0.25">
      <c r="A7" s="8">
        <v>3</v>
      </c>
      <c r="B7" s="9" t="s">
        <v>45</v>
      </c>
      <c r="C7" s="9" t="s">
        <v>45</v>
      </c>
      <c r="D7" s="9" t="s">
        <v>46</v>
      </c>
      <c r="E7" s="39"/>
      <c r="F7" s="11"/>
      <c r="G7" s="11"/>
      <c r="H7" s="11"/>
      <c r="I7" s="45"/>
      <c r="J7" s="45"/>
      <c r="K7" s="45"/>
      <c r="L7" s="45"/>
      <c r="M7" s="45">
        <v>30</v>
      </c>
      <c r="N7" s="45">
        <v>20</v>
      </c>
      <c r="O7" s="11">
        <v>10</v>
      </c>
      <c r="P7" s="11">
        <v>20</v>
      </c>
      <c r="Q7" s="11">
        <v>20</v>
      </c>
      <c r="R7" s="11">
        <v>20</v>
      </c>
      <c r="S7" s="11"/>
      <c r="T7" s="11"/>
      <c r="U7" s="11"/>
      <c r="V7" s="11"/>
      <c r="W7" s="11"/>
      <c r="X7" s="11"/>
      <c r="Y7" s="11"/>
      <c r="Z7" s="45"/>
      <c r="AA7" s="45"/>
      <c r="AB7" s="11"/>
      <c r="AC7" s="11"/>
      <c r="AD7" s="45"/>
      <c r="AE7" s="45"/>
      <c r="AF7" s="45">
        <v>10</v>
      </c>
      <c r="AG7" s="45"/>
      <c r="AH7" s="45"/>
      <c r="AI7" s="45"/>
      <c r="AJ7" s="11"/>
      <c r="AK7" s="8">
        <f t="shared" si="0"/>
        <v>130</v>
      </c>
      <c r="AL7" s="11"/>
      <c r="AM7" s="11"/>
      <c r="AN7" s="11"/>
      <c r="AO7" s="11"/>
      <c r="AP7" s="11"/>
      <c r="AQ7" s="15"/>
      <c r="AR7" s="9"/>
      <c r="AS7" s="20"/>
      <c r="AT7" s="13">
        <f t="shared" si="1"/>
        <v>0</v>
      </c>
      <c r="AU7" s="14"/>
      <c r="AV7" s="14"/>
    </row>
    <row r="8" spans="1:48" x14ac:dyDescent="0.25">
      <c r="A8" s="8">
        <v>4</v>
      </c>
      <c r="B8" s="9" t="s">
        <v>50</v>
      </c>
      <c r="C8" s="9" t="s">
        <v>50</v>
      </c>
      <c r="D8" s="9" t="s">
        <v>51</v>
      </c>
      <c r="E8" s="9"/>
      <c r="F8" s="11"/>
      <c r="G8" s="11"/>
      <c r="H8" s="11"/>
      <c r="I8" s="45"/>
      <c r="J8" s="45"/>
      <c r="K8" s="45"/>
      <c r="L8" s="45"/>
      <c r="M8" s="45"/>
      <c r="N8" s="45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45"/>
      <c r="AA8" s="45"/>
      <c r="AB8" s="11"/>
      <c r="AC8" s="11"/>
      <c r="AD8" s="45"/>
      <c r="AE8" s="45"/>
      <c r="AF8" s="45"/>
      <c r="AG8" s="45"/>
      <c r="AH8" s="45"/>
      <c r="AI8" s="45"/>
      <c r="AJ8" s="11"/>
      <c r="AK8" s="8">
        <f t="shared" si="0"/>
        <v>0</v>
      </c>
      <c r="AL8" s="11"/>
      <c r="AM8" s="11"/>
      <c r="AN8" s="11"/>
      <c r="AO8" s="11"/>
      <c r="AP8" s="11"/>
      <c r="AQ8" s="15"/>
      <c r="AR8" s="9"/>
      <c r="AS8" s="41"/>
      <c r="AT8" s="13">
        <f t="shared" si="1"/>
        <v>0</v>
      </c>
      <c r="AU8" s="14"/>
      <c r="AV8" s="14"/>
    </row>
    <row r="9" spans="1:48" x14ac:dyDescent="0.25">
      <c r="A9" s="8">
        <v>5</v>
      </c>
      <c r="B9" s="9" t="s">
        <v>39</v>
      </c>
      <c r="C9" s="9" t="s">
        <v>40</v>
      </c>
      <c r="D9" s="9" t="s">
        <v>41</v>
      </c>
      <c r="E9" s="25"/>
      <c r="F9" s="11"/>
      <c r="G9" s="11"/>
      <c r="H9" s="11">
        <v>40</v>
      </c>
      <c r="I9" s="45"/>
      <c r="J9" s="45"/>
      <c r="K9" s="45"/>
      <c r="L9" s="45">
        <f>40+40</f>
        <v>80</v>
      </c>
      <c r="M9" s="45">
        <v>40</v>
      </c>
      <c r="N9" s="45">
        <v>60</v>
      </c>
      <c r="O9" s="11"/>
      <c r="P9" s="11"/>
      <c r="Q9" s="11"/>
      <c r="R9" s="11">
        <v>40</v>
      </c>
      <c r="S9" s="11">
        <v>60</v>
      </c>
      <c r="T9" s="11"/>
      <c r="U9" s="11"/>
      <c r="V9" s="11">
        <v>60</v>
      </c>
      <c r="W9" s="11">
        <v>40</v>
      </c>
      <c r="X9" s="11"/>
      <c r="Y9" s="11">
        <f>40+80</f>
        <v>120</v>
      </c>
      <c r="Z9" s="45">
        <v>60</v>
      </c>
      <c r="AA9" s="45">
        <v>40</v>
      </c>
      <c r="AB9" s="11">
        <f>40+40+60</f>
        <v>140</v>
      </c>
      <c r="AC9" s="11"/>
      <c r="AD9" s="45">
        <v>60</v>
      </c>
      <c r="AE9" s="45">
        <v>60</v>
      </c>
      <c r="AF9" s="45">
        <v>40</v>
      </c>
      <c r="AG9" s="45"/>
      <c r="AH9" s="45"/>
      <c r="AI9" s="45"/>
      <c r="AJ9" s="11"/>
      <c r="AK9" s="8">
        <f t="shared" si="0"/>
        <v>940</v>
      </c>
      <c r="AL9" s="11"/>
      <c r="AM9" s="11"/>
      <c r="AN9" s="11"/>
      <c r="AO9" s="11"/>
      <c r="AP9" s="11"/>
      <c r="AQ9" s="15"/>
      <c r="AR9" s="9"/>
      <c r="AS9" s="42"/>
      <c r="AT9" s="13">
        <f t="shared" si="1"/>
        <v>0</v>
      </c>
      <c r="AU9" s="14"/>
      <c r="AV9" s="14"/>
    </row>
    <row r="10" spans="1:48" x14ac:dyDescent="0.25">
      <c r="A10" s="8">
        <v>6</v>
      </c>
      <c r="B10" s="9" t="s">
        <v>53</v>
      </c>
      <c r="C10" s="9" t="s">
        <v>54</v>
      </c>
      <c r="D10" s="9" t="s">
        <v>55</v>
      </c>
      <c r="E10" s="9"/>
      <c r="F10" s="11"/>
      <c r="G10" s="11"/>
      <c r="H10" s="11">
        <v>20</v>
      </c>
      <c r="I10" s="45"/>
      <c r="J10" s="45"/>
      <c r="K10" s="45"/>
      <c r="L10" s="45"/>
      <c r="M10" s="45"/>
      <c r="N10" s="45">
        <v>20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45"/>
      <c r="AA10" s="45"/>
      <c r="AB10" s="11">
        <v>20</v>
      </c>
      <c r="AC10" s="11">
        <v>40</v>
      </c>
      <c r="AD10" s="45"/>
      <c r="AE10" s="45"/>
      <c r="AF10" s="45"/>
      <c r="AG10" s="45"/>
      <c r="AH10" s="45"/>
      <c r="AI10" s="45"/>
      <c r="AJ10" s="11"/>
      <c r="AK10" s="8">
        <f t="shared" si="0"/>
        <v>100</v>
      </c>
      <c r="AL10" s="11"/>
      <c r="AM10" s="11"/>
      <c r="AN10" s="11"/>
      <c r="AO10" s="11"/>
      <c r="AP10" s="11"/>
      <c r="AQ10" s="15"/>
      <c r="AR10" s="9"/>
      <c r="AS10" s="42"/>
      <c r="AT10" s="13">
        <f t="shared" si="1"/>
        <v>0</v>
      </c>
      <c r="AU10" s="14"/>
      <c r="AV10" s="14"/>
    </row>
    <row r="11" spans="1:48" x14ac:dyDescent="0.25">
      <c r="A11" s="8">
        <v>7</v>
      </c>
      <c r="C11" s="9"/>
      <c r="D11" s="9"/>
      <c r="E11" s="9"/>
      <c r="F11" s="11"/>
      <c r="G11" s="11"/>
      <c r="H11" s="11"/>
      <c r="I11" s="45"/>
      <c r="J11" s="45"/>
      <c r="K11" s="45"/>
      <c r="L11" s="45"/>
      <c r="M11" s="45"/>
      <c r="N11" s="45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5"/>
      <c r="AA11" s="45"/>
      <c r="AB11" s="11"/>
      <c r="AC11" s="11"/>
      <c r="AD11" s="45"/>
      <c r="AE11" s="45"/>
      <c r="AF11" s="45"/>
      <c r="AG11" s="45"/>
      <c r="AH11" s="45"/>
      <c r="AI11" s="45"/>
      <c r="AJ11" s="11"/>
      <c r="AK11" s="8">
        <f t="shared" si="0"/>
        <v>0</v>
      </c>
      <c r="AL11" s="11"/>
      <c r="AM11" s="11"/>
      <c r="AN11" s="11"/>
      <c r="AO11" s="11"/>
      <c r="AP11" s="11"/>
      <c r="AQ11" s="15"/>
      <c r="AR11" s="9"/>
      <c r="AS11" s="42"/>
      <c r="AT11" s="13">
        <f t="shared" si="1"/>
        <v>0</v>
      </c>
      <c r="AU11" s="14"/>
      <c r="AV11" s="14"/>
    </row>
    <row r="12" spans="1:48" x14ac:dyDescent="0.25">
      <c r="A12" s="8">
        <v>8</v>
      </c>
      <c r="B12" s="9"/>
      <c r="C12" s="9"/>
      <c r="D12" s="9"/>
      <c r="E12" s="9"/>
      <c r="F12" s="11"/>
      <c r="G12" s="11"/>
      <c r="H12" s="11"/>
      <c r="I12" s="45"/>
      <c r="J12" s="45"/>
      <c r="K12" s="45"/>
      <c r="L12" s="45"/>
      <c r="M12" s="45"/>
      <c r="N12" s="45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45"/>
      <c r="AA12" s="45"/>
      <c r="AB12" s="11"/>
      <c r="AC12" s="11"/>
      <c r="AD12" s="45"/>
      <c r="AE12" s="45"/>
      <c r="AF12" s="45"/>
      <c r="AG12" s="45"/>
      <c r="AH12" s="45"/>
      <c r="AI12" s="45"/>
      <c r="AJ12" s="11"/>
      <c r="AK12" s="8">
        <f t="shared" si="0"/>
        <v>0</v>
      </c>
      <c r="AL12" s="11"/>
      <c r="AM12" s="11"/>
      <c r="AN12" s="11"/>
      <c r="AO12" s="11"/>
      <c r="AP12" s="11"/>
      <c r="AQ12" s="15"/>
      <c r="AR12" s="9"/>
      <c r="AS12" s="20"/>
      <c r="AT12" s="13">
        <f t="shared" si="1"/>
        <v>0</v>
      </c>
      <c r="AU12" s="14"/>
      <c r="AV12" s="14"/>
    </row>
    <row r="13" spans="1:48" x14ac:dyDescent="0.25">
      <c r="A13" s="11"/>
      <c r="B13" s="9"/>
      <c r="C13" s="9"/>
      <c r="D13" s="9"/>
      <c r="E13" s="9"/>
      <c r="F13" s="11"/>
      <c r="G13" s="11"/>
      <c r="H13" s="11"/>
      <c r="I13" s="45"/>
      <c r="J13" s="45"/>
      <c r="K13" s="45"/>
      <c r="L13" s="45"/>
      <c r="M13" s="45"/>
      <c r="N13" s="45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45"/>
      <c r="AA13" s="45"/>
      <c r="AB13" s="11"/>
      <c r="AC13" s="11"/>
      <c r="AD13" s="45"/>
      <c r="AE13" s="45"/>
      <c r="AF13" s="45"/>
      <c r="AG13" s="45"/>
      <c r="AH13" s="45"/>
      <c r="AI13" s="45"/>
      <c r="AJ13" s="11"/>
      <c r="AK13" s="8">
        <f t="shared" si="0"/>
        <v>0</v>
      </c>
      <c r="AL13" s="11"/>
      <c r="AM13" s="11"/>
      <c r="AN13" s="11"/>
      <c r="AO13" s="11"/>
      <c r="AP13" s="11"/>
      <c r="AQ13" s="15"/>
      <c r="AR13" s="9"/>
      <c r="AS13" s="41"/>
      <c r="AT13" s="13">
        <f t="shared" si="1"/>
        <v>0</v>
      </c>
      <c r="AU13" s="14"/>
      <c r="AV13" s="14"/>
    </row>
    <row r="14" spans="1:48" x14ac:dyDescent="0.25">
      <c r="A14" s="11"/>
      <c r="B14" s="9"/>
      <c r="C14" s="9"/>
      <c r="D14" s="9"/>
      <c r="E14" s="25"/>
      <c r="F14" s="11"/>
      <c r="G14" s="11"/>
      <c r="H14" s="11"/>
      <c r="I14" s="45"/>
      <c r="J14" s="45"/>
      <c r="K14" s="45"/>
      <c r="L14" s="45"/>
      <c r="M14" s="45"/>
      <c r="N14" s="45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45"/>
      <c r="AA14" s="45"/>
      <c r="AB14" s="11"/>
      <c r="AC14" s="11"/>
      <c r="AD14" s="45"/>
      <c r="AE14" s="45"/>
      <c r="AF14" s="45"/>
      <c r="AG14" s="45"/>
      <c r="AH14" s="45"/>
      <c r="AI14" s="45"/>
      <c r="AJ14" s="11"/>
      <c r="AK14" s="8">
        <f t="shared" si="0"/>
        <v>0</v>
      </c>
      <c r="AL14" s="11"/>
      <c r="AM14" s="11"/>
      <c r="AN14" s="11"/>
      <c r="AO14" s="11"/>
      <c r="AP14" s="11"/>
      <c r="AQ14" s="15"/>
      <c r="AR14" s="9"/>
      <c r="AS14" s="20"/>
      <c r="AT14" s="13">
        <f t="shared" si="1"/>
        <v>0</v>
      </c>
      <c r="AU14" s="14"/>
      <c r="AV14" s="14"/>
    </row>
    <row r="15" spans="1:48" x14ac:dyDescent="0.25">
      <c r="A15" s="11"/>
      <c r="B15" s="9"/>
      <c r="C15" s="9"/>
      <c r="D15" s="9"/>
      <c r="E15" s="9"/>
      <c r="F15" s="11"/>
      <c r="G15" s="11"/>
      <c r="H15" s="11"/>
      <c r="I15" s="45"/>
      <c r="J15" s="45"/>
      <c r="K15" s="45"/>
      <c r="L15" s="45"/>
      <c r="M15" s="45"/>
      <c r="N15" s="48"/>
      <c r="O15" s="17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45"/>
      <c r="AA15" s="45"/>
      <c r="AB15" s="11"/>
      <c r="AC15" s="11"/>
      <c r="AD15" s="45"/>
      <c r="AE15" s="45"/>
      <c r="AF15" s="45"/>
      <c r="AG15" s="45"/>
      <c r="AH15" s="45"/>
      <c r="AI15" s="45"/>
      <c r="AJ15" s="11"/>
      <c r="AK15" s="8">
        <f t="shared" si="0"/>
        <v>0</v>
      </c>
      <c r="AL15" s="11"/>
      <c r="AM15" s="17"/>
      <c r="AN15" s="11"/>
      <c r="AO15" s="11"/>
      <c r="AP15" s="11"/>
      <c r="AQ15" s="15"/>
      <c r="AR15" s="9"/>
      <c r="AS15" s="41"/>
      <c r="AT15" s="13">
        <f t="shared" si="1"/>
        <v>0</v>
      </c>
      <c r="AU15" s="14"/>
      <c r="AV15" s="14"/>
    </row>
    <row r="16" spans="1:48" ht="16.5" thickBot="1" x14ac:dyDescent="0.3">
      <c r="A16" s="11"/>
      <c r="B16" s="63" t="s">
        <v>19</v>
      </c>
      <c r="C16" s="64"/>
      <c r="D16" s="64"/>
      <c r="E16" s="65"/>
      <c r="F16" s="19">
        <f>SUM(F5:F15)</f>
        <v>0</v>
      </c>
      <c r="G16" s="19">
        <f t="shared" ref="G16:AJ16" si="2">SUM(G5:G15)</f>
        <v>0</v>
      </c>
      <c r="H16" s="19">
        <f t="shared" si="2"/>
        <v>60</v>
      </c>
      <c r="I16" s="46">
        <f t="shared" si="2"/>
        <v>0</v>
      </c>
      <c r="J16" s="46">
        <f t="shared" si="2"/>
        <v>20</v>
      </c>
      <c r="K16" s="46">
        <f t="shared" si="2"/>
        <v>0</v>
      </c>
      <c r="L16" s="46">
        <f t="shared" si="2"/>
        <v>80</v>
      </c>
      <c r="M16" s="46">
        <f t="shared" si="2"/>
        <v>70</v>
      </c>
      <c r="N16" s="46">
        <f t="shared" si="2"/>
        <v>120</v>
      </c>
      <c r="O16" s="19">
        <f t="shared" si="2"/>
        <v>10</v>
      </c>
      <c r="P16" s="19">
        <f t="shared" si="2"/>
        <v>20</v>
      </c>
      <c r="Q16" s="19">
        <f t="shared" si="2"/>
        <v>20</v>
      </c>
      <c r="R16" s="19">
        <f t="shared" si="2"/>
        <v>60</v>
      </c>
      <c r="S16" s="19">
        <f t="shared" si="2"/>
        <v>60</v>
      </c>
      <c r="T16" s="19">
        <f t="shared" si="2"/>
        <v>0</v>
      </c>
      <c r="U16" s="19">
        <f t="shared" si="2"/>
        <v>0</v>
      </c>
      <c r="V16" s="19">
        <f t="shared" si="2"/>
        <v>80</v>
      </c>
      <c r="W16" s="19">
        <f t="shared" si="2"/>
        <v>40</v>
      </c>
      <c r="X16" s="19">
        <f t="shared" si="2"/>
        <v>0</v>
      </c>
      <c r="Y16" s="19">
        <f t="shared" si="2"/>
        <v>120</v>
      </c>
      <c r="Z16" s="46">
        <f t="shared" si="2"/>
        <v>60</v>
      </c>
      <c r="AA16" s="46">
        <f t="shared" si="2"/>
        <v>40</v>
      </c>
      <c r="AB16" s="19">
        <f t="shared" si="2"/>
        <v>160</v>
      </c>
      <c r="AC16" s="19">
        <f t="shared" si="2"/>
        <v>40</v>
      </c>
      <c r="AD16" s="46">
        <f t="shared" si="2"/>
        <v>60</v>
      </c>
      <c r="AE16" s="46">
        <f t="shared" si="2"/>
        <v>60</v>
      </c>
      <c r="AF16" s="46">
        <f t="shared" si="2"/>
        <v>50</v>
      </c>
      <c r="AG16" s="46">
        <f t="shared" si="2"/>
        <v>0</v>
      </c>
      <c r="AH16" s="46">
        <f t="shared" si="2"/>
        <v>0</v>
      </c>
      <c r="AI16" s="46">
        <f t="shared" si="2"/>
        <v>0</v>
      </c>
      <c r="AJ16" s="19">
        <f t="shared" si="2"/>
        <v>0</v>
      </c>
      <c r="AK16" s="19">
        <f>SUM(AK5:AK15)</f>
        <v>1230</v>
      </c>
      <c r="AL16" s="19">
        <f>SUM(AL5:AL15)</f>
        <v>0</v>
      </c>
      <c r="AM16" s="19">
        <f>SUM(AM5:AM15)</f>
        <v>0</v>
      </c>
      <c r="AN16" s="11"/>
      <c r="AO16" s="11"/>
      <c r="AP16" s="11"/>
      <c r="AQ16" s="15"/>
      <c r="AR16" s="9"/>
      <c r="AS16" s="20"/>
      <c r="AT16" s="21">
        <f>SUM(AT5:AT15)</f>
        <v>0</v>
      </c>
      <c r="AU16" s="14"/>
      <c r="AV16" s="14"/>
    </row>
    <row r="17" spans="1:48" ht="16.5" thickTop="1" x14ac:dyDescent="0.25">
      <c r="A17" s="11"/>
      <c r="B17" s="9"/>
      <c r="C17" s="9"/>
      <c r="D17" s="9"/>
      <c r="E17" s="9"/>
      <c r="F17" s="22"/>
      <c r="G17" s="22"/>
      <c r="H17" s="22"/>
      <c r="I17" s="47"/>
      <c r="J17" s="47"/>
      <c r="K17" s="47"/>
      <c r="L17" s="47"/>
      <c r="M17" s="47"/>
      <c r="N17" s="47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47"/>
      <c r="AA17" s="47"/>
      <c r="AB17" s="22"/>
      <c r="AC17" s="22"/>
      <c r="AD17" s="47"/>
      <c r="AE17" s="47"/>
      <c r="AF17" s="47"/>
      <c r="AG17" s="47"/>
      <c r="AH17" s="47"/>
      <c r="AI17" s="47"/>
      <c r="AJ17" s="22"/>
      <c r="AK17" s="8"/>
      <c r="AL17" s="22"/>
      <c r="AM17" s="22"/>
      <c r="AN17" s="11"/>
      <c r="AO17" s="11"/>
      <c r="AP17" s="11"/>
      <c r="AQ17" s="15"/>
      <c r="AR17" s="9"/>
      <c r="AS17" s="42"/>
      <c r="AT17" s="23"/>
      <c r="AU17" s="14"/>
      <c r="AV17" s="14"/>
    </row>
    <row r="18" spans="1:48" x14ac:dyDescent="0.25">
      <c r="A18" s="11">
        <v>11</v>
      </c>
      <c r="B18" s="10" t="s">
        <v>34</v>
      </c>
      <c r="C18" s="10"/>
      <c r="D18" s="10" t="s">
        <v>35</v>
      </c>
      <c r="E18" s="10"/>
      <c r="F18" s="22"/>
      <c r="G18" s="22"/>
      <c r="H18" s="22"/>
      <c r="I18" s="47"/>
      <c r="J18" s="47"/>
      <c r="K18" s="47"/>
      <c r="L18" s="47"/>
      <c r="M18" s="47"/>
      <c r="N18" s="47"/>
      <c r="O18" s="22"/>
      <c r="P18" s="22"/>
      <c r="Q18" s="22"/>
      <c r="R18" s="11"/>
      <c r="S18" s="11"/>
      <c r="T18" s="11"/>
      <c r="U18" s="11"/>
      <c r="V18" s="11"/>
      <c r="W18" s="11"/>
      <c r="X18" s="22"/>
      <c r="Y18" s="22"/>
      <c r="Z18" s="47"/>
      <c r="AA18" s="47"/>
      <c r="AB18" s="22"/>
      <c r="AC18" s="11"/>
      <c r="AD18" s="45"/>
      <c r="AE18" s="45"/>
      <c r="AF18" s="45"/>
      <c r="AG18" s="45"/>
      <c r="AH18" s="45"/>
      <c r="AI18" s="45"/>
      <c r="AJ18" s="22"/>
      <c r="AK18" s="8">
        <f t="shared" si="0"/>
        <v>0</v>
      </c>
      <c r="AL18" s="11"/>
      <c r="AM18" s="11"/>
      <c r="AN18" s="11"/>
      <c r="AO18" s="11"/>
      <c r="AP18" s="11"/>
      <c r="AQ18" s="15"/>
      <c r="AR18" s="9"/>
      <c r="AS18" s="42"/>
      <c r="AT18" s="16">
        <f>AS18*AM18</f>
        <v>0</v>
      </c>
      <c r="AU18" s="14"/>
      <c r="AV18" s="14"/>
    </row>
    <row r="19" spans="1:48" x14ac:dyDescent="0.25">
      <c r="A19" s="11">
        <v>12</v>
      </c>
      <c r="B19" s="9" t="s">
        <v>52</v>
      </c>
      <c r="C19" s="9"/>
      <c r="D19" s="9" t="s">
        <v>35</v>
      </c>
      <c r="E19" s="9"/>
      <c r="F19" s="11"/>
      <c r="G19" s="11"/>
      <c r="H19" s="11"/>
      <c r="I19" s="45"/>
      <c r="J19" s="45"/>
      <c r="K19" s="45"/>
      <c r="L19" s="45"/>
      <c r="M19" s="45"/>
      <c r="N19" s="45"/>
      <c r="O19" s="11">
        <v>10</v>
      </c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45"/>
      <c r="AA19" s="45"/>
      <c r="AB19" s="11"/>
      <c r="AC19" s="11"/>
      <c r="AD19" s="45"/>
      <c r="AE19" s="45"/>
      <c r="AF19" s="45"/>
      <c r="AG19" s="45"/>
      <c r="AH19" s="45"/>
      <c r="AI19" s="45"/>
      <c r="AJ19" s="11"/>
      <c r="AK19" s="8">
        <f t="shared" si="0"/>
        <v>10</v>
      </c>
      <c r="AL19" s="11"/>
      <c r="AM19" s="11"/>
      <c r="AN19" s="11"/>
      <c r="AO19" s="11"/>
      <c r="AP19" s="11"/>
      <c r="AQ19" s="15"/>
      <c r="AR19" s="9"/>
      <c r="AS19" s="42"/>
      <c r="AT19" s="16">
        <f t="shared" ref="AT19:AT26" si="3">AS19*AM19</f>
        <v>0</v>
      </c>
      <c r="AU19" s="14"/>
      <c r="AV19" s="14"/>
    </row>
    <row r="20" spans="1:48" x14ac:dyDescent="0.25">
      <c r="A20" s="11">
        <v>13</v>
      </c>
      <c r="B20" s="9" t="s">
        <v>63</v>
      </c>
      <c r="C20" s="9"/>
      <c r="D20" s="9" t="s">
        <v>35</v>
      </c>
      <c r="E20" s="9"/>
      <c r="F20" s="11"/>
      <c r="G20" s="11"/>
      <c r="H20" s="11"/>
      <c r="I20" s="45"/>
      <c r="J20" s="45"/>
      <c r="K20" s="45"/>
      <c r="L20" s="45"/>
      <c r="M20" s="45"/>
      <c r="N20" s="45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5"/>
      <c r="AA20" s="45"/>
      <c r="AB20" s="11"/>
      <c r="AC20" s="11"/>
      <c r="AD20" s="45"/>
      <c r="AE20" s="45"/>
      <c r="AF20" s="45"/>
      <c r="AG20" s="45"/>
      <c r="AH20" s="45"/>
      <c r="AI20" s="45"/>
      <c r="AJ20" s="11"/>
      <c r="AK20" s="8">
        <f t="shared" si="0"/>
        <v>0</v>
      </c>
      <c r="AL20" s="11"/>
      <c r="AM20" s="11"/>
      <c r="AN20" s="11"/>
      <c r="AO20" s="11"/>
      <c r="AP20" s="11"/>
      <c r="AQ20" s="15"/>
      <c r="AR20" s="9"/>
      <c r="AS20" s="42"/>
      <c r="AT20" s="16">
        <f t="shared" si="3"/>
        <v>0</v>
      </c>
      <c r="AU20" s="14"/>
      <c r="AV20" s="14"/>
    </row>
    <row r="21" spans="1:48" x14ac:dyDescent="0.25">
      <c r="A21" s="11">
        <v>14</v>
      </c>
      <c r="B21" s="9" t="s">
        <v>47</v>
      </c>
      <c r="C21" s="9" t="s">
        <v>48</v>
      </c>
      <c r="D21" s="9" t="s">
        <v>49</v>
      </c>
      <c r="E21" s="9"/>
      <c r="F21" s="11">
        <v>20</v>
      </c>
      <c r="G21" s="11"/>
      <c r="H21" s="11"/>
      <c r="I21" s="45"/>
      <c r="J21" s="45">
        <v>30</v>
      </c>
      <c r="K21" s="45"/>
      <c r="L21" s="45"/>
      <c r="M21" s="45">
        <v>30</v>
      </c>
      <c r="N21" s="45"/>
      <c r="O21" s="11"/>
      <c r="P21" s="11">
        <v>30</v>
      </c>
      <c r="Q21" s="11"/>
      <c r="R21" s="11"/>
      <c r="S21" s="11"/>
      <c r="T21" s="11"/>
      <c r="U21" s="11">
        <v>30</v>
      </c>
      <c r="V21" s="11"/>
      <c r="W21" s="11">
        <v>30</v>
      </c>
      <c r="X21" s="11"/>
      <c r="Y21" s="11">
        <v>30</v>
      </c>
      <c r="Z21" s="45"/>
      <c r="AA21" s="45"/>
      <c r="AB21" s="11"/>
      <c r="AC21" s="11">
        <v>30</v>
      </c>
      <c r="AD21" s="45"/>
      <c r="AE21" s="45">
        <v>30</v>
      </c>
      <c r="AF21" s="45"/>
      <c r="AG21" s="45"/>
      <c r="AH21" s="45"/>
      <c r="AI21" s="45"/>
      <c r="AJ21" s="11"/>
      <c r="AK21" s="8">
        <f t="shared" si="0"/>
        <v>260</v>
      </c>
      <c r="AL21" s="11"/>
      <c r="AM21" s="11"/>
      <c r="AN21" s="11"/>
      <c r="AO21" s="11"/>
      <c r="AP21" s="11"/>
      <c r="AQ21" s="15"/>
      <c r="AR21" s="9"/>
      <c r="AS21" s="42"/>
      <c r="AT21" s="16">
        <f t="shared" si="3"/>
        <v>0</v>
      </c>
      <c r="AU21" s="14"/>
      <c r="AV21" s="14"/>
    </row>
    <row r="22" spans="1:48" x14ac:dyDescent="0.25">
      <c r="A22" s="11">
        <v>15</v>
      </c>
      <c r="B22" s="9" t="s">
        <v>57</v>
      </c>
      <c r="C22" s="9"/>
      <c r="D22" s="9" t="s">
        <v>58</v>
      </c>
      <c r="E22" s="9"/>
      <c r="F22" s="52">
        <v>30</v>
      </c>
      <c r="G22" s="11"/>
      <c r="H22" s="11"/>
      <c r="I22" s="52">
        <v>100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11"/>
      <c r="AK22" s="8">
        <f t="shared" si="0"/>
        <v>130</v>
      </c>
      <c r="AL22" s="11"/>
      <c r="AM22" s="11"/>
      <c r="AN22" s="11"/>
      <c r="AO22" s="11"/>
      <c r="AP22" s="11"/>
      <c r="AQ22" s="15"/>
      <c r="AR22" s="9"/>
      <c r="AS22" s="42"/>
      <c r="AT22" s="16">
        <f t="shared" si="3"/>
        <v>0</v>
      </c>
      <c r="AU22" s="14"/>
      <c r="AV22" s="14"/>
    </row>
    <row r="23" spans="1:48" x14ac:dyDescent="0.25">
      <c r="A23" s="11">
        <v>16</v>
      </c>
      <c r="B23" s="9" t="s">
        <v>68</v>
      </c>
      <c r="C23" s="9"/>
      <c r="D23" s="9" t="s">
        <v>58</v>
      </c>
      <c r="E23" s="9"/>
      <c r="F23" s="11"/>
      <c r="G23" s="11"/>
      <c r="H23" s="11"/>
      <c r="I23" s="45"/>
      <c r="J23" s="45"/>
      <c r="K23" s="45"/>
      <c r="L23" s="45"/>
      <c r="M23" s="45"/>
      <c r="N23" s="45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45"/>
      <c r="AA23" s="45"/>
      <c r="AB23" s="11">
        <v>50</v>
      </c>
      <c r="AC23" s="11"/>
      <c r="AD23" s="45"/>
      <c r="AE23" s="45"/>
      <c r="AF23" s="45"/>
      <c r="AG23" s="45"/>
      <c r="AH23" s="45"/>
      <c r="AI23" s="45"/>
      <c r="AJ23" s="11"/>
      <c r="AK23" s="8">
        <f t="shared" si="0"/>
        <v>50</v>
      </c>
      <c r="AL23" s="11"/>
      <c r="AM23" s="11"/>
      <c r="AN23" s="11"/>
      <c r="AO23" s="11"/>
      <c r="AP23" s="11"/>
      <c r="AQ23" s="15"/>
      <c r="AR23" s="9"/>
      <c r="AS23" s="42"/>
      <c r="AT23" s="16">
        <f t="shared" si="3"/>
        <v>0</v>
      </c>
      <c r="AU23" s="14"/>
      <c r="AV23" s="14"/>
    </row>
    <row r="24" spans="1:48" x14ac:dyDescent="0.25">
      <c r="A24" s="11">
        <v>17</v>
      </c>
      <c r="B24" s="9" t="s">
        <v>60</v>
      </c>
      <c r="C24" s="9"/>
      <c r="D24" s="9" t="s">
        <v>58</v>
      </c>
      <c r="E24" s="9"/>
      <c r="F24" s="11"/>
      <c r="G24" s="11"/>
      <c r="H24" s="11"/>
      <c r="I24" s="45"/>
      <c r="J24" s="45"/>
      <c r="K24" s="45"/>
      <c r="L24" s="45"/>
      <c r="M24" s="45"/>
      <c r="N24" s="45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45"/>
      <c r="AA24" s="45"/>
      <c r="AB24" s="11">
        <v>150</v>
      </c>
      <c r="AC24" s="11"/>
      <c r="AD24" s="45"/>
      <c r="AE24" s="45"/>
      <c r="AF24" s="45"/>
      <c r="AG24" s="45"/>
      <c r="AH24" s="45"/>
      <c r="AI24" s="45"/>
      <c r="AJ24" s="11"/>
      <c r="AK24" s="8">
        <f t="shared" si="0"/>
        <v>150</v>
      </c>
      <c r="AL24" s="11"/>
      <c r="AM24" s="11"/>
      <c r="AN24" s="11"/>
      <c r="AO24" s="11"/>
      <c r="AP24" s="11"/>
      <c r="AQ24" s="15"/>
      <c r="AR24" s="9"/>
      <c r="AS24" s="42"/>
      <c r="AT24" s="16">
        <f t="shared" si="3"/>
        <v>0</v>
      </c>
      <c r="AU24" s="14"/>
      <c r="AV24" s="14"/>
    </row>
    <row r="25" spans="1:48" x14ac:dyDescent="0.25">
      <c r="A25" s="11">
        <v>18</v>
      </c>
      <c r="B25" s="9" t="s">
        <v>62</v>
      </c>
      <c r="C25" s="9"/>
      <c r="D25" s="9" t="s">
        <v>58</v>
      </c>
      <c r="E25" s="9"/>
      <c r="F25" s="11"/>
      <c r="G25" s="11"/>
      <c r="H25" s="11"/>
      <c r="I25" s="45"/>
      <c r="J25" s="45"/>
      <c r="K25" s="45"/>
      <c r="L25" s="45"/>
      <c r="M25" s="45"/>
      <c r="N25" s="45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45"/>
      <c r="AA25" s="45"/>
      <c r="AB25" s="11"/>
      <c r="AC25" s="11"/>
      <c r="AD25" s="45"/>
      <c r="AE25" s="45"/>
      <c r="AF25" s="45"/>
      <c r="AG25" s="45"/>
      <c r="AH25" s="45"/>
      <c r="AI25" s="45"/>
      <c r="AJ25" s="11"/>
      <c r="AK25" s="8">
        <f t="shared" si="0"/>
        <v>0</v>
      </c>
      <c r="AL25" s="11"/>
      <c r="AM25" s="11"/>
      <c r="AN25" s="11"/>
      <c r="AO25" s="11"/>
      <c r="AP25" s="11"/>
      <c r="AQ25" s="15"/>
      <c r="AR25" s="9"/>
      <c r="AS25" s="42"/>
      <c r="AT25" s="16">
        <f t="shared" si="3"/>
        <v>0</v>
      </c>
      <c r="AU25" s="14"/>
      <c r="AV25" s="14"/>
    </row>
    <row r="26" spans="1:48" x14ac:dyDescent="0.25">
      <c r="A26" s="11">
        <v>19</v>
      </c>
      <c r="B26" s="9"/>
      <c r="C26" s="9"/>
      <c r="D26" s="9"/>
      <c r="E26" s="9"/>
      <c r="F26" s="17"/>
      <c r="G26" s="17"/>
      <c r="H26" s="17"/>
      <c r="I26" s="48"/>
      <c r="J26" s="48"/>
      <c r="K26" s="48"/>
      <c r="L26" s="48"/>
      <c r="M26" s="48"/>
      <c r="N26" s="48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48"/>
      <c r="AA26" s="48"/>
      <c r="AB26" s="17"/>
      <c r="AC26" s="17"/>
      <c r="AD26" s="48"/>
      <c r="AE26" s="48"/>
      <c r="AF26" s="48"/>
      <c r="AG26" s="48"/>
      <c r="AH26" s="48"/>
      <c r="AI26" s="48"/>
      <c r="AJ26" s="17"/>
      <c r="AK26" s="8">
        <f t="shared" si="0"/>
        <v>0</v>
      </c>
      <c r="AL26" s="17"/>
      <c r="AM26" s="17"/>
      <c r="AN26" s="11"/>
      <c r="AO26" s="11"/>
      <c r="AP26" s="11"/>
      <c r="AQ26" s="9"/>
      <c r="AR26" s="9"/>
      <c r="AS26" s="42"/>
      <c r="AT26" s="16">
        <f t="shared" si="3"/>
        <v>0</v>
      </c>
      <c r="AU26" s="14"/>
      <c r="AV26" s="14"/>
    </row>
    <row r="27" spans="1:48" ht="16.5" thickBot="1" x14ac:dyDescent="0.3">
      <c r="A27" s="11"/>
      <c r="B27" s="56" t="s">
        <v>20</v>
      </c>
      <c r="C27" s="57"/>
      <c r="D27" s="57"/>
      <c r="E27" s="58"/>
      <c r="F27" s="27">
        <f t="shared" ref="F27:AJ27" si="4">SUM(F18:F26)</f>
        <v>50</v>
      </c>
      <c r="G27" s="27">
        <f t="shared" si="4"/>
        <v>0</v>
      </c>
      <c r="H27" s="27">
        <f t="shared" si="4"/>
        <v>0</v>
      </c>
      <c r="I27" s="49">
        <f t="shared" si="4"/>
        <v>100</v>
      </c>
      <c r="J27" s="49">
        <f t="shared" si="4"/>
        <v>30</v>
      </c>
      <c r="K27" s="49">
        <f t="shared" si="4"/>
        <v>0</v>
      </c>
      <c r="L27" s="49">
        <f t="shared" si="4"/>
        <v>0</v>
      </c>
      <c r="M27" s="49">
        <f t="shared" si="4"/>
        <v>30</v>
      </c>
      <c r="N27" s="49">
        <f t="shared" si="4"/>
        <v>0</v>
      </c>
      <c r="O27" s="27">
        <f t="shared" si="4"/>
        <v>10</v>
      </c>
      <c r="P27" s="27">
        <f t="shared" si="4"/>
        <v>30</v>
      </c>
      <c r="Q27" s="27">
        <f t="shared" si="4"/>
        <v>0</v>
      </c>
      <c r="R27" s="27">
        <f t="shared" si="4"/>
        <v>0</v>
      </c>
      <c r="S27" s="27">
        <f t="shared" si="4"/>
        <v>0</v>
      </c>
      <c r="T27" s="27">
        <f t="shared" si="4"/>
        <v>0</v>
      </c>
      <c r="U27" s="27">
        <f t="shared" si="4"/>
        <v>30</v>
      </c>
      <c r="V27" s="27">
        <f t="shared" si="4"/>
        <v>0</v>
      </c>
      <c r="W27" s="27">
        <f t="shared" si="4"/>
        <v>30</v>
      </c>
      <c r="X27" s="27">
        <f t="shared" si="4"/>
        <v>0</v>
      </c>
      <c r="Y27" s="27">
        <f t="shared" si="4"/>
        <v>30</v>
      </c>
      <c r="Z27" s="49">
        <f t="shared" si="4"/>
        <v>0</v>
      </c>
      <c r="AA27" s="49">
        <f t="shared" si="4"/>
        <v>0</v>
      </c>
      <c r="AB27" s="27">
        <f t="shared" si="4"/>
        <v>200</v>
      </c>
      <c r="AC27" s="27">
        <f t="shared" si="4"/>
        <v>30</v>
      </c>
      <c r="AD27" s="49">
        <f t="shared" si="4"/>
        <v>0</v>
      </c>
      <c r="AE27" s="49">
        <f t="shared" si="4"/>
        <v>30</v>
      </c>
      <c r="AF27" s="49">
        <f t="shared" si="4"/>
        <v>0</v>
      </c>
      <c r="AG27" s="49">
        <f t="shared" si="4"/>
        <v>0</v>
      </c>
      <c r="AH27" s="49">
        <f t="shared" si="4"/>
        <v>0</v>
      </c>
      <c r="AI27" s="49">
        <f t="shared" si="4"/>
        <v>0</v>
      </c>
      <c r="AJ27" s="27">
        <f t="shared" si="4"/>
        <v>0</v>
      </c>
      <c r="AK27" s="19">
        <f>SUM(AK17:AK26)</f>
        <v>600</v>
      </c>
      <c r="AL27" s="27">
        <f t="shared" ref="AL27:AT27" si="5">SUM(AL18:AL26)</f>
        <v>0</v>
      </c>
      <c r="AM27" s="27">
        <f t="shared" si="5"/>
        <v>0</v>
      </c>
      <c r="AN27" s="28">
        <f t="shared" si="5"/>
        <v>0</v>
      </c>
      <c r="AO27" s="28">
        <f t="shared" si="5"/>
        <v>0</v>
      </c>
      <c r="AP27" s="28">
        <f t="shared" si="5"/>
        <v>0</v>
      </c>
      <c r="AQ27" s="28">
        <f t="shared" si="5"/>
        <v>0</v>
      </c>
      <c r="AR27" s="28">
        <f t="shared" si="5"/>
        <v>0</v>
      </c>
      <c r="AS27" s="28">
        <f t="shared" si="5"/>
        <v>0</v>
      </c>
      <c r="AT27" s="29">
        <f t="shared" si="5"/>
        <v>0</v>
      </c>
      <c r="AU27" s="14"/>
      <c r="AV27" s="14"/>
    </row>
    <row r="28" spans="1:48" ht="16.5" thickTop="1" x14ac:dyDescent="0.25">
      <c r="A28" s="30"/>
      <c r="B28" s="56"/>
      <c r="C28" s="57"/>
      <c r="D28" s="57"/>
      <c r="E28" s="58"/>
      <c r="F28" s="14"/>
      <c r="G28" s="14"/>
      <c r="H28" s="14"/>
      <c r="I28" s="50"/>
      <c r="J28" s="50"/>
      <c r="K28" s="50"/>
      <c r="L28" s="50"/>
      <c r="M28" s="50"/>
      <c r="N28" s="50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50"/>
      <c r="AA28" s="50"/>
      <c r="AB28" s="14"/>
      <c r="AC28" s="14"/>
      <c r="AD28" s="50"/>
      <c r="AE28" s="50"/>
      <c r="AF28" s="50"/>
      <c r="AG28" s="50"/>
      <c r="AH28" s="50"/>
      <c r="AI28" s="50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x14ac:dyDescent="0.25">
      <c r="A29" s="30"/>
      <c r="B29" s="31" t="s">
        <v>21</v>
      </c>
      <c r="C29" s="32"/>
      <c r="D29" s="32"/>
      <c r="E29" s="32"/>
      <c r="F29" s="14"/>
      <c r="G29" s="14"/>
      <c r="H29" s="14"/>
      <c r="I29" s="50"/>
      <c r="J29" s="50"/>
      <c r="K29" s="50"/>
      <c r="L29" s="50"/>
      <c r="M29" s="50"/>
      <c r="N29" s="50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50"/>
      <c r="AA29" s="50"/>
      <c r="AB29" s="14"/>
      <c r="AC29" s="14"/>
      <c r="AD29" s="50"/>
      <c r="AE29" s="50"/>
      <c r="AF29" s="50"/>
      <c r="AG29" s="50"/>
      <c r="AH29" s="50"/>
      <c r="AI29" s="50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x14ac:dyDescent="0.25">
      <c r="A30" s="30"/>
      <c r="B30" s="31" t="s">
        <v>22</v>
      </c>
      <c r="C30" s="32"/>
      <c r="D30" s="32"/>
      <c r="E30" s="32"/>
      <c r="F30" s="14"/>
      <c r="G30" s="14"/>
      <c r="H30" s="14"/>
      <c r="I30" s="50"/>
      <c r="J30" s="50"/>
      <c r="K30" s="50"/>
      <c r="L30" s="50"/>
      <c r="M30" s="50"/>
      <c r="N30" s="50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50"/>
      <c r="AA30" s="50"/>
      <c r="AB30" s="14"/>
      <c r="AC30" s="14"/>
      <c r="AD30" s="50"/>
      <c r="AE30" s="50"/>
      <c r="AF30" s="50"/>
      <c r="AG30" s="50"/>
      <c r="AH30" s="50"/>
      <c r="AI30" s="50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x14ac:dyDescent="0.25">
      <c r="A31" s="30"/>
      <c r="B31" s="14" t="s">
        <v>23</v>
      </c>
      <c r="E31" s="14"/>
      <c r="F31" s="14"/>
      <c r="G31" s="14"/>
      <c r="H31" s="14"/>
      <c r="I31" s="50"/>
      <c r="J31" s="50"/>
      <c r="K31" s="50"/>
      <c r="L31" s="50"/>
      <c r="M31" s="50"/>
      <c r="N31" s="50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50"/>
      <c r="AA31" s="50"/>
      <c r="AB31" s="14"/>
      <c r="AC31" s="14"/>
      <c r="AD31" s="50"/>
      <c r="AE31" s="50"/>
      <c r="AF31" s="50"/>
      <c r="AG31" s="50"/>
      <c r="AH31" s="50"/>
      <c r="AI31" s="50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 t="s">
        <v>2</v>
      </c>
      <c r="AV31" s="14" t="s">
        <v>2</v>
      </c>
    </row>
    <row r="32" spans="1:48" x14ac:dyDescent="0.25">
      <c r="A32" s="30"/>
      <c r="B32" s="14" t="s">
        <v>24</v>
      </c>
      <c r="E32" s="14"/>
      <c r="F32" s="14">
        <f>(F29+F30)-F31</f>
        <v>0</v>
      </c>
      <c r="G32" s="14">
        <f t="shared" ref="G32:AJ32" si="6">(G29+G30)-G31</f>
        <v>0</v>
      </c>
      <c r="H32" s="14">
        <f t="shared" si="6"/>
        <v>0</v>
      </c>
      <c r="I32" s="50">
        <f t="shared" si="6"/>
        <v>0</v>
      </c>
      <c r="J32" s="50">
        <f t="shared" si="6"/>
        <v>0</v>
      </c>
      <c r="K32" s="50">
        <f t="shared" si="6"/>
        <v>0</v>
      </c>
      <c r="L32" s="50">
        <f t="shared" si="6"/>
        <v>0</v>
      </c>
      <c r="M32" s="50">
        <f t="shared" si="6"/>
        <v>0</v>
      </c>
      <c r="N32" s="50">
        <f t="shared" si="6"/>
        <v>0</v>
      </c>
      <c r="O32" s="14">
        <f t="shared" si="6"/>
        <v>0</v>
      </c>
      <c r="P32" s="14">
        <f t="shared" si="6"/>
        <v>0</v>
      </c>
      <c r="Q32" s="14">
        <f t="shared" si="6"/>
        <v>0</v>
      </c>
      <c r="R32" s="14">
        <f t="shared" si="6"/>
        <v>0</v>
      </c>
      <c r="S32" s="14">
        <f t="shared" si="6"/>
        <v>0</v>
      </c>
      <c r="T32" s="14">
        <f t="shared" si="6"/>
        <v>0</v>
      </c>
      <c r="U32" s="14">
        <f t="shared" si="6"/>
        <v>0</v>
      </c>
      <c r="V32" s="14">
        <f t="shared" si="6"/>
        <v>0</v>
      </c>
      <c r="W32" s="14">
        <f t="shared" si="6"/>
        <v>0</v>
      </c>
      <c r="X32" s="14">
        <f t="shared" si="6"/>
        <v>0</v>
      </c>
      <c r="Y32" s="14">
        <f t="shared" si="6"/>
        <v>0</v>
      </c>
      <c r="Z32" s="50">
        <f t="shared" si="6"/>
        <v>0</v>
      </c>
      <c r="AA32" s="50">
        <f t="shared" si="6"/>
        <v>0</v>
      </c>
      <c r="AB32" s="14">
        <f t="shared" si="6"/>
        <v>0</v>
      </c>
      <c r="AC32" s="14">
        <f t="shared" si="6"/>
        <v>0</v>
      </c>
      <c r="AD32" s="50">
        <f t="shared" si="6"/>
        <v>0</v>
      </c>
      <c r="AE32" s="50">
        <f t="shared" si="6"/>
        <v>0</v>
      </c>
      <c r="AF32" s="50">
        <f t="shared" si="6"/>
        <v>0</v>
      </c>
      <c r="AG32" s="50">
        <f t="shared" si="6"/>
        <v>0</v>
      </c>
      <c r="AH32" s="50">
        <f t="shared" si="6"/>
        <v>0</v>
      </c>
      <c r="AI32" s="50">
        <f t="shared" si="6"/>
        <v>0</v>
      </c>
      <c r="AJ32" s="14">
        <f t="shared" si="6"/>
        <v>0</v>
      </c>
      <c r="AK32" s="14"/>
      <c r="AL32" s="14"/>
      <c r="AM32" s="30"/>
      <c r="AN32" s="30"/>
      <c r="AO32" s="30"/>
      <c r="AP32" s="30"/>
      <c r="AQ32" s="14"/>
      <c r="AR32" s="14"/>
      <c r="AS32" s="33"/>
      <c r="AT32" s="14"/>
      <c r="AU32" s="14"/>
      <c r="AV32" s="14"/>
    </row>
    <row r="33" spans="1:48" x14ac:dyDescent="0.25">
      <c r="A33" s="30"/>
      <c r="B33" s="14" t="s">
        <v>2</v>
      </c>
      <c r="C33" s="14"/>
      <c r="D33" s="14"/>
      <c r="E33" s="14"/>
      <c r="F33" s="14"/>
      <c r="G33" s="14"/>
      <c r="H33" s="14"/>
      <c r="I33" s="50"/>
      <c r="J33" s="50"/>
      <c r="K33" s="50"/>
      <c r="L33" s="50"/>
      <c r="M33" s="50"/>
      <c r="N33" s="50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50"/>
      <c r="AA33" s="50"/>
      <c r="AB33" s="14"/>
      <c r="AC33" s="14"/>
      <c r="AD33" s="50"/>
      <c r="AE33" s="50"/>
      <c r="AF33" s="50"/>
      <c r="AG33" s="50"/>
      <c r="AH33" s="50"/>
      <c r="AI33" s="50"/>
      <c r="AJ33" s="14"/>
      <c r="AK33" s="30"/>
      <c r="AL33" s="30"/>
      <c r="AM33" s="30"/>
      <c r="AN33" s="30"/>
      <c r="AO33" s="30"/>
      <c r="AP33" s="30"/>
      <c r="AQ33" s="14"/>
      <c r="AR33" s="14"/>
      <c r="AS33" s="33"/>
      <c r="AT33" s="14"/>
      <c r="AU33" s="14"/>
      <c r="AV33" s="14"/>
    </row>
    <row r="34" spans="1:48" ht="16.5" thickBot="1" x14ac:dyDescent="0.3">
      <c r="A34" s="30"/>
      <c r="B34" s="14" t="s">
        <v>25</v>
      </c>
      <c r="C34" s="14"/>
      <c r="D34" s="14"/>
      <c r="E34" s="14"/>
      <c r="F34" s="14"/>
      <c r="G34" s="14"/>
      <c r="H34" s="14"/>
      <c r="I34" s="50"/>
      <c r="J34" s="50"/>
      <c r="K34" s="50"/>
      <c r="L34" s="50"/>
      <c r="M34" s="50"/>
      <c r="N34" s="50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50"/>
      <c r="AA34" s="50"/>
      <c r="AB34" s="14"/>
      <c r="AC34" s="14"/>
      <c r="AD34" s="50"/>
      <c r="AE34" s="50"/>
      <c r="AF34" s="50"/>
      <c r="AG34" s="50"/>
      <c r="AH34" s="50"/>
      <c r="AI34" s="50"/>
      <c r="AJ34" s="14"/>
      <c r="AK34" s="2"/>
      <c r="AL34" s="2"/>
      <c r="AM34" s="2"/>
      <c r="AN34" s="2"/>
      <c r="AO34" s="30"/>
      <c r="AP34" s="30"/>
      <c r="AQ34" s="2" t="s">
        <v>26</v>
      </c>
      <c r="AR34" s="30"/>
      <c r="AS34" s="30"/>
      <c r="AT34" s="34">
        <v>0</v>
      </c>
      <c r="AU34" s="14"/>
      <c r="AV34" s="14"/>
    </row>
    <row r="35" spans="1:48" ht="16.5" thickTop="1" x14ac:dyDescent="0.25">
      <c r="A35" s="30"/>
      <c r="B35" s="14" t="s">
        <v>27</v>
      </c>
      <c r="C35" s="14"/>
      <c r="D35" s="14"/>
      <c r="E35" s="14"/>
      <c r="F35" s="14"/>
      <c r="G35" s="14"/>
      <c r="H35" s="14"/>
      <c r="I35" s="50"/>
      <c r="J35" s="50"/>
      <c r="K35" s="50"/>
      <c r="L35" s="50"/>
      <c r="M35" s="50"/>
      <c r="N35" s="50"/>
      <c r="O35" s="14"/>
      <c r="P35" s="14"/>
      <c r="Q35" s="53"/>
      <c r="R35" s="54" t="s">
        <v>64</v>
      </c>
      <c r="S35" s="14"/>
      <c r="T35" s="14"/>
      <c r="U35" s="14"/>
      <c r="V35" s="14"/>
      <c r="W35" s="14"/>
      <c r="X35" s="14"/>
      <c r="Y35" s="14"/>
      <c r="Z35" s="50"/>
      <c r="AA35" s="50"/>
      <c r="AB35" s="14"/>
      <c r="AC35" s="14"/>
      <c r="AD35" s="50"/>
      <c r="AE35" s="50"/>
      <c r="AF35" s="50"/>
      <c r="AG35" s="50"/>
      <c r="AH35" s="50"/>
      <c r="AI35" s="50"/>
      <c r="AJ35" s="14"/>
      <c r="AK35" s="2"/>
      <c r="AL35" s="2"/>
      <c r="AM35" s="2"/>
      <c r="AN35" s="31"/>
      <c r="AO35" s="30"/>
      <c r="AP35" s="30"/>
      <c r="AQ35" s="2" t="s">
        <v>28</v>
      </c>
      <c r="AR35" s="30"/>
      <c r="AS35" s="30"/>
      <c r="AT35" s="30">
        <f>AT31-AT34</f>
        <v>0</v>
      </c>
      <c r="AU35" s="14"/>
      <c r="AV35" s="14"/>
    </row>
    <row r="36" spans="1:48" x14ac:dyDescent="0.25">
      <c r="A36" s="30"/>
      <c r="B36" s="14" t="s">
        <v>29</v>
      </c>
      <c r="C36" s="14"/>
      <c r="D36" s="14"/>
      <c r="E36" s="14"/>
      <c r="F36" s="14"/>
      <c r="G36" s="14"/>
      <c r="H36" s="14"/>
      <c r="I36" s="50"/>
      <c r="J36" s="50"/>
      <c r="K36" s="50"/>
      <c r="L36" s="50"/>
      <c r="M36" s="50"/>
      <c r="N36" s="50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50"/>
      <c r="AA36" s="50"/>
      <c r="AB36" s="14"/>
      <c r="AC36" s="14"/>
      <c r="AD36" s="50"/>
      <c r="AE36" s="50"/>
      <c r="AF36" s="50"/>
      <c r="AG36" s="50"/>
      <c r="AH36" s="50"/>
      <c r="AI36" s="50"/>
      <c r="AJ36" s="14"/>
      <c r="AK36" s="30"/>
      <c r="AL36" s="30"/>
      <c r="AM36" s="30"/>
      <c r="AN36" s="30"/>
      <c r="AO36" s="30"/>
      <c r="AP36" s="30"/>
      <c r="AQ36" s="14"/>
      <c r="AR36" s="14"/>
      <c r="AS36" s="33"/>
      <c r="AT36" s="14"/>
      <c r="AU36" s="14"/>
      <c r="AV36" s="14"/>
    </row>
    <row r="37" spans="1:48" ht="16.5" thickBot="1" x14ac:dyDescent="0.3">
      <c r="A37" s="30"/>
      <c r="B37" s="14" t="s">
        <v>30</v>
      </c>
      <c r="C37" s="14"/>
      <c r="D37" s="14"/>
      <c r="E37" s="35"/>
      <c r="F37" s="14"/>
      <c r="G37" s="14"/>
      <c r="H37" s="14"/>
      <c r="I37" s="50"/>
      <c r="J37" s="50"/>
      <c r="K37" s="50"/>
      <c r="L37" s="50"/>
      <c r="M37" s="50"/>
      <c r="N37" s="50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50"/>
      <c r="AA37" s="50"/>
      <c r="AB37" s="14"/>
      <c r="AC37" s="14"/>
      <c r="AD37" s="50"/>
      <c r="AE37" s="50"/>
      <c r="AF37" s="50"/>
      <c r="AG37" s="50"/>
      <c r="AH37" s="50"/>
      <c r="AI37" s="50"/>
      <c r="AJ37" s="14"/>
      <c r="AK37" s="30"/>
      <c r="AL37" s="30"/>
      <c r="AM37" s="30"/>
      <c r="AN37" s="30"/>
      <c r="AO37" s="30"/>
      <c r="AP37" s="30"/>
      <c r="AQ37" s="14"/>
      <c r="AR37" s="14"/>
      <c r="AS37" s="33"/>
      <c r="AT37" s="14"/>
      <c r="AU37" s="14"/>
      <c r="AV37" s="14"/>
    </row>
    <row r="38" spans="1:48" ht="16.5" thickTop="1" x14ac:dyDescent="0.25">
      <c r="A38" s="30"/>
      <c r="F38" s="14"/>
      <c r="G38" s="14"/>
      <c r="H38" s="14"/>
      <c r="I38" s="50"/>
      <c r="J38" s="50"/>
      <c r="K38" s="50"/>
      <c r="L38" s="50"/>
      <c r="M38" s="50"/>
      <c r="N38" s="50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50"/>
      <c r="AA38" s="50"/>
      <c r="AB38" s="14"/>
      <c r="AC38" s="14"/>
      <c r="AD38" s="50"/>
      <c r="AE38" s="50"/>
      <c r="AF38" s="50"/>
      <c r="AG38" s="50"/>
      <c r="AH38" s="50"/>
      <c r="AI38" s="50"/>
      <c r="AJ38" s="14"/>
      <c r="AK38" s="30"/>
      <c r="AL38" s="30"/>
      <c r="AM38" s="30"/>
      <c r="AN38" s="30"/>
      <c r="AO38" s="30"/>
      <c r="AP38" s="30"/>
      <c r="AQ38" s="14"/>
      <c r="AR38" s="14"/>
      <c r="AS38" s="33"/>
      <c r="AT38" s="14"/>
      <c r="AU38" s="14"/>
      <c r="AV38" s="14"/>
    </row>
    <row r="39" spans="1:48" x14ac:dyDescent="0.25">
      <c r="A39" s="36"/>
      <c r="C39" s="14"/>
      <c r="D39" s="14"/>
      <c r="E39" s="37"/>
      <c r="K39" s="50"/>
      <c r="M39" s="51"/>
      <c r="N39" s="50"/>
      <c r="P39" s="14"/>
      <c r="Q39" s="14"/>
      <c r="R39" s="14"/>
      <c r="U39" s="38"/>
      <c r="V39" s="14"/>
      <c r="W39" s="14"/>
      <c r="X39" s="14"/>
      <c r="Y39" s="14"/>
      <c r="Z39" s="50"/>
      <c r="AA39" s="50"/>
      <c r="AB39" s="38"/>
      <c r="AC39" s="14"/>
      <c r="AD39" s="50"/>
      <c r="AE39" s="50"/>
      <c r="AF39" s="50"/>
      <c r="AG39" s="50"/>
      <c r="AH39" s="51"/>
      <c r="AI39" s="50"/>
      <c r="AJ39" s="14"/>
      <c r="AK39" s="14"/>
      <c r="AL39" s="30"/>
      <c r="AM39" s="30"/>
      <c r="AN39" s="30"/>
      <c r="AO39" s="30"/>
      <c r="AP39" s="30"/>
      <c r="AQ39" s="14"/>
      <c r="AR39" s="14"/>
      <c r="AS39" s="33"/>
      <c r="AT39" s="14"/>
      <c r="AU39" s="14"/>
      <c r="AV39" s="14"/>
    </row>
    <row r="40" spans="1:48" x14ac:dyDescent="0.25">
      <c r="A40" s="14"/>
      <c r="C40" s="14"/>
      <c r="D40" s="14"/>
      <c r="E40" s="37"/>
      <c r="K40" s="50"/>
      <c r="M40" s="51"/>
      <c r="N40" s="50"/>
      <c r="P40" s="14"/>
      <c r="Q40" s="14"/>
      <c r="R40" s="14"/>
      <c r="U40" s="38"/>
      <c r="V40" s="14"/>
      <c r="W40" s="14"/>
      <c r="X40" s="14"/>
      <c r="Y40" s="14"/>
      <c r="Z40" s="50"/>
      <c r="AA40" s="50"/>
      <c r="AB40" s="38"/>
      <c r="AC40" s="14"/>
      <c r="AD40" s="50"/>
      <c r="AE40" s="50"/>
      <c r="AF40" s="50"/>
      <c r="AG40" s="50"/>
      <c r="AH40" s="51"/>
      <c r="AI40" s="50"/>
      <c r="AJ40" s="14"/>
      <c r="AK40" s="14"/>
      <c r="AL40" s="30"/>
      <c r="AM40" s="30"/>
      <c r="AN40" s="30"/>
      <c r="AO40" s="30"/>
      <c r="AP40" s="30"/>
      <c r="AQ40" s="14"/>
      <c r="AR40" s="14"/>
      <c r="AS40" s="33"/>
      <c r="AT40" s="14"/>
      <c r="AU40" s="14"/>
      <c r="AV40" s="14"/>
    </row>
    <row r="41" spans="1:48" x14ac:dyDescent="0.25">
      <c r="A41" s="14"/>
      <c r="C41" s="14"/>
      <c r="D41" s="14"/>
      <c r="E41" s="37"/>
      <c r="K41" s="50"/>
      <c r="M41" s="51"/>
      <c r="N41" s="50"/>
      <c r="P41" s="14"/>
      <c r="Q41" s="14"/>
      <c r="R41" s="14"/>
      <c r="U41" s="38"/>
      <c r="V41" s="14"/>
      <c r="W41" s="14"/>
      <c r="X41" s="14"/>
      <c r="Y41" s="14"/>
      <c r="Z41" s="50"/>
      <c r="AA41" s="50"/>
      <c r="AB41" s="38"/>
      <c r="AC41" s="14"/>
      <c r="AD41" s="50"/>
      <c r="AE41" s="50"/>
      <c r="AF41" s="50"/>
      <c r="AG41" s="50"/>
      <c r="AH41" s="51"/>
      <c r="AI41" s="50"/>
      <c r="AJ41" s="14"/>
      <c r="AK41" s="14"/>
      <c r="AL41" s="30"/>
      <c r="AM41" s="30"/>
      <c r="AN41" s="30"/>
      <c r="AO41" s="30"/>
      <c r="AP41" s="30"/>
      <c r="AQ41" s="14"/>
      <c r="AR41" s="14"/>
      <c r="AS41" s="33"/>
      <c r="AT41" s="14"/>
      <c r="AU41" s="14"/>
      <c r="AV41" s="14"/>
    </row>
    <row r="42" spans="1:48" x14ac:dyDescent="0.25">
      <c r="A42" s="14"/>
      <c r="C42" s="14"/>
      <c r="D42" s="14"/>
      <c r="E42" s="37"/>
      <c r="K42" s="50"/>
      <c r="M42" s="51"/>
      <c r="N42" s="50"/>
      <c r="P42" s="14"/>
      <c r="Q42" s="14"/>
      <c r="R42" s="14"/>
      <c r="U42" s="38"/>
      <c r="V42" s="14"/>
      <c r="W42" s="14"/>
      <c r="X42" s="14"/>
      <c r="Y42" s="14"/>
      <c r="Z42" s="50"/>
      <c r="AA42" s="50"/>
      <c r="AB42" s="38"/>
      <c r="AC42" s="14"/>
      <c r="AD42" s="50"/>
      <c r="AE42" s="50"/>
      <c r="AF42" s="50"/>
      <c r="AG42" s="50"/>
      <c r="AH42" s="51"/>
      <c r="AI42" s="50"/>
      <c r="AJ42" s="14"/>
      <c r="AK42" s="14"/>
      <c r="AL42" s="30"/>
      <c r="AM42" s="30"/>
      <c r="AN42" s="30"/>
      <c r="AO42" s="30"/>
      <c r="AP42" s="30"/>
      <c r="AQ42" s="14"/>
      <c r="AR42" s="14"/>
      <c r="AS42" s="33"/>
      <c r="AT42" s="14"/>
      <c r="AU42" s="14"/>
      <c r="AV42" s="14"/>
    </row>
  </sheetData>
  <mergeCells count="19">
    <mergeCell ref="B28:E28"/>
    <mergeCell ref="AQ3:AQ4"/>
    <mergeCell ref="AR3:AR4"/>
    <mergeCell ref="AS3:AS4"/>
    <mergeCell ref="AT3:AT4"/>
    <mergeCell ref="B16:E16"/>
    <mergeCell ref="B27:E27"/>
    <mergeCell ref="AK3:AK4"/>
    <mergeCell ref="AL3:AL4"/>
    <mergeCell ref="AM3:AM4"/>
    <mergeCell ref="AN3:AN4"/>
    <mergeCell ref="AO3:AO4"/>
    <mergeCell ref="AP3:AP4"/>
    <mergeCell ref="A3:A4"/>
    <mergeCell ref="B3:B4"/>
    <mergeCell ref="C3:C4"/>
    <mergeCell ref="D3:D4"/>
    <mergeCell ref="E3:E4"/>
    <mergeCell ref="F3:AJ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March-2026</vt:lpstr>
      <vt:lpstr>April-2026</vt:lpstr>
      <vt:lpstr>May 2026</vt:lpstr>
      <vt:lpstr>June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2026-07-07T13:33:50Z</dcterms:modified>
</cp:coreProperties>
</file>