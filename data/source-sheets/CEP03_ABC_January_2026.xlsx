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E Folder\Hire Vehicle &amp; Transport Bills\E and C internal machines costing\Packages A,B and C corrected\2026\Wadakada\"/>
    </mc:Choice>
  </mc:AlternateContent>
  <bookViews>
    <workbookView xWindow="-105" yWindow="-105" windowWidth="23250" windowHeight="12570" activeTab="1"/>
  </bookViews>
  <sheets>
    <sheet name="Machinery " sheetId="1" r:id="rId1"/>
    <sheet name="Plant expenses" sheetId="5" r:id="rId2"/>
    <sheet name="Data" sheetId="4" state="hidden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</externalReferences>
  <definedNames>
    <definedName name="\a" localSheetId="0">#REF!</definedName>
    <definedName name="\a" localSheetId="1">#REF!</definedName>
    <definedName name="\a">#REF!</definedName>
    <definedName name="\b" localSheetId="0">#REF!</definedName>
    <definedName name="\b" localSheetId="1">#REF!</definedName>
    <definedName name="\b">#REF!</definedName>
    <definedName name="\c" localSheetId="1">#REF!</definedName>
    <definedName name="\c">#REF!</definedName>
    <definedName name="\d" localSheetId="1">#REF!</definedName>
    <definedName name="\d">#REF!</definedName>
    <definedName name="\e" localSheetId="1">#REF!</definedName>
    <definedName name="\e">#REF!</definedName>
    <definedName name="\f" localSheetId="1">#REF!</definedName>
    <definedName name="\f">#REF!</definedName>
    <definedName name="\g" localSheetId="1">#REF!</definedName>
    <definedName name="\g">#REF!</definedName>
    <definedName name="\h" localSheetId="1">#REF!</definedName>
    <definedName name="\h">#REF!</definedName>
    <definedName name="\i" localSheetId="1">#REF!</definedName>
    <definedName name="\i">#REF!</definedName>
    <definedName name="\j" localSheetId="1">#REF!</definedName>
    <definedName name="\j">#REF!</definedName>
    <definedName name="\m" localSheetId="1">#REF!</definedName>
    <definedName name="\m">#REF!</definedName>
    <definedName name="\s" localSheetId="1">#REF!</definedName>
    <definedName name="\s">#REF!</definedName>
    <definedName name="______may1" localSheetId="0" hidden="1">{#N/A,#N/A,FALSE,"MARCH"}</definedName>
    <definedName name="______may1" localSheetId="1" hidden="1">{#N/A,#N/A,FALSE,"MARCH"}</definedName>
    <definedName name="______may1" hidden="1">{#N/A,#N/A,FALSE,"MARCH"}</definedName>
    <definedName name="_____1.2" localSheetId="1">[1]BOQ!#REF!</definedName>
    <definedName name="_____1.2">[1]BOQ!#REF!</definedName>
    <definedName name="_____1.3" localSheetId="1">[1]BOQ!#REF!</definedName>
    <definedName name="_____1.3">[1]BOQ!#REF!</definedName>
    <definedName name="_____1.4" localSheetId="1">[1]BOQ!#REF!</definedName>
    <definedName name="_____1.4">[1]BOQ!#REF!</definedName>
    <definedName name="_____5A.1" localSheetId="1">[1]BOQ!#REF!</definedName>
    <definedName name="_____5A.1">[1]BOQ!#REF!</definedName>
    <definedName name="_____5A.2" localSheetId="1">[1]BOQ!#REF!</definedName>
    <definedName name="_____5A.2">[1]BOQ!#REF!</definedName>
    <definedName name="_____5A.3" localSheetId="1">[1]BOQ!#REF!</definedName>
    <definedName name="_____5A.3">[1]BOQ!#REF!</definedName>
    <definedName name="_____5B.1" localSheetId="1">[1]BOQ!#REF!</definedName>
    <definedName name="_____5B.1">[1]BOQ!#REF!</definedName>
    <definedName name="_____5B.2" localSheetId="1">[1]BOQ!#REF!</definedName>
    <definedName name="_____5B.2">[1]BOQ!#REF!</definedName>
    <definedName name="_____5B.3" localSheetId="1">[1]BOQ!#REF!</definedName>
    <definedName name="_____5B.3">[1]BOQ!#REF!</definedName>
    <definedName name="_____5B.4" localSheetId="1">[1]BOQ!#REF!</definedName>
    <definedName name="_____5B.4">[1]BOQ!#REF!</definedName>
    <definedName name="_____6.2" localSheetId="1">[1]BOQ!#REF!</definedName>
    <definedName name="_____6.2">[1]BOQ!#REF!</definedName>
    <definedName name="_____6.3" localSheetId="1">[1]BOQ!#REF!</definedName>
    <definedName name="_____6.3">[1]BOQ!#REF!</definedName>
    <definedName name="_____6.4" localSheetId="1">[1]BOQ!#REF!</definedName>
    <definedName name="_____6.4">[1]BOQ!#REF!</definedName>
    <definedName name="_____may1" localSheetId="0" hidden="1">{#N/A,#N/A,FALSE,"MARCH"}</definedName>
    <definedName name="_____may1" localSheetId="1" hidden="1">{#N/A,#N/A,FALSE,"MARCH"}</definedName>
    <definedName name="_____may1" hidden="1">{#N/A,#N/A,FALSE,"MARCH"}</definedName>
    <definedName name="____1.2" localSheetId="1">[1]BOQ!#REF!</definedName>
    <definedName name="____1.2">[1]BOQ!#REF!</definedName>
    <definedName name="____1.3" localSheetId="1">[1]BOQ!#REF!</definedName>
    <definedName name="____1.3">[1]BOQ!#REF!</definedName>
    <definedName name="____1.4" localSheetId="1">[1]BOQ!#REF!</definedName>
    <definedName name="____1.4">[1]BOQ!#REF!</definedName>
    <definedName name="____5A.1" localSheetId="1">[1]BOQ!#REF!</definedName>
    <definedName name="____5A.1">[1]BOQ!#REF!</definedName>
    <definedName name="____5A.2" localSheetId="1">[1]BOQ!#REF!</definedName>
    <definedName name="____5A.2">[1]BOQ!#REF!</definedName>
    <definedName name="____5A.3" localSheetId="1">[1]BOQ!#REF!</definedName>
    <definedName name="____5A.3">[1]BOQ!#REF!</definedName>
    <definedName name="____5B.1" localSheetId="1">[1]BOQ!#REF!</definedName>
    <definedName name="____5B.1">[1]BOQ!#REF!</definedName>
    <definedName name="____5B.2" localSheetId="1">[1]BOQ!#REF!</definedName>
    <definedName name="____5B.2">[1]BOQ!#REF!</definedName>
    <definedName name="____5B.3" localSheetId="1">[1]BOQ!#REF!</definedName>
    <definedName name="____5B.3">[1]BOQ!#REF!</definedName>
    <definedName name="____5B.4" localSheetId="1">[1]BOQ!#REF!</definedName>
    <definedName name="____5B.4">[1]BOQ!#REF!</definedName>
    <definedName name="____6.2" localSheetId="1">[1]BOQ!#REF!</definedName>
    <definedName name="____6.2">[1]BOQ!#REF!</definedName>
    <definedName name="____6.3" localSheetId="1">[1]BOQ!#REF!</definedName>
    <definedName name="____6.3">[1]BOQ!#REF!</definedName>
    <definedName name="____6.4" localSheetId="1">[1]BOQ!#REF!</definedName>
    <definedName name="____6.4">[1]BOQ!#REF!</definedName>
    <definedName name="____may1" localSheetId="0" hidden="1">{#N/A,#N/A,FALSE,"MARCH"}</definedName>
    <definedName name="____may1" localSheetId="1" hidden="1">{#N/A,#N/A,FALSE,"MARCH"}</definedName>
    <definedName name="____may1" hidden="1">{#N/A,#N/A,FALSE,"MARCH"}</definedName>
    <definedName name="___Iw65536" localSheetId="1">#REF!</definedName>
    <definedName name="___Iw65536">#REF!</definedName>
    <definedName name="___may1" localSheetId="0" hidden="1">{#N/A,#N/A,FALSE,"MARCH"}</definedName>
    <definedName name="___may1" localSheetId="1" hidden="1">{#N/A,#N/A,FALSE,"MARCH"}</definedName>
    <definedName name="___may1" hidden="1">{#N/A,#N/A,FALSE,"MARCH"}</definedName>
    <definedName name="__1.2" localSheetId="1">[1]BOQ!#REF!</definedName>
    <definedName name="__1.2">[1]BOQ!#REF!</definedName>
    <definedName name="__1.3" localSheetId="1">[1]BOQ!#REF!</definedName>
    <definedName name="__1.3">[1]BOQ!#REF!</definedName>
    <definedName name="__1.4" localSheetId="1">[1]BOQ!#REF!</definedName>
    <definedName name="__1.4">[1]BOQ!#REF!</definedName>
    <definedName name="__123Graph_ACURRENT" localSheetId="1" hidden="1">[2]FitOutConfCentre!#REF!</definedName>
    <definedName name="__123Graph_ACURRENT" hidden="1">[2]FitOutConfCentre!#REF!</definedName>
    <definedName name="__5A.1" localSheetId="1">[1]BOQ!#REF!</definedName>
    <definedName name="__5A.1">[1]BOQ!#REF!</definedName>
    <definedName name="__5A.2" localSheetId="1">[1]BOQ!#REF!</definedName>
    <definedName name="__5A.2">[1]BOQ!#REF!</definedName>
    <definedName name="__5A.3" localSheetId="1">[1]BOQ!#REF!</definedName>
    <definedName name="__5A.3">[1]BOQ!#REF!</definedName>
    <definedName name="__5B.1" localSheetId="1">[1]BOQ!#REF!</definedName>
    <definedName name="__5B.1">[1]BOQ!#REF!</definedName>
    <definedName name="__5B.2" localSheetId="1">[1]BOQ!#REF!</definedName>
    <definedName name="__5B.2">[1]BOQ!#REF!</definedName>
    <definedName name="__5B.3" localSheetId="1">[1]BOQ!#REF!</definedName>
    <definedName name="__5B.3">[1]BOQ!#REF!</definedName>
    <definedName name="__5B.4" localSheetId="1">[1]BOQ!#REF!</definedName>
    <definedName name="__5B.4">[1]BOQ!#REF!</definedName>
    <definedName name="__6.2" localSheetId="1">[1]BOQ!#REF!</definedName>
    <definedName name="__6.2">[1]BOQ!#REF!</definedName>
    <definedName name="__6.3" localSheetId="1">[1]BOQ!#REF!</definedName>
    <definedName name="__6.3">[1]BOQ!#REF!</definedName>
    <definedName name="__6.4" localSheetId="1">[1]BOQ!#REF!</definedName>
    <definedName name="__6.4">[1]BOQ!#REF!</definedName>
    <definedName name="__New1" localSheetId="1">#REF!</definedName>
    <definedName name="__New1">#REF!</definedName>
    <definedName name="__No1" localSheetId="1">#REF!</definedName>
    <definedName name="__No1">#REF!</definedName>
    <definedName name="__No2" localSheetId="1">#REF!</definedName>
    <definedName name="__No2">#REF!</definedName>
    <definedName name="__No3" localSheetId="1">#REF!</definedName>
    <definedName name="__No3">#REF!</definedName>
    <definedName name="_1.2" localSheetId="1">[1]BOQ!#REF!</definedName>
    <definedName name="_1.2">[1]BOQ!#REF!</definedName>
    <definedName name="_1.3" localSheetId="1">[1]BOQ!#REF!</definedName>
    <definedName name="_1.3">[1]BOQ!#REF!</definedName>
    <definedName name="_1.4" localSheetId="1">[1]BOQ!#REF!</definedName>
    <definedName name="_1.4">[1]BOQ!#REF!</definedName>
    <definedName name="_10_1.2" localSheetId="1">[1]BOQ!#REF!</definedName>
    <definedName name="_10_1.2">[1]BOQ!#REF!</definedName>
    <definedName name="_100_5B.4" localSheetId="1">[1]BOQ!#REF!</definedName>
    <definedName name="_100_5B.4">[1]BOQ!#REF!</definedName>
    <definedName name="_110_6.2" localSheetId="1">[1]BOQ!#REF!</definedName>
    <definedName name="_110_6.2">[1]BOQ!#REF!</definedName>
    <definedName name="_120_6.3" localSheetId="1">[1]BOQ!#REF!</definedName>
    <definedName name="_120_6.3">[1]BOQ!#REF!</definedName>
    <definedName name="_130_6.4" localSheetId="1">[1]BOQ!#REF!</definedName>
    <definedName name="_130_6.4">[1]BOQ!#REF!</definedName>
    <definedName name="_20_1.3" localSheetId="1">[1]BOQ!#REF!</definedName>
    <definedName name="_20_1.3">[1]BOQ!#REF!</definedName>
    <definedName name="_30_1.4" localSheetId="1">[1]BOQ!#REF!</definedName>
    <definedName name="_30_1.4">[1]BOQ!#REF!</definedName>
    <definedName name="_40_5A.1" localSheetId="1">[1]BOQ!#REF!</definedName>
    <definedName name="_40_5A.1">[1]BOQ!#REF!</definedName>
    <definedName name="_50_5A.2" localSheetId="1">[1]BOQ!#REF!</definedName>
    <definedName name="_50_5A.2">[1]BOQ!#REF!</definedName>
    <definedName name="_5A.1" localSheetId="1">[1]BOQ!#REF!</definedName>
    <definedName name="_5A.1">[1]BOQ!#REF!</definedName>
    <definedName name="_5A.2" localSheetId="1">[1]BOQ!#REF!</definedName>
    <definedName name="_5A.2">[1]BOQ!#REF!</definedName>
    <definedName name="_5A.3" localSheetId="1">[1]BOQ!#REF!</definedName>
    <definedName name="_5A.3">[1]BOQ!#REF!</definedName>
    <definedName name="_5B.1" localSheetId="1">[1]BOQ!#REF!</definedName>
    <definedName name="_5B.1">[1]BOQ!#REF!</definedName>
    <definedName name="_5B.2" localSheetId="1">[1]BOQ!#REF!</definedName>
    <definedName name="_5B.2">[1]BOQ!#REF!</definedName>
    <definedName name="_5B.3" localSheetId="1">[1]BOQ!#REF!</definedName>
    <definedName name="_5B.3">[1]BOQ!#REF!</definedName>
    <definedName name="_5B.4" localSheetId="1">[1]BOQ!#REF!</definedName>
    <definedName name="_5B.4">[1]BOQ!#REF!</definedName>
    <definedName name="_6.2" localSheetId="1">[1]BOQ!#REF!</definedName>
    <definedName name="_6.2">[1]BOQ!#REF!</definedName>
    <definedName name="_6.3" localSheetId="1">[1]BOQ!#REF!</definedName>
    <definedName name="_6.3">[1]BOQ!#REF!</definedName>
    <definedName name="_6.4" localSheetId="1">[1]BOQ!#REF!</definedName>
    <definedName name="_6.4">[1]BOQ!#REF!</definedName>
    <definedName name="_60_5A.3" localSheetId="1">[1]BOQ!#REF!</definedName>
    <definedName name="_60_5A.3">[1]BOQ!#REF!</definedName>
    <definedName name="_70_5B.1" localSheetId="1">[1]BOQ!#REF!</definedName>
    <definedName name="_70_5B.1">[1]BOQ!#REF!</definedName>
    <definedName name="_80_5B.2" localSheetId="1">[1]BOQ!#REF!</definedName>
    <definedName name="_80_5B.2">[1]BOQ!#REF!</definedName>
    <definedName name="_90_5B.3" localSheetId="1">[1]BOQ!#REF!</definedName>
    <definedName name="_90_5B.3">[1]BOQ!#REF!</definedName>
    <definedName name="_cntr_val" localSheetId="1">#REF!</definedName>
    <definedName name="_cntr_val">#REF!</definedName>
    <definedName name="_Fill" localSheetId="0">#REF!</definedName>
    <definedName name="_Fill" localSheetId="1">#REF!</definedName>
    <definedName name="_Fill">#REF!</definedName>
    <definedName name="_xlnm._FilterDatabase" localSheetId="1" hidden="1">#REF!</definedName>
    <definedName name="_xlnm._FilterDatabase" hidden="1">#REF!</definedName>
    <definedName name="_Iw65536" localSheetId="1">#REF!</definedName>
    <definedName name="_Iw65536">#REF!</definedName>
    <definedName name="_m1">'[3]No-edit'!$A$2:$A$13</definedName>
    <definedName name="_may1" localSheetId="0" hidden="1">{#N/A,#N/A,FALSE,"MARCH"}</definedName>
    <definedName name="_may1" localSheetId="1" hidden="1">{#N/A,#N/A,FALSE,"MARCH"}</definedName>
    <definedName name="_may1" hidden="1">{#N/A,#N/A,FALSE,"MARCH"}</definedName>
    <definedName name="_MON1" localSheetId="0">#REF!</definedName>
    <definedName name="_MON1" localSheetId="1">#REF!</definedName>
    <definedName name="_MON1">#REF!</definedName>
    <definedName name="_New1" localSheetId="0">#REF!</definedName>
    <definedName name="_New1" localSheetId="1">#REF!</definedName>
    <definedName name="_New1">#REF!</definedName>
    <definedName name="_No1" localSheetId="1">#REF!</definedName>
    <definedName name="_No1">#REF!</definedName>
    <definedName name="_No2" localSheetId="1">#REF!</definedName>
    <definedName name="_No2">#REF!</definedName>
    <definedName name="_No3" localSheetId="1">#REF!</definedName>
    <definedName name="_No3">#REF!</definedName>
    <definedName name="_package">[4]Notes!$C$6</definedName>
    <definedName name="_paf" localSheetId="1">#REF!</definedName>
    <definedName name="_paf">#REF!</definedName>
    <definedName name="_pkg_no" localSheetId="0">#REF!</definedName>
    <definedName name="_pkg_no" localSheetId="1">#REF!</definedName>
    <definedName name="_pkg_no">#REF!</definedName>
    <definedName name="_title">[4]Notes!$C$2</definedName>
    <definedName name="_title_2">[4]Notes!$C$3</definedName>
    <definedName name="_vo_date" localSheetId="1">#REF!</definedName>
    <definedName name="_vo_date">#REF!</definedName>
    <definedName name="_vo_no" localSheetId="0">#REF!</definedName>
    <definedName name="_vo_no" localSheetId="1">#REF!</definedName>
    <definedName name="_vo_no">#REF!</definedName>
    <definedName name="a" localSheetId="1">#REF!</definedName>
    <definedName name="a">#REF!</definedName>
    <definedName name="aa" localSheetId="1" hidden="1">#REF!</definedName>
    <definedName name="aa" hidden="1">#REF!</definedName>
    <definedName name="AAA" localSheetId="1">#REF!</definedName>
    <definedName name="AAA">#REF!</definedName>
    <definedName name="AB" localSheetId="1">#REF!</definedName>
    <definedName name="AB">#REF!</definedName>
    <definedName name="abc" localSheetId="1">#REF!</definedName>
    <definedName name="abc">#REF!</definedName>
    <definedName name="Abut_name" localSheetId="1">#REF!</definedName>
    <definedName name="Abut_name">#REF!</definedName>
    <definedName name="Abut_name1" localSheetId="1">#REF!</definedName>
    <definedName name="Abut_name1">#REF!</definedName>
    <definedName name="AD" localSheetId="1">#REF!</definedName>
    <definedName name="AD">#REF!</definedName>
    <definedName name="AggregateBaseCourse" localSheetId="1">#REF!</definedName>
    <definedName name="AggregateBaseCourse">#REF!</definedName>
    <definedName name="ajith">[5]BOQ2!$G$579</definedName>
    <definedName name="AS" localSheetId="1">#REF!</definedName>
    <definedName name="AS">#REF!</definedName>
    <definedName name="ASASA" localSheetId="0">#REF!</definedName>
    <definedName name="ASASA" localSheetId="1">#REF!</definedName>
    <definedName name="ASASA">#REF!</definedName>
    <definedName name="ASASAS" localSheetId="1" hidden="1">#REF!</definedName>
    <definedName name="ASASAS" hidden="1">#REF!</definedName>
    <definedName name="asd" localSheetId="1">#REF!</definedName>
    <definedName name="asd">#REF!</definedName>
    <definedName name="ASE" localSheetId="1">#REF!</definedName>
    <definedName name="ASE">#REF!</definedName>
    <definedName name="AsphalticBaseCourse" localSheetId="1">#REF!</definedName>
    <definedName name="AsphalticBaseCourse">#REF!</definedName>
    <definedName name="ass.vv" localSheetId="0" hidden="1">{#N/A,#N/A,FALSE,"Abutments &amp; Pier(s)"}</definedName>
    <definedName name="ass.vv" localSheetId="1" hidden="1">{#N/A,#N/A,FALSE,"Abutments &amp; Pier(s)"}</definedName>
    <definedName name="ass.vv" hidden="1">{#N/A,#N/A,FALSE,"Abutments &amp; Pier(s)"}</definedName>
    <definedName name="ASW" localSheetId="1">#REF!</definedName>
    <definedName name="ASW">#REF!</definedName>
    <definedName name="Attendance" localSheetId="0">#REF!</definedName>
    <definedName name="Attendance" localSheetId="1">#REF!</definedName>
    <definedName name="Attendance">#REF!</definedName>
    <definedName name="Attendance1">[6]select_month!$A$1:$I$38</definedName>
    <definedName name="awsd" localSheetId="1">#REF!</definedName>
    <definedName name="awsd">#REF!</definedName>
    <definedName name="B" localSheetId="1">#REF!</definedName>
    <definedName name="B">#REF!</definedName>
    <definedName name="Basic_Salary" localSheetId="1">#REF!</definedName>
    <definedName name="Basic_Salary">#REF!</definedName>
    <definedName name="BB" localSheetId="1">#REF!</definedName>
    <definedName name="BB">#REF!</definedName>
    <definedName name="bbb" localSheetId="1">#REF!</definedName>
    <definedName name="bbb">#REF!</definedName>
    <definedName name="bill" localSheetId="1">#REF!</definedName>
    <definedName name="bill">#REF!</definedName>
    <definedName name="BIN" localSheetId="1">#REF!</definedName>
    <definedName name="BIN">#REF!</definedName>
    <definedName name="Bitumen" localSheetId="1">#REF!</definedName>
    <definedName name="Bitumen">#REF!</definedName>
    <definedName name="BOQ" localSheetId="1">#REF!</definedName>
    <definedName name="BOQ">#REF!</definedName>
    <definedName name="BR_NO" localSheetId="1">#REF!</definedName>
    <definedName name="BR_NO">#REF!</definedName>
    <definedName name="Bsalary">[6]Labor_rate!$B:$B</definedName>
    <definedName name="Category" localSheetId="1">#REF!</definedName>
    <definedName name="Category">#REF!</definedName>
    <definedName name="Category2">[6]Labor_rate!$A:$A</definedName>
    <definedName name="CatEyes" localSheetId="1">#REF!</definedName>
    <definedName name="CatEyes">#REF!</definedName>
    <definedName name="CC" localSheetId="1">#REF!</definedName>
    <definedName name="CC">#REF!</definedName>
    <definedName name="ClearingAndGrubbing" localSheetId="1">#REF!</definedName>
    <definedName name="ClearingAndGrubbing">#REF!</definedName>
    <definedName name="Code" localSheetId="1">#REF!</definedName>
    <definedName name="Code">#REF!</definedName>
    <definedName name="Con_Value" localSheetId="1">#REF!</definedName>
    <definedName name="Con_Value">#REF!</definedName>
    <definedName name="concrete" localSheetId="1">#REF!</definedName>
    <definedName name="concrete">#REF!</definedName>
    <definedName name="ConcreteClassA" localSheetId="1">#REF!</definedName>
    <definedName name="ConcreteClassA">#REF!</definedName>
    <definedName name="_xlnm.Consolidate_Area">#N/A</definedName>
    <definedName name="Country" localSheetId="1">#REF!</definedName>
    <definedName name="Country">#REF!</definedName>
    <definedName name="cover1">'[7]Basic Rates'!$C$4</definedName>
    <definedName name="_xlnm.Criteria" localSheetId="1">[8]HeavyData!#REF!</definedName>
    <definedName name="_xlnm.Criteria">[8]HeavyData!#REF!</definedName>
    <definedName name="CumulativeFinancialProgress" localSheetId="1">#REF!</definedName>
    <definedName name="CumulativeFinancialProgress">#REF!</definedName>
    <definedName name="CumulativePercentCompletion" localSheetId="1">#REF!</definedName>
    <definedName name="CumulativePercentCompletion">#REF!</definedName>
    <definedName name="D" localSheetId="1">#REF!</definedName>
    <definedName name="D">#REF!</definedName>
    <definedName name="D_Name">"ドロップ 4"</definedName>
    <definedName name="DA" localSheetId="0">#REF!</definedName>
    <definedName name="DA" localSheetId="1">#REF!</definedName>
    <definedName name="DA">#REF!</definedName>
    <definedName name="_xlnm.Database" localSheetId="0">#REF!</definedName>
    <definedName name="_xlnm.Database" localSheetId="1">#REF!</definedName>
    <definedName name="_xlnm.Database">#REF!</definedName>
    <definedName name="Daywork1" localSheetId="0" hidden="1">{#N/A,#N/A,FALSE,"MARCH"}</definedName>
    <definedName name="Daywork1" localSheetId="1" hidden="1">{#N/A,#N/A,FALSE,"MARCH"}</definedName>
    <definedName name="Daywork1" hidden="1">{#N/A,#N/A,FALSE,"MARCH"}</definedName>
    <definedName name="dc" localSheetId="1">#REF!</definedName>
    <definedName name="dc">#REF!</definedName>
    <definedName name="dd" localSheetId="0">#REF!</definedName>
    <definedName name="dd" localSheetId="1">#REF!</definedName>
    <definedName name="dd">#REF!</definedName>
    <definedName name="ddd" localSheetId="1">#REF!</definedName>
    <definedName name="ddd">#REF!</definedName>
    <definedName name="ddddd" localSheetId="1" hidden="1">#REF!</definedName>
    <definedName name="ddddd" hidden="1">#REF!</definedName>
    <definedName name="dddddfjnjnjnjnjn" localSheetId="0" hidden="1">{#N/A,#N/A,FALSE,"MARCH"}</definedName>
    <definedName name="dddddfjnjnjnjnjn" localSheetId="1" hidden="1">{#N/A,#N/A,FALSE,"MARCH"}</definedName>
    <definedName name="dddddfjnjnjnjnjn" hidden="1">{#N/A,#N/A,FALSE,"MARCH"}</definedName>
    <definedName name="DEL_ERR" localSheetId="0">#REF!</definedName>
    <definedName name="DEL_ERR" localSheetId="1">#REF!</definedName>
    <definedName name="DEL_ERR">#REF!</definedName>
    <definedName name="DEL_ERR1" localSheetId="0">#REF!</definedName>
    <definedName name="DEL_ERR1" localSheetId="1">#REF!</definedName>
    <definedName name="DEL_ERR1">#REF!</definedName>
    <definedName name="DEL_ERR2" localSheetId="0">#REF!</definedName>
    <definedName name="DEL_ERR2" localSheetId="1">#REF!</definedName>
    <definedName name="DEL_ERR2">#REF!</definedName>
    <definedName name="DEL_ERR3" localSheetId="1">#REF!</definedName>
    <definedName name="DEL_ERR3">#REF!</definedName>
    <definedName name="DEL_ROW" localSheetId="1">#REF!</definedName>
    <definedName name="DEL_ROW">#REF!</definedName>
    <definedName name="DEL_ROW_S" localSheetId="1">#REF!</definedName>
    <definedName name="DEL_ROW_S">#REF!</definedName>
    <definedName name="DELData">[9]残数量確認用!$D$4:$G$2500</definedName>
    <definedName name="dfjgopjga" localSheetId="1">#REF!</definedName>
    <definedName name="dfjgopjga">#REF!</definedName>
    <definedName name="ds" localSheetId="0" hidden="1">{#N/A,#N/A,FALSE,"MARCH"}</definedName>
    <definedName name="ds" localSheetId="1" hidden="1">{#N/A,#N/A,FALSE,"MARCH"}</definedName>
    <definedName name="ds" hidden="1">{#N/A,#N/A,FALSE,"MARCH"}</definedName>
    <definedName name="DST" localSheetId="1">#REF!</definedName>
    <definedName name="DST">#REF!</definedName>
    <definedName name="Duration" localSheetId="1">#REF!</definedName>
    <definedName name="Duration">#REF!</definedName>
    <definedName name="E" localSheetId="1">#REF!</definedName>
    <definedName name="E">#REF!</definedName>
    <definedName name="EE" localSheetId="1">#REF!</definedName>
    <definedName name="EE">#REF!</definedName>
    <definedName name="Emb108a" localSheetId="1">#REF!</definedName>
    <definedName name="Emb108a">#REF!</definedName>
    <definedName name="Emb108c" localSheetId="1">#REF!</definedName>
    <definedName name="Emb108c">#REF!</definedName>
    <definedName name="End_Bal" localSheetId="1">#REF!</definedName>
    <definedName name="End_Bal">#REF!</definedName>
    <definedName name="Equipment" localSheetId="1">#REF!</definedName>
    <definedName name="Equipment">#REF!</definedName>
    <definedName name="ERR" localSheetId="1">#REF!</definedName>
    <definedName name="ERR">#REF!</definedName>
    <definedName name="Escalation" localSheetId="1">#REF!</definedName>
    <definedName name="Escalation">#REF!</definedName>
    <definedName name="F" localSheetId="1">#REF!</definedName>
    <definedName name="F">#REF!</definedName>
    <definedName name="Factor" localSheetId="1">#REF!</definedName>
    <definedName name="Factor">#REF!</definedName>
    <definedName name="fd" localSheetId="1" hidden="1">#REF!</definedName>
    <definedName name="fd" hidden="1">#REF!</definedName>
    <definedName name="fddgbfd" localSheetId="1">#REF!</definedName>
    <definedName name="fddgbfd">#REF!</definedName>
    <definedName name="FF" localSheetId="1">#REF!</definedName>
    <definedName name="FF">#REF!</definedName>
    <definedName name="FFF" localSheetId="0" hidden="1">{#N/A,#N/A,FALSE,"MARCH"}</definedName>
    <definedName name="FFF" localSheetId="1" hidden="1">{#N/A,#N/A,FALSE,"MARCH"}</definedName>
    <definedName name="FFF" hidden="1">{#N/A,#N/A,FALSE,"MARCH"}</definedName>
    <definedName name="FOUN" localSheetId="0">#REF!</definedName>
    <definedName name="FOUN" localSheetId="1">#REF!</definedName>
    <definedName name="FOUN">#REF!</definedName>
    <definedName name="Foun1">[10]BOQ2!$G$575</definedName>
    <definedName name="found1">[5]BOQ2!$G$575</definedName>
    <definedName name="FReport5" localSheetId="0" hidden="1">{#N/A,#N/A,FALSE,"MARCH"}</definedName>
    <definedName name="FReport5" localSheetId="1" hidden="1">{#N/A,#N/A,FALSE,"MARCH"}</definedName>
    <definedName name="FReport5" hidden="1">{#N/A,#N/A,FALSE,"MARCH"}</definedName>
    <definedName name="Full_Print" localSheetId="1">#REF!</definedName>
    <definedName name="Full_Print">#REF!</definedName>
    <definedName name="G" localSheetId="1">#REF!</definedName>
    <definedName name="G">#REF!</definedName>
    <definedName name="G.Total" localSheetId="1">#REF!</definedName>
    <definedName name="G.Total">#REF!</definedName>
    <definedName name="G.TTL" localSheetId="1">#REF!</definedName>
    <definedName name="G.TTL">#REF!</definedName>
    <definedName name="G_Total" localSheetId="1">#REF!</definedName>
    <definedName name="G_Total">#REF!</definedName>
    <definedName name="G_W" localSheetId="1">#REF!</definedName>
    <definedName name="G_W">#REF!</definedName>
    <definedName name="gfdfhfdhfgjhfg" localSheetId="1" hidden="1">#REF!</definedName>
    <definedName name="gfdfhfdhfgjhfg" hidden="1">#REF!</definedName>
    <definedName name="gfhgfhgfhjgfjth" localSheetId="1">#REF!</definedName>
    <definedName name="gfhgfhgfhjgfjth">#REF!</definedName>
    <definedName name="gh" localSheetId="0" hidden="1">{#N/A,#N/A,FALSE,"MARCH"}</definedName>
    <definedName name="gh" localSheetId="1" hidden="1">{#N/A,#N/A,FALSE,"MARCH"}</definedName>
    <definedName name="gh" hidden="1">{#N/A,#N/A,FALSE,"MARCH"}</definedName>
    <definedName name="GroutedRiprap" localSheetId="1">#REF!</definedName>
    <definedName name="GroutedRiprap">#REF!</definedName>
    <definedName name="GSB" localSheetId="1">#REF!</definedName>
    <definedName name="GSB">#REF!</definedName>
    <definedName name="GST" localSheetId="1">#REF!</definedName>
    <definedName name="GST">#REF!</definedName>
    <definedName name="GUI" localSheetId="1">'[11]PLT-SUM'!#REF!</definedName>
    <definedName name="GUI">'[11]PLT-SUM'!#REF!</definedName>
    <definedName name="H" localSheetId="1">#REF!</definedName>
    <definedName name="H">#REF!</definedName>
    <definedName name="haulage">'[12]Haulage(G.C.)'!$B$5:$J$117</definedName>
    <definedName name="HEAD" localSheetId="1">#REF!</definedName>
    <definedName name="HEAD">#REF!</definedName>
    <definedName name="HeadWall" localSheetId="1">#REF!</definedName>
    <definedName name="HeadWall">#REF!</definedName>
    <definedName name="HeavyList" localSheetId="1">#REF!</definedName>
    <definedName name="HeavyList">#REF!</definedName>
    <definedName name="hgh" localSheetId="1" hidden="1">#REF!</definedName>
    <definedName name="hgh" hidden="1">#REF!</definedName>
    <definedName name="HH" localSheetId="1">#REF!</definedName>
    <definedName name="HH">#REF!</definedName>
    <definedName name="hjk" localSheetId="0" hidden="1">{#N/A,#N/A,FALSE,"MARCH"}</definedName>
    <definedName name="hjk" localSheetId="1" hidden="1">{#N/A,#N/A,FALSE,"MARCH"}</definedName>
    <definedName name="hjk" hidden="1">{#N/A,#N/A,FALSE,"MARCH"}</definedName>
    <definedName name="HOCList" localSheetId="1">#REF!</definedName>
    <definedName name="HOCList">#REF!</definedName>
    <definedName name="I.D." localSheetId="1">[13]HOC!#REF!</definedName>
    <definedName name="I.D.">[13]HOC!#REF!</definedName>
    <definedName name="ijn" localSheetId="0" hidden="1">{#N/A,#N/A,FALSE,"MARCH"}</definedName>
    <definedName name="ijn" localSheetId="1" hidden="1">{#N/A,#N/A,FALSE,"MARCH"}</definedName>
    <definedName name="ijn" hidden="1">{#N/A,#N/A,FALSE,"MARCH"}</definedName>
    <definedName name="Interest_Rate" localSheetId="1">#REF!</definedName>
    <definedName name="Interest_Rate">#REF!</definedName>
    <definedName name="IPCs" localSheetId="1">#REF!</definedName>
    <definedName name="IPCs">#REF!</definedName>
    <definedName name="j" localSheetId="1">#REF!</definedName>
    <definedName name="j">#REF!</definedName>
    <definedName name="jcb">'[14]Basic Rates'!$C$57</definedName>
    <definedName name="jcbm.">'[7]Basic Rates'!$C$57</definedName>
    <definedName name="jkhjhf" localSheetId="1">#REF!</definedName>
    <definedName name="jkhjhf">#REF!</definedName>
    <definedName name="jkl">[15]Notes!$C$7</definedName>
    <definedName name="July" localSheetId="1">#REF!</definedName>
    <definedName name="July">#REF!</definedName>
    <definedName name="July05" localSheetId="0">#REF!</definedName>
    <definedName name="July05" localSheetId="1">#REF!</definedName>
    <definedName name="July05">#REF!</definedName>
    <definedName name="June" localSheetId="1">#REF!</definedName>
    <definedName name="June">#REF!</definedName>
    <definedName name="K" localSheetId="1">#REF!</definedName>
    <definedName name="K">#REF!</definedName>
    <definedName name="kgj" localSheetId="0" hidden="1">{#N/A,#N/A,FALSE,"MARCH"}</definedName>
    <definedName name="kgj" localSheetId="1" hidden="1">{#N/A,#N/A,FALSE,"MARCH"}</definedName>
    <definedName name="kgj" hidden="1">{#N/A,#N/A,FALSE,"MARCH"}</definedName>
    <definedName name="khjjhhghjjg" localSheetId="1" hidden="1">#REF!</definedName>
    <definedName name="khjjhhghjjg" hidden="1">#REF!</definedName>
    <definedName name="kij" localSheetId="0" hidden="1">{#N/A,#N/A,FALSE,"MARCH"}</definedName>
    <definedName name="kij" localSheetId="1" hidden="1">{#N/A,#N/A,FALSE,"MARCH"}</definedName>
    <definedName name="kij" hidden="1">{#N/A,#N/A,FALSE,"MARCH"}</definedName>
    <definedName name="KurFarki" localSheetId="1">#REF!</definedName>
    <definedName name="KurFarki">#REF!</definedName>
    <definedName name="L" localSheetId="1">#REF!</definedName>
    <definedName name="L">#REF!</definedName>
    <definedName name="Last_Row">#N/A</definedName>
    <definedName name="lbr">'[14]Basic Rates'!$C$4</definedName>
    <definedName name="LeanConcrete" localSheetId="1">#REF!</definedName>
    <definedName name="LeanConcrete">#REF!</definedName>
    <definedName name="LL" localSheetId="1">#REF!</definedName>
    <definedName name="LL">#REF!</definedName>
    <definedName name="Loan_Amount" localSheetId="1">#REF!</definedName>
    <definedName name="Loan_Amount">#REF!</definedName>
    <definedName name="Loan_Start" localSheetId="1">#REF!</definedName>
    <definedName name="Loan_Start">#REF!</definedName>
    <definedName name="Loan_Years" localSheetId="1">#REF!</definedName>
    <definedName name="Loan_Years">#REF!</definedName>
    <definedName name="Lump_Sum">[16]HOC!$AE$12:$AE$118</definedName>
    <definedName name="M" localSheetId="1">#REF!</definedName>
    <definedName name="M">#REF!</definedName>
    <definedName name="m3_Total" localSheetId="1">#REF!</definedName>
    <definedName name="m3_Total">#REF!</definedName>
    <definedName name="m3_TTL">[16]HOC!$Y$12:$Y$160</definedName>
    <definedName name="m3_Unit">[16]HOC!$X$12:$X$160</definedName>
    <definedName name="MAGA" localSheetId="1">#REF!</definedName>
    <definedName name="MAGA">#REF!</definedName>
    <definedName name="MaterialToBeCrushed" localSheetId="0">#REF!</definedName>
    <definedName name="MaterialToBeCrushed" localSheetId="1">#REF!</definedName>
    <definedName name="MaterialToBeCrushed">#REF!</definedName>
    <definedName name="MaterialToBeScreened" localSheetId="1">#REF!</definedName>
    <definedName name="MaterialToBeScreened">#REF!</definedName>
    <definedName name="May" localSheetId="0" hidden="1">{#N/A,#N/A,FALSE,"MARCH"}</definedName>
    <definedName name="May" localSheetId="1" hidden="1">{#N/A,#N/A,FALSE,"MARCH"}</definedName>
    <definedName name="May" hidden="1">{#N/A,#N/A,FALSE,"MARCH"}</definedName>
    <definedName name="MC_" localSheetId="1">#REF!</definedName>
    <definedName name="MC_">#REF!</definedName>
    <definedName name="MECHANICALCONDITION" localSheetId="1">'[11]PLT-SUM'!#REF!</definedName>
    <definedName name="MECHANICALCONDITION">'[11]PLT-SUM'!#REF!</definedName>
    <definedName name="MEN" localSheetId="1">#REF!</definedName>
    <definedName name="MEN">#REF!</definedName>
    <definedName name="MISC" localSheetId="0">#REF!</definedName>
    <definedName name="MISC" localSheetId="1">#REF!</definedName>
    <definedName name="MISC">#REF!</definedName>
    <definedName name="misc.">[5]BOQ2!$G$579</definedName>
    <definedName name="MISC1">[10]BOQ2!$G$579</definedName>
    <definedName name="mm" localSheetId="1">#REF!</definedName>
    <definedName name="mm">#REF!</definedName>
    <definedName name="mmm" localSheetId="1">#REF!</definedName>
    <definedName name="mmm">#REF!</definedName>
    <definedName name="MON" localSheetId="1">#REF!</definedName>
    <definedName name="MON">#REF!</definedName>
    <definedName name="Month" localSheetId="1">#REF!</definedName>
    <definedName name="Month">#REF!</definedName>
    <definedName name="Month1" localSheetId="1">#REF!</definedName>
    <definedName name="Month1">#REF!</definedName>
    <definedName name="MontlyPercentCompletion" localSheetId="1">#REF!</definedName>
    <definedName name="MontlyPercentCompletion">#REF!</definedName>
    <definedName name="MS" localSheetId="1">#REF!</definedName>
    <definedName name="MS">#REF!</definedName>
    <definedName name="Multiplier" localSheetId="1">#REF!</definedName>
    <definedName name="Multiplier">#REF!</definedName>
    <definedName name="Multiplier1" localSheetId="1">#REF!</definedName>
    <definedName name="Multiplier1">#REF!</definedName>
    <definedName name="N" localSheetId="1">#REF!</definedName>
    <definedName name="N">#REF!</definedName>
    <definedName name="N.TTL" localSheetId="1">#REF!</definedName>
    <definedName name="N.TTL">#REF!</definedName>
    <definedName name="N.W_G.W">[16]HOC!$P$12:$P$160</definedName>
    <definedName name="N.W_M3">[16]HOC!$Q$12:$Q$160</definedName>
    <definedName name="NEW" localSheetId="0" hidden="1">{#N/A,#N/A,FALSE,"MARCH"}</definedName>
    <definedName name="NEW" localSheetId="1" hidden="1">{#N/A,#N/A,FALSE,"MARCH"}</definedName>
    <definedName name="NEW" hidden="1">{#N/A,#N/A,FALSE,"MARCH"}</definedName>
    <definedName name="NGC" localSheetId="1">#REF!</definedName>
    <definedName name="NGC">#REF!</definedName>
    <definedName name="No." localSheetId="1">#REF!</definedName>
    <definedName name="No.">#REF!</definedName>
    <definedName name="No0" localSheetId="1">#REF!</definedName>
    <definedName name="No0">#REF!</definedName>
    <definedName name="Nozzle">[16]HOC!$O$12:$O$160</definedName>
    <definedName name="October" localSheetId="1">#REF!</definedName>
    <definedName name="October">#REF!</definedName>
    <definedName name="ofd">'[3]No-edit'!$E$2:$E$3</definedName>
    <definedName name="Offdays" localSheetId="1">#REF!</definedName>
    <definedName name="Offdays">#REF!</definedName>
    <definedName name="oh" localSheetId="1">#REF!</definedName>
    <definedName name="oh">#REF!</definedName>
    <definedName name="P" localSheetId="1">#REF!</definedName>
    <definedName name="P">#REF!</definedName>
    <definedName name="P_ce">[16]HOC!$S$12:$S$160</definedName>
    <definedName name="part5" localSheetId="1">#REF!</definedName>
    <definedName name="part5">#REF!</definedName>
    <definedName name="PavementMarking" localSheetId="1">#REF!</definedName>
    <definedName name="PavementMarking">#REF!</definedName>
    <definedName name="Pce">[16]HOC!$S$12</definedName>
    <definedName name="Pier" localSheetId="1">#REF!</definedName>
    <definedName name="Pier">#REF!</definedName>
    <definedName name="PipeCulverts" localSheetId="1">#REF!</definedName>
    <definedName name="PipeCulverts">#REF!</definedName>
    <definedName name="Plant" localSheetId="1">#REF!</definedName>
    <definedName name="Plant">#REF!</definedName>
    <definedName name="Port" localSheetId="1">#REF!</definedName>
    <definedName name="Port">#REF!</definedName>
    <definedName name="Port選択">[16]HOC!$AC$2</definedName>
    <definedName name="PQR" localSheetId="1">#REF!</definedName>
    <definedName name="PQR">#REF!</definedName>
    <definedName name="pre" localSheetId="1">[1]BOQ!#REF!</definedName>
    <definedName name="pre">[1]BOQ!#REF!</definedName>
    <definedName name="PrimeCoat" localSheetId="1">#REF!</definedName>
    <definedName name="PrimeCoat">#REF!</definedName>
    <definedName name="PRINT_AREA_MI" localSheetId="1">#REF!</definedName>
    <definedName name="PRINT_AREA_MI">#REF!</definedName>
    <definedName name="Print_area3" localSheetId="0">#REF!</definedName>
    <definedName name="Print_area3" localSheetId="1">#REF!</definedName>
    <definedName name="Print_area3">#REF!</definedName>
    <definedName name="Print_Titles_MI" localSheetId="1">#REF!</definedName>
    <definedName name="Print_Titles_MI">#REF!</definedName>
    <definedName name="ProjectSchedule">[17]Schdl!$B$5:$AF$19</definedName>
    <definedName name="Q" localSheetId="1">#REF!</definedName>
    <definedName name="Q">#REF!</definedName>
    <definedName name="qqews" localSheetId="1">#REF!</definedName>
    <definedName name="qqews">#REF!</definedName>
    <definedName name="QQQQQ" localSheetId="0" hidden="1">{#N/A,#N/A,FALSE,"Abutments &amp; Pier(s)"}</definedName>
    <definedName name="QQQQQ" localSheetId="1" hidden="1">{#N/A,#N/A,FALSE,"Abutments &amp; Pier(s)"}</definedName>
    <definedName name="QQQQQ" hidden="1">{#N/A,#N/A,FALSE,"Abutments &amp; Pier(s)"}</definedName>
    <definedName name="QTY" localSheetId="1">#REF!</definedName>
    <definedName name="QTY">#REF!</definedName>
    <definedName name="QWE" localSheetId="1">#REF!</definedName>
    <definedName name="QWE">#REF!</definedName>
    <definedName name="Rate" localSheetId="1">#REF!</definedName>
    <definedName name="Rate">#REF!</definedName>
    <definedName name="RB7.4" localSheetId="1" hidden="1">#REF!</definedName>
    <definedName name="RB7.4" hidden="1">#REF!</definedName>
    <definedName name="RC_" localSheetId="1">#REF!</definedName>
    <definedName name="RC_">#REF!</definedName>
    <definedName name="RE" localSheetId="1">#REF!</definedName>
    <definedName name="RE">#REF!</definedName>
    <definedName name="recover" localSheetId="1">#REF!</definedName>
    <definedName name="recover">#REF!</definedName>
    <definedName name="recovery2" localSheetId="1">#REF!</definedName>
    <definedName name="recovery2">#REF!</definedName>
    <definedName name="ReinforcementSteel" localSheetId="1">#REF!</definedName>
    <definedName name="ReinforcementSteel">#REF!</definedName>
    <definedName name="REMO" localSheetId="1">#REF!</definedName>
    <definedName name="REMO">#REF!</definedName>
    <definedName name="REMO1">[10]BOQ2!$G$573</definedName>
    <definedName name="Roun" localSheetId="1">#REF!</definedName>
    <definedName name="Roun">#REF!</definedName>
    <definedName name="S" localSheetId="1">#REF!</definedName>
    <definedName name="S">#REF!</definedName>
    <definedName name="Schedule" localSheetId="1">#REF!</definedName>
    <definedName name="Schedule">#REF!</definedName>
    <definedName name="Schedule2" localSheetId="1">#REF!</definedName>
    <definedName name="Schedule2">#REF!</definedName>
    <definedName name="sdddf" localSheetId="0" hidden="1">{#N/A,#N/A,FALSE,"MARCH"}</definedName>
    <definedName name="sdddf" localSheetId="1" hidden="1">{#N/A,#N/A,FALSE,"MARCH"}</definedName>
    <definedName name="sdddf" hidden="1">{#N/A,#N/A,FALSE,"MARCH"}</definedName>
    <definedName name="SDDS" localSheetId="1" hidden="1">#REF!</definedName>
    <definedName name="SDDS" hidden="1">#REF!</definedName>
    <definedName name="SDEE" localSheetId="0">#REF!</definedName>
    <definedName name="SDEE" localSheetId="1">#REF!</definedName>
    <definedName name="SDEE">#REF!</definedName>
    <definedName name="sfbjdf" localSheetId="1" hidden="1">#REF!</definedName>
    <definedName name="sfbjdf" hidden="1">#REF!</definedName>
    <definedName name="Sheet" localSheetId="1" hidden="1">#REF!</definedName>
    <definedName name="Sheet" hidden="1">#REF!</definedName>
    <definedName name="sheet3" localSheetId="1">#REF!</definedName>
    <definedName name="sheet3">#REF!</definedName>
    <definedName name="ShoulderEmb." localSheetId="1">#REF!</definedName>
    <definedName name="ShoulderEmb.">#REF!</definedName>
    <definedName name="ShoulderSubbase" localSheetId="1">#REF!</definedName>
    <definedName name="ShoulderSubbase">#REF!</definedName>
    <definedName name="Skirt" localSheetId="1">[13]HOC!#REF!</definedName>
    <definedName name="Skirt">[13]HOC!#REF!</definedName>
    <definedName name="SozlesmeRsYenParitesi" localSheetId="1">#REF!</definedName>
    <definedName name="SozlesmeRsYenParitesi">#REF!</definedName>
    <definedName name="SozlesmeYenUSDParitesi" localSheetId="1">#REF!</definedName>
    <definedName name="SozlesmeYenUSDParitesi">#REF!</definedName>
    <definedName name="SRC" localSheetId="1">#REF!</definedName>
    <definedName name="SRC">#REF!</definedName>
    <definedName name="SS" localSheetId="1">#REF!</definedName>
    <definedName name="SS">#REF!</definedName>
    <definedName name="SSR" localSheetId="1">#REF!</definedName>
    <definedName name="SSR">#REF!</definedName>
    <definedName name="SSS" localSheetId="1">#REF!</definedName>
    <definedName name="SSS">#REF!</definedName>
    <definedName name="ssss" localSheetId="1">#REF!</definedName>
    <definedName name="ssss">#REF!</definedName>
    <definedName name="Subbase" localSheetId="1">#REF!</definedName>
    <definedName name="Subbase">#REF!</definedName>
    <definedName name="Substructure" localSheetId="1">#REF!</definedName>
    <definedName name="Substructure">#REF!</definedName>
    <definedName name="sum" localSheetId="1">#REF!</definedName>
    <definedName name="sum">#REF!</definedName>
    <definedName name="SUMMA" localSheetId="1">#REF!</definedName>
    <definedName name="SUMMA">#REF!</definedName>
    <definedName name="summary" localSheetId="1">#REF!</definedName>
    <definedName name="summary">#REF!</definedName>
    <definedName name="summary2" localSheetId="1">#REF!</definedName>
    <definedName name="summary2">#REF!</definedName>
    <definedName name="SUP">[5]BOQ2!$G$577</definedName>
    <definedName name="SUPE" localSheetId="1">#REF!</definedName>
    <definedName name="SUPE">#REF!</definedName>
    <definedName name="SUPE1">[10]BOQ2!$G$577</definedName>
    <definedName name="T" localSheetId="1">#REF!</definedName>
    <definedName name="T">#REF!</definedName>
    <definedName name="T_T" localSheetId="1">[13]HOC!#REF!</definedName>
    <definedName name="T_T">[13]HOC!#REF!</definedName>
    <definedName name="TackCoat" localSheetId="1">#REF!</definedName>
    <definedName name="TackCoat">#REF!</definedName>
    <definedName name="TECGCTtFrt" localSheetId="1">#REF!</definedName>
    <definedName name="TECGCTtFrt">#REF!</definedName>
    <definedName name="TECGCTtlFrt" localSheetId="1">#REF!</definedName>
    <definedName name="TECGCTtlFrt">#REF!</definedName>
    <definedName name="TECGCTtlGross" localSheetId="1">#REF!</definedName>
    <definedName name="TECGCTtlGross">#REF!</definedName>
    <definedName name="TECGCTtlNet" localSheetId="1">#REF!</definedName>
    <definedName name="TECGCTtlNet">#REF!</definedName>
    <definedName name="TECHvyTtlFrt" localSheetId="1">#REF!</definedName>
    <definedName name="TECHvyTtlFrt">#REF!</definedName>
    <definedName name="TECHvyTtlNet" localSheetId="1">#REF!</definedName>
    <definedName name="TECHvyTtlNet">#REF!</definedName>
    <definedName name="TECTtlFrt" localSheetId="1">#REF!</definedName>
    <definedName name="TECTtlFrt">#REF!</definedName>
    <definedName name="TECTtlGross" localSheetId="1">#REF!</definedName>
    <definedName name="TECTtlGross">#REF!</definedName>
    <definedName name="TECTtlNet" localSheetId="1">#REF!</definedName>
    <definedName name="TECTtlNet">#REF!</definedName>
    <definedName name="tfgf" localSheetId="1" hidden="1">#REF!</definedName>
    <definedName name="tfgf" hidden="1">#REF!</definedName>
    <definedName name="TIME">[18]HOC!$X$12</definedName>
    <definedName name="Timesheet" localSheetId="1">#REF!</definedName>
    <definedName name="Timesheet">#REF!</definedName>
    <definedName name="tip">'[14]Basic Rates'!$C$59</definedName>
    <definedName name="TIPI">'[7]Basic Rates'!$C$59</definedName>
    <definedName name="TOTAL" localSheetId="1">#REF!</definedName>
    <definedName name="TOTAL">#REF!</definedName>
    <definedName name="TrafficSings" localSheetId="1">#REF!</definedName>
    <definedName name="TrafficSings">#REF!</definedName>
    <definedName name="ts">[6]Enter_Time!$A$1:$J$38</definedName>
    <definedName name="Turk" localSheetId="1">#REF!</definedName>
    <definedName name="Turk">#REF!</definedName>
    <definedName name="U" localSheetId="1">#REF!</definedName>
    <definedName name="U">#REF!</definedName>
    <definedName name="Unit" localSheetId="1">#REF!</definedName>
    <definedName name="Unit">#REF!</definedName>
    <definedName name="unpriced" localSheetId="1">#REF!</definedName>
    <definedName name="unpriced">#REF!</definedName>
    <definedName name="USDRs" localSheetId="1">#REF!</definedName>
    <definedName name="USDRs">#REF!</definedName>
    <definedName name="USDYen" localSheetId="1">#REF!</definedName>
    <definedName name="USDYen">#REF!</definedName>
    <definedName name="V" localSheetId="1">#REF!</definedName>
    <definedName name="V">#REF!</definedName>
    <definedName name="VNBV" localSheetId="0" hidden="1">{#N/A,#N/A,FALSE,"Abutments ONLY"}</definedName>
    <definedName name="VNBV" localSheetId="1" hidden="1">{#N/A,#N/A,FALSE,"Abutments ONLY"}</definedName>
    <definedName name="VNBV" hidden="1">{#N/A,#N/A,FALSE,"Abutments ONLY"}</definedName>
    <definedName name="W" localSheetId="1">#REF!</definedName>
    <definedName name="W">#REF!</definedName>
    <definedName name="WearingCourse" localSheetId="1">#REF!</definedName>
    <definedName name="WearingCourse">#REF!</definedName>
    <definedName name="WMM" localSheetId="1">[13]HOC!#REF!</definedName>
    <definedName name="WMM">[13]HOC!#REF!</definedName>
    <definedName name="wrn.Abut_only." localSheetId="0">#REF!</definedName>
    <definedName name="wrn.Abut_only." localSheetId="1">#REF!</definedName>
    <definedName name="wrn.Abut_only.">#REF!</definedName>
    <definedName name="wrn.Abut_pier." localSheetId="0">#REF!</definedName>
    <definedName name="wrn.Abut_pier." localSheetId="1">#REF!</definedName>
    <definedName name="wrn.Abut_pier.">#REF!</definedName>
    <definedName name="wrn.Cumulative._.Material._.Cost." localSheetId="0" hidden="1">{#N/A,#N/A,FALSE,"MARCH"}</definedName>
    <definedName name="wrn.Cumulative._.Material._.Cost." localSheetId="1" hidden="1">{#N/A,#N/A,FALSE,"MARCH"}</definedName>
    <definedName name="wrn.Cumulative._.Material._.Cost." hidden="1">{#N/A,#N/A,FALSE,"MARCH"}</definedName>
    <definedName name="ww" localSheetId="1">#REF!</definedName>
    <definedName name="ww">#REF!</definedName>
    <definedName name="www" localSheetId="0">#REF!</definedName>
    <definedName name="www" localSheetId="1">#REF!</definedName>
    <definedName name="www">#REF!</definedName>
    <definedName name="wwww" localSheetId="1">#REF!</definedName>
    <definedName name="wwww">#REF!</definedName>
    <definedName name="X" localSheetId="1">#REF!</definedName>
    <definedName name="X">#REF!</definedName>
    <definedName name="XXX" localSheetId="0" hidden="1">{#N/A,#N/A,FALSE,"MARCH"}</definedName>
    <definedName name="XXX" localSheetId="1" hidden="1">{#N/A,#N/A,FALSE,"MARCH"}</definedName>
    <definedName name="XXX" hidden="1">{#N/A,#N/A,FALSE,"MARCH"}</definedName>
    <definedName name="xxxxxxx" localSheetId="0" hidden="1">{#N/A,#N/A,FALSE,"MARCH"}</definedName>
    <definedName name="xxxxxxx" localSheetId="1" hidden="1">{#N/A,#N/A,FALSE,"MARCH"}</definedName>
    <definedName name="xxxxxxx" hidden="1">{#N/A,#N/A,FALSE,"MARCH"}</definedName>
    <definedName name="Y" localSheetId="1">#REF!</definedName>
    <definedName name="Y">#REF!</definedName>
    <definedName name="Z" localSheetId="1">#REF!</definedName>
    <definedName name="Z">#REF!</definedName>
    <definedName name="干支の概要" localSheetId="1">#REF!</definedName>
    <definedName name="干支の概要">#REF!</definedName>
    <definedName name="海上Hvyｺｽﾄ" localSheetId="1">#REF!</definedName>
    <definedName name="海上Hvyｺｽﾄ">#REF!</definedName>
    <definedName name="詳細">[19]PROSUM!$V$53:$AA$60,[19]PROSUM!$M$12:$AA$50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9" i="1" l="1"/>
  <c r="J19" i="1"/>
  <c r="H25" i="1"/>
  <c r="K17" i="1"/>
  <c r="J17" i="1"/>
  <c r="H17" i="1"/>
  <c r="H4" i="1"/>
  <c r="H6" i="1"/>
  <c r="H7" i="1"/>
  <c r="H8" i="1"/>
  <c r="H9" i="1"/>
  <c r="H10" i="1"/>
  <c r="H11" i="1"/>
  <c r="H12" i="1"/>
  <c r="H14" i="1"/>
  <c r="H15" i="1"/>
  <c r="H16" i="1"/>
  <c r="H18" i="1"/>
  <c r="H21" i="1"/>
  <c r="H22" i="1"/>
  <c r="H23" i="1"/>
  <c r="H24" i="1"/>
  <c r="H26" i="1"/>
  <c r="H27" i="1"/>
  <c r="H28" i="1"/>
  <c r="H29" i="1"/>
  <c r="H30" i="1"/>
  <c r="H31" i="1"/>
  <c r="H32" i="1"/>
  <c r="K13" i="1" l="1"/>
  <c r="J13" i="1"/>
  <c r="K25" i="1"/>
  <c r="J25" i="1"/>
  <c r="K28" i="1" l="1"/>
  <c r="J28" i="1"/>
  <c r="K20" i="1"/>
  <c r="J20" i="1"/>
  <c r="K24" i="1"/>
  <c r="J24" i="1"/>
  <c r="K26" i="1" l="1"/>
  <c r="J26" i="1"/>
  <c r="J6" i="5" l="1"/>
  <c r="K6" i="5"/>
  <c r="K11" i="1"/>
  <c r="J11" i="1"/>
  <c r="J5" i="5"/>
  <c r="K5" i="5"/>
  <c r="J5" i="1"/>
  <c r="K5" i="1"/>
  <c r="H11" i="5" l="1"/>
  <c r="H7" i="5"/>
  <c r="J7" i="5"/>
  <c r="K7" i="5"/>
  <c r="J8" i="5" l="1"/>
  <c r="J9" i="5"/>
  <c r="J10" i="5"/>
  <c r="J11" i="5"/>
  <c r="J12" i="5"/>
  <c r="J4" i="5"/>
  <c r="J14" i="5" l="1"/>
  <c r="K4" i="1" l="1"/>
  <c r="J4" i="1"/>
  <c r="J6" i="1" l="1"/>
  <c r="J7" i="1"/>
  <c r="J8" i="1"/>
  <c r="J9" i="1"/>
  <c r="J10" i="1"/>
  <c r="J12" i="1"/>
  <c r="J14" i="1"/>
  <c r="J15" i="1"/>
  <c r="J16" i="1"/>
  <c r="J18" i="1"/>
  <c r="J21" i="1"/>
  <c r="J22" i="1"/>
  <c r="J23" i="1"/>
  <c r="J29" i="1"/>
  <c r="J30" i="1"/>
  <c r="J31" i="1"/>
  <c r="J32" i="1"/>
  <c r="J34" i="1" l="1"/>
  <c r="K12" i="5" l="1"/>
  <c r="H12" i="5"/>
  <c r="K11" i="5"/>
  <c r="K10" i="5"/>
  <c r="H10" i="5"/>
  <c r="K9" i="5"/>
  <c r="H9" i="5"/>
  <c r="K8" i="5"/>
  <c r="H8" i="5"/>
  <c r="K4" i="5"/>
  <c r="H4" i="5"/>
  <c r="K14" i="5" l="1"/>
  <c r="K32" i="1"/>
  <c r="K29" i="1" l="1"/>
  <c r="K15" i="1" l="1"/>
  <c r="K23" i="1" l="1"/>
  <c r="K22" i="1"/>
  <c r="K21" i="1"/>
  <c r="K31" i="1" l="1"/>
  <c r="K9" i="1" l="1"/>
  <c r="K14" i="1" l="1"/>
  <c r="K18" i="1"/>
  <c r="K12" i="1" l="1"/>
  <c r="K8" i="1"/>
  <c r="K7" i="1" l="1"/>
  <c r="K6" i="1" l="1"/>
  <c r="K10" i="1" l="1"/>
  <c r="K16" i="1" l="1"/>
  <c r="K30" i="1" l="1"/>
  <c r="K34" i="1" l="1"/>
</calcChain>
</file>

<file path=xl/sharedStrings.xml><?xml version="1.0" encoding="utf-8"?>
<sst xmlns="http://schemas.openxmlformats.org/spreadsheetml/2006/main" count="140" uniqueCount="80">
  <si>
    <t>E &amp; C</t>
  </si>
  <si>
    <t>JCB</t>
  </si>
  <si>
    <t>D/Cab</t>
  </si>
  <si>
    <t>C/Cab</t>
  </si>
  <si>
    <t>PD-6917</t>
  </si>
  <si>
    <t>325-3448</t>
  </si>
  <si>
    <t>3 Cube</t>
  </si>
  <si>
    <t>Owner</t>
  </si>
  <si>
    <t>RATE HOUR /DAY</t>
  </si>
  <si>
    <t>Consumption</t>
  </si>
  <si>
    <t>Fuel</t>
  </si>
  <si>
    <t>Type</t>
  </si>
  <si>
    <t>Vehicle No</t>
  </si>
  <si>
    <t>No</t>
  </si>
  <si>
    <t>Skid Loader</t>
  </si>
  <si>
    <t>actual days/machine hours</t>
  </si>
  <si>
    <t>Days/machine hours consider for costing</t>
  </si>
  <si>
    <t>4 ton roller</t>
  </si>
  <si>
    <t>Remarks</t>
  </si>
  <si>
    <t>Diesel bowser</t>
  </si>
  <si>
    <t>LN-8277</t>
  </si>
  <si>
    <t>Boom Truck</t>
  </si>
  <si>
    <t>S/Cab</t>
  </si>
  <si>
    <t>Package C</t>
  </si>
  <si>
    <t>Package A</t>
  </si>
  <si>
    <t>Package</t>
  </si>
  <si>
    <t>Package B</t>
  </si>
  <si>
    <t>ZB-1546</t>
  </si>
  <si>
    <t>PH-6742</t>
  </si>
  <si>
    <t>Distance (Km)</t>
  </si>
  <si>
    <t>LO-7182</t>
  </si>
  <si>
    <t>HEX-01</t>
  </si>
  <si>
    <t>Volvo 220</t>
  </si>
  <si>
    <t>VR-65</t>
  </si>
  <si>
    <t>ZA-6069</t>
  </si>
  <si>
    <t>SL-14</t>
  </si>
  <si>
    <t>Distance</t>
  </si>
  <si>
    <t>ZA-8511</t>
  </si>
  <si>
    <t>Truck Mixer</t>
  </si>
  <si>
    <t>LD-09</t>
  </si>
  <si>
    <t>Loader</t>
  </si>
  <si>
    <t>ZA-7810</t>
  </si>
  <si>
    <t>ZB-1496</t>
  </si>
  <si>
    <t>HEX-19</t>
  </si>
  <si>
    <t>Crusher Plant</t>
  </si>
  <si>
    <t>ZB-0050</t>
  </si>
  <si>
    <t>Amount with Idling</t>
  </si>
  <si>
    <t>Amount without Idling</t>
  </si>
  <si>
    <t>Amount (idling included)</t>
  </si>
  <si>
    <t>Actual amount</t>
  </si>
  <si>
    <t>51-8083</t>
  </si>
  <si>
    <t>ZA-7290</t>
  </si>
  <si>
    <t>LA-1359</t>
  </si>
  <si>
    <t>LL-0920</t>
  </si>
  <si>
    <t>01 Cube</t>
  </si>
  <si>
    <t>ZA-7291</t>
  </si>
  <si>
    <t>LO-5983</t>
  </si>
  <si>
    <t>Meter broken</t>
  </si>
  <si>
    <t xml:space="preserve">Komatsu 120 </t>
  </si>
  <si>
    <t>LM-7940</t>
  </si>
  <si>
    <t>ZA-8373</t>
  </si>
  <si>
    <t>Crane</t>
  </si>
  <si>
    <t>MG-06</t>
  </si>
  <si>
    <t>Motor Grader</t>
  </si>
  <si>
    <t>Pump Car</t>
  </si>
  <si>
    <t>PT-1569</t>
  </si>
  <si>
    <t>ZA-8395</t>
  </si>
  <si>
    <t>SR-19</t>
  </si>
  <si>
    <t>10 ton roller</t>
  </si>
  <si>
    <t>LP-1573</t>
  </si>
  <si>
    <t>MG-12</t>
  </si>
  <si>
    <t>LP-1577</t>
  </si>
  <si>
    <t>LO-7183</t>
  </si>
  <si>
    <t>Vehicle Running Summary - January 2026</t>
  </si>
  <si>
    <t>HEX-42</t>
  </si>
  <si>
    <t>Case 220</t>
  </si>
  <si>
    <t>DAH-2230</t>
  </si>
  <si>
    <t>LM-5719</t>
  </si>
  <si>
    <t>LM-7948</t>
  </si>
  <si>
    <t>Vehicle Running Summary -January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</si>
</sst>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Rs.-849]\ #,##0.00"/>
  </numFmts>
  <fonts count="1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4">
    <xf numFmtId="0" fontId="0" fillId="0" borderId="0" xfId="0"/>
    <xf numFmtId="164" fontId="0" fillId="0" borderId="0" xfId="0" applyNumberFormat="1"/>
    <xf numFmtId="2" fontId="0" fillId="0" borderId="0" xfId="0" applyNumberFormat="1"/>
    <xf numFmtId="0" fontId="0" fillId="0" borderId="0" xfId="0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2" xfId="0" applyBorder="1"/>
    <xf numFmtId="43" fontId="0" fillId="0" borderId="1" xfId="0" applyNumberFormat="1" applyBorder="1"/>
    <xf numFmtId="2" fontId="0" fillId="0" borderId="1" xfId="0" applyNumberFormat="1" applyBorder="1"/>
    <xf numFmtId="164" fontId="0" fillId="0" borderId="1" xfId="0" applyNumberFormat="1" applyBorder="1"/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9" xfId="0" applyFont="1" applyBorder="1"/>
    <xf numFmtId="2" fontId="3" fillId="0" borderId="9" xfId="0" applyNumberFormat="1" applyFont="1" applyBorder="1"/>
    <xf numFmtId="164" fontId="3" fillId="0" borderId="9" xfId="0" applyNumberFormat="1" applyFont="1" applyBorder="1"/>
    <xf numFmtId="164" fontId="5" fillId="0" borderId="9" xfId="0" applyNumberFormat="1" applyFont="1" applyBorder="1"/>
    <xf numFmtId="0" fontId="3" fillId="0" borderId="7" xfId="0" applyFont="1" applyBorder="1"/>
    <xf numFmtId="0" fontId="6" fillId="2" borderId="5" xfId="1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2" fontId="4" fillId="2" borderId="5" xfId="0" applyNumberFormat="1" applyFont="1" applyFill="1" applyBorder="1" applyAlignment="1">
      <alignment horizontal="center"/>
    </xf>
    <xf numFmtId="164" fontId="4" fillId="2" borderId="5" xfId="0" applyNumberFormat="1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2" fontId="4" fillId="2" borderId="5" xfId="0" applyNumberFormat="1" applyFont="1" applyFill="1" applyBorder="1"/>
    <xf numFmtId="0" fontId="4" fillId="2" borderId="8" xfId="0" applyFont="1" applyFill="1" applyBorder="1" applyAlignment="1">
      <alignment horizontal="center"/>
    </xf>
    <xf numFmtId="164" fontId="3" fillId="0" borderId="1" xfId="0" applyNumberFormat="1" applyFont="1" applyBorder="1"/>
    <xf numFmtId="164" fontId="6" fillId="2" borderId="9" xfId="0" applyNumberFormat="1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164" fontId="7" fillId="2" borderId="5" xfId="0" applyNumberFormat="1" applyFont="1" applyFill="1" applyBorder="1" applyAlignment="1">
      <alignment horizontal="center"/>
    </xf>
    <xf numFmtId="0" fontId="4" fillId="0" borderId="9" xfId="0" applyFont="1" applyBorder="1" applyAlignment="1">
      <alignment horizontal="center" wrapText="1"/>
    </xf>
    <xf numFmtId="0" fontId="0" fillId="0" borderId="5" xfId="0" applyBorder="1"/>
    <xf numFmtId="0" fontId="7" fillId="0" borderId="11" xfId="0" applyFont="1" applyBorder="1" applyAlignment="1">
      <alignment horizontal="center"/>
    </xf>
    <xf numFmtId="2" fontId="7" fillId="2" borderId="5" xfId="0" applyNumberFormat="1" applyFont="1" applyFill="1" applyBorder="1"/>
    <xf numFmtId="2" fontId="7" fillId="2" borderId="5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0" fillId="0" borderId="4" xfId="0" applyBorder="1"/>
    <xf numFmtId="0" fontId="2" fillId="4" borderId="0" xfId="0" applyFont="1" applyFill="1" applyAlignment="1">
      <alignment horizontal="center"/>
    </xf>
    <xf numFmtId="0" fontId="0" fillId="3" borderId="0" xfId="0" applyFill="1"/>
    <xf numFmtId="164" fontId="0" fillId="3" borderId="0" xfId="0" applyNumberFormat="1" applyFill="1"/>
    <xf numFmtId="0" fontId="8" fillId="3" borderId="0" xfId="0" applyFont="1" applyFill="1" applyAlignment="1">
      <alignment horizontal="center"/>
    </xf>
    <xf numFmtId="2" fontId="0" fillId="3" borderId="0" xfId="0" applyNumberFormat="1" applyFill="1"/>
    <xf numFmtId="164" fontId="7" fillId="2" borderId="9" xfId="0" applyNumberFormat="1" applyFont="1" applyFill="1" applyBorder="1" applyAlignment="1">
      <alignment horizontal="center"/>
    </xf>
    <xf numFmtId="164" fontId="8" fillId="0" borderId="1" xfId="0" applyNumberFormat="1" applyFont="1" applyBorder="1"/>
    <xf numFmtId="0" fontId="4" fillId="2" borderId="6" xfId="0" applyFont="1" applyFill="1" applyBorder="1" applyAlignment="1">
      <alignment horizontal="center"/>
    </xf>
    <xf numFmtId="164" fontId="4" fillId="2" borderId="9" xfId="0" applyNumberFormat="1" applyFont="1" applyFill="1" applyBorder="1" applyAlignment="1">
      <alignment horizontal="center"/>
    </xf>
    <xf numFmtId="164" fontId="5" fillId="0" borderId="9" xfId="0" applyNumberFormat="1" applyFont="1" applyBorder="1" applyAlignment="1">
      <alignment wrapText="1"/>
    </xf>
    <xf numFmtId="0" fontId="10" fillId="2" borderId="5" xfId="0" applyFont="1" applyFill="1" applyBorder="1" applyAlignment="1">
      <alignment horizontal="center"/>
    </xf>
    <xf numFmtId="2" fontId="10" fillId="2" borderId="5" xfId="0" applyNumberFormat="1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/>
    </xf>
    <xf numFmtId="2" fontId="10" fillId="2" borderId="5" xfId="0" applyNumberFormat="1" applyFont="1" applyFill="1" applyBorder="1" applyAlignment="1"/>
    <xf numFmtId="0" fontId="10" fillId="2" borderId="6" xfId="0" applyFont="1" applyFill="1" applyBorder="1" applyAlignment="1">
      <alignment horizontal="center"/>
    </xf>
    <xf numFmtId="164" fontId="10" fillId="2" borderId="5" xfId="0" applyNumberFormat="1" applyFont="1" applyFill="1" applyBorder="1" applyAlignment="1">
      <alignment horizontal="center"/>
    </xf>
    <xf numFmtId="164" fontId="10" fillId="2" borderId="9" xfId="0" applyNumberFormat="1" applyFont="1" applyFill="1" applyBorder="1" applyAlignment="1">
      <alignment horizontal="center"/>
    </xf>
    <xf numFmtId="0" fontId="6" fillId="5" borderId="5" xfId="1" applyFont="1" applyFill="1" applyBorder="1" applyAlignment="1">
      <alignment horizontal="center"/>
    </xf>
    <xf numFmtId="2" fontId="7" fillId="5" borderId="5" xfId="0" applyNumberFormat="1" applyFont="1" applyFill="1" applyBorder="1" applyAlignment="1">
      <alignment horizontal="center"/>
    </xf>
    <xf numFmtId="0" fontId="4" fillId="5" borderId="5" xfId="0" applyFont="1" applyFill="1" applyBorder="1" applyAlignment="1">
      <alignment horizontal="center"/>
    </xf>
    <xf numFmtId="2" fontId="4" fillId="5" borderId="5" xfId="0" applyNumberFormat="1" applyFont="1" applyFill="1" applyBorder="1" applyAlignment="1">
      <alignment horizontal="center"/>
    </xf>
    <xf numFmtId="2" fontId="4" fillId="2" borderId="5" xfId="0" applyNumberFormat="1" applyFont="1" applyFill="1" applyBorder="1" applyAlignment="1"/>
    <xf numFmtId="0" fontId="0" fillId="0" borderId="0" xfId="0" applyAlignment="1"/>
    <xf numFmtId="0" fontId="7" fillId="5" borderId="6" xfId="0" applyFont="1" applyFill="1" applyBorder="1" applyAlignment="1">
      <alignment horizontal="center"/>
    </xf>
    <xf numFmtId="2" fontId="7" fillId="5" borderId="5" xfId="0" applyNumberFormat="1" applyFont="1" applyFill="1" applyBorder="1"/>
    <xf numFmtId="164" fontId="7" fillId="5" borderId="5" xfId="0" applyNumberFormat="1" applyFont="1" applyFill="1" applyBorder="1" applyAlignment="1">
      <alignment horizontal="center"/>
    </xf>
    <xf numFmtId="164" fontId="4" fillId="5" borderId="9" xfId="0" applyNumberFormat="1" applyFont="1" applyFill="1" applyBorder="1" applyAlignment="1">
      <alignment horizontal="center"/>
    </xf>
    <xf numFmtId="164" fontId="6" fillId="5" borderId="9" xfId="0" applyNumberFormat="1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0" fillId="5" borderId="0" xfId="0" applyFill="1"/>
    <xf numFmtId="0" fontId="11" fillId="2" borderId="5" xfId="0" applyFont="1" applyFill="1" applyBorder="1" applyAlignment="1">
      <alignment horizontal="center"/>
    </xf>
    <xf numFmtId="2" fontId="11" fillId="2" borderId="5" xfId="0" applyNumberFormat="1" applyFont="1" applyFill="1" applyBorder="1" applyAlignment="1">
      <alignment horizontal="center"/>
    </xf>
    <xf numFmtId="2" fontId="11" fillId="2" borderId="5" xfId="0" applyNumberFormat="1" applyFont="1" applyFill="1" applyBorder="1" applyAlignment="1"/>
    <xf numFmtId="164" fontId="11" fillId="2" borderId="5" xfId="0" applyNumberFormat="1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0" fillId="3" borderId="0" xfId="0" applyFill="1" applyAlignment="1">
      <alignment horizontal="center"/>
    </xf>
  </cellXfs>
  <cellStyles count="2">
    <cellStyle name="Hyperlink" xfId="1" builtinId="8"/>
    <cellStyle name="Normal" xfId="0" builtinId="0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[$Rs.-849]\ #,##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[$Rs.-849]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[$Rs.-849]\ #,##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0000"/>
      </font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strike val="0"/>
        <outline val="0"/>
        <shadow val="0"/>
        <vertAlign val="baseline"/>
        <sz val="12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[$Rs.-849]\ #,##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[$Rs.-849]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[$Rs.-849]\ #,##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0000"/>
      </font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strike val="0"/>
        <outline val="0"/>
        <shadow val="0"/>
        <vertAlign val="baseline"/>
        <sz val="12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8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externalLink" Target="externalLinks/externalLink1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24" Type="http://schemas.openxmlformats.org/officeDocument/2006/relationships/styles" Target="styles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23" Type="http://schemas.openxmlformats.org/officeDocument/2006/relationships/theme" Target="theme/theme1.xml"/><Relationship Id="rId10" Type="http://schemas.openxmlformats.org/officeDocument/2006/relationships/externalLink" Target="externalLinks/externalLink7.xml"/><Relationship Id="rId19" Type="http://schemas.openxmlformats.org/officeDocument/2006/relationships/externalLink" Target="externalLinks/externalLink16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leel\_SH114\Val\Boq\cer\val-06-30-08-04-ce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DATA\DataFile\O\DB9604\RevMay97\SHOPLIS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Senadhi~30~Mar09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nuradhapura12\IPA\IPC%20Scan%20Copy\IPC-06%20January\IPC%2006a%20NCP0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GAYAN/SOFT%20COPPY/G%202-IPC/T-Y-D-R/TYDR%20Doc-Gayan/Internet%20Downloads/WINDOWS/Desktop/BOQ2000_1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Sewwandi.LOT2\My%20Documents\New%20Labour%20format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GAYAN/SOFT%20COPPY/G%202-IPC/T-Y-D-R/TYDR%20Doc-Gayan/Documents%20and%20Settings/acer/My%20Documents/Kasun/Documents/General/Budgets%20other/Copy%20of%20KMRP%20Budget%20from%20Site%20Staff%20-%20Kajan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8\SharedDocs\Janaka%20in%20D\Bills\Main%20contractor\BOT%20Projects\Lenders%20Documents\Agra\LCI-OSE%20JV\IPC\YUSOU\PROPOSAL\CARGO\HVYLIST\FERTILIL\IND'IFFC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8\SharedDocs\Janaka%20in%20D\Bills\Main%20contractor\BOT%20Projects\Lenders%20Documents\Agra\LCI-OSE%20JV\IPC\TRS\EDOC\PKPE-A\DEL%20No.1%20&#28040;&#36027;&#29366;&#27841;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GAYAN/SOFT%20COPPY/T-Y-D-R/TYDR%20Doc-Gayan/Internet%20Downloads/WINDOWS/Desktop/BOQ2000_1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OWER\plant\PlantSch1All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8\SharedDocs\Janaka%20in%20D\Bills\Main%20contractor\BOT%20Projects\Lenders%20Documents\Agra\LCI-OSE%20JV\IPC\windows\TEMP\Form\Format\PRODATA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8\SharedDocs\Janaka%20in%20D\Bills\Main%20contractor\BOT%20Projects\Lenders%20Documents\Agra\LCI-OSE%20JV\IPC\WINDOWS\TEMP\&#25552;&#20986;&#29992;IEL3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GAYAN/SOFT%20COPPY/T-Y-D-R/TYDR%20Doc-Gayan/Documents%20and%20Settings/acer/My%20Documents/Kasun/Documents/General/Budgets%20other/Copy%20of%20KMRP%20Budget%20from%20Site%20Staff%20-%20Kaja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1%20Nilantha\100%20Personal\00%20NEW\0600%20VariationsRates\28%20CossigDrain\NCB01%20VO01%20Provision%20of%20Additional%20Motor%20Cycles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8\SharedDocs\Janaka%20in%20D\Bills\Main%20contractor\BOT%20Projects\Lenders%20Documents\Agra\LCI-OSE%20JV\IPC\WINDOWS\&#65411;&#65438;&#65405;&#65400;&#65412;&#65391;&#65420;&#65439;\Logitec\&#31309;&#31639;&#23455;&#21209;&#26360;\6CostEstimationProcedure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8\SharedDocs\Janaka%20in%20D\Bills\Main%20contractor\BOT%20Projects\Lenders%20Documents\Agra\LCI-OSE%20JV\IPC\&#65411;&#65438;&#65405;&#65400;&#65412;&#65391;&#65420;&#65439;\&#20181;&#20107;\&#12503;&#12525;&#12509;&#12540;&#12470;&#12523;&#26989;&#21209;\&#36664;&#36865;&#36027;&#31309;&#31639;Data\CargoCost&#24773;&#22577;\&#12503;&#12525;&#12509;&#12540;&#12470;&#12523;&#26696;&#20214;&#21029;&#12487;&#12540;&#12479;\Petrochemical\SI'EXXON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8\SharedDocs\Janaka%20in%20D\Bills\Main%20contractor\BOT%20Projects\Lenders%20Documents\Agra\LCI-OSE%20JV\IPC\windows\TEMP\BQ&#31309;&#31639;&#33258;&#21205;&#21270;4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8\SharedDocs\Janaka%20in%20D\Bills\Main%20contractor\BOT%20Projects\Lenders%20Documents\Agra\LCI-OSE%20JV\IPC\TEMP\THAIAB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add1- 2"/>
      <sheetName val="add1 sum"/>
      <sheetName val="ad rd3"/>
      <sheetName val="add3 summ"/>
      <sheetName val="G SUM"/>
      <sheetName val="BOQ"/>
      <sheetName val="etc alt"/>
      <sheetName val="B1 cal"/>
      <sheetName val="MOS"/>
      <sheetName val="sevice addi"/>
      <sheetName val="DW ETC"/>
      <sheetName val="DW GAS"/>
      <sheetName val="service add sum"/>
      <sheetName val="Material at site"/>
      <sheetName val="G. SUMMARY"/>
      <sheetName val="B184-1A- P&amp;G"/>
      <sheetName val="Cumulative "/>
      <sheetName val="GL S. OF C8"/>
      <sheetName val="B184-1B-P&amp;G"/>
      <sheetName val="B184-B-4"/>
      <sheetName val="B184-B-7"/>
      <sheetName val="B184-B-9.1"/>
      <sheetName val="B185-B-8"/>
      <sheetName val="Bill 01A"/>
      <sheetName val="FitOutConfCentre"/>
      <sheetName val="B-185-G. S"/>
      <sheetName val="wording"/>
      <sheetName val="val-06-30-08-04-cer"/>
      <sheetName val="F-6 COVER"/>
      <sheetName val="Sum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  <sheetName val="PROFIT"/>
      <sheetName val="Cash2"/>
      <sheetName val="Z"/>
      <sheetName val="Data"/>
      <sheetName val="add1-_2"/>
      <sheetName val="add1_sum"/>
      <sheetName val="ad_rd3"/>
      <sheetName val="add3_summ"/>
      <sheetName val="G_SUM"/>
      <sheetName val="etc_alt"/>
      <sheetName val="B1_cal"/>
      <sheetName val="sevice_addi"/>
      <sheetName val="DW_ETC"/>
      <sheetName val="DW_GAS"/>
      <sheetName val="service_add_sum"/>
      <sheetName val="Material_at_site"/>
      <sheetName val="G__SUMMARY"/>
      <sheetName val="B184-1A-_P&amp;G"/>
      <sheetName val="Cumulative_"/>
      <sheetName val="GL_S__OF_C8"/>
      <sheetName val="B184-B-9_1"/>
      <sheetName val="Bill_01A"/>
      <sheetName val="B-185-G__S"/>
      <sheetName val="F-6_COVER"/>
      <sheetName val="10_Breakdown_"/>
      <sheetName val="Exc_Adj"/>
      <sheetName val="Bill_01"/>
      <sheetName val="Bill_02"/>
      <sheetName val="Bill_03"/>
      <sheetName val="Bill_04"/>
      <sheetName val="Bill_05"/>
      <sheetName val="Bill_06"/>
      <sheetName val="Bill_07"/>
      <sheetName val="Bill_08"/>
      <sheetName val="Bill_09"/>
      <sheetName val="Bill_10"/>
      <sheetName val="NBT_Calculation"/>
      <sheetName val="Main_VO_Summary"/>
      <sheetName val="VO_Sum_Non(New)"/>
      <sheetName val="VO-07_"/>
      <sheetName val="VO-08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Contents"/>
      <sheetName val="Summary"/>
      <sheetName val="HQBuilding"/>
      <sheetName val="FitOutHQBldg"/>
      <sheetName val="Security"/>
      <sheetName val="AutoMessengerSystem"/>
      <sheetName val="PASystem"/>
      <sheetName val="TelephoneSystem"/>
      <sheetName val="HQSpecialSystems"/>
      <sheetName val="WaterFeatures"/>
      <sheetName val="DealerRoom"/>
      <sheetName val="Services"/>
      <sheetName val="ACtoStairs"/>
      <sheetName val="GoodsDelivery"/>
      <sheetName val="ToiletPods"/>
      <sheetName val="HQBldgExtCladding"/>
      <sheetName val="GlazedSouthWall"/>
      <sheetName val="HQFFandE"/>
      <sheetName val="ConferenceCentre"/>
      <sheetName val="FitOutConfCentre"/>
      <sheetName val="ConfCentreSpecialSystems"/>
      <sheetName val="ConfCentreExtCladding"/>
      <sheetName val="ConfFFandE"/>
      <sheetName val="CarPark"/>
      <sheetName val="StatutoryCharges"/>
      <sheetName val="Drawingscover"/>
      <sheetName val="Drawings"/>
      <sheetName val="GFA HQ Building"/>
      <sheetName val="GFA Conference"/>
      <sheetName val="GeneralSummary"/>
      <sheetName val="ElementalSummary"/>
      <sheetName val="BOQ"/>
      <sheetName val="B185-B-2"/>
      <sheetName val="B185-B-3"/>
      <sheetName val="B185-B-4"/>
      <sheetName val="B185-B-5"/>
      <sheetName val="B185-B-6"/>
      <sheetName val="B185-B-7"/>
      <sheetName val="B185-B-8"/>
      <sheetName val="B185-B-9.1"/>
      <sheetName val="B185-B-9.2"/>
      <sheetName val="BQ"/>
      <sheetName val="BQ External"/>
      <sheetName val="SHOPLIST"/>
      <sheetName val="icmal"/>
      <sheetName val="Notes"/>
      <sheetName val="Basis"/>
      <sheetName val="SubmitCal"/>
      <sheetName val="TAS"/>
      <sheetName val="Penthouse Apartment"/>
      <sheetName val="GFA_HQ_Building"/>
      <sheetName val="GFA_Conference"/>
      <sheetName val="#REF"/>
      <sheetName val="StattCo yCharges"/>
      <sheetName val="Option"/>
      <sheetName val="Cash2"/>
      <sheetName val="Z"/>
      <sheetName val="Raw Data"/>
      <sheetName val="Chiet tinh dz22"/>
      <sheetName val="Chiet tinh dz35"/>
      <sheetName val="Su}}ary"/>
      <sheetName val="LABOUR HISTOGRAM"/>
      <sheetName val="D-623D"/>
      <sheetName val="_______"/>
      <sheetName val="核算项目余额表"/>
      <sheetName val="Criteria"/>
      <sheetName val="Assumptions"/>
      <sheetName val="@risk rents and incentives"/>
      <sheetName val="Car park lease"/>
      <sheetName val="Net rent analysis"/>
      <sheetName val="Poz-1 "/>
      <sheetName val="차액보증"/>
      <sheetName val="BQ_External"/>
      <sheetName val="LABOUR_HISTOGRAM"/>
      <sheetName val="JAS"/>
      <sheetName val="Sheet1"/>
      <sheetName val="CT Thang Mo"/>
      <sheetName val="Lab Cum Hist"/>
      <sheetName val="改加胶玻璃、室外栏杆"/>
      <sheetName val="Bill_1"/>
      <sheetName val="Bill_2"/>
      <sheetName val="Bill_3"/>
      <sheetName val="Bill_4"/>
      <sheetName val="Bill_5"/>
      <sheetName val="Bill_6"/>
      <sheetName val="Bill_7"/>
      <sheetName val="Projet, methodes &amp; couts"/>
      <sheetName val="Macro1"/>
      <sheetName val="Planning"/>
      <sheetName val="TAHRIR"/>
      <sheetName val="Bases"/>
      <sheetName val="Risques majeurs &amp; Frais Ind."/>
      <sheetName val="Bouclage"/>
      <sheetName val="AREG_05"/>
      <sheetName val="1"/>
      <sheetName val="Graph Data (DO NOT PRINT)"/>
      <sheetName val="CASHFLOWS"/>
      <sheetName val="LEVEL SHEET"/>
      <sheetName val="SPT vs PHI"/>
      <sheetName val="ancillary"/>
      <sheetName val="Sheet2"/>
      <sheetName val="Bill No. 2"/>
      <sheetName val="FOL - Bar"/>
      <sheetName val="Budget"/>
      <sheetName val="budget summary (2)"/>
      <sheetName val="Budget Analysis Summary"/>
      <sheetName val=""/>
      <sheetName val="CT  PL"/>
      <sheetName val="Data"/>
      <sheetName val="Tender Summary"/>
      <sheetName val="Insurance Ext"/>
      <sheetName val="Prelims"/>
      <sheetName val="Customize Your Invoice"/>
      <sheetName val="B"/>
      <sheetName val="HVAC BoQ"/>
      <sheetName val="PriceSummary"/>
      <sheetName val="企业表一"/>
      <sheetName val="M-5C"/>
      <sheetName val="M-5A"/>
      <sheetName val="Rate analysis"/>
      <sheetName val="2 Div 14 "/>
      <sheetName val="intr stool brkup"/>
      <sheetName val="COC"/>
      <sheetName val="Top sheet"/>
      <sheetName val="Body Sheet"/>
      <sheetName val="1.0 Executive Summary"/>
      <sheetName val="GFA_HQ_Building1"/>
      <sheetName val="Inputs"/>
      <sheetName val="HQ-TO"/>
      <sheetName val="ConferenceCentre_x0000_옰ʒ䄂ʒ鵠ʐ䄂ʒ閐̐䄂ʒ蕈̐"/>
      <sheetName val="ANNEXURE-A"/>
      <sheetName val="GFA_Conference1"/>
      <sheetName val="BQ_External1"/>
      <sheetName val="Penthouse_Apartment"/>
      <sheetName val="StattCo_yCharges"/>
      <sheetName val="Raw_Data"/>
      <sheetName val="@risk_rents_and_incentives"/>
      <sheetName val="Car_park_lease"/>
      <sheetName val="Net_rent_analysis"/>
      <sheetName val="Poz-1_"/>
      <sheetName val="Chiet_tinh_dz22"/>
      <sheetName val="Chiet_tinh_dz35"/>
      <sheetName val="Lab_Cum_Hist"/>
      <sheetName val="Graph_Data_(DO_NOT_PRINT)"/>
      <sheetName val="Projet,_methodes_&amp;_couts"/>
      <sheetName val="Risques_majeurs_&amp;_Frais_Ind_"/>
      <sheetName val="CT_Thang_Mo"/>
      <sheetName val="Bill_No__2"/>
      <sheetName val="SPT_vs_PHI"/>
      <sheetName val="budget_summary_(2)"/>
      <sheetName val="Budget_Analysis_Summary"/>
      <sheetName val="CT__PL"/>
      <sheetName val="LEVEL_SHEET"/>
      <sheetName val="FOL_-_Bar"/>
      <sheetName val="SHOPLIST.xls"/>
      <sheetName val="List"/>
      <sheetName val="Sheet3"/>
      <sheetName val="Bill 2"/>
      <sheetName val="Ap A"/>
      <sheetName val="Currencies"/>
      <sheetName val="POWER"/>
      <sheetName val="MTP"/>
      <sheetName val="LABOUR_HISTOGRAM1"/>
      <sheetName val="Geneí¬_x0008_i_x0000__x0000__x0014__x0000_0."/>
      <sheetName val="70_x0000_,/0_x0000_s«_x0008_i_x0000_Æø_x0003_í¬_x0008_i_x0000_"/>
      <sheetName val="기계내역서"/>
      <sheetName val="Tender_Summary"/>
      <sheetName val="Insurance_Ext"/>
      <sheetName val="SAP"/>
      <sheetName val="Bill 1"/>
      <sheetName val="Bill 3"/>
      <sheetName val="Bill 4"/>
      <sheetName val="Bill 5"/>
      <sheetName val="Bill 6"/>
      <sheetName val="Bill 7"/>
      <sheetName val="ACT_SPS"/>
      <sheetName val="SPSF"/>
      <sheetName val="Invoice Summary"/>
      <sheetName val="F-6 COVER"/>
      <sheetName val="Sum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  <sheetName val="d-safe DELUXE"/>
      <sheetName val="concrete"/>
      <sheetName val="beam-reinft-IIInd floor"/>
      <sheetName val="VCH-SLC"/>
      <sheetName val="Item- Compact"/>
      <sheetName val="Supplier"/>
      <sheetName val="girder"/>
      <sheetName val="Rocker"/>
      <sheetName val="beam-reinft-machine rm"/>
      <sheetName val="98Price"/>
      <sheetName val="Design"/>
      <sheetName val="Annex"/>
      <sheetName val="factors"/>
      <sheetName val="P4-B"/>
      <sheetName val="Break_Up"/>
      <sheetName val="RESULT"/>
      <sheetName val="IO LIST"/>
      <sheetName val="Formulas"/>
      <sheetName val="Material "/>
      <sheetName val="Quote Sheet"/>
      <sheetName val="PA- Consutant "/>
      <sheetName val="Civil Boq"/>
      <sheetName val="RA-markate"/>
      <sheetName val="BOQ_Direct_selling cost"/>
      <sheetName val="77S(O)"/>
      <sheetName val="upa"/>
      <sheetName val="foot-slab reinft"/>
      <sheetName val="Materials Cost(PCC)"/>
      <sheetName val="India F&amp;S Template"/>
      <sheetName val="CODE"/>
      <sheetName val="HIRED LABOUR CODE"/>
      <sheetName val="P&amp;L-BDMC"/>
      <sheetName val="_x0000__x0000__x0000__x0000__x0000__x0000__x0000__x0000_"/>
      <sheetName val="POWER ASSUMPTIONS"/>
      <sheetName val="PRECAST lightconc-II"/>
      <sheetName val="col-reinft1"/>
      <sheetName val="Voucher"/>
      <sheetName val="final abstract"/>
      <sheetName val="BLK2"/>
      <sheetName val="BLK3"/>
      <sheetName val="E &amp; R"/>
      <sheetName val="radar"/>
      <sheetName val="UG"/>
      <sheetName val="ABSTRACT"/>
      <sheetName val="DETAILED  BOQ"/>
      <sheetName val="M-Book for Conc"/>
      <sheetName val="M-Book for FW"/>
      <sheetName val="Vehicles"/>
      <sheetName val="Detail"/>
      <sheetName val="p&amp;m"/>
      <sheetName val="Wall"/>
      <sheetName val="[SHOPLIST.xls][SHOPLIST.xls]70_x0000_"/>
      <sheetName val="sal"/>
      <sheetName val="Softscape Buildup"/>
      <sheetName val="Mat'l Rate"/>
      <sheetName val="CERTIFICATE"/>
      <sheetName val="마산월령동골조물량변경"/>
      <sheetName val="Rate_Analysis"/>
      <sheetName val="DATAS"/>
      <sheetName val="PROJECT BRIEF"/>
      <sheetName val="C (3)"/>
      <sheetName val="공종별_집계금액"/>
      <sheetName val="Customize_Your_Invoice"/>
      <sheetName val="HVAC_BoQ"/>
      <sheetName val="GFA_HQ_Building3"/>
      <sheetName val="GFA_Conference3"/>
      <sheetName val="StattCo_yCharges2"/>
      <sheetName val="BQ_External3"/>
      <sheetName val="Penthouse_Apartment2"/>
      <sheetName val="LABOUR_HISTOGRAM3"/>
      <sheetName val="Chiet_tinh_dz222"/>
      <sheetName val="Chiet_tinh_dz352"/>
      <sheetName val="CT_Thang_Mo2"/>
      <sheetName val="Raw_Data2"/>
      <sheetName val="@risk_rents_and_incentives2"/>
      <sheetName val="Car_park_lease2"/>
      <sheetName val="Net_rent_analysis2"/>
      <sheetName val="Poz-1_2"/>
      <sheetName val="Lab_Cum_Hist2"/>
      <sheetName val="Graph_Data_(DO_NOT_PRINT)2"/>
      <sheetName val="LEVEL_SHEET2"/>
      <sheetName val="Bill_No__22"/>
      <sheetName val="Tender_Summary2"/>
      <sheetName val="Insurance_Ext2"/>
      <sheetName val="FOL_-_Bar2"/>
      <sheetName val="SPT_vs_PHI2"/>
      <sheetName val="Customize_Your_Invoice2"/>
      <sheetName val="HVAC_BoQ2"/>
      <sheetName val="budget_summary_(2)1"/>
      <sheetName val="Budget_Analysis_Summary1"/>
      <sheetName val="Body_Sheet1"/>
      <sheetName val="1_0_Executive_Summary1"/>
      <sheetName val="Projet,_methodes_&amp;_couts1"/>
      <sheetName val="Risques_majeurs_&amp;_Frais_Ind_1"/>
      <sheetName val="CT__PL1"/>
      <sheetName val="Top_sheet1"/>
      <sheetName val="intr_stool_brkup1"/>
      <sheetName val="Rate_analysis1"/>
      <sheetName val="GFA_HQ_Building2"/>
      <sheetName val="GFA_Conference2"/>
      <sheetName val="StattCo_yCharges1"/>
      <sheetName val="BQ_External2"/>
      <sheetName val="Penthouse_Apartment1"/>
      <sheetName val="LABOUR_HISTOGRAM2"/>
      <sheetName val="Chiet_tinh_dz221"/>
      <sheetName val="Chiet_tinh_dz351"/>
      <sheetName val="CT_Thang_Mo1"/>
      <sheetName val="Raw_Data1"/>
      <sheetName val="@risk_rents_and_incentives1"/>
      <sheetName val="Car_park_lease1"/>
      <sheetName val="Net_rent_analysis1"/>
      <sheetName val="Poz-1_1"/>
      <sheetName val="Lab_Cum_Hist1"/>
      <sheetName val="Graph_Data_(DO_NOT_PRINT)1"/>
      <sheetName val="LEVEL_SHEET1"/>
      <sheetName val="Bill_No__21"/>
      <sheetName val="Tender_Summary1"/>
      <sheetName val="Insurance_Ext1"/>
      <sheetName val="FOL_-_Bar1"/>
      <sheetName val="SPT_vs_PHI1"/>
      <sheetName val="Customize_Your_Invoice1"/>
      <sheetName val="HVAC_BoQ1"/>
      <sheetName val="Body_Sheet"/>
      <sheetName val="1_0_Executive_Summary"/>
      <sheetName val="Top_sheet"/>
      <sheetName val="intr_stool_brkup"/>
      <sheetName val="Dubai golf"/>
      <sheetName val="GFA_HQ_Building4"/>
      <sheetName val="GFA_Conference4"/>
      <sheetName val="StattCo_yCharges3"/>
      <sheetName val="BQ_External4"/>
      <sheetName val="Penthouse_Apartment3"/>
      <sheetName val="LABOUR_HISTOGRAM4"/>
      <sheetName val="Chiet_tinh_dz223"/>
      <sheetName val="Chiet_tinh_dz353"/>
      <sheetName val="CT_Thang_Mo3"/>
      <sheetName val="Raw_Data3"/>
      <sheetName val="@risk_rents_and_incentives3"/>
      <sheetName val="Car_park_lease3"/>
      <sheetName val="Net_rent_analysis3"/>
      <sheetName val="Poz-1_3"/>
      <sheetName val="Lab_Cum_Hist3"/>
      <sheetName val="Graph_Data_(DO_NOT_PRINT)3"/>
      <sheetName val="LEVEL_SHEET3"/>
      <sheetName val="Bill_No__23"/>
      <sheetName val="Tender_Summary3"/>
      <sheetName val="Insurance_Ext3"/>
      <sheetName val="FOL_-_Bar3"/>
      <sheetName val="SPT_vs_PHI3"/>
      <sheetName val="Customize_Your_Invoice3"/>
      <sheetName val="HVAC_BoQ3"/>
      <sheetName val="budget_summary_(2)2"/>
      <sheetName val="Budget_Analysis_Summary2"/>
      <sheetName val="Body_Sheet2"/>
      <sheetName val="1_0_Executive_Summary2"/>
      <sheetName val="Projet,_methodes_&amp;_couts2"/>
      <sheetName val="Risques_majeurs_&amp;_Frais_Ind_2"/>
      <sheetName val="CT__PL2"/>
      <sheetName val="Top_sheet2"/>
      <sheetName val="intr_stool_brkup2"/>
      <sheetName val="Rate_analysis2"/>
      <sheetName val="GFA_HQ_Building5"/>
      <sheetName val="GFA_Conference5"/>
      <sheetName val="StattCo_yCharges4"/>
      <sheetName val="BQ_External5"/>
      <sheetName val="Penthouse_Apartment4"/>
      <sheetName val="LABOUR_HISTOGRAM5"/>
      <sheetName val="Chiet_tinh_dz224"/>
      <sheetName val="Chiet_tinh_dz354"/>
      <sheetName val="CT_Thang_Mo4"/>
      <sheetName val="Raw_Data4"/>
      <sheetName val="@risk_rents_and_incentives4"/>
      <sheetName val="Car_park_lease4"/>
      <sheetName val="Net_rent_analysis4"/>
      <sheetName val="Poz-1_4"/>
      <sheetName val="Lab_Cum_Hist4"/>
      <sheetName val="Graph_Data_(DO_NOT_PRINT)4"/>
      <sheetName val="LEVEL_SHEET4"/>
      <sheetName val="Bill_No__24"/>
      <sheetName val="Tender_Summary4"/>
      <sheetName val="Insurance_Ext4"/>
      <sheetName val="FOL_-_Bar4"/>
      <sheetName val="SPT_vs_PHI4"/>
      <sheetName val="Customize_Your_Invoice4"/>
      <sheetName val="HVAC_BoQ4"/>
      <sheetName val="budget_summary_(2)3"/>
      <sheetName val="Budget_Analysis_Summary3"/>
      <sheetName val="Body_Sheet3"/>
      <sheetName val="1_0_Executive_Summary3"/>
      <sheetName val="Projet,_methodes_&amp;_couts3"/>
      <sheetName val="Risques_majeurs_&amp;_Frais_Ind_3"/>
      <sheetName val="CT__PL3"/>
      <sheetName val="Top_sheet3"/>
      <sheetName val="intr_stool_brkup3"/>
      <sheetName val="Rate_analysis3"/>
      <sheetName val="WITHOUT C&amp;I PROFIT (3)"/>
      <sheetName val="Geneí¬_x0008_i"/>
      <sheetName val="70"/>
      <sheetName val="PROJECT_BRIEF1"/>
      <sheetName val="Geneí¬i0_"/>
      <sheetName val="70,/0s«iÆøí¬i"/>
      <sheetName val="Bill_22"/>
      <sheetName val="C_(3)1"/>
      <sheetName val="Ap_A1"/>
      <sheetName val="2_Div_14_1"/>
      <sheetName val="Bill_11"/>
      <sheetName val="Bill_31"/>
      <sheetName val="Bill_41"/>
      <sheetName val="Bill_51"/>
      <sheetName val="Bill_61"/>
      <sheetName val="Bill_71"/>
      <sheetName val="SHOPLIST_xls"/>
      <sheetName val="Dubai_golf"/>
      <sheetName val="beam-reinft-IIInd_floor"/>
      <sheetName val="Invoice_Summary"/>
      <sheetName val="POWER_ASSUMPTIONS"/>
      <sheetName val="beam-reinft-machine_rm"/>
      <sheetName val="PROJECT_BRIEF"/>
      <sheetName val="Bill_21"/>
      <sheetName val="C_(3)"/>
      <sheetName val="Ap_A"/>
      <sheetName val="2_Div_14_"/>
      <sheetName val="MOS"/>
      <sheetName val="Ra  stair"/>
      <sheetName val="CHART OF ACCOUNTS"/>
      <sheetName val="E-Bill No.6 A-O"/>
      <sheetName val="BILL COV"/>
      <sheetName val="Day work"/>
      <sheetName val="Activity List"/>
      <sheetName val="Eq. Mobilization"/>
      <sheetName val="PointNo.5"/>
      <sheetName val="11-hsd"/>
      <sheetName val="13-septic"/>
      <sheetName val="7-ug"/>
      <sheetName val="2-utility"/>
      <sheetName val="18-misc"/>
      <sheetName val="5-pipe"/>
      <sheetName val="GFA_HQ_Building6"/>
      <sheetName val="GFA_Conference6"/>
      <sheetName val="BQ_External6"/>
      <sheetName val="Raw_Data5"/>
      <sheetName val="Penthouse_Apartment5"/>
      <sheetName val="StattCo_yCharges5"/>
      <sheetName val="@risk_rents_and_incentives5"/>
      <sheetName val="Car_park_lease5"/>
      <sheetName val="Net_rent_analysis5"/>
      <sheetName val="Poz-1_5"/>
      <sheetName val="Chiet_tinh_dz225"/>
      <sheetName val="Chiet_tinh_dz355"/>
      <sheetName val="LEVEL_SHEET5"/>
      <sheetName val="LABOUR_HISTOGRAM6"/>
      <sheetName val="Lab_Cum_Hist5"/>
      <sheetName val="Graph_Data_(DO_NOT_PRINT)5"/>
      <sheetName val="Body_Sheet4"/>
      <sheetName val="1_0_Executive_Summary4"/>
      <sheetName val="CT_Thang_Mo5"/>
      <sheetName val="Customize_Your_Invoice5"/>
      <sheetName val="HVAC_BoQ5"/>
      <sheetName val="Bill_No__25"/>
      <sheetName val="budget_summary_(2)4"/>
      <sheetName val="Budget_Analysis_Summary4"/>
      <sheetName val="Projet,_methodes_&amp;_couts4"/>
      <sheetName val="Risques_majeurs_&amp;_Frais_Ind_4"/>
      <sheetName val="SPT_vs_PHI5"/>
      <sheetName val="CT__PL4"/>
      <sheetName val="FOL_-_Bar5"/>
      <sheetName val="Tender_Summary5"/>
      <sheetName val="Insurance_Ext5"/>
      <sheetName val="Top_sheet4"/>
      <sheetName val="intr_stool_brkup4"/>
      <sheetName val="2_Div_14_2"/>
      <sheetName val="SHOPLIST_xls1"/>
      <sheetName val="Bill_23"/>
      <sheetName val="Ap_A2"/>
      <sheetName val="Bill_12"/>
      <sheetName val="Bill_32"/>
      <sheetName val="Bill_42"/>
      <sheetName val="Bill_52"/>
      <sheetName val="Bill_62"/>
      <sheetName val="Bill_72"/>
      <sheetName val="Invoice_Summary1"/>
      <sheetName val="beam-reinft-IIInd_floor1"/>
      <sheetName val="beam-reinft-machine_rm1"/>
      <sheetName val="PROJECT_BRIEF2"/>
      <sheetName val="C_(3)2"/>
      <sheetName val="POWER_ASSUMPTIONS1"/>
      <sheetName val="Dubai_golf1"/>
      <sheetName val="WITHOUT_C&amp;I_PROFIT_(3)"/>
      <sheetName val="Geneí¬i"/>
      <sheetName val="Civil_Boq"/>
      <sheetName val="DETAILED__BOQ"/>
      <sheetName val="M-Book_for_Conc"/>
      <sheetName val="M-Book_for_FW"/>
      <sheetName val="Activity_List"/>
      <sheetName val="HIRED_LABOUR_CODE"/>
      <sheetName val="PA-_Consutant_"/>
      <sheetName val="foot-slab_reinft"/>
      <sheetName val="250mm"/>
      <sheetName val="200mm"/>
      <sheetName val="160mm"/>
      <sheetName val="FITTINGS"/>
      <sheetName val="VALVE CHAMBERS"/>
      <sheetName val="Fire Hydrants"/>
      <sheetName val="B.GATE VALVE"/>
      <sheetName val="Sub G1 Fire"/>
      <sheetName val="Sub G12 Fire"/>
      <sheetName val="GFA_HQ_Building8"/>
      <sheetName val="GFA_Conference7"/>
      <sheetName val="BQ_External7"/>
      <sheetName val="Graph_Data_(DO_NOT_PRINT)6"/>
      <sheetName val="Penthouse_Apartment6"/>
      <sheetName val="Chiet_tinh_dz226"/>
      <sheetName val="Chiet_tinh_dz356"/>
      <sheetName val="StattCo_yCharges6"/>
      <sheetName val="Raw_Data6"/>
      <sheetName val="LABOUR_HISTOGRAM7"/>
      <sheetName val="@risk_rents_and_incentives6"/>
      <sheetName val="Car_park_lease6"/>
      <sheetName val="Net_rent_analysis6"/>
      <sheetName val="Poz-1_6"/>
      <sheetName val="CT_Thang_Mo6"/>
      <sheetName val="Lab_Cum_Hist6"/>
      <sheetName val="LEVEL_SHEET6"/>
      <sheetName val="Bill_No__26"/>
      <sheetName val="Tender_Summary6"/>
      <sheetName val="Insurance_Ext6"/>
      <sheetName val="FOL_-_Bar6"/>
      <sheetName val="SPT_vs_PHI6"/>
      <sheetName val="Customize_Your_Invoice6"/>
      <sheetName val="HVAC_BoQ6"/>
      <sheetName val="budget_summary_(2)5"/>
      <sheetName val="Budget_Analysis_Summary5"/>
      <sheetName val="Body_Sheet5"/>
      <sheetName val="1_0_Executive_Summary5"/>
      <sheetName val="Projet,_methodes_&amp;_couts5"/>
      <sheetName val="Risques_majeurs_&amp;_Frais_Ind_5"/>
      <sheetName val="Top_sheet5"/>
      <sheetName val="CT__PL5"/>
      <sheetName val="intr_stool_brkup5"/>
      <sheetName val="Rate_analysis5"/>
      <sheetName val="GFA_HQ_Building7"/>
      <sheetName val="Rate_analysis4"/>
      <sheetName val="Softscape_Buildup"/>
      <sheetName val="Mat'l_Rate"/>
      <sheetName val="Ap_A3"/>
      <sheetName val="2_Div_14_3"/>
      <sheetName val="SHOPLIST_xls2"/>
      <sheetName val="PROJECT_BRIEF3"/>
      <sheetName val="Bill_24"/>
      <sheetName val="C_(3)3"/>
      <sheetName val="Bill_13"/>
      <sheetName val="Bill_33"/>
      <sheetName val="Bill_43"/>
      <sheetName val="Bill_53"/>
      <sheetName val="Bill_63"/>
      <sheetName val="Bill_73"/>
      <sheetName val="Dubai_golf2"/>
      <sheetName val="beam-reinft-IIInd_floor2"/>
      <sheetName val="Invoice_Summary2"/>
      <sheetName val="POWER_ASSUMPTIONS2"/>
      <sheetName val="beam-reinft-machine_rm2"/>
      <sheetName val="Civil_Boq1"/>
      <sheetName val="WITHOUT_C&amp;I_PROFIT_(3)1"/>
      <sheetName val="Activity_List1"/>
      <sheetName val="Softscape_Buildup1"/>
      <sheetName val="Mat'l_Rate1"/>
      <sheetName val="Toolbox"/>
      <sheetName val="Material List "/>
      <sheetName val="INSTR"/>
      <sheetName val="ConferenceCentre?옰ʒ䄂ʒ鵠ʐ䄂ʒ閐̐䄂ʒ蕈̐"/>
      <sheetName val="갑지"/>
      <sheetName val="15-MECH"/>
      <sheetName val="VALVE_CHAMBERS"/>
      <sheetName val="Fire_Hydrants"/>
      <sheetName val="B_GATE_VALVE"/>
      <sheetName val="Sub_G1_Fire"/>
      <sheetName val="Sub_G12_Fire"/>
      <sheetName val="DETAILED__BOQ1"/>
      <sheetName val="M-Book_for_Conc1"/>
      <sheetName val="M-Book_for_FW1"/>
      <sheetName val="Ra__stair"/>
      <sheetName val="HIRED_LABOUR_CODE1"/>
      <sheetName val="PA-_Consutant_1"/>
      <sheetName val="foot-slab_reinft1"/>
      <sheetName val="BILL_COV"/>
      <sheetName val="GFA_Conference8"/>
      <sheetName val="BQ_External8"/>
      <sheetName val="StattCo_yCharges7"/>
      <sheetName val="Graph_Data_(DO_NOT_PRINT)7"/>
      <sheetName val="Penthouse_Apartment7"/>
      <sheetName val="Chiet_tinh_dz227"/>
      <sheetName val="Chiet_tinh_dz357"/>
      <sheetName val="Raw_Data7"/>
      <sheetName val="LABOUR_HISTOGRAM8"/>
      <sheetName val="@risk_rents_and_incentives7"/>
      <sheetName val="Car_park_lease7"/>
      <sheetName val="Net_rent_analysis7"/>
      <sheetName val="Poz-1_7"/>
      <sheetName val="Lab_Cum_Hist7"/>
      <sheetName val="CT_Thang_Mo7"/>
      <sheetName val="budget_summary_(2)6"/>
      <sheetName val="Budget_Analysis_Summary6"/>
      <sheetName val="Tender_Summary7"/>
      <sheetName val="Insurance_Ext7"/>
      <sheetName val="Customize_Your_Invoice7"/>
      <sheetName val="HVAC_BoQ7"/>
      <sheetName val="Bill_No__27"/>
      <sheetName val="Projet,_methodes_&amp;_couts6"/>
      <sheetName val="Risques_majeurs_&amp;_Frais_Ind_6"/>
      <sheetName val="LEVEL_SHEET7"/>
      <sheetName val="SPT_vs_PHI7"/>
      <sheetName val="CT__PL6"/>
      <sheetName val="FOL_-_Bar7"/>
      <sheetName val="intr_stool_brkup6"/>
      <sheetName val="Top_sheet6"/>
      <sheetName val="Body_Sheet6"/>
      <sheetName val="1_0_Executive_Summary6"/>
      <sheetName val="Bill_14"/>
      <sheetName val="Bill_25"/>
      <sheetName val="Bill_34"/>
      <sheetName val="Bill_44"/>
      <sheetName val="Bill_54"/>
      <sheetName val="Bill_64"/>
      <sheetName val="Bill_74"/>
      <sheetName val="2_Div_14_4"/>
      <sheetName val="Ap_A4"/>
      <sheetName val="SHOPLIST_xls3"/>
      <sheetName val="Dubai_golf3"/>
      <sheetName val="beam-reinft-IIInd_floor3"/>
      <sheetName val="beam-reinft-machine_rm3"/>
      <sheetName val="POWER_ASSUMPTIONS3"/>
      <sheetName val="Invoice_Summary3"/>
      <sheetName val="PROJECT_BRIEF4"/>
      <sheetName val="C_(3)4"/>
      <sheetName val="Civil_Boq2"/>
      <sheetName val="Activity_List2"/>
      <sheetName val="WITHOUT_C&amp;I_PROFIT_(3)2"/>
      <sheetName val="VALVE_CHAMBERS1"/>
      <sheetName val="Fire_Hydrants1"/>
      <sheetName val="B_GATE_VALVE1"/>
      <sheetName val="Sub_G1_Fire1"/>
      <sheetName val="Sub_G12_Fire1"/>
      <sheetName val="DETAILED__BOQ2"/>
      <sheetName val="M-Book_for_Conc2"/>
      <sheetName val="M-Book_for_FW2"/>
      <sheetName val="Ra__stair1"/>
      <sheetName val="HIRED_LABOUR_CODE2"/>
      <sheetName val="PA-_Consutant_2"/>
      <sheetName val="foot-slab_reinft2"/>
      <sheetName val="BILL_COV1"/>
      <sheetName val="Working for RCC"/>
      <sheetName val="Div. 02"/>
      <sheetName val="Div. 03"/>
      <sheetName val="Div. 04"/>
      <sheetName val="Div. 05"/>
      <sheetName val="Div. 06"/>
      <sheetName val="Div. 07"/>
      <sheetName val="Div. 08"/>
      <sheetName val="Div. 09"/>
      <sheetName val="Div. 10"/>
      <sheetName val="Div. 11"/>
      <sheetName val="Div. 12"/>
      <sheetName val="Div.13"/>
      <sheetName val="EXTERNAL WORKS"/>
      <sheetName val="PARAMETER"/>
      <sheetName val="PRODUCTIVITY RATE"/>
      <sheetName val="U.R.A - MASONRY"/>
      <sheetName val="U.R.A - PLASTERING"/>
      <sheetName val="U.R.A - TILING"/>
      <sheetName val="U.R.A - GRANITE"/>
      <sheetName val="V.C 2 - EARTHWORK"/>
      <sheetName val="V.C 9 - CERAMIC"/>
      <sheetName val="V.C 9 - FINISHES"/>
      <sheetName val="GFA_HQ_Building9"/>
      <sheetName val="Rate_analysis6"/>
      <sheetName val="Day_work"/>
      <sheetName val="Softscape_Buildup2"/>
      <sheetName val="Mat'l_Rate2"/>
      <sheetName val="B03"/>
      <sheetName val="B09.1"/>
      <sheetName val="BS"/>
      <sheetName val="Data_Summary"/>
      <sheetName val="PMWeb data"/>
      <sheetName val="bill nb2-Plumbing &amp; Drainag"/>
      <sheetName val="Pl &amp; Dr B"/>
      <sheetName val="Pl &amp; Dr G"/>
      <sheetName val="Pl &amp; Dr M"/>
      <sheetName val="Pl &amp; Dr 1"/>
      <sheetName val="Pl &amp; Dr 2"/>
      <sheetName val="Pl &amp; Dr 3"/>
      <sheetName val="Pl &amp; Dr 4"/>
      <sheetName val="Pl &amp; Dr 5"/>
      <sheetName val="Pl &amp; Dr 6"/>
      <sheetName val="Pl &amp; Dr 7"/>
      <sheetName val="Pl &amp; Dr 8"/>
      <sheetName val="Pl &amp; Dr R"/>
      <sheetName val="FF B"/>
      <sheetName val="FF G"/>
      <sheetName val="FF M"/>
      <sheetName val="FF 1"/>
      <sheetName val="FF 2 "/>
      <sheetName val="FF 3"/>
      <sheetName val="FF 4"/>
      <sheetName val="FF 5"/>
      <sheetName val="FF 6 "/>
      <sheetName val="FF 7"/>
      <sheetName val="FF 8"/>
      <sheetName val="FF R"/>
      <sheetName val="bill nb3-FF"/>
      <sheetName val="HVAC B"/>
      <sheetName val="HVAC G"/>
      <sheetName val="HVAC M"/>
      <sheetName val="HVAC 1"/>
      <sheetName val="HVAC 2"/>
      <sheetName val="HVAC 3"/>
      <sheetName val="HVAC 4"/>
      <sheetName val="HVAC 5"/>
      <sheetName val="HVAC 6"/>
      <sheetName val="HVAC 7"/>
      <sheetName val="HVAC 8"/>
      <sheetName val="HVAC R"/>
      <sheetName val="bill nb4-HVAC"/>
      <sheetName val="Pre"/>
      <sheetName val="SC B"/>
      <sheetName val="SC G"/>
      <sheetName val="SC M"/>
      <sheetName val="SC 1"/>
      <sheetName val="SC 2"/>
      <sheetName val="SC 3"/>
      <sheetName val="SC 4"/>
      <sheetName val="SC 5"/>
      <sheetName val="SC 6"/>
      <sheetName val="SC 7"/>
      <sheetName val="SC 8"/>
      <sheetName val="SC R"/>
      <sheetName val="6-SC"/>
      <sheetName val="AV B"/>
      <sheetName val="AV G"/>
      <sheetName val="AV M"/>
      <sheetName val="AV 1"/>
      <sheetName val="AV 2"/>
      <sheetName val="AV 3"/>
      <sheetName val="AV 4"/>
      <sheetName val="AV 5"/>
      <sheetName val="AV 6"/>
      <sheetName val="AV 7"/>
      <sheetName val="AV 8"/>
      <sheetName val="7-AV"/>
      <sheetName val="EL B"/>
      <sheetName val="ELG"/>
      <sheetName val="EL M"/>
      <sheetName val="EL 1"/>
      <sheetName val="EL 2"/>
      <sheetName val="EL 3"/>
      <sheetName val="EL 4"/>
      <sheetName val="EL 5"/>
      <sheetName val="EL 6"/>
      <sheetName val="EL 7"/>
      <sheetName val="EL 8"/>
      <sheetName val="EL R"/>
      <sheetName val="EL TR"/>
      <sheetName val="8- EL"/>
      <sheetName val="FA B"/>
      <sheetName val="FA G"/>
      <sheetName val="FA M"/>
      <sheetName val="FA 1"/>
      <sheetName val="FA 2"/>
      <sheetName val="FA 3"/>
      <sheetName val="FA 4"/>
      <sheetName val="FA 5"/>
      <sheetName val="FA 6"/>
      <sheetName val="FA 7"/>
      <sheetName val="FA 8"/>
      <sheetName val="FA R"/>
      <sheetName val="9- FA"/>
      <sheetName val="Gra¦_x0004_)_x0000__x0000__x0000_VW_x0000__x0000__x0000__x0000__x0000__x0000__x0000__x0000__x0000_ U"/>
      <sheetName val="/VW_x0000_VU_x0000_)_x0000__x0000__x0000_)_x0000__x0000__x0000__x0001__x0000__x0000__x0000_tÏØ0_x0009__x0008__x0000__x0000__x0009__x0008_"/>
      <sheetName val="COLUMN"/>
      <sheetName val="Dropdown"/>
      <sheetName val="Elemental Buildup"/>
      <sheetName val="w't table"/>
      <sheetName val="cp-e1"/>
      <sheetName val="GFA_HQ_Building10"/>
      <sheetName val="GFA_Conference9"/>
      <sheetName val="StattCo_yCharges8"/>
      <sheetName val="BQ_External9"/>
      <sheetName val="Penthouse_Apartment8"/>
      <sheetName val="LABOUR_HISTOGRAM9"/>
      <sheetName val="Chiet_tinh_dz228"/>
      <sheetName val="Chiet_tinh_dz358"/>
      <sheetName val="CT_Thang_Mo8"/>
      <sheetName val="Raw_Data8"/>
      <sheetName val="@risk_rents_and_incentives8"/>
      <sheetName val="Car_park_lease8"/>
      <sheetName val="Net_rent_analysis8"/>
      <sheetName val="Poz-1_8"/>
      <sheetName val="Lab_Cum_Hist8"/>
      <sheetName val="Graph_Data_(DO_NOT_PRINT)8"/>
      <sheetName val="LEVEL_SHEET8"/>
      <sheetName val="SPT_vs_PHI8"/>
      <sheetName val="Bill_No__28"/>
      <sheetName val="Tender_Summary8"/>
      <sheetName val="Insurance_Ext8"/>
      <sheetName val="FOL_-_Bar8"/>
      <sheetName val="Customize_Your_Invoice8"/>
      <sheetName val="HVAC_BoQ8"/>
      <sheetName val="budget_summary_(2)7"/>
      <sheetName val="Budget_Analysis_Summary7"/>
      <sheetName val="Projet,_methodes_&amp;_couts7"/>
      <sheetName val="Risques_majeurs_&amp;_Frais_Ind_7"/>
      <sheetName val="Body_Sheet7"/>
      <sheetName val="1_0_Executive_Summary7"/>
      <sheetName val="Top_sheet7"/>
      <sheetName val="Rate_analysis7"/>
      <sheetName val="intr_stool_brkup7"/>
      <sheetName val="CT__PL7"/>
      <sheetName val="Ap_A5"/>
      <sheetName val="2_Div_14_5"/>
      <sheetName val="SHOPLIST_xls4"/>
      <sheetName val="PROJECT_BRIEF5"/>
      <sheetName val="Bill_26"/>
      <sheetName val="C_(3)5"/>
      <sheetName val="Bill_15"/>
      <sheetName val="Bill_35"/>
      <sheetName val="Bill_45"/>
      <sheetName val="Bill_55"/>
      <sheetName val="Bill_65"/>
      <sheetName val="Bill_75"/>
      <sheetName val="Dubai_golf4"/>
      <sheetName val="beam-reinft-IIInd_floor4"/>
      <sheetName val="Invoice_Summary4"/>
      <sheetName val="POWER_ASSUMPTIONS4"/>
      <sheetName val="beam-reinft-machine_rm4"/>
      <sheetName val="Civil_Boq3"/>
      <sheetName val="WITHOUT_C&amp;I_PROFIT_(3)3"/>
      <sheetName val="Activity_List3"/>
      <sheetName val="Softscape_Buildup3"/>
      <sheetName val="Mat'l_Rate3"/>
      <sheetName val="房屋及建筑物"/>
      <sheetName val="XL4Poppy"/>
      <sheetName val="SStaff-Sept2013"/>
      <sheetName val="Index List"/>
      <sheetName val="Type List"/>
      <sheetName val="File Types"/>
      <sheetName val="Day_work1"/>
      <sheetName val="SIEMENS"/>
      <sheetName val="ConferenceCentre_x005f_x0000_옰ʒ䄂ʒ鵠ʐ䄂ʒ"/>
      <sheetName val="Geneí¬_x005f_x0008_i_x005f_x0000__x005f_x0000__x0"/>
      <sheetName val="70_x005f_x0000_,_0_x005f_x0000_s«_x005f_x0008_i_x"/>
      <sheetName val="Geneí¬_x005f_x0008_i"/>
      <sheetName val="/VW_x0000_VU_x0000_)_x0000__x0000__x0000_)_x0000__x0000__x0000__x0001__x0000__x0000__x0000_tÏØ0 _x0008__x0000__x0000_ _x0008_"/>
      <sheetName val="Division 2"/>
      <sheetName val="Division3"/>
      <sheetName val="Division 4"/>
      <sheetName val="Division 5"/>
      <sheetName val="Division 6"/>
      <sheetName val="Division 7"/>
      <sheetName val="Division 8"/>
      <sheetName val="Division 9"/>
      <sheetName val="Division 10"/>
      <sheetName val="Division11"/>
      <sheetName val="Division 12"/>
      <sheetName val="Division 14"/>
      <sheetName val="Division 21"/>
      <sheetName val="Division 22"/>
      <sheetName val="Division 23"/>
      <sheetName val="Division 26"/>
      <sheetName val="Division 27"/>
      <sheetName val="Division 28"/>
      <sheetName val="Division 31"/>
      <sheetName val="Division 32"/>
      <sheetName val="Division 33"/>
      <sheetName val="2.2)Revised Cash Flow"/>
      <sheetName val="Gra¦_x0004_)"/>
      <sheetName val="/VW"/>
      <sheetName val="PMWeb_data"/>
      <sheetName val="SS_MH"/>
      <sheetName val="SS MH"/>
      <sheetName val="GFA_HQ_Building11"/>
      <sheetName val="GFA_Conference10"/>
      <sheetName val="StattCo_yCharges9"/>
      <sheetName val="BQ_External10"/>
      <sheetName val="Penthouse_Apartment9"/>
      <sheetName val="LABOUR_HISTOGRAM10"/>
      <sheetName val="Chiet_tinh_dz229"/>
      <sheetName val="Chiet_tinh_dz359"/>
      <sheetName val="CT_Thang_Mo9"/>
      <sheetName val="Raw_Data9"/>
      <sheetName val="@risk_rents_and_incentives9"/>
      <sheetName val="Car_park_lease9"/>
      <sheetName val="Net_rent_analysis9"/>
      <sheetName val="Poz-1_9"/>
      <sheetName val="Lab_Cum_Hist9"/>
      <sheetName val="Graph_Data_(DO_NOT_PRINT)9"/>
      <sheetName val="LEVEL_SHEET9"/>
      <sheetName val="SPT_vs_PHI9"/>
      <sheetName val="Bill_No__29"/>
      <sheetName val="Tender_Summary9"/>
      <sheetName val="Insurance_Ext9"/>
      <sheetName val="FOL_-_Bar9"/>
      <sheetName val="Customize_Your_Invoice9"/>
      <sheetName val="HVAC_BoQ9"/>
      <sheetName val="budget_summary_(2)8"/>
      <sheetName val="Budget_Analysis_Summary8"/>
      <sheetName val="Projet,_methodes_&amp;_couts8"/>
      <sheetName val="Risques_majeurs_&amp;_Frais_Ind_8"/>
      <sheetName val="Body_Sheet8"/>
      <sheetName val="1_0_Executive_Summary8"/>
      <sheetName val="Top_sheet8"/>
      <sheetName val="Rate_analysis8"/>
      <sheetName val="intr_stool_brkup8"/>
      <sheetName val="CT__PL8"/>
      <sheetName val="Ap_A6"/>
      <sheetName val="2_Div_14_6"/>
      <sheetName val="SHOPLIST_xls5"/>
      <sheetName val="PROJECT_BRIEF6"/>
      <sheetName val="Bill_27"/>
      <sheetName val="C_(3)6"/>
      <sheetName val="Bill_16"/>
      <sheetName val="Bill_36"/>
      <sheetName val="Bill_46"/>
      <sheetName val="Bill_56"/>
      <sheetName val="Bill_66"/>
      <sheetName val="Bill_76"/>
      <sheetName val="Dubai_golf5"/>
      <sheetName val="beam-reinft-IIInd_floor5"/>
      <sheetName val="Invoice_Summary5"/>
      <sheetName val="POWER_ASSUMPTIONS5"/>
      <sheetName val="beam-reinft-machine_rm5"/>
      <sheetName val="Civil_Boq4"/>
      <sheetName val="WITHOUT_C&amp;I_PROFIT_(3)4"/>
      <sheetName val="Activity_List4"/>
      <sheetName val="Softscape_Buildup4"/>
      <sheetName val="Mat'l_Rate4"/>
      <sheetName val="BILL_COV2"/>
      <sheetName val="Ra__stair2"/>
      <sheetName val="Materials_Cost(PCC)"/>
      <sheetName val="India_F&amp;S_Template"/>
      <sheetName val="IO_LIST"/>
      <sheetName val="Material_"/>
      <sheetName val="Quote_Sheet"/>
      <sheetName val="Eq__Mobilization"/>
      <sheetName val="Working_for_RCC"/>
      <sheetName val="B185-B-9_1"/>
      <sheetName val="B185-B-9_2"/>
      <sheetName val="BOQ_Direct_selling_cost"/>
      <sheetName val="CHART_OF_ACCOUNTS"/>
      <sheetName val="E-Bill_No_6_A-O"/>
      <sheetName val="B09_1"/>
      <sheetName val="집계표(OPTION)"/>
      <sheetName val="Div__02"/>
      <sheetName val="Div__03"/>
      <sheetName val="Div__04"/>
      <sheetName val="Div__05"/>
      <sheetName val="Div__06"/>
      <sheetName val="Div__07"/>
      <sheetName val="Div__08"/>
      <sheetName val="Div__09"/>
      <sheetName val="Div__10"/>
      <sheetName val="Div__11"/>
      <sheetName val="Div__12"/>
      <sheetName val="Div_13"/>
      <sheetName val="EXTERNAL_WORKS"/>
      <sheetName val="PRODUCTIVITY_RATE"/>
      <sheetName val="U_R_A_-_MASONRY"/>
      <sheetName val="U_R_A_-_PLASTERING"/>
      <sheetName val="U_R_A_-_TILING"/>
      <sheetName val="U_R_A_-_GRANITE"/>
      <sheetName val="V_C_2_-_EARTHWORK"/>
      <sheetName val="V_C_9_-_CERAMIC"/>
      <sheetName val="V_C_9_-_FINISHES"/>
      <sheetName val="Prices"/>
      <sheetName val="Rate summary"/>
      <sheetName val="#REF!"/>
      <sheetName val="SW-TEO"/>
      <sheetName val="科目余额表正式"/>
      <sheetName val="Chiet t"/>
      <sheetName val="Staffing and Rates IA"/>
      <sheetName val="escalation"/>
      <sheetName val="ANAL"/>
      <sheetName val="Materials_Cost(PCC)1"/>
      <sheetName val="India_F&amp;S_Template1"/>
      <sheetName val="IO_LIST1"/>
      <sheetName val="Material_1"/>
      <sheetName val="Quote_Sheet1"/>
      <sheetName val="Div__021"/>
      <sheetName val="Div__031"/>
      <sheetName val="Div__041"/>
      <sheetName val="Div__051"/>
      <sheetName val="Div__061"/>
      <sheetName val="Div__071"/>
      <sheetName val="Div__081"/>
      <sheetName val="Div__091"/>
      <sheetName val="Div__101"/>
      <sheetName val="Div__111"/>
      <sheetName val="Div__121"/>
      <sheetName val="Div_131"/>
      <sheetName val="EXTERNAL_WORKS1"/>
      <sheetName val="PRODUCTIVITY_RATE1"/>
      <sheetName val="U_R_A_-_MASONRY1"/>
      <sheetName val="U_R_A_-_PLASTERING1"/>
      <sheetName val="U_R_A_-_TILING1"/>
      <sheetName val="U_R_A_-_GRANITE1"/>
      <sheetName val="V_C_2_-_EARTHWORK1"/>
      <sheetName val="V_C_9_-_CERAMIC1"/>
      <sheetName val="V_C_9_-_FINISHES1"/>
      <sheetName val="B6.2 "/>
      <sheetName val="PointNo_5"/>
      <sheetName val="w't_table"/>
      <sheetName val="Elemental_Buildup"/>
      <sheetName val="Employee List"/>
      <sheetName val="Lists"/>
      <sheetName val="입찰내역 발주처 양식"/>
      <sheetName val="LIST DO NOT REMOVE"/>
      <sheetName val="Quantity"/>
      <sheetName val="??-BLDG"/>
      <sheetName val="PNT-QUOT-#3"/>
      <sheetName val="COAT&amp;WRAP-QIOT-#3"/>
      <sheetName val="ml"/>
      <sheetName val="2_2)Revised_Cash_Flow"/>
      <sheetName val="[SHOPLIST.xls][SHOPLIST.xls]70,"/>
      <sheetName val="[SHOPLIST.xls]70_x0000_,/0_x0000_s«_x0008_i_x0000_Æø_x0003_í¬"/>
      <sheetName val="BULD.3"/>
      <sheetName val="BLOCK K"/>
      <sheetName val="[SHOPLIST.xls]70,/0s«iÆøí¬i"/>
      <sheetName val="Summary of Work"/>
      <sheetName val="Earthwork"/>
      <sheetName val="GIAVLIEU"/>
      <sheetName val="Project Cost Breakdown"/>
      <sheetName val="GRSummary"/>
      <sheetName val="HIRED_LABOUR_CODE3"/>
      <sheetName val="PA-_Consutant_3"/>
      <sheetName val="foot-slab_reinft3"/>
      <sheetName val="DETAILED__BOQ3"/>
      <sheetName val="M-Book_for_Conc3"/>
      <sheetName val="M-Book_for_FW3"/>
      <sheetName val="VALVE_CHAMBERS2"/>
      <sheetName val="Fire_Hydrants2"/>
      <sheetName val="B_GATE_VALVE2"/>
      <sheetName val="Sub_G1_Fire2"/>
      <sheetName val="Sub_G12_Fire2"/>
      <sheetName val="bill_nb2-Plumbing_&amp;_Drainag"/>
      <sheetName val="Pl_&amp;_Dr_B"/>
      <sheetName val="Pl_&amp;_Dr_G"/>
      <sheetName val="Pl_&amp;_Dr_M"/>
      <sheetName val="Pl_&amp;_Dr_1"/>
      <sheetName val="Pl_&amp;_Dr_2"/>
      <sheetName val="Pl_&amp;_Dr_3"/>
      <sheetName val="Pl_&amp;_Dr_4"/>
      <sheetName val="Pl_&amp;_Dr_5"/>
      <sheetName val="Pl_&amp;_Dr_6"/>
      <sheetName val="Pl_&amp;_Dr_7"/>
      <sheetName val="Pl_&amp;_Dr_8"/>
      <sheetName val="Pl_&amp;_Dr_R"/>
      <sheetName val="FF_B"/>
      <sheetName val="FF_G"/>
      <sheetName val="FF_M"/>
      <sheetName val="FF_1"/>
      <sheetName val="FF_2_"/>
      <sheetName val="FF_3"/>
      <sheetName val="FF_4"/>
      <sheetName val="FF_5"/>
      <sheetName val="FF_6_"/>
      <sheetName val="FF_7"/>
      <sheetName val="FF_8"/>
      <sheetName val="FF_R"/>
      <sheetName val="bill_nb3-FF"/>
      <sheetName val="HVAC_B"/>
      <sheetName val="HVAC_G"/>
      <sheetName val="HVAC_M"/>
      <sheetName val="HVAC_1"/>
      <sheetName val="HVAC_2"/>
      <sheetName val="HVAC_3"/>
      <sheetName val="HVAC_4"/>
      <sheetName val="HVAC_5"/>
      <sheetName val="HVAC_6"/>
      <sheetName val="HVAC_7"/>
      <sheetName val="HVAC_8"/>
      <sheetName val="HVAC_R"/>
      <sheetName val="bill_nb4-HVAC"/>
      <sheetName val="SC_B"/>
      <sheetName val="SC_G"/>
      <sheetName val="SC_M"/>
      <sheetName val="SC_1"/>
      <sheetName val="SC_2"/>
      <sheetName val="SC_3"/>
      <sheetName val="SC_4"/>
      <sheetName val="SC_5"/>
      <sheetName val="SC_6"/>
      <sheetName val="SC_7"/>
      <sheetName val="SC_8"/>
      <sheetName val="SC_R"/>
      <sheetName val="AV_B"/>
      <sheetName val="AV_G"/>
      <sheetName val="AV_M"/>
      <sheetName val="AV_1"/>
      <sheetName val="AV_2"/>
      <sheetName val="AV_3"/>
      <sheetName val="AV_4"/>
      <sheetName val="AV_5"/>
      <sheetName val="AV_6"/>
      <sheetName val="AV_7"/>
      <sheetName val="AV_8"/>
      <sheetName val="EL_B"/>
      <sheetName val="EL_M"/>
      <sheetName val="EL_1"/>
      <sheetName val="EL_2"/>
      <sheetName val="EL_3"/>
      <sheetName val="EL_4"/>
      <sheetName val="EL_5"/>
      <sheetName val="EL_6"/>
      <sheetName val="EL_7"/>
      <sheetName val="EL_8"/>
      <sheetName val="EL_R"/>
      <sheetName val="EL_TR"/>
      <sheetName val="8-_EL"/>
      <sheetName val="FA_B"/>
      <sheetName val="FA_G"/>
      <sheetName val="FA_M"/>
      <sheetName val="FA_1"/>
      <sheetName val="FA_2"/>
      <sheetName val="FA_3"/>
      <sheetName val="FA_4"/>
      <sheetName val="FA_5"/>
      <sheetName val="FA_6"/>
      <sheetName val="FA_7"/>
      <sheetName val="FA_8"/>
      <sheetName val="FA_R"/>
      <sheetName val="9-_FA"/>
      <sheetName val="Day_work2"/>
      <sheetName val="Gra¦)VW_U"/>
      <sheetName val="/VWVU))tÏØ0  "/>
      <sheetName val="/VWVU))tÏØ0__"/>
      <sheetName val="Demand"/>
      <sheetName val="Occ"/>
      <sheetName val="Old"/>
      <sheetName val="_x005f_x0000__x005f_x0000__x005f_x0000__x005f_x0000__x0"/>
      <sheetName val="Staff Acco."/>
      <sheetName val="TBAL9697 -group wise  sdpl"/>
      <sheetName val="GFA_HQ_Building12"/>
      <sheetName val="Division_2"/>
      <sheetName val="Division_4"/>
      <sheetName val="Division_5"/>
      <sheetName val="Division_6"/>
      <sheetName val="Division_7"/>
      <sheetName val="Division_8"/>
      <sheetName val="Division_9"/>
      <sheetName val="Division_10"/>
      <sheetName val="Division_12"/>
      <sheetName val="Division_14"/>
      <sheetName val="Division_21"/>
      <sheetName val="Division_22"/>
      <sheetName val="Division_23"/>
      <sheetName val="Division_26"/>
      <sheetName val="Division_27"/>
      <sheetName val="Division_28"/>
      <sheetName val="Division_31"/>
      <sheetName val="Division_32"/>
      <sheetName val="Division_33"/>
      <sheetName val="Рабочий лист"/>
      <sheetName val="ФМ"/>
      <sheetName val="Сравнение"/>
      <sheetName val="Table"/>
      <sheetName val="GFA_Conference11"/>
      <sheetName val="BQ_External11"/>
      <sheetName val="Projet,_methodes_&amp;_couts9"/>
      <sheetName val="Risques_majeurs_&amp;_Frais_Ind_9"/>
      <sheetName val="Penthouse_Apartment10"/>
      <sheetName val="LABOUR_HISTOGRAM11"/>
      <sheetName val="StattCo_yCharges10"/>
      <sheetName val="Chiet_tinh_dz2210"/>
      <sheetName val="Chiet_tinh_dz3510"/>
      <sheetName val="Raw_Data10"/>
      <sheetName val="CT_Thang_Mo10"/>
      <sheetName val="LEVEL_SHEET10"/>
      <sheetName val="SPT_vs_PHI10"/>
      <sheetName val="@risk_rents_and_incentives10"/>
      <sheetName val="Car_park_lease10"/>
      <sheetName val="Net_rent_analysis10"/>
      <sheetName val="Poz-1_10"/>
      <sheetName val="Lab_Cum_Hist10"/>
      <sheetName val="Graph_Data_(DO_NOT_PRINT)10"/>
      <sheetName val="Bill_No__210"/>
      <sheetName val="budget_summary_(2)9"/>
      <sheetName val="Budget_Analysis_Summary9"/>
      <sheetName val="Customize_Your_Invoice10"/>
      <sheetName val="HVAC_BoQ10"/>
      <sheetName val="FOL_-_Bar10"/>
      <sheetName val="Tender_Summary10"/>
      <sheetName val="Insurance_Ext10"/>
      <sheetName val="CT__PL9"/>
      <sheetName val="intr_stool_brkup9"/>
      <sheetName val="Top_sheet9"/>
      <sheetName val="Rate_analysis9"/>
      <sheetName val="PROJECT_BRIEF7"/>
      <sheetName val="Body_Sheet9"/>
      <sheetName val="1_0_Executive_Summary9"/>
      <sheetName val="C_(3)7"/>
      <sheetName val="Bill_28"/>
      <sheetName val="Ap_A7"/>
      <sheetName val="2_Div_14_7"/>
      <sheetName val="Bill_17"/>
      <sheetName val="Bill_37"/>
      <sheetName val="Bill_47"/>
      <sheetName val="Bill_57"/>
      <sheetName val="Bill_67"/>
      <sheetName val="Bill_77"/>
      <sheetName val="SHOPLIST_xls6"/>
      <sheetName val="Dubai_golf6"/>
      <sheetName val="beam-reinft-IIInd_floor6"/>
      <sheetName val="Invoice_Summary6"/>
      <sheetName val="POWER_ASSUMPTIONS6"/>
      <sheetName val="beam-reinft-machine_rm6"/>
      <sheetName val="WITHOUT_C&amp;I_PROFIT_(3)5"/>
      <sheetName val="Civil_Boq5"/>
      <sheetName val="Activity_List5"/>
      <sheetName val="Softscape_Buildup5"/>
      <sheetName val="Mat'l_Rate5"/>
      <sheetName val="HIRED_LABOUR_CODE4"/>
      <sheetName val="PA-_Consutant_4"/>
      <sheetName val="foot-slab_reinft4"/>
      <sheetName val="DETAILED__BOQ4"/>
      <sheetName val="M-Book_for_Conc4"/>
      <sheetName val="M-Book_for_FW4"/>
      <sheetName val="BILL_COV3"/>
      <sheetName val="Ra__stair3"/>
      <sheetName val="VALVE_CHAMBERS3"/>
      <sheetName val="Fire_Hydrants3"/>
      <sheetName val="B_GATE_VALVE3"/>
      <sheetName val="Sub_G1_Fire3"/>
      <sheetName val="Sub_G12_Fire3"/>
      <sheetName val="Materials_Cost(PCC)2"/>
      <sheetName val="India_F&amp;S_Template2"/>
      <sheetName val="IO_LIST2"/>
      <sheetName val="Material_2"/>
      <sheetName val="Quote_Sheet2"/>
      <sheetName val="Eq__Mobilization1"/>
      <sheetName val="Working_for_RCC1"/>
      <sheetName val="B185-B-9_11"/>
      <sheetName val="B185-B-9_21"/>
      <sheetName val="BOQ_Direct_selling_cost1"/>
      <sheetName val="CHART_OF_ACCOUNTS1"/>
      <sheetName val="E-Bill_No_6_A-O1"/>
      <sheetName val="B09_11"/>
      <sheetName val="bill_nb2-Plumbing_&amp;_Drainag1"/>
      <sheetName val="Pl_&amp;_Dr_B1"/>
      <sheetName val="Pl_&amp;_Dr_G1"/>
      <sheetName val="Pl_&amp;_Dr_M1"/>
      <sheetName val="Pl_&amp;_Dr_11"/>
      <sheetName val="Pl_&amp;_Dr_21"/>
      <sheetName val="Pl_&amp;_Dr_31"/>
      <sheetName val="Pl_&amp;_Dr_41"/>
      <sheetName val="Pl_&amp;_Dr_51"/>
      <sheetName val="Pl_&amp;_Dr_61"/>
      <sheetName val="Pl_&amp;_Dr_71"/>
      <sheetName val="Pl_&amp;_Dr_81"/>
      <sheetName val="Pl_&amp;_Dr_R1"/>
      <sheetName val="FF_B1"/>
      <sheetName val="FF_G1"/>
      <sheetName val="FF_M1"/>
      <sheetName val="FF_11"/>
      <sheetName val="FF_2_1"/>
      <sheetName val="FF_31"/>
      <sheetName val="FF_41"/>
      <sheetName val="FF_51"/>
      <sheetName val="FF_6_1"/>
      <sheetName val="FF_71"/>
      <sheetName val="FF_81"/>
      <sheetName val="FF_R1"/>
      <sheetName val="bill_nb3-FF1"/>
      <sheetName val="HVAC_B1"/>
      <sheetName val="HVAC_G1"/>
      <sheetName val="HVAC_M1"/>
      <sheetName val="HVAC_11"/>
      <sheetName val="HVAC_21"/>
      <sheetName val="HVAC_31"/>
      <sheetName val="HVAC_41"/>
      <sheetName val="HVAC_51"/>
      <sheetName val="HVAC_61"/>
      <sheetName val="HVAC_71"/>
      <sheetName val="HVAC_81"/>
      <sheetName val="HVAC_R1"/>
      <sheetName val="bill_nb4-HVAC1"/>
      <sheetName val="SC_B1"/>
      <sheetName val="SC_G1"/>
      <sheetName val="SC_M1"/>
      <sheetName val="SC_11"/>
      <sheetName val="SC_21"/>
      <sheetName val="SC_31"/>
      <sheetName val="SC_41"/>
      <sheetName val="SC_51"/>
      <sheetName val="SC_61"/>
      <sheetName val="SC_71"/>
      <sheetName val="SC_81"/>
      <sheetName val="SC_R1"/>
      <sheetName val="AV_B1"/>
      <sheetName val="AV_G1"/>
      <sheetName val="AV_M1"/>
      <sheetName val="AV_11"/>
      <sheetName val="AV_21"/>
      <sheetName val="AV_31"/>
      <sheetName val="AV_41"/>
      <sheetName val="AV_51"/>
      <sheetName val="AV_61"/>
      <sheetName val="AV_71"/>
      <sheetName val="AV_81"/>
      <sheetName val="EL_B1"/>
      <sheetName val="EL_M1"/>
      <sheetName val="EL_11"/>
      <sheetName val="EL_21"/>
      <sheetName val="EL_31"/>
      <sheetName val="EL_41"/>
      <sheetName val="EL_51"/>
      <sheetName val="EL_61"/>
      <sheetName val="EL_71"/>
      <sheetName val="EL_81"/>
      <sheetName val="EL_R1"/>
      <sheetName val="EL_TR1"/>
      <sheetName val="8-_EL1"/>
      <sheetName val="FA_B1"/>
      <sheetName val="FA_G1"/>
      <sheetName val="FA_M1"/>
      <sheetName val="FA_11"/>
      <sheetName val="FA_21"/>
      <sheetName val="FA_31"/>
      <sheetName val="FA_41"/>
      <sheetName val="FA_51"/>
      <sheetName val="FA_61"/>
      <sheetName val="FA_71"/>
      <sheetName val="FA_81"/>
      <sheetName val="FA_R1"/>
      <sheetName val="9-_FA1"/>
      <sheetName val="Div__022"/>
      <sheetName val="Div__032"/>
      <sheetName val="Div__042"/>
      <sheetName val="Div__052"/>
      <sheetName val="Div__062"/>
      <sheetName val="Div__072"/>
      <sheetName val="Div__082"/>
      <sheetName val="Div__092"/>
      <sheetName val="Div__102"/>
      <sheetName val="Div__112"/>
      <sheetName val="Div__122"/>
      <sheetName val="Div_132"/>
      <sheetName val="EXTERNAL_WORKS2"/>
      <sheetName val="PRODUCTIVITY_RATE2"/>
      <sheetName val="U_R_A_-_MASONRY2"/>
      <sheetName val="U_R_A_-_PLASTERING2"/>
      <sheetName val="U_R_A_-_TILING2"/>
      <sheetName val="U_R_A_-_GRANITE2"/>
      <sheetName val="V_C_2_-_EARTHWORK2"/>
      <sheetName val="V_C_9_-_CERAMIC2"/>
      <sheetName val="V_C_9_-_FINISHES2"/>
      <sheetName val="PMWeb_data1"/>
      <sheetName val="w't_table1"/>
      <sheetName val="SS_MH1"/>
      <sheetName val="Chiet_t"/>
      <sheetName val="Staffing_and_Rates_IA"/>
      <sheetName val="Index_List"/>
      <sheetName val="Type_List"/>
      <sheetName val="File_Types"/>
      <sheetName val="Gra¦)"/>
      <sheetName val="입찰내역_발주처_양식"/>
      <sheetName val="Material_List_"/>
      <sheetName val="Elemental_Buildup1"/>
      <sheetName val="PointNo_51"/>
      <sheetName val="B6_2_"/>
      <sheetName val="LIST_DO_NOT_REMOVE"/>
      <sheetName val="SITE WORK"/>
      <sheetName val="Risk Breakdown Structure"/>
      <sheetName val="train cash"/>
      <sheetName val="accom cash"/>
      <sheetName val="ConferenceCentre_x0000_옰ʒ䄂ʒ鵠ʐ䄂ʒ"/>
      <sheetName val="Geneí¬_x0008_i_x0000__x0000__x0"/>
      <sheetName val="70_x0000_,_0_x0000_s«_x0008_i_x"/>
      <sheetName val="_x0000__x0000__x0000__x0000__x0"/>
      <sheetName val="INDIGINEOUS ITEMS "/>
      <sheetName val="office"/>
      <sheetName val="Lab"/>
      <sheetName val="XV10017"/>
      <sheetName val="Annex 1 Sect 3a"/>
      <sheetName val="Annex 1 Sect 3a.1"/>
      <sheetName val="Annex 1 Sect 3b"/>
      <sheetName val="Annex 1 Sect 3c"/>
      <sheetName val="HOURLY RATES"/>
      <sheetName val="70_x005f_x0000_,/0_x005f_x0000_s«_x005f_x0008_i_x"/>
      <sheetName val="Geneí¬_x0008_i??_x0014_?0."/>
      <sheetName val="70?,/0?s«_x0008_i?Æø_x0003_í¬_x0008_i?"/>
      <sheetName val="????????"/>
      <sheetName val="%"/>
      <sheetName val="PT 141- Site A Landscape"/>
      <sheetName val="BG"/>
      <sheetName val="RAB AR&amp;STR"/>
      <sheetName val="Sub_G1_Five"/>
      <sheetName val="Geneí¬ i_x0000__x0000_ _x0000_0."/>
      <sheetName val="70_x0000_,/0_x0000_s« i_x0000_Æø í¬ i_x0000_"/>
      <sheetName val="Common Variables"/>
      <sheetName val="PRECAST_lightconc-II"/>
      <sheetName val="final_abstract"/>
      <sheetName val="GFA_HQ_Building13"/>
      <sheetName val="GFA_Conference12"/>
      <sheetName val="BQ_External12"/>
      <sheetName val="Raw_Data11"/>
      <sheetName val="Penthouse_Apartment11"/>
      <sheetName val="StattCo_yCharges11"/>
      <sheetName val="@risk_rents_and_incentives11"/>
      <sheetName val="Car_park_lease11"/>
      <sheetName val="Net_rent_analysis11"/>
      <sheetName val="Poz-1_11"/>
      <sheetName val="Chiet_tinh_dz2211"/>
      <sheetName val="Chiet_tinh_dz3511"/>
      <sheetName val="LEVEL_SHEET11"/>
      <sheetName val="LABOUR_HISTOGRAM12"/>
      <sheetName val="Lab_Cum_Hist11"/>
      <sheetName val="Graph_Data_(DO_NOT_PRINT)11"/>
      <sheetName val="Body_Sheet10"/>
      <sheetName val="1_0_Executive_Summary10"/>
      <sheetName val="CT_Thang_Mo11"/>
      <sheetName val="Customize_Your_Invoice11"/>
      <sheetName val="HVAC_BoQ11"/>
      <sheetName val="Bill_No__211"/>
      <sheetName val="budget_summary_(2)10"/>
      <sheetName val="Budget_Analysis_Summary10"/>
      <sheetName val="Projet,_methodes_&amp;_couts10"/>
      <sheetName val="Risques_majeurs_&amp;_Frais_Ind_10"/>
      <sheetName val="SPT_vs_PHI11"/>
      <sheetName val="CT__PL10"/>
      <sheetName val="FOL_-_Bar11"/>
      <sheetName val="Tender_Summary11"/>
      <sheetName val="Insurance_Ext11"/>
      <sheetName val="Top_sheet10"/>
      <sheetName val="intr_stool_brkup10"/>
      <sheetName val="2_Div_14_8"/>
      <sheetName val="SHOPLIST_xls7"/>
      <sheetName val="Bill_29"/>
      <sheetName val="Ap_A8"/>
      <sheetName val="Bill_18"/>
      <sheetName val="Bill_38"/>
      <sheetName val="Bill_48"/>
      <sheetName val="Bill_58"/>
      <sheetName val="Bill_68"/>
      <sheetName val="Bill_78"/>
      <sheetName val="Invoice_Summary7"/>
      <sheetName val="beam-reinft-IIInd_floor7"/>
      <sheetName val="beam-reinft-machine_rm7"/>
      <sheetName val="PROJECT_BRIEF8"/>
      <sheetName val="C_(3)8"/>
      <sheetName val="POWER_ASSUMPTIONS7"/>
      <sheetName val="Dubai_golf7"/>
      <sheetName val="WITHOUT_C&amp;I_PROFIT_(3)6"/>
      <sheetName val="Civil_Boq6"/>
      <sheetName val="Activity_List6"/>
      <sheetName val="BILL_COV4"/>
      <sheetName val="Ra__stair4"/>
      <sheetName val="Softscape_Buildup6"/>
      <sheetName val="Mat'l_Rate6"/>
      <sheetName val="Day_work3"/>
      <sheetName val="BOQ_Direct_selling_cost2"/>
      <sheetName val="Eq__Mobilization2"/>
      <sheetName val="Working_for_RCC2"/>
      <sheetName val="B185-B-9_12"/>
      <sheetName val="B185-B-9_22"/>
      <sheetName val="CHART_OF_ACCOUNTS2"/>
      <sheetName val="E-Bill_No_6_A-O2"/>
      <sheetName val="B09_12"/>
      <sheetName val="PMWeb_data2"/>
      <sheetName val="Index_List1"/>
      <sheetName val="Type_List1"/>
      <sheetName val="File_Types1"/>
      <sheetName val="Chiet_t1"/>
      <sheetName val="Staffing_and_Rates_IA1"/>
      <sheetName val="입찰내역_발주처_양식1"/>
      <sheetName val="Material_List_1"/>
      <sheetName val="SS_MH2"/>
      <sheetName val="PRECAST_lightconc-II1"/>
      <sheetName val="final_abstract1"/>
      <sheetName val="Division_24"/>
      <sheetName val="Division_41"/>
      <sheetName val="Division_51"/>
      <sheetName val="Division_61"/>
      <sheetName val="Division_71"/>
      <sheetName val="Division_81"/>
      <sheetName val="Division_91"/>
      <sheetName val="Division_101"/>
      <sheetName val="Division_121"/>
      <sheetName val="Division_141"/>
      <sheetName val="Division_211"/>
      <sheetName val="Division_221"/>
      <sheetName val="Division_231"/>
      <sheetName val="Division_261"/>
      <sheetName val="Division_271"/>
      <sheetName val="Division_281"/>
      <sheetName val="Division_311"/>
      <sheetName val="Division_321"/>
      <sheetName val="Division_331"/>
      <sheetName val="2_2)Revised_Cash_Flow1"/>
      <sheetName val="/VWVU))tÏØ0__1"/>
      <sheetName val="/VWVU))tÏØ0__2"/>
      <sheetName val="GFA_HQ_Building14"/>
      <sheetName val="GFA_Conference13"/>
      <sheetName val="BQ_External13"/>
      <sheetName val="Raw_Data12"/>
      <sheetName val="Penthouse_Apartment12"/>
      <sheetName val="StattCo_yCharges12"/>
      <sheetName val="@risk_rents_and_incentives12"/>
      <sheetName val="Car_park_lease12"/>
      <sheetName val="Net_rent_analysis12"/>
      <sheetName val="Poz-1_12"/>
      <sheetName val="Chiet_tinh_dz2212"/>
      <sheetName val="Chiet_tinh_dz3512"/>
      <sheetName val="LEVEL_SHEET12"/>
      <sheetName val="LABOUR_HISTOGRAM13"/>
      <sheetName val="Lab_Cum_Hist12"/>
      <sheetName val="Graph_Data_(DO_NOT_PRINT)12"/>
      <sheetName val="Body_Sheet11"/>
      <sheetName val="1_0_Executive_Summary11"/>
      <sheetName val="CT_Thang_Mo12"/>
      <sheetName val="Customize_Your_Invoice12"/>
      <sheetName val="HVAC_BoQ12"/>
      <sheetName val="Projet,_methodes_&amp;_couts11"/>
      <sheetName val="Risques_majeurs_&amp;_Frais_Ind_11"/>
      <sheetName val="SPT_vs_PHI12"/>
      <sheetName val="CT__PL11"/>
      <sheetName val="intr_stool_brkup11"/>
      <sheetName val="Bill_No__212"/>
      <sheetName val="budget_summary_(2)11"/>
      <sheetName val="Budget_Analysis_Summary11"/>
      <sheetName val="FOL_-_Bar12"/>
      <sheetName val="Top_sheet11"/>
      <sheetName val="Tender_Summary12"/>
      <sheetName val="Insurance_Ext12"/>
      <sheetName val="2_Div_14_9"/>
      <sheetName val="SHOPLIST_xls8"/>
      <sheetName val="Bill_210"/>
      <sheetName val="Ap_A9"/>
      <sheetName val="Ra__stair5"/>
      <sheetName val="Bill_19"/>
      <sheetName val="Bill_39"/>
      <sheetName val="Bill_49"/>
      <sheetName val="Bill_59"/>
      <sheetName val="Bill_69"/>
      <sheetName val="Bill_79"/>
      <sheetName val="beam-reinft-IIInd_floor8"/>
      <sheetName val="Invoice_Summary8"/>
      <sheetName val="beam-reinft-machine_rm8"/>
      <sheetName val="PROJECT_BRIEF9"/>
      <sheetName val="C_(3)9"/>
      <sheetName val="POWER_ASSUMPTIONS8"/>
      <sheetName val="Dubai_golf8"/>
      <sheetName val="WITHOUT_C&amp;I_PROFIT_(3)7"/>
      <sheetName val="Civil_Boq7"/>
      <sheetName val="HIRED_LABOUR_CODE5"/>
      <sheetName val="PA-_Consutant_5"/>
      <sheetName val="foot-slab_reinft5"/>
      <sheetName val="BILL_COV5"/>
      <sheetName val="Activity_List7"/>
      <sheetName val="DETAILED__BOQ5"/>
      <sheetName val="M-Book_for_Conc5"/>
      <sheetName val="M-Book_for_FW5"/>
      <sheetName val="Softscape_Buildup7"/>
      <sheetName val="Mat'l_Rate7"/>
      <sheetName val="VALVE_CHAMBERS4"/>
      <sheetName val="Fire_Hydrants4"/>
      <sheetName val="B_GATE_VALVE4"/>
      <sheetName val="Sub_G1_Fire4"/>
      <sheetName val="Sub_G12_Fire4"/>
      <sheetName val="Materials_Cost(PCC)3"/>
      <sheetName val="India_F&amp;S_Template3"/>
      <sheetName val="IO_LIST3"/>
      <sheetName val="Material_3"/>
      <sheetName val="Quote_Sheet3"/>
      <sheetName val="Day_work4"/>
      <sheetName val="bill_nb2-Plumbing_&amp;_Drainag2"/>
      <sheetName val="Pl_&amp;_Dr_B2"/>
      <sheetName val="Pl_&amp;_Dr_G2"/>
      <sheetName val="Pl_&amp;_Dr_M2"/>
      <sheetName val="Pl_&amp;_Dr_12"/>
      <sheetName val="Pl_&amp;_Dr_22"/>
      <sheetName val="Pl_&amp;_Dr_32"/>
      <sheetName val="Pl_&amp;_Dr_42"/>
      <sheetName val="Pl_&amp;_Dr_52"/>
      <sheetName val="Pl_&amp;_Dr_62"/>
      <sheetName val="Pl_&amp;_Dr_72"/>
      <sheetName val="Pl_&amp;_Dr_82"/>
      <sheetName val="Pl_&amp;_Dr_R2"/>
      <sheetName val="FF_B2"/>
      <sheetName val="FF_G2"/>
      <sheetName val="FF_M2"/>
      <sheetName val="FF_12"/>
      <sheetName val="FF_2_2"/>
      <sheetName val="FF_32"/>
      <sheetName val="FF_42"/>
      <sheetName val="FF_52"/>
      <sheetName val="FF_6_2"/>
      <sheetName val="FF_72"/>
      <sheetName val="FF_82"/>
      <sheetName val="FF_R2"/>
      <sheetName val="bill_nb3-FF2"/>
      <sheetName val="HVAC_B2"/>
      <sheetName val="HVAC_G2"/>
      <sheetName val="HVAC_M2"/>
      <sheetName val="HVAC_12"/>
      <sheetName val="HVAC_22"/>
      <sheetName val="HVAC_32"/>
      <sheetName val="HVAC_42"/>
      <sheetName val="HVAC_52"/>
      <sheetName val="HVAC_62"/>
      <sheetName val="HVAC_72"/>
      <sheetName val="HVAC_82"/>
      <sheetName val="HVAC_R2"/>
      <sheetName val="bill_nb4-HVAC2"/>
      <sheetName val="SC_B2"/>
      <sheetName val="SC_G2"/>
      <sheetName val="SC_M2"/>
      <sheetName val="SC_12"/>
      <sheetName val="SC_22"/>
      <sheetName val="SC_32"/>
      <sheetName val="SC_42"/>
      <sheetName val="SC_52"/>
      <sheetName val="SC_62"/>
      <sheetName val="SC_72"/>
      <sheetName val="SC_82"/>
      <sheetName val="SC_R2"/>
      <sheetName val="AV_B2"/>
      <sheetName val="AV_G2"/>
      <sheetName val="AV_M2"/>
      <sheetName val="AV_12"/>
      <sheetName val="AV_22"/>
      <sheetName val="AV_32"/>
      <sheetName val="AV_42"/>
      <sheetName val="AV_52"/>
      <sheetName val="AV_62"/>
      <sheetName val="AV_72"/>
      <sheetName val="AV_82"/>
      <sheetName val="EL_B2"/>
      <sheetName val="EL_M2"/>
      <sheetName val="EL_12"/>
      <sheetName val="EL_22"/>
      <sheetName val="EL_32"/>
      <sheetName val="EL_42"/>
      <sheetName val="EL_52"/>
      <sheetName val="EL_62"/>
      <sheetName val="EL_72"/>
      <sheetName val="EL_82"/>
      <sheetName val="EL_R2"/>
      <sheetName val="EL_TR2"/>
      <sheetName val="8-_EL2"/>
      <sheetName val="FA_B2"/>
      <sheetName val="FA_G2"/>
      <sheetName val="FA_M2"/>
      <sheetName val="FA_12"/>
      <sheetName val="FA_22"/>
      <sheetName val="FA_32"/>
      <sheetName val="FA_42"/>
      <sheetName val="FA_52"/>
      <sheetName val="FA_62"/>
      <sheetName val="FA_72"/>
      <sheetName val="FA_82"/>
      <sheetName val="FA_R2"/>
      <sheetName val="9-_FA2"/>
      <sheetName val="CHART_OF_ACCOUNTS3"/>
      <sheetName val="E-Bill_No_6_A-O3"/>
      <sheetName val="Eq__Mobilization3"/>
      <sheetName val="Div__023"/>
      <sheetName val="Div__033"/>
      <sheetName val="Div__043"/>
      <sheetName val="Div__053"/>
      <sheetName val="Div__063"/>
      <sheetName val="Div__073"/>
      <sheetName val="Div__083"/>
      <sheetName val="Div__093"/>
      <sheetName val="Div__103"/>
      <sheetName val="Div__113"/>
      <sheetName val="Div__123"/>
      <sheetName val="Div_133"/>
      <sheetName val="EXTERNAL_WORKS3"/>
      <sheetName val="PRODUCTIVITY_RATE3"/>
      <sheetName val="U_R_A_-_MASONRY3"/>
      <sheetName val="U_R_A_-_PLASTERING3"/>
      <sheetName val="U_R_A_-_TILING3"/>
      <sheetName val="U_R_A_-_GRANITE3"/>
      <sheetName val="V_C_2_-_EARTHWORK3"/>
      <sheetName val="V_C_9_-_CERAMIC3"/>
      <sheetName val="V_C_9_-_FINISHES3"/>
      <sheetName val="BOQ_Direct_selling_cost3"/>
      <sheetName val="PointNo_52"/>
      <sheetName val="Elemental_Buildup2"/>
      <sheetName val="Working_for_RCC3"/>
      <sheetName val="B185-B-9_13"/>
      <sheetName val="B185-B-9_23"/>
      <sheetName val="B09_13"/>
      <sheetName val="w't_table2"/>
      <sheetName val="PMWeb_data3"/>
      <sheetName val="Index_List2"/>
      <sheetName val="Type_List2"/>
      <sheetName val="File_Types2"/>
      <sheetName val="Chiet_t2"/>
      <sheetName val="Staffing_and_Rates_IA2"/>
      <sheetName val="입찰내역_발주처_양식2"/>
      <sheetName val="Material_List_2"/>
      <sheetName val="SS_MH3"/>
      <sheetName val="PRECAST_lightconc-II2"/>
      <sheetName val="final_abstract2"/>
      <sheetName val="Division_25"/>
      <sheetName val="Division_42"/>
      <sheetName val="Division_52"/>
      <sheetName val="Division_62"/>
      <sheetName val="Division_72"/>
      <sheetName val="Division_82"/>
      <sheetName val="Division_92"/>
      <sheetName val="Division_102"/>
      <sheetName val="Division_122"/>
      <sheetName val="Division_142"/>
      <sheetName val="Division_212"/>
      <sheetName val="Division_222"/>
      <sheetName val="Division_232"/>
      <sheetName val="Division_262"/>
      <sheetName val="Division_272"/>
      <sheetName val="Division_282"/>
      <sheetName val="Division_312"/>
      <sheetName val="Division_322"/>
      <sheetName val="Division_332"/>
      <sheetName val="2_2)Revised_Cash_Flow2"/>
      <sheetName val="70,_0s«iÆøí¬i"/>
      <sheetName val="ConferenceCentre_옰ʒ䄂ʒ鵠ʐ䄂ʒ閐̐䄂ʒ蕈̐"/>
      <sheetName val="Summary_of_Work"/>
      <sheetName val="Staff_Acco_"/>
      <sheetName val="TBAL9697_-group_wise__sdpl"/>
      <sheetName val="공문"/>
      <sheetName val="PLT-SUM"/>
      <sheetName val="PRJDATA"/>
      <sheetName val="Master"/>
      <sheetName val="BASE_APR17_HISTOGRAMS"/>
      <sheetName val="合成単価作成表-BLDG"/>
      <sheetName val="Labour &amp; Plant"/>
      <sheetName val="E_&amp;_R"/>
      <sheetName val="Back up"/>
      <sheetName val="Definitions"/>
      <sheetName val="MA"/>
      <sheetName val="Rebars"/>
      <sheetName val="Mall waterproofing"/>
      <sheetName val="MSCP waterproofing"/>
      <sheetName val="-----------------"/>
      <sheetName val="Duct Accesories"/>
      <sheetName val="Employee_List"/>
      <sheetName val="???? ??? ??"/>
      <sheetName val="200205C"/>
      <sheetName val="Headings"/>
      <sheetName val="UOM"/>
      <sheetName val="BREAKDOWN"/>
      <sheetName val="References"/>
      <sheetName val="วัดใต้"/>
      <sheetName val="B-2"/>
      <sheetName val="Rate_analysis10"/>
      <sheetName val="Rate_summary"/>
      <sheetName val="B6_2_1"/>
      <sheetName val="[SHOPLIST_xls][SHOPLIST_xls]70"/>
      <sheetName val="[SHOPLIST_xls][SHOPLIST_xls]70,"/>
      <sheetName val="[SHOPLIST_xls]70,/0s«iÆøí¬"/>
      <sheetName val="[SHOPLIST_xls]70,/0s«iÆøí¬i"/>
      <sheetName val="d-safe_DELUXE"/>
      <sheetName val="Item-_Compact"/>
      <sheetName val="LIST_DO_NOT_REMOVE1"/>
      <sheetName val="Project_Cost_Breakdown"/>
      <sheetName val="Рабочий_лист"/>
      <sheetName val="PTS-1"/>
      <sheetName val="Geneí¬ i"/>
      <sheetName val="ConferenceCentre?옰ʒ䄂ʒ鵠ʐ䄂ʒ閐̐脭め_x0005__x0000_"/>
      <sheetName val="Map"/>
      <sheetName val="GPL Revenu Update"/>
      <sheetName val="DO NOT TOUCH"/>
      <sheetName val="Work Type"/>
      <sheetName val="steel total"/>
      <sheetName val="ELE BOQ"/>
      <sheetName val="Geneí¬_x0008_i___x0014__0."/>
      <sheetName val="70_,_0_s«_x0008_i_Æø_x0003_í¬_x0008_i_"/>
      <sheetName val="________"/>
      <sheetName val="Base BM-rebar"/>
      <sheetName val="_SHOPLIST.xls__SHOPLIST.xls_70"/>
      <sheetName val="_SHOPLIST.xls_70"/>
      <sheetName val="[SHOPLIST.xls][SHOPLIST.xls]70"/>
      <sheetName val="ConferenceCentre?옰ʒ䄂ʒ鵠ʐ䄂ʒ閐̐脭め_x0005_"/>
      <sheetName val="[SHOPLIST.xls]70"/>
      <sheetName val="COSTING"/>
      <sheetName val="Annex_1_Sect_3a"/>
      <sheetName val="Annex_1_Sect_3a_1"/>
      <sheetName val="Annex_1_Sect_3b"/>
      <sheetName val="Annex_1_Sect_3c"/>
      <sheetName val="HOURLY_RATES"/>
      <sheetName val="TESİSAT"/>
      <sheetName val="PE"/>
      <sheetName val="VALVE_CHAMBERS5"/>
      <sheetName val="Fire_Hydrants5"/>
      <sheetName val="B_GATE_VALVE5"/>
      <sheetName val="Sub_G1_Fire5"/>
      <sheetName val="Sub_G12_Fire5"/>
      <sheetName val="DETAILED__BOQ6"/>
      <sheetName val="M-Book_for_Conc6"/>
      <sheetName val="M-Book_for_FW6"/>
      <sheetName val="PA-_Consutant_6"/>
      <sheetName val="HIRED_LABOUR_CODE6"/>
      <sheetName val="foot-slab_reinft6"/>
      <sheetName val="Materials_Cost(PCC)4"/>
      <sheetName val="India_F&amp;S_Template4"/>
      <sheetName val="IO_LIST4"/>
      <sheetName val="Material_4"/>
      <sheetName val="Quote_Sheet4"/>
      <sheetName val="bill_nb2-Plumbing_&amp;_Drainag3"/>
      <sheetName val="Pl_&amp;_Dr_B3"/>
      <sheetName val="Pl_&amp;_Dr_G3"/>
      <sheetName val="Pl_&amp;_Dr_M3"/>
      <sheetName val="Pl_&amp;_Dr_13"/>
      <sheetName val="Pl_&amp;_Dr_23"/>
      <sheetName val="Pl_&amp;_Dr_33"/>
      <sheetName val="Pl_&amp;_Dr_43"/>
      <sheetName val="Pl_&amp;_Dr_53"/>
      <sheetName val="Pl_&amp;_Dr_63"/>
      <sheetName val="Pl_&amp;_Dr_73"/>
      <sheetName val="Pl_&amp;_Dr_83"/>
      <sheetName val="Pl_&amp;_Dr_R3"/>
      <sheetName val="FF_B3"/>
      <sheetName val="FF_G3"/>
      <sheetName val="FF_M3"/>
      <sheetName val="FF_13"/>
      <sheetName val="FF_2_3"/>
      <sheetName val="FF_33"/>
      <sheetName val="FF_43"/>
      <sheetName val="FF_53"/>
      <sheetName val="FF_6_3"/>
      <sheetName val="FF_73"/>
      <sheetName val="FF_83"/>
      <sheetName val="FF_R3"/>
      <sheetName val="bill_nb3-FF3"/>
      <sheetName val="HVAC_B3"/>
      <sheetName val="HVAC_G3"/>
      <sheetName val="HVAC_M3"/>
      <sheetName val="HVAC_13"/>
      <sheetName val="HVAC_23"/>
      <sheetName val="HVAC_33"/>
      <sheetName val="HVAC_43"/>
      <sheetName val="HVAC_53"/>
      <sheetName val="HVAC_63"/>
      <sheetName val="HVAC_73"/>
      <sheetName val="HVAC_83"/>
      <sheetName val="HVAC_R3"/>
      <sheetName val="bill_nb4-HVAC3"/>
      <sheetName val="SC_B3"/>
      <sheetName val="SC_G3"/>
      <sheetName val="SC_M3"/>
      <sheetName val="SC_13"/>
      <sheetName val="SC_23"/>
      <sheetName val="SC_33"/>
      <sheetName val="SC_43"/>
      <sheetName val="SC_53"/>
      <sheetName val="SC_63"/>
      <sheetName val="SC_73"/>
      <sheetName val="SC_83"/>
      <sheetName val="SC_R3"/>
      <sheetName val="AV_B3"/>
      <sheetName val="AV_G3"/>
      <sheetName val="AV_M3"/>
      <sheetName val="AV_13"/>
      <sheetName val="AV_23"/>
      <sheetName val="AV_33"/>
      <sheetName val="AV_43"/>
      <sheetName val="AV_53"/>
      <sheetName val="AV_63"/>
      <sheetName val="AV_73"/>
      <sheetName val="AV_83"/>
      <sheetName val="EL_B3"/>
      <sheetName val="EL_M3"/>
      <sheetName val="EL_13"/>
      <sheetName val="EL_23"/>
      <sheetName val="EL_33"/>
      <sheetName val="EL_43"/>
      <sheetName val="EL_53"/>
      <sheetName val="EL_63"/>
      <sheetName val="EL_73"/>
      <sheetName val="EL_83"/>
      <sheetName val="EL_R3"/>
      <sheetName val="EL_TR3"/>
      <sheetName val="8-_EL3"/>
      <sheetName val="FA_B3"/>
      <sheetName val="FA_G3"/>
      <sheetName val="FA_M3"/>
      <sheetName val="FA_13"/>
      <sheetName val="FA_23"/>
      <sheetName val="FA_33"/>
      <sheetName val="FA_43"/>
      <sheetName val="FA_53"/>
      <sheetName val="FA_63"/>
      <sheetName val="FA_73"/>
      <sheetName val="FA_83"/>
      <sheetName val="FA_R3"/>
      <sheetName val="9-_FA3"/>
      <sheetName val="Div__024"/>
      <sheetName val="Div__034"/>
      <sheetName val="Div__044"/>
      <sheetName val="Div__054"/>
      <sheetName val="Div__064"/>
      <sheetName val="Div__074"/>
      <sheetName val="Div__084"/>
      <sheetName val="Div__094"/>
      <sheetName val="Div__104"/>
      <sheetName val="Div__114"/>
      <sheetName val="Div__124"/>
      <sheetName val="Div_134"/>
      <sheetName val="EXTERNAL_WORKS4"/>
      <sheetName val="PRODUCTIVITY_RATE4"/>
      <sheetName val="U_R_A_-_MASONRY4"/>
      <sheetName val="U_R_A_-_PLASTERING4"/>
      <sheetName val="U_R_A_-_TILING4"/>
      <sheetName val="U_R_A_-_GRANITE4"/>
      <sheetName val="V_C_2_-_EARTHWORK4"/>
      <sheetName val="V_C_9_-_CERAMIC4"/>
      <sheetName val="V_C_9_-_FINISHES4"/>
      <sheetName val="w't_table3"/>
      <sheetName val="Elemental_Buildup3"/>
      <sheetName val="PointNo_53"/>
      <sheetName val="LIST_DO_NOT_REMOVE2"/>
      <sheetName val="Summary_of_Work1"/>
      <sheetName val="Employee_List1"/>
      <sheetName val="B6_2_2"/>
      <sheetName val="Staff_Acco_1"/>
      <sheetName val="TBAL9697_-group_wise__sdpl1"/>
      <sheetName val="Item-_Compact1"/>
      <sheetName val="E_&amp;_R1"/>
      <sheetName val="Project_Cost_Breakdown1"/>
      <sheetName val="Annex_1_Sect_3a1"/>
      <sheetName val="Annex_1_Sect_3a_11"/>
      <sheetName val="Annex_1_Sect_3b1"/>
      <sheetName val="Annex_1_Sect_3c1"/>
      <sheetName val="HOURLY_RATES1"/>
      <sheetName val="RAB_AR&amp;STR"/>
      <sheetName val="SITE_WORK"/>
      <sheetName val="Ave.wtd.rates"/>
      <sheetName val="Debits as on 12.04.08"/>
      <sheetName val="PRECAST_lightconc-II3"/>
      <sheetName val="final_abstract3"/>
      <sheetName val="PRECAST_lightconc-II4"/>
      <sheetName val="BOQ_Direct_selling_cost4"/>
      <sheetName val="final_abstract4"/>
      <sheetName val="ABS"/>
      <sheetName val="STAFFSCHED "/>
      <sheetName val="Progress"/>
      <sheetName val="R20_R30_work"/>
      <sheetName val="FORM7"/>
      <sheetName val="TRIAL BALANCE"/>
      <sheetName val="Intro"/>
      <sheetName val="Header"/>
      <sheetName val="Z- GENERAL PRICE SUMMARY"/>
      <sheetName val="GFA_HQ_Building15"/>
      <sheetName val="GFA_Conference14"/>
      <sheetName val="BQ_External14"/>
      <sheetName val="Raw_Data13"/>
      <sheetName val="Penthouse_Apartment13"/>
      <sheetName val="StattCo_yCharges13"/>
      <sheetName val="LABOUR_HISTOGRAM14"/>
      <sheetName val="Graph_Data_(DO_NOT_PRINT)13"/>
      <sheetName val="Chiet_tinh_dz2213"/>
      <sheetName val="Chiet_tinh_dz3513"/>
      <sheetName val="@risk_rents_and_incentives13"/>
      <sheetName val="Car_park_lease13"/>
      <sheetName val="Net_rent_analysis13"/>
      <sheetName val="Poz-1_13"/>
      <sheetName val="Lab_Cum_Hist13"/>
      <sheetName val="FOL_-_Bar13"/>
      <sheetName val="budget_summary_(2)12"/>
      <sheetName val="Budget_Analysis_Summary12"/>
      <sheetName val="CT_Thang_Mo13"/>
      <sheetName val="CT__PL12"/>
      <sheetName val="LEVEL_SHEET13"/>
      <sheetName val="SPT_vs_PHI13"/>
      <sheetName val="Bill_No__213"/>
      <sheetName val="Tender_Summary13"/>
      <sheetName val="Insurance_Ext13"/>
      <sheetName val="Customize_Your_Invoice13"/>
      <sheetName val="HVAC_BoQ13"/>
      <sheetName val="Projet,_methodes_&amp;_couts12"/>
      <sheetName val="Risques_majeurs_&amp;_Frais_Ind_12"/>
      <sheetName val="Top_sheet12"/>
      <sheetName val="intr_stool_brkup12"/>
      <sheetName val="Body_Sheet12"/>
      <sheetName val="1_0_Executive_Summary12"/>
      <sheetName val="Ap_A10"/>
      <sheetName val="Bill_110"/>
      <sheetName val="Bill_211"/>
      <sheetName val="Bill_310"/>
      <sheetName val="Bill_410"/>
      <sheetName val="Bill_510"/>
      <sheetName val="Bill_610"/>
      <sheetName val="Bill_710"/>
      <sheetName val="SHOPLIST_xls9"/>
      <sheetName val="Invoice_Summary9"/>
      <sheetName val="2_Div_14_10"/>
      <sheetName val="PROJECT_BRIEF10"/>
      <sheetName val="beam-reinft-IIInd_floor9"/>
      <sheetName val="POWER_ASSUMPTIONS9"/>
      <sheetName val="Softscape_Buildup8"/>
      <sheetName val="Mat'l_Rate8"/>
      <sheetName val="Dubai_golf9"/>
      <sheetName val="beam-reinft-machine_rm9"/>
      <sheetName val="C_(3)10"/>
      <sheetName val="BILL_COV6"/>
      <sheetName val="Ra__stair6"/>
      <sheetName val="WITHOUT_C&amp;I_PROFIT_(3)8"/>
      <sheetName val="Civil_Boq8"/>
      <sheetName val="Activity_List8"/>
      <sheetName val="B185-B-9_14"/>
      <sheetName val="B185-B-9_24"/>
      <sheetName val="Day_work5"/>
      <sheetName val="Working_for_RCC4"/>
      <sheetName val="CHART_OF_ACCOUNTS4"/>
      <sheetName val="E-Bill_No_6_A-O4"/>
      <sheetName val="PMWeb_data4"/>
      <sheetName val="SS_MH4"/>
      <sheetName val="Eq__Mobilization4"/>
      <sheetName val="B09_14"/>
      <sheetName val="Index_List3"/>
      <sheetName val="Type_List3"/>
      <sheetName val="File_Types3"/>
      <sheetName val="Division_29"/>
      <sheetName val="Division_43"/>
      <sheetName val="Division_53"/>
      <sheetName val="Division_63"/>
      <sheetName val="Division_73"/>
      <sheetName val="Division_83"/>
      <sheetName val="Division_93"/>
      <sheetName val="Division_103"/>
      <sheetName val="Division_123"/>
      <sheetName val="Division_143"/>
      <sheetName val="Division_213"/>
      <sheetName val="Division_223"/>
      <sheetName val="Division_233"/>
      <sheetName val="Division_263"/>
      <sheetName val="Division_273"/>
      <sheetName val="Division_283"/>
      <sheetName val="Division_313"/>
      <sheetName val="Division_323"/>
      <sheetName val="Division_333"/>
      <sheetName val="2_2)Revised_Cash_Flow3"/>
      <sheetName val="Material_List_3"/>
      <sheetName val="입찰내역_발주처_양식3"/>
      <sheetName val="Chiet_t3"/>
      <sheetName val="Staffing_and_Rates_IA3"/>
      <sheetName val="/VWVU))tÏØ0__3"/>
      <sheetName val="PT_141-_Site_A_Landscape"/>
      <sheetName val="Geneí¬_i_0_"/>
      <sheetName val="70,/0s«_iÆø_í¬_i"/>
      <sheetName val="Back_up"/>
      <sheetName val="INDIGINEOUS_ITEMS_"/>
      <sheetName val="Mall_waterproofing"/>
      <sheetName val="MSCP_waterproofing"/>
      <sheetName val="Duct_Accesories"/>
      <sheetName val="????_???_??"/>
      <sheetName val="Geneí¬i???0_"/>
      <sheetName val="70?,/0?s«i?Æøí¬i?"/>
      <sheetName val="train_cash"/>
      <sheetName val="accom_cash"/>
      <sheetName val="Geneí¬i_x0"/>
      <sheetName val="70,_0s«i_x"/>
      <sheetName val="_x0"/>
      <sheetName val="Lookup"/>
      <sheetName val="Source"/>
      <sheetName val="FORM5"/>
      <sheetName val="analysis"/>
      <sheetName val="calculation_LC"/>
      <sheetName val="Internet"/>
      <sheetName val="MEP"/>
      <sheetName val="IRR"/>
      <sheetName val="Sheet7"/>
      <sheetName val="Coding"/>
      <sheetName val="Cashflow projection"/>
      <sheetName val="PPA Summary"/>
      <sheetName val="superseded"/>
      <sheetName val="INDEX"/>
      <sheetName val="PROJECT BRIEF(EX.NEW)"/>
      <sheetName val="Confidential"/>
      <sheetName val="[SHOPLIST.xls]70_x0000_,/0_x0000_s« i_x0000_Æø í¬"/>
      <sheetName val="Selections"/>
      <sheetName val="AREA OF APPLICATION"/>
      <sheetName val="Steel"/>
      <sheetName val="ConferenceCentre_x005f_x005f_x005f_x0000_옰ʒ"/>
      <sheetName val="Geneí¬_x005f_x005f_x005f_x0008_i_x005f_x005f_x000"/>
      <sheetName val="70_x005f_x005f_x005f_x0000_,_0_x005f_x005f_x005f_x0000_"/>
      <sheetName val="Geneí¬_x005f_x005f_x005f_x0008_i"/>
      <sheetName val="ConferenceCentre_x005f_x005f_x005f_x005f_x0"/>
      <sheetName val="Geneí¬_x005f_x005f_x005f_x005f_x005f_x005f_x005f_x0008_"/>
      <sheetName val="70_x005f_x005f_x005f_x005f_x005f_x005f_x005f_x0000_,_0_"/>
      <sheetName val="1-G1"/>
      <sheetName val="Auswahl"/>
      <sheetName val="Areas_with_SF"/>
      <sheetName val="Area Breakdown PER LEVEL_LINK"/>
      <sheetName val="opstat"/>
      <sheetName val="costs"/>
      <sheetName val="Lagerhalle"/>
      <sheetName val="Basisdaten"/>
      <sheetName val="CF Input"/>
      <sheetName val="Certificates"/>
      <sheetName val="DATA INPUT"/>
      <sheetName val="Vordruck-Nr. 7.1.3_D"/>
      <sheetName val="Ersatzteile"/>
      <sheetName val="A"/>
      <sheetName val="C"/>
      <sheetName val="D"/>
      <sheetName val="E"/>
      <sheetName val="G"/>
      <sheetName val="H"/>
      <sheetName val="I"/>
      <sheetName val="K"/>
      <sheetName val="L"/>
      <sheetName val="M"/>
      <sheetName val="N"/>
      <sheetName val="O"/>
      <sheetName val="T"/>
      <sheetName val="U"/>
      <sheetName val="M&amp;A D"/>
      <sheetName val="M&amp;A E"/>
      <sheetName val="M&amp;A G"/>
      <sheetName val="Summ"/>
      <sheetName val="Floor Box "/>
      <sheetName val="SRC-B3U2"/>
      <sheetName val="Projects"/>
      <sheetName val="70,"/>
      <sheetName val="[SHOPLIST.xls]70,"/>
      <sheetName val="CostPlan"/>
      <sheetName val="Database"/>
      <sheetName val="% prog figs -u5 and total"/>
      <sheetName val="rc01"/>
      <sheetName val="ConferenceCentre_x005f_x0000_옰ʒ"/>
      <sheetName val="70_x005f_x0000_,_0_x005f_x0000_"/>
      <sheetName val="Gra¦_x0004_)_x0000__x0000__x0"/>
      <sheetName val="_VW_x0000_VU_x0000_)_x0000__x"/>
      <sheetName val="_VW"/>
      <sheetName val="_VWVU))tÏØ0  "/>
      <sheetName val="_VWVU))tÏØ0__"/>
      <sheetName val="__-BLDG"/>
      <sheetName val="_x005f_x0000__x005f_x0000__x005"/>
      <sheetName val="Geneí¬_x005f_x0008_i_x000"/>
      <sheetName val="Interior"/>
      <sheetName val="PRJ_DATA"/>
      <sheetName val="ￒlￒmￒnￒaￒSￒmￒaￒy"/>
      <sheetName val="금융비용"/>
      <sheetName val="Equip"/>
      <sheetName val="Vendors"/>
      <sheetName val="Rates"/>
      <sheetName val="dv_info"/>
      <sheetName val="instructions"/>
      <sheetName val="1.2 Staff Schedule"/>
      <sheetName val="B-3.2 EB"/>
      <sheetName val="Ragama"/>
      <sheetName val="Total PrC-Goldi"/>
      <sheetName val="[SHOPLIST.xls]/VW"/>
      <sheetName val="[SHOPLIST.xls]/VWVU))tÏØ0  "/>
      <sheetName val="[SHOPLIST.xls]/VWVU))tÏØ0__"/>
      <sheetName val="anti-termite"/>
      <sheetName val="slipsumpR"/>
      <sheetName val="material"/>
      <sheetName val="Labour Rates"/>
      <sheetName val="machinery"/>
      <sheetName val="Form 6"/>
      <sheetName val="Bill-1"/>
      <sheetName val="abs-boq"/>
      <sheetName val="New Rates"/>
      <sheetName val="IRR_CHAMBER"/>
      <sheetName val="BOQ_Direct_selling_cost5"/>
      <sheetName val="DETAILED__BOQ7"/>
      <sheetName val="M-Book_for_Conc7"/>
      <sheetName val="M-Book_for_FW7"/>
      <sheetName val="PointNo_54"/>
      <sheetName val="PA-_Consutant_7"/>
      <sheetName val="HIRED_LABOUR_CODE7"/>
      <sheetName val="foot-slab_reinft7"/>
      <sheetName val="IO_LIST5"/>
      <sheetName val="Material_5"/>
      <sheetName val="Quote_Sheet5"/>
      <sheetName val="Materials_Cost(PCC)5"/>
      <sheetName val="India_F&amp;S_Template5"/>
      <sheetName val="Item-_Compact2"/>
      <sheetName val="PRECAST_lightconc-II5"/>
      <sheetName val="final_abstract5"/>
      <sheetName val="E_&amp;_R2"/>
      <sheetName val="VALVE_CHAMBERS6"/>
      <sheetName val="Fire_Hydrants6"/>
      <sheetName val="B_GATE_VALVE6"/>
      <sheetName val="Sub_G1_Fire6"/>
      <sheetName val="Sub_G12_Fire6"/>
      <sheetName val="Div__025"/>
      <sheetName val="Div__035"/>
      <sheetName val="Div__045"/>
      <sheetName val="Div__055"/>
      <sheetName val="Div__065"/>
      <sheetName val="Div__075"/>
      <sheetName val="Div__085"/>
      <sheetName val="Div__095"/>
      <sheetName val="Div__105"/>
      <sheetName val="Div__115"/>
      <sheetName val="Div__125"/>
      <sheetName val="Div_135"/>
      <sheetName val="EXTERNAL_WORKS5"/>
      <sheetName val="PRODUCTIVITY_RATE5"/>
      <sheetName val="U_R_A_-_MASONRY5"/>
      <sheetName val="U_R_A_-_PLASTERING5"/>
      <sheetName val="U_R_A_-_TILING5"/>
      <sheetName val="U_R_A_-_GRANITE5"/>
      <sheetName val="V_C_2_-_EARTHWORK5"/>
      <sheetName val="V_C_9_-_CERAMIC5"/>
      <sheetName val="V_C_9_-_FINISHES5"/>
      <sheetName val="bill_nb2-Plumbing_&amp;_Drainag4"/>
      <sheetName val="Pl_&amp;_Dr_B4"/>
      <sheetName val="Pl_&amp;_Dr_G4"/>
      <sheetName val="Pl_&amp;_Dr_M4"/>
      <sheetName val="Pl_&amp;_Dr_14"/>
      <sheetName val="Pl_&amp;_Dr_24"/>
      <sheetName val="Pl_&amp;_Dr_34"/>
      <sheetName val="Pl_&amp;_Dr_44"/>
      <sheetName val="Pl_&amp;_Dr_54"/>
      <sheetName val="Pl_&amp;_Dr_64"/>
      <sheetName val="Pl_&amp;_Dr_74"/>
      <sheetName val="Pl_&amp;_Dr_84"/>
      <sheetName val="Pl_&amp;_Dr_R4"/>
      <sheetName val="FF_B4"/>
      <sheetName val="FF_G4"/>
      <sheetName val="FF_M4"/>
      <sheetName val="FF_14"/>
      <sheetName val="FF_2_4"/>
      <sheetName val="FF_34"/>
      <sheetName val="FF_44"/>
      <sheetName val="FF_54"/>
      <sheetName val="FF_6_4"/>
      <sheetName val="FF_74"/>
      <sheetName val="FF_84"/>
      <sheetName val="FF_R4"/>
      <sheetName val="bill_nb3-FF4"/>
      <sheetName val="HVAC_B4"/>
      <sheetName val="HVAC_G4"/>
      <sheetName val="HVAC_M4"/>
      <sheetName val="HVAC_14"/>
      <sheetName val="HVAC_24"/>
      <sheetName val="HVAC_34"/>
      <sheetName val="HVAC_44"/>
      <sheetName val="HVAC_54"/>
      <sheetName val="HVAC_64"/>
      <sheetName val="HVAC_74"/>
      <sheetName val="HVAC_84"/>
      <sheetName val="HVAC_R4"/>
      <sheetName val="bill_nb4-HVAC4"/>
      <sheetName val="SC_B4"/>
      <sheetName val="SC_G4"/>
      <sheetName val="SC_M4"/>
      <sheetName val="SC_14"/>
      <sheetName val="SC_24"/>
      <sheetName val="SC_34"/>
      <sheetName val="SC_44"/>
      <sheetName val="SC_54"/>
      <sheetName val="SC_64"/>
      <sheetName val="SC_74"/>
      <sheetName val="SC_84"/>
      <sheetName val="SC_R4"/>
      <sheetName val="AV_B4"/>
      <sheetName val="AV_G4"/>
      <sheetName val="AV_M4"/>
      <sheetName val="AV_14"/>
      <sheetName val="AV_24"/>
      <sheetName val="AV_34"/>
      <sheetName val="AV_44"/>
      <sheetName val="AV_54"/>
      <sheetName val="AV_64"/>
      <sheetName val="AV_74"/>
      <sheetName val="AV_84"/>
      <sheetName val="EL_B4"/>
      <sheetName val="EL_M4"/>
      <sheetName val="EL_14"/>
      <sheetName val="EL_24"/>
      <sheetName val="EL_34"/>
      <sheetName val="EL_44"/>
      <sheetName val="EL_54"/>
      <sheetName val="EL_64"/>
      <sheetName val="EL_74"/>
      <sheetName val="EL_84"/>
      <sheetName val="EL_R4"/>
      <sheetName val="EL_TR4"/>
      <sheetName val="8-_EL4"/>
      <sheetName val="FA_B4"/>
      <sheetName val="FA_G4"/>
      <sheetName val="FA_M4"/>
      <sheetName val="FA_14"/>
      <sheetName val="FA_24"/>
      <sheetName val="FA_34"/>
      <sheetName val="FA_44"/>
      <sheetName val="FA_54"/>
      <sheetName val="FA_64"/>
      <sheetName val="FA_74"/>
      <sheetName val="FA_84"/>
      <sheetName val="FA_R4"/>
      <sheetName val="9-_FA4"/>
      <sheetName val="Elemental_Buildup4"/>
      <sheetName val="w't_table4"/>
      <sheetName val="Summary_of_Work2"/>
      <sheetName val="LIST_DO_NOT_REMOVE3"/>
      <sheetName val="Project_Cost_Breakdown2"/>
      <sheetName val="B6_2_3"/>
      <sheetName val="SITE_WORK1"/>
      <sheetName val="Employee_List2"/>
      <sheetName val="Staff_Acco_2"/>
      <sheetName val="TBAL9697_-group_wise__sdpl2"/>
      <sheetName val="Рабочий_лист1"/>
      <sheetName val="Annex_1_Sect_3a2"/>
      <sheetName val="Annex_1_Sect_3a_12"/>
      <sheetName val="Annex_1_Sect_3b2"/>
      <sheetName val="Annex_1_Sect_3c2"/>
      <sheetName val="HOURLY_RATES2"/>
      <sheetName val="Rate_summary1"/>
      <sheetName val="B-3_2_EB"/>
      <sheetName val="Total_PrC-Goldi"/>
      <sheetName val="RAB_AR&amp;STR1"/>
      <sheetName val="Common_Variables"/>
      <sheetName val="Geneí¬i___0_"/>
      <sheetName val="70_,_0_s«i_Æøí¬i_"/>
      <sheetName val="GPL_Revenu_Update"/>
      <sheetName val="DO_NOT_TOUCH"/>
      <sheetName val="Work_Type"/>
      <sheetName val="ConferenceCentre?옰ʒ䄂ʒ鵠ʐ䄂ʒ閐̐脭め"/>
      <sheetName val="Risk_Breakdown_Structure"/>
      <sheetName val="[SHOPLIST_xls]/VW"/>
      <sheetName val="[SHOPLIST_xls]/VWVU))tÏØ0__"/>
      <sheetName val="[SHOPLIST_xls]/VWVU))tÏØ0__1"/>
      <sheetName val="Labour_&amp;_Plant"/>
      <sheetName val="Z-_GENERAL_PRICE_SUMMARY"/>
      <sheetName val="Labour_Rates"/>
      <sheetName val="Form_6"/>
      <sheetName val="Geneí¬_i"/>
      <sheetName val="Ave_wtd_rates"/>
      <sheetName val="Debits_as_on_12_04_08"/>
      <sheetName val="STAFFSCHED_"/>
      <sheetName val="TRIAL_BALANCE"/>
      <sheetName val="New_Rates"/>
      <sheetName val="steel_total"/>
      <sheetName val="ELE_BOQ"/>
      <sheetName val="[SHOPLIST_xls]70"/>
      <sheetName val="[SHOPLIST_xls]70,"/>
      <sheetName val="Cost Factor Sheet"/>
      <sheetName val="Load Sch, Cable Sel &amp; Qty"/>
      <sheetName val="Factor Sheet"/>
      <sheetName val="Price Sheet"/>
      <sheetName val="Resumo Empreitadas"/>
      <sheetName val="C-7-9-1-J (ESU 1,2,3,4)"/>
      <sheetName val="Bill No.1"/>
      <sheetName val="bill no 2"/>
      <sheetName val="bill no 3"/>
      <sheetName val="bill no 4"/>
      <sheetName val="bill no 5"/>
      <sheetName val="bill no 6"/>
      <sheetName val="bill no 7"/>
      <sheetName val="bill no 8"/>
      <sheetName val="EW01-B7"/>
      <sheetName val="EW02-B7"/>
      <sheetName val="EW03-B7"/>
      <sheetName val="EW04-B7"/>
      <sheetName val="EW05-B7"/>
      <sheetName val="VO ( Bus Bays &amp; Park)"/>
      <sheetName val="VO (Fair face wall)"/>
      <sheetName val="VO (Heavy Veh.Access)"/>
      <sheetName val="VO-Pipe&amp;Slab Culvt"/>
      <sheetName val="VO (Raised foot walk)"/>
      <sheetName val="VO Bill-4 &amp; 5"/>
      <sheetName val="VO (WATCHER's HUT)"/>
      <sheetName val="VO (Water Tank)"/>
      <sheetName val="Price List"/>
      <sheetName val="Flight-1"/>
      <sheetName val="Base_Data"/>
      <sheetName val="P-100.MRF.DB.R1"/>
      <sheetName val="Equipment Rates"/>
      <sheetName val="AC"/>
      <sheetName val="Payment"/>
      <sheetName val="Input"/>
      <sheetName val="Home"/>
      <sheetName val="1_2_Staff_Schedule"/>
      <sheetName val="Final"/>
      <sheetName val="Attach 4-18"/>
      <sheetName val="TTL"/>
      <sheetName val="Food"/>
      <sheetName val="[SHOPLIST.xls][SHOPLIST.xls]70_"/>
      <sheetName val="[SHOPLIST.xls]/VW_x0000_VU_x0000_)_x0000__x0000__x0000_)_x0000__x0000__x0000_"/>
      <sheetName val="E H - H. W.P."/>
      <sheetName val="E. H. Treatment for pile cap"/>
      <sheetName val="[SHOPLIST.xls][SHOPLIST.xls][SH"/>
      <sheetName val="GFA_HQ_Building16"/>
      <sheetName val="GFA_Conference15"/>
      <sheetName val="BQ_External15"/>
      <sheetName val="Raw_Data14"/>
      <sheetName val="Penthouse_Apartment14"/>
      <sheetName val="StattCo_yCharges14"/>
      <sheetName val="LABOUR_HISTOGRAM15"/>
      <sheetName val="Graph_Data_(DO_NOT_PRINT)14"/>
      <sheetName val="Chiet_tinh_dz2214"/>
      <sheetName val="Chiet_tinh_dz3514"/>
      <sheetName val="@risk_rents_and_incentives14"/>
      <sheetName val="Car_park_lease14"/>
      <sheetName val="Net_rent_analysis14"/>
      <sheetName val="Poz-1_14"/>
      <sheetName val="Lab_Cum_Hist14"/>
      <sheetName val="FOL_-_Bar14"/>
      <sheetName val="budget_summary_(2)13"/>
      <sheetName val="Budget_Analysis_Summary13"/>
      <sheetName val="CT_Thang_Mo14"/>
      <sheetName val="CT__PL13"/>
      <sheetName val="LEVEL_SHEET14"/>
      <sheetName val="SPT_vs_PHI14"/>
      <sheetName val="Bill_No__214"/>
      <sheetName val="Tender_Summary14"/>
      <sheetName val="Insurance_Ext14"/>
      <sheetName val="Customize_Your_Invoice14"/>
      <sheetName val="HVAC_BoQ14"/>
      <sheetName val="Projet,_methodes_&amp;_couts13"/>
      <sheetName val="Risques_majeurs_&amp;_Frais_Ind_13"/>
      <sheetName val="Top_sheet13"/>
      <sheetName val="intr_stool_brkup13"/>
      <sheetName val="Body_Sheet13"/>
      <sheetName val="1_0_Executive_Summary13"/>
      <sheetName val="Ap_A11"/>
      <sheetName val="Bill_111"/>
      <sheetName val="Bill_212"/>
      <sheetName val="Bill_311"/>
      <sheetName val="Bill_411"/>
      <sheetName val="Bill_511"/>
      <sheetName val="Bill_611"/>
      <sheetName val="Bill_711"/>
      <sheetName val="SHOPLIST_xls10"/>
      <sheetName val="Invoice_Summary10"/>
      <sheetName val="2_Div_14_11"/>
      <sheetName val="PROJECT_BRIEF11"/>
      <sheetName val="beam-reinft-IIInd_floor10"/>
      <sheetName val="POWER_ASSUMPTIONS10"/>
      <sheetName val="Softscape_Buildup9"/>
      <sheetName val="Mat'l_Rate9"/>
      <sheetName val="Dubai_golf10"/>
      <sheetName val="beam-reinft-machine_rm10"/>
      <sheetName val="C_(3)11"/>
      <sheetName val="BILL_COV7"/>
      <sheetName val="Ra__stair7"/>
      <sheetName val="WITHOUT_C&amp;I_PROFIT_(3)9"/>
      <sheetName val="Civil_Boq9"/>
      <sheetName val="Activity_List9"/>
      <sheetName val="B185-B-9_15"/>
      <sheetName val="B185-B-9_25"/>
      <sheetName val="Day_work6"/>
      <sheetName val="Working_for_RCC5"/>
      <sheetName val="CHART_OF_ACCOUNTS5"/>
      <sheetName val="E-Bill_No_6_A-O5"/>
      <sheetName val="PMWeb_data5"/>
      <sheetName val="SS_MH5"/>
      <sheetName val="Eq__Mobilization5"/>
      <sheetName val="B09_15"/>
      <sheetName val="Index_List4"/>
      <sheetName val="Type_List4"/>
      <sheetName val="File_Types4"/>
      <sheetName val="Division_210"/>
      <sheetName val="Division_44"/>
      <sheetName val="Division_54"/>
      <sheetName val="Division_64"/>
      <sheetName val="Division_74"/>
      <sheetName val="Division_84"/>
      <sheetName val="Division_94"/>
      <sheetName val="Division_104"/>
      <sheetName val="Division_124"/>
      <sheetName val="Division_144"/>
      <sheetName val="Division_214"/>
      <sheetName val="Division_224"/>
      <sheetName val="Division_234"/>
      <sheetName val="Division_264"/>
      <sheetName val="Division_274"/>
      <sheetName val="Division_284"/>
      <sheetName val="Division_314"/>
      <sheetName val="Division_324"/>
      <sheetName val="Division_334"/>
      <sheetName val="2_2)Revised_Cash_Flow4"/>
      <sheetName val="Material_List_4"/>
      <sheetName val="입찰내역_발주처_양식4"/>
      <sheetName val="Chiet_t4"/>
      <sheetName val="Staffing_and_Rates_IA4"/>
      <sheetName val="/VWVU))tÏØ0__4"/>
      <sheetName val="PT_141-_Site_A_Landscape1"/>
      <sheetName val="d-safe_DELUXE1"/>
      <sheetName val="Back_up1"/>
      <sheetName val="INDIGINEOUS_ITEMS_1"/>
      <sheetName val="Mall_waterproofing1"/>
      <sheetName val="MSCP_waterproofing1"/>
      <sheetName val="Duct_Accesories1"/>
      <sheetName val="????_???_??1"/>
      <sheetName val="train_cash1"/>
      <sheetName val="accom_cash1"/>
      <sheetName val="C1ㅇ"/>
      <sheetName val="Materials_Cost(PCC)6"/>
      <sheetName val="India_F&amp;S_Template6"/>
      <sheetName val="IO_LIST6"/>
      <sheetName val="Material_6"/>
      <sheetName val="Quote_Sheet6"/>
      <sheetName val="BOQ_Direct_selling_cost6"/>
      <sheetName val="PRECAST_lightconc-II6"/>
      <sheetName val="final_abstract6"/>
      <sheetName val="Labour_&amp;_Plant1"/>
      <sheetName val="[SHOPLIST_xls][SHOPLIST_xls]701"/>
      <sheetName val="TRIAL_BALANCE1"/>
      <sheetName val="Ave_wtd_rates1"/>
      <sheetName val="Debits_as_on_12_04_081"/>
      <sheetName val="STAFFSCHED_1"/>
      <sheetName val="Risk_Breakdown_Structure1"/>
      <sheetName val="Gra¦)_x0"/>
      <sheetName val="_VWVU)_x"/>
      <sheetName val="Equipment_Rates"/>
      <sheetName val="mw"/>
      <sheetName val="PROJECT_BRIEF(EX_NEW)"/>
      <sheetName val="PNTEXT"/>
      <sheetName val="Common_Variables1"/>
      <sheetName val="[SHOPLIST_xls]70,/0s«iÆøí¬i1"/>
      <sheetName val="GPL_Revenu_Update1"/>
      <sheetName val="DO_NOT_TOUCH1"/>
      <sheetName val="Work_Type1"/>
      <sheetName val="PROJECT_BRIEF(EX_NEW)1"/>
      <sheetName val="[SHOPLIST_xls]70,/0s«_iÆø_í¬"/>
      <sheetName val="AREA_OF_APPLICATION"/>
      <sheetName val="Floor_Box_"/>
      <sheetName val="GFA_HQ_Building17"/>
      <sheetName val="GFA_Conference16"/>
      <sheetName val="StattCo_yCharges15"/>
      <sheetName val="BQ_External16"/>
      <sheetName val="Penthouse_Apartment15"/>
      <sheetName val="LABOUR_HISTOGRAM16"/>
      <sheetName val="Chiet_tinh_dz2215"/>
      <sheetName val="Chiet_tinh_dz3515"/>
      <sheetName val="@risk_rents_and_incentives15"/>
      <sheetName val="Car_park_lease15"/>
      <sheetName val="Net_rent_analysis15"/>
      <sheetName val="Poz-1_15"/>
      <sheetName val="Lab_Cum_Hist15"/>
      <sheetName val="Graph_Data_(DO_NOT_PRINT)15"/>
      <sheetName val="Raw_Data15"/>
      <sheetName val="CT_Thang_Mo15"/>
      <sheetName val="LEVEL_SHEET15"/>
      <sheetName val="SPT_vs_PHI15"/>
      <sheetName val="Projet,_methodes_&amp;_couts14"/>
      <sheetName val="Risques_majeurs_&amp;_Frais_Ind_14"/>
      <sheetName val="Bill_No__215"/>
      <sheetName val="FOL_-_Bar15"/>
      <sheetName val="CT__PL14"/>
      <sheetName val="budget_summary_(2)14"/>
      <sheetName val="Budget_Analysis_Summary14"/>
      <sheetName val="Customize_Your_Invoice15"/>
      <sheetName val="HVAC_BoQ15"/>
      <sheetName val="intr_stool_brkup14"/>
      <sheetName val="Tender_Summary15"/>
      <sheetName val="Insurance_Ext15"/>
      <sheetName val="Body_Sheet14"/>
      <sheetName val="1_0_Executive_Summary14"/>
      <sheetName val="Top_sheet14"/>
      <sheetName val="Bill_213"/>
      <sheetName val="2_Div_14_12"/>
      <sheetName val="SHOPLIST_xls11"/>
      <sheetName val="PROJECT_BRIEF12"/>
      <sheetName val="Ap_A12"/>
      <sheetName val="Bill_112"/>
      <sheetName val="Bill_312"/>
      <sheetName val="Bill_412"/>
      <sheetName val="Bill_512"/>
      <sheetName val="Bill_612"/>
      <sheetName val="Bill_712"/>
      <sheetName val="beam-reinft-IIInd_floor11"/>
      <sheetName val="Dubai_golf11"/>
      <sheetName val="Invoice_Summary11"/>
      <sheetName val="beam-reinft-machine_rm11"/>
      <sheetName val="POWER_ASSUMPTIONS11"/>
      <sheetName val="C_(3)12"/>
      <sheetName val="Civil_Boq10"/>
      <sheetName val="PA-_Consutant_8"/>
      <sheetName val="DETAILED__BOQ8"/>
      <sheetName val="M-Book_for_Conc8"/>
      <sheetName val="M-Book_for_FW8"/>
      <sheetName val="WITHOUT_C&amp;I_PROFIT_(3)10"/>
      <sheetName val="Activity_List10"/>
      <sheetName val="Softscape_Buildup10"/>
      <sheetName val="Mat'l_Rate10"/>
      <sheetName val="Day_work7"/>
      <sheetName val="BILL_COV8"/>
      <sheetName val="HIRED_LABOUR_CODE8"/>
      <sheetName val="foot-slab_reinft8"/>
      <sheetName val="Ra__stair8"/>
      <sheetName val="VALVE_CHAMBERS7"/>
      <sheetName val="Fire_Hydrants7"/>
      <sheetName val="B_GATE_VALVE7"/>
      <sheetName val="Sub_G1_Fire7"/>
      <sheetName val="Sub_G12_Fire7"/>
      <sheetName val="Div__026"/>
      <sheetName val="Div__036"/>
      <sheetName val="Div__046"/>
      <sheetName val="Div__056"/>
      <sheetName val="Div__066"/>
      <sheetName val="Div__076"/>
      <sheetName val="Div__086"/>
      <sheetName val="Div__096"/>
      <sheetName val="Div__106"/>
      <sheetName val="Div__116"/>
      <sheetName val="Div__126"/>
      <sheetName val="Div_136"/>
      <sheetName val="EXTERNAL_WORKS6"/>
      <sheetName val="PRODUCTIVITY_RATE6"/>
      <sheetName val="U_R_A_-_MASONRY6"/>
      <sheetName val="U_R_A_-_PLASTERING6"/>
      <sheetName val="U_R_A_-_TILING6"/>
      <sheetName val="U_R_A_-_GRANITE6"/>
      <sheetName val="V_C_2_-_EARTHWORK6"/>
      <sheetName val="V_C_9_-_CERAMIC6"/>
      <sheetName val="V_C_9_-_FINISHES6"/>
      <sheetName val="Eq__Mobilization6"/>
      <sheetName val="Elemental_Buildup5"/>
      <sheetName val="w't_table5"/>
      <sheetName val="PointNo_55"/>
      <sheetName val="bill_nb2-Plumbing_&amp;_Drainag5"/>
      <sheetName val="Pl_&amp;_Dr_B5"/>
      <sheetName val="Pl_&amp;_Dr_G5"/>
      <sheetName val="Pl_&amp;_Dr_M5"/>
      <sheetName val="Pl_&amp;_Dr_15"/>
      <sheetName val="Pl_&amp;_Dr_25"/>
      <sheetName val="Pl_&amp;_Dr_35"/>
      <sheetName val="Pl_&amp;_Dr_45"/>
      <sheetName val="Pl_&amp;_Dr_55"/>
      <sheetName val="Pl_&amp;_Dr_65"/>
      <sheetName val="Pl_&amp;_Dr_75"/>
      <sheetName val="Pl_&amp;_Dr_85"/>
      <sheetName val="Pl_&amp;_Dr_R5"/>
      <sheetName val="FF_B5"/>
      <sheetName val="FF_G5"/>
      <sheetName val="FF_M5"/>
      <sheetName val="FF_15"/>
      <sheetName val="FF_2_5"/>
      <sheetName val="FF_35"/>
      <sheetName val="FF_45"/>
      <sheetName val="FF_55"/>
      <sheetName val="FF_6_5"/>
      <sheetName val="FF_75"/>
      <sheetName val="FF_85"/>
      <sheetName val="FF_R5"/>
      <sheetName val="bill_nb3-FF5"/>
      <sheetName val="HVAC_B5"/>
      <sheetName val="HVAC_G5"/>
      <sheetName val="HVAC_M5"/>
      <sheetName val="HVAC_15"/>
      <sheetName val="HVAC_25"/>
      <sheetName val="HVAC_35"/>
      <sheetName val="HVAC_45"/>
      <sheetName val="HVAC_55"/>
      <sheetName val="HVAC_65"/>
      <sheetName val="HVAC_75"/>
      <sheetName val="HVAC_85"/>
      <sheetName val="HVAC_R5"/>
      <sheetName val="bill_nb4-HVAC5"/>
      <sheetName val="SC_B5"/>
      <sheetName val="SC_G5"/>
      <sheetName val="SC_M5"/>
      <sheetName val="SC_15"/>
      <sheetName val="SC_25"/>
      <sheetName val="SC_35"/>
      <sheetName val="SC_45"/>
      <sheetName val="SC_55"/>
      <sheetName val="SC_65"/>
      <sheetName val="SC_75"/>
      <sheetName val="SC_85"/>
      <sheetName val="SC_R5"/>
      <sheetName val="AV_B5"/>
      <sheetName val="AV_G5"/>
      <sheetName val="AV_M5"/>
      <sheetName val="AV_15"/>
      <sheetName val="AV_25"/>
      <sheetName val="AV_35"/>
      <sheetName val="AV_45"/>
      <sheetName val="AV_55"/>
      <sheetName val="AV_65"/>
      <sheetName val="AV_75"/>
      <sheetName val="AV_85"/>
      <sheetName val="EL_B5"/>
      <sheetName val="EL_M5"/>
      <sheetName val="EL_15"/>
      <sheetName val="EL_25"/>
      <sheetName val="EL_35"/>
      <sheetName val="EL_45"/>
      <sheetName val="EL_55"/>
      <sheetName val="EL_65"/>
      <sheetName val="EL_75"/>
      <sheetName val="EL_85"/>
      <sheetName val="EL_R5"/>
      <sheetName val="EL_TR5"/>
      <sheetName val="8-_EL5"/>
      <sheetName val="FA_B5"/>
      <sheetName val="FA_G5"/>
      <sheetName val="FA_M5"/>
      <sheetName val="FA_15"/>
      <sheetName val="FA_25"/>
      <sheetName val="FA_35"/>
      <sheetName val="FA_45"/>
      <sheetName val="FA_55"/>
      <sheetName val="FA_65"/>
      <sheetName val="FA_75"/>
      <sheetName val="FA_85"/>
      <sheetName val="FA_R5"/>
      <sheetName val="9-_FA5"/>
      <sheetName val="B09_16"/>
      <sheetName val="CHART_OF_ACCOUNTS6"/>
      <sheetName val="B185-B-9_16"/>
      <sheetName val="B185-B-9_26"/>
      <sheetName val="E-Bill_No_6_A-O6"/>
      <sheetName val="Working_for_RCC6"/>
      <sheetName val="PMWeb_data6"/>
      <sheetName val="Material_List_5"/>
      <sheetName val="Project_Cost_Breakdown3"/>
      <sheetName val="Index_List5"/>
      <sheetName val="Type_List5"/>
      <sheetName val="File_Types5"/>
      <sheetName val="SS_MH6"/>
      <sheetName val="2_2)Revised_Cash_Flow5"/>
      <sheetName val="입찰내역_발주처_양식5"/>
      <sheetName val="Division_215"/>
      <sheetName val="Division_45"/>
      <sheetName val="Division_55"/>
      <sheetName val="Division_65"/>
      <sheetName val="Division_75"/>
      <sheetName val="Division_85"/>
      <sheetName val="Division_95"/>
      <sheetName val="Division_105"/>
      <sheetName val="Division_125"/>
      <sheetName val="Division_145"/>
      <sheetName val="Division_216"/>
      <sheetName val="Division_225"/>
      <sheetName val="Division_235"/>
      <sheetName val="Division_265"/>
      <sheetName val="Division_275"/>
      <sheetName val="Division_285"/>
      <sheetName val="Division_315"/>
      <sheetName val="Division_325"/>
      <sheetName val="Division_335"/>
      <sheetName val="LIST_DO_NOT_REMOVE4"/>
      <sheetName val="Rate_summary2"/>
      <sheetName val="/VWVU))tÏØ0__5"/>
      <sheetName val="Summary_of_Work3"/>
      <sheetName val="Staffing_and_Rates_IA5"/>
      <sheetName val="Chiet_t5"/>
      <sheetName val="B6_2_4"/>
      <sheetName val="Employee_List3"/>
      <sheetName val="Item-_Compact3"/>
      <sheetName val="E_&amp;_R3"/>
      <sheetName val="Staff_Acco_3"/>
      <sheetName val="TBAL9697_-group_wise__sdpl3"/>
      <sheetName val="RAB_AR&amp;STR2"/>
      <sheetName val="Рабочий_лист2"/>
      <sheetName val="SITE_WORK2"/>
      <sheetName val="Annex_1_Sect_3a3"/>
      <sheetName val="Annex_1_Sect_3a_13"/>
      <sheetName val="Annex_1_Sect_3b3"/>
      <sheetName val="Annex_1_Sect_3c3"/>
      <sheetName val="HOURLY_RATES3"/>
      <sheetName val="INDIGINEOUS_ITEMS_2"/>
      <sheetName val="train_cash2"/>
      <sheetName val="accom_cash2"/>
      <sheetName val="PT_141-_Site_A_Landscape2"/>
      <sheetName val="d-safe_DELUXE2"/>
      <sheetName val="Back_up2"/>
      <sheetName val="Mall_waterproofing2"/>
      <sheetName val="MSCP_waterproofing2"/>
      <sheetName val="Duct_Accesories2"/>
      <sheetName val="????_???_??2"/>
      <sheetName val="Geneí¬_i1"/>
      <sheetName val="AREA_OF_APPLICATION1"/>
      <sheetName val="Floor_Box_1"/>
      <sheetName val="Mix Design"/>
      <sheetName val="std-rates"/>
      <sheetName val="Materials_Cost(PCC)7"/>
      <sheetName val="India_F&amp;S_Template7"/>
      <sheetName val="IO_LIST7"/>
      <sheetName val="Material_7"/>
      <sheetName val="Quote_Sheet7"/>
      <sheetName val="BOQ_Direct_selling_cost7"/>
      <sheetName val="PRECAST_lightconc-II7"/>
      <sheetName val="final_abstract7"/>
      <sheetName val="Common_Variables2"/>
      <sheetName val="[SHOPLIST_xls]70,/0s«iÆøí¬i2"/>
      <sheetName val="GPL_Revenu_Update2"/>
      <sheetName val="DO_NOT_TOUCH2"/>
      <sheetName val="Work_Type2"/>
      <sheetName val="Labour_&amp;_Plant2"/>
      <sheetName val="Ave_wtd_rates2"/>
      <sheetName val="Debits_as_on_12_04_082"/>
      <sheetName val="STAFFSCHED_2"/>
      <sheetName val="TRIAL_BALANCE2"/>
      <sheetName val="[SHOPLIST_xls][SHOPLIST_xls]702"/>
      <sheetName val="PROJECT_BRIEF(EX_NEW)2"/>
      <sheetName val="steel_total1"/>
      <sheetName val="ELE_BOQ1"/>
      <sheetName val="Service Type"/>
      <sheetName val="Contract Division"/>
      <sheetName val="SubContract Type"/>
      <sheetName val="做法表"/>
      <sheetName val="_SHOPLIST.xls_70,_0s«iÆøí¬i"/>
      <sheetName val="gen"/>
      <sheetName val="Agenda"/>
      <sheetName val="Risks&amp;issues"/>
      <sheetName val="IMS_RiskAssess"/>
      <sheetName val="Risk Register"/>
      <sheetName val="ROAE"/>
      <sheetName val="Revised Front Page"/>
      <sheetName val="Diff Run01&amp;Run02"/>
      <sheetName val="ProvSums"/>
      <sheetName val="CCS Summary"/>
      <sheetName val="1 Carillion Staff"/>
      <sheetName val=" 2 Staff &amp; Gen labour"/>
      <sheetName val="3 Offices"/>
      <sheetName val="4 TempServ"/>
      <sheetName val="  5 Temp Wks"/>
      <sheetName val=" 6 Addn Plant"/>
      <sheetName val=" 7  Transport"/>
      <sheetName val=" 8 Testing"/>
      <sheetName val="9  Miscellaneous"/>
      <sheetName val="10  Design"/>
      <sheetName val=" 11 Insurances"/>
      <sheetName val=" 12 Client Req."/>
      <sheetName val="Risk List"/>
      <sheetName val="Track of Changes"/>
      <sheetName val="Bill 8 Doors &amp; Windows"/>
      <sheetName val="Bill 9 Finishes "/>
      <sheetName val="Bill 10 Specialities"/>
      <sheetName val="SubS2"/>
      <sheetName val="LMP"/>
      <sheetName val="PC"/>
      <sheetName val="[SHOPLIST_xls][SHOPLIST_xls]70_"/>
      <sheetName val="E_H_-_H__W_P_"/>
      <sheetName val="E__H__Treatment_for_pile_cap"/>
      <sheetName val="Risk_Register"/>
      <sheetName val="Revised_Front_Page"/>
      <sheetName val="Diff_Run01&amp;Run02"/>
      <sheetName val="CCS_Summary"/>
      <sheetName val="1_Carillion_Staff"/>
      <sheetName val="_2_Staff_&amp;_Gen_labour"/>
      <sheetName val="3_Offices"/>
      <sheetName val="4_TempServ"/>
      <sheetName val="__5_Temp_Wks"/>
      <sheetName val="_6_Addn_Plant"/>
      <sheetName val="_7__Transport"/>
      <sheetName val="_8_Testing"/>
      <sheetName val="9__Miscellaneous"/>
      <sheetName val="10__Design"/>
      <sheetName val="_11_Insurances"/>
      <sheetName val="_12_Client_Req_"/>
      <sheetName val="Risk_List"/>
      <sheetName val="Track_of_Changes"/>
      <sheetName val="Bill_8_Doors_&amp;_Windows"/>
      <sheetName val="Bill_9_Finishes_"/>
      <sheetName val="Bill_10_Specialities"/>
      <sheetName val="Cashflow_projection"/>
      <sheetName val="A1-Continuous"/>
      <sheetName val="Hic_150EOffice"/>
      <sheetName val="Results"/>
      <sheetName val="Architect"/>
      <sheetName val="SO"/>
      <sheetName val="Materials "/>
      <sheetName val="Labour"/>
      <sheetName val="MAchinery(R1)"/>
      <sheetName val="Site Dev BOQ"/>
      <sheetName val="Estimation"/>
      <sheetName val="May 05"/>
      <sheetName val="April 05"/>
      <sheetName val="Aug 05"/>
      <sheetName val="July 05"/>
      <sheetName val="June 05"/>
      <sheetName val="Nov 05"/>
      <sheetName val="Oct 05"/>
      <sheetName val="Sep 05"/>
      <sheetName val="Project"/>
      <sheetName val="PRICE INFO"/>
      <sheetName val="RC SUMMARY"/>
      <sheetName val="LABOUR PRODUCTIVITY-TAV"/>
      <sheetName val="MATERIAL PRICES"/>
      <sheetName val="RMOPS"/>
      <sheetName val="Dropdowns"/>
      <sheetName val="Bill.10"/>
      <sheetName val="CSC"/>
      <sheetName val="BaseWeight"/>
      <sheetName val="VIABILITY"/>
      <sheetName val="Cost Heading"/>
      <sheetName val="D &amp; W sizes"/>
      <sheetName val="DetEst"/>
      <sheetName val="SOPMA DD"/>
      <sheetName val="Qtys ZamZam (Del. before)"/>
      <sheetName val="Qtys Relocation (Del before)"/>
      <sheetName val=" Qtys Sub &amp; Tents (Del. before)"/>
      <sheetName val="Qtys  Signages (Del. before)"/>
      <sheetName val="Qtys Temporary Passages (Del)"/>
      <sheetName val=" Qtys Ser. Rooms (Del before)"/>
      <sheetName val="[SHOPLIST.xls]/VWVU))tÏØ0__1"/>
      <sheetName val="[SHOPLIST.xls]/VWVU))tÏØ0__2"/>
      <sheetName val="Config-C"/>
      <sheetName val="Service"/>
      <sheetName val="Data Sheet"/>
      <sheetName val="Labour Costs"/>
      <sheetName val="PRL"/>
      <sheetName val="PB"/>
      <sheetName val="Z-_GENERAL_PRICE_SUMMARY1"/>
      <sheetName val="E_H_-_H__W_P_1"/>
      <sheetName val="E__H__Treatment_for_pile_cap1"/>
      <sheetName val="Form_61"/>
      <sheetName val="Risk_Register1"/>
      <sheetName val="Revised_Front_Page1"/>
      <sheetName val="Diff_Run01&amp;Run021"/>
      <sheetName val="CCS_Summary1"/>
      <sheetName val="1_Carillion_Staff1"/>
      <sheetName val="_2_Staff_&amp;_Gen_labour1"/>
      <sheetName val="3_Offices1"/>
      <sheetName val="4_TempServ1"/>
      <sheetName val="__5_Temp_Wks1"/>
      <sheetName val="_6_Addn_Plant1"/>
      <sheetName val="_7__Transport1"/>
      <sheetName val="_8_Testing1"/>
      <sheetName val="9__Miscellaneous1"/>
      <sheetName val="10__Design1"/>
      <sheetName val="_11_Insurances1"/>
      <sheetName val="_12_Client_Req_1"/>
      <sheetName val="Risk_List1"/>
      <sheetName val="Track_of_Changes1"/>
      <sheetName val="Bill_8_Doors_&amp;_Windows1"/>
      <sheetName val="Bill_9_Finishes_1"/>
      <sheetName val="Bill_10_Specialities1"/>
      <sheetName val="Cashflow_projection1"/>
      <sheetName val="Resumo_Empreitadas"/>
      <sheetName val="PPA_Summary"/>
      <sheetName val="Base_BM-rebar"/>
      <sheetName val="%_prog_figs_-u5_and_total"/>
      <sheetName val="_VWVU))tÏØ0__1"/>
      <sheetName val="[SHOPLIST_xls][SHOPLIST_xls][SH"/>
      <sheetName val="[SHOPLIST_xls]/VWVU))"/>
      <sheetName val="Data_Sheet"/>
      <sheetName val="Rate_analysis11"/>
      <sheetName val="GFA_HQ_Building18"/>
      <sheetName val="GFA_Conference17"/>
      <sheetName val="budget_summary_(2)15"/>
      <sheetName val="Budget_Analysis_Summary15"/>
      <sheetName val="StattCo_yCharges16"/>
      <sheetName val="BQ_External17"/>
      <sheetName val="Penthouse_Apartment16"/>
      <sheetName val="Raw_Data16"/>
      <sheetName val="Bill_No__216"/>
      <sheetName val="Graph_Data_(DO_NOT_PRINT)16"/>
      <sheetName val="Chiet_tinh_dz2216"/>
      <sheetName val="Chiet_tinh_dz3516"/>
      <sheetName val="CT_Thang_Mo16"/>
      <sheetName val="@risk_rents_and_incentives16"/>
      <sheetName val="Car_park_lease16"/>
      <sheetName val="Net_rent_analysis16"/>
      <sheetName val="Poz-1_16"/>
      <sheetName val="Lab_Cum_Hist16"/>
      <sheetName val="LABOUR_HISTOGRAM17"/>
      <sheetName val="LEVEL_SHEET16"/>
      <sheetName val="SPT_vs_PHI16"/>
      <sheetName val="Top_sheet15"/>
      <sheetName val="Projet,_methodes_&amp;_couts15"/>
      <sheetName val="Risques_majeurs_&amp;_Frais_Ind_15"/>
      <sheetName val="CT__PL15"/>
      <sheetName val="FOL_-_Bar16"/>
      <sheetName val="Customize_Your_Invoice16"/>
      <sheetName val="HVAC_BoQ16"/>
      <sheetName val="intr_stool_brkup15"/>
      <sheetName val="Tender_Summary16"/>
      <sheetName val="Insurance_Ext16"/>
      <sheetName val="Body_Sheet15"/>
      <sheetName val="1_0_Executive_Summary15"/>
      <sheetName val="Bill_214"/>
      <sheetName val="Ap_A13"/>
      <sheetName val="SHOPLIST_xls12"/>
      <sheetName val="Invoice_Summary12"/>
      <sheetName val="2_Div_14_13"/>
      <sheetName val="Bill_113"/>
      <sheetName val="Bill_313"/>
      <sheetName val="Bill_413"/>
      <sheetName val="Bill_513"/>
      <sheetName val="Bill_613"/>
      <sheetName val="Bill_713"/>
      <sheetName val="POWER_ASSUMPTIONS12"/>
      <sheetName val="beam-reinft-IIInd_floor12"/>
      <sheetName val="beam-reinft-machine_rm12"/>
      <sheetName val="Dubai_golf12"/>
      <sheetName val="PROJECT_BRIEF13"/>
      <sheetName val="C_(3)13"/>
      <sheetName val="BILL_COV9"/>
      <sheetName val="Ra__stair9"/>
      <sheetName val="PA-_Consutant_9"/>
      <sheetName val="WITHOUT_C&amp;I_PROFIT_(3)11"/>
      <sheetName val="Civil_Boq11"/>
      <sheetName val="HIRED_LABOUR_CODE9"/>
      <sheetName val="foot-slab_reinft9"/>
      <sheetName val="Activity_List11"/>
      <sheetName val="Softscape_Buildup11"/>
      <sheetName val="Mat'l_Rate11"/>
      <sheetName val="DETAILED__BOQ9"/>
      <sheetName val="M-Book_for_Conc9"/>
      <sheetName val="M-Book_for_FW9"/>
      <sheetName val="B185-B-9_17"/>
      <sheetName val="B185-B-9_27"/>
      <sheetName val="VALVE_CHAMBERS8"/>
      <sheetName val="Fire_Hydrants8"/>
      <sheetName val="B_GATE_VALVE8"/>
      <sheetName val="Sub_G1_Fire8"/>
      <sheetName val="Sub_G12_Fire8"/>
      <sheetName val="Day_work8"/>
      <sheetName val="CHART_OF_ACCOUNTS7"/>
      <sheetName val="E-Bill_No_6_A-O7"/>
      <sheetName val="Div__027"/>
      <sheetName val="Div__037"/>
      <sheetName val="Div__047"/>
      <sheetName val="Div__057"/>
      <sheetName val="Div__067"/>
      <sheetName val="Div__077"/>
      <sheetName val="Div__087"/>
      <sheetName val="Div__097"/>
      <sheetName val="Div__107"/>
      <sheetName val="Div__117"/>
      <sheetName val="Div__127"/>
      <sheetName val="Div_137"/>
      <sheetName val="EXTERNAL_WORKS7"/>
      <sheetName val="PRODUCTIVITY_RATE7"/>
      <sheetName val="U_R_A_-_MASONRY7"/>
      <sheetName val="U_R_A_-_PLASTERING7"/>
      <sheetName val="U_R_A_-_TILING7"/>
      <sheetName val="U_R_A_-_GRANITE7"/>
      <sheetName val="V_C_2_-_EARTHWORK7"/>
      <sheetName val="V_C_9_-_CERAMIC7"/>
      <sheetName val="V_C_9_-_FINISHES7"/>
      <sheetName val="bill_nb2-Plumbing_&amp;_Drainag6"/>
      <sheetName val="Pl_&amp;_Dr_B6"/>
      <sheetName val="Pl_&amp;_Dr_G6"/>
      <sheetName val="Pl_&amp;_Dr_M6"/>
      <sheetName val="Pl_&amp;_Dr_16"/>
      <sheetName val="Pl_&amp;_Dr_26"/>
      <sheetName val="Pl_&amp;_Dr_36"/>
      <sheetName val="Pl_&amp;_Dr_46"/>
      <sheetName val="Pl_&amp;_Dr_56"/>
      <sheetName val="Pl_&amp;_Dr_66"/>
      <sheetName val="Pl_&amp;_Dr_76"/>
      <sheetName val="Pl_&amp;_Dr_86"/>
      <sheetName val="Pl_&amp;_Dr_R6"/>
      <sheetName val="FF_B6"/>
      <sheetName val="FF_G6"/>
      <sheetName val="FF_M6"/>
      <sheetName val="FF_16"/>
      <sheetName val="FF_2_6"/>
      <sheetName val="FF_36"/>
      <sheetName val="FF_46"/>
      <sheetName val="FF_56"/>
      <sheetName val="FF_6_6"/>
      <sheetName val="FF_76"/>
      <sheetName val="FF_86"/>
      <sheetName val="FF_R6"/>
      <sheetName val="bill_nb3-FF6"/>
      <sheetName val="HVAC_B6"/>
      <sheetName val="HVAC_G6"/>
      <sheetName val="HVAC_M6"/>
      <sheetName val="HVAC_16"/>
      <sheetName val="HVAC_26"/>
      <sheetName val="HVAC_36"/>
      <sheetName val="HVAC_46"/>
      <sheetName val="HVAC_56"/>
      <sheetName val="HVAC_66"/>
      <sheetName val="HVAC_76"/>
      <sheetName val="HVAC_86"/>
      <sheetName val="HVAC_R6"/>
      <sheetName val="bill_nb4-HVAC6"/>
      <sheetName val="SC_B6"/>
      <sheetName val="SC_G6"/>
      <sheetName val="SC_M6"/>
      <sheetName val="SC_16"/>
      <sheetName val="SC_26"/>
      <sheetName val="SC_36"/>
      <sheetName val="SC_46"/>
      <sheetName val="SC_56"/>
      <sheetName val="SC_66"/>
      <sheetName val="SC_76"/>
      <sheetName val="SC_86"/>
      <sheetName val="SC_R6"/>
      <sheetName val="AV_B6"/>
      <sheetName val="AV_G6"/>
      <sheetName val="AV_M6"/>
      <sheetName val="AV_16"/>
      <sheetName val="AV_26"/>
      <sheetName val="AV_36"/>
      <sheetName val="AV_46"/>
      <sheetName val="AV_56"/>
      <sheetName val="AV_66"/>
      <sheetName val="AV_76"/>
      <sheetName val="AV_86"/>
      <sheetName val="EL_B6"/>
      <sheetName val="EL_M6"/>
      <sheetName val="EL_16"/>
      <sheetName val="EL_26"/>
      <sheetName val="EL_36"/>
      <sheetName val="EL_46"/>
      <sheetName val="EL_56"/>
      <sheetName val="EL_66"/>
      <sheetName val="EL_76"/>
      <sheetName val="EL_86"/>
      <sheetName val="EL_R6"/>
      <sheetName val="EL_TR6"/>
      <sheetName val="8-_EL6"/>
      <sheetName val="FA_B6"/>
      <sheetName val="FA_G6"/>
      <sheetName val="FA_M6"/>
      <sheetName val="FA_16"/>
      <sheetName val="FA_26"/>
      <sheetName val="FA_36"/>
      <sheetName val="FA_46"/>
      <sheetName val="FA_56"/>
      <sheetName val="FA_66"/>
      <sheetName val="FA_76"/>
      <sheetName val="FA_86"/>
      <sheetName val="FA_R6"/>
      <sheetName val="9-_FA6"/>
      <sheetName val="Eq__Mobilization7"/>
      <sheetName val="w't_table6"/>
      <sheetName val="Elemental_Buildup6"/>
      <sheetName val="Working_for_RCC7"/>
      <sheetName val="B09_17"/>
      <sheetName val="Index_List6"/>
      <sheetName val="Type_List6"/>
      <sheetName val="File_Types6"/>
      <sheetName val="PMWeb_data7"/>
      <sheetName val="SS_MH7"/>
      <sheetName val="PointNo_56"/>
      <sheetName val="2_2)Revised_Cash_Flow6"/>
      <sheetName val="Staffing_and_Rates_IA6"/>
      <sheetName val="Chiet_t6"/>
      <sheetName val="Division_217"/>
      <sheetName val="Division_46"/>
      <sheetName val="Division_56"/>
      <sheetName val="Division_66"/>
      <sheetName val="Division_76"/>
      <sheetName val="Division_86"/>
      <sheetName val="Division_96"/>
      <sheetName val="Division_106"/>
      <sheetName val="Division_126"/>
      <sheetName val="Division_146"/>
      <sheetName val="Division_218"/>
      <sheetName val="Division_226"/>
      <sheetName val="Division_236"/>
      <sheetName val="Division_266"/>
      <sheetName val="Division_276"/>
      <sheetName val="Division_286"/>
      <sheetName val="Division_316"/>
      <sheetName val="Division_326"/>
      <sheetName val="Division_336"/>
      <sheetName val="Material_List_6"/>
      <sheetName val="입찰내역_발주처_양식6"/>
      <sheetName val="Summary_of_Work4"/>
      <sheetName val="LIST_DO_NOT_REMOVE5"/>
      <sheetName val="Staff_Acco_4"/>
      <sheetName val="TBAL9697_-group_wise__sdpl4"/>
      <sheetName val="/VWVU))tÏØ0__6"/>
      <sheetName val="B6_2_5"/>
      <sheetName val="Annex_1_Sect_3a4"/>
      <sheetName val="Annex_1_Sect_3a_14"/>
      <sheetName val="Annex_1_Sect_3b4"/>
      <sheetName val="Annex_1_Sect_3c4"/>
      <sheetName val="HOURLY_RATES4"/>
      <sheetName val="Employee_List4"/>
      <sheetName val="Item-_Compact4"/>
      <sheetName val="E_&amp;_R4"/>
      <sheetName val="SITE_WORK3"/>
      <sheetName val="Рабочий_лист3"/>
      <sheetName val="Project_Cost_Breakdown4"/>
      <sheetName val="Rate_summary3"/>
      <sheetName val="PT_141-_Site_A_Landscape3"/>
      <sheetName val="Duct_Accesories3"/>
      <sheetName val="Mall_waterproofing3"/>
      <sheetName val="MSCP_waterproofing3"/>
      <sheetName val="d-safe_DELUXE3"/>
      <sheetName val="RAB_AR&amp;STR3"/>
      <sheetName val="Back_up3"/>
      <sheetName val="INDIGINEOUS_ITEMS_3"/>
      <sheetName val="[SHOPLIST_xls][SHOPLIST_xls]703"/>
      <sheetName val="Z-_GENERAL_PRICE_SUMMARY2"/>
      <sheetName val="????_???_??3"/>
      <sheetName val="train_cash3"/>
      <sheetName val="accom_cash3"/>
      <sheetName val="Floor_Box_2"/>
      <sheetName val="Geneí¬_i2"/>
      <sheetName val="Risk_Breakdown_Structure2"/>
      <sheetName val="[SHOPLIST_xls][SHOPLIST_xls]704"/>
      <sheetName val="E_H_-_H__W_P_2"/>
      <sheetName val="E__H__Treatment_for_pile_cap2"/>
      <sheetName val="Form_62"/>
      <sheetName val="Risk_Register2"/>
      <sheetName val="Revised_Front_Page2"/>
      <sheetName val="Diff_Run01&amp;Run022"/>
      <sheetName val="CCS_Summary2"/>
      <sheetName val="1_Carillion_Staff2"/>
      <sheetName val="_2_Staff_&amp;_Gen_labour2"/>
      <sheetName val="3_Offices2"/>
      <sheetName val="4_TempServ2"/>
      <sheetName val="__5_Temp_Wks2"/>
      <sheetName val="_6_Addn_Plant2"/>
      <sheetName val="_7__Transport2"/>
      <sheetName val="_8_Testing2"/>
      <sheetName val="9__Miscellaneous2"/>
      <sheetName val="10__Design2"/>
      <sheetName val="_11_Insurances2"/>
      <sheetName val="_12_Client_Req_2"/>
      <sheetName val="Risk_List2"/>
      <sheetName val="Track_of_Changes2"/>
      <sheetName val="Bill_8_Doors_&amp;_Windows2"/>
      <sheetName val="Bill_9_Finishes_2"/>
      <sheetName val="Bill_10_Specialities2"/>
      <sheetName val="Cashflow_projection2"/>
      <sheetName val="Resumo_Empreitadas1"/>
      <sheetName val="PPA_Summary1"/>
      <sheetName val="Equipment_Rates1"/>
      <sheetName val="[SHOPLIST_xls]701"/>
      <sheetName val="[SHOPLIST_xls]70,1"/>
      <sheetName val="Base_BM-rebar1"/>
      <sheetName val="%_prog_figs_-u5_and_total1"/>
      <sheetName val="_VWVU))tÏØ0__2"/>
      <sheetName val="[SHOPLIST_xls][SHOPLIST_xls][S1"/>
      <sheetName val="Data_Sheet1"/>
      <sheetName val="GFA_HQ_Building19"/>
      <sheetName val="GFA_Conference18"/>
      <sheetName val="budget_summary_(2)16"/>
      <sheetName val="Budget_Analysis_Summary16"/>
      <sheetName val="StattCo_yCharges17"/>
      <sheetName val="BQ_External18"/>
      <sheetName val="Penthouse_Apartment17"/>
      <sheetName val="Raw_Data17"/>
      <sheetName val="Bill_No__217"/>
      <sheetName val="Graph_Data_(DO_NOT_PRINT)17"/>
      <sheetName val="Chiet_tinh_dz2217"/>
      <sheetName val="Chiet_tinh_dz3517"/>
      <sheetName val="CT_Thang_Mo17"/>
      <sheetName val="@risk_rents_and_incentives17"/>
      <sheetName val="Car_park_lease17"/>
      <sheetName val="Net_rent_analysis17"/>
      <sheetName val="Poz-1_17"/>
      <sheetName val="Lab_Cum_Hist17"/>
      <sheetName val="LABOUR_HISTOGRAM18"/>
      <sheetName val="LEVEL_SHEET17"/>
      <sheetName val="SPT_vs_PHI17"/>
      <sheetName val="Top_sheet16"/>
      <sheetName val="Projet,_methodes_&amp;_couts16"/>
      <sheetName val="Risques_majeurs_&amp;_Frais_Ind_16"/>
      <sheetName val="CT__PL16"/>
      <sheetName val="FOL_-_Bar17"/>
      <sheetName val="Customize_Your_Invoice17"/>
      <sheetName val="HVAC_BoQ17"/>
      <sheetName val="intr_stool_brkup16"/>
      <sheetName val="Tender_Summary17"/>
      <sheetName val="Insurance_Ext17"/>
      <sheetName val="Body_Sheet16"/>
      <sheetName val="1_0_Executive_Summary16"/>
      <sheetName val="Bill_215"/>
      <sheetName val="Ap_A14"/>
      <sheetName val="SHOPLIST_xls13"/>
      <sheetName val="Invoice_Summary13"/>
      <sheetName val="2_Div_14_14"/>
      <sheetName val="Bill_114"/>
      <sheetName val="Bill_314"/>
      <sheetName val="Bill_414"/>
      <sheetName val="Bill_514"/>
      <sheetName val="Bill_614"/>
      <sheetName val="Bill_714"/>
      <sheetName val="POWER_ASSUMPTIONS13"/>
      <sheetName val="beam-reinft-IIInd_floor13"/>
      <sheetName val="beam-reinft-machine_rm13"/>
      <sheetName val="Dubai_golf13"/>
      <sheetName val="PROJECT_BRIEF14"/>
      <sheetName val="C_(3)14"/>
      <sheetName val="BILL_COV10"/>
      <sheetName val="Ra__stair10"/>
      <sheetName val="PA-_Consutant_10"/>
      <sheetName val="WITHOUT_C&amp;I_PROFIT_(3)12"/>
      <sheetName val="Civil_Boq12"/>
      <sheetName val="HIRED_LABOUR_CODE10"/>
      <sheetName val="foot-slab_reinft10"/>
      <sheetName val="Activity_List12"/>
      <sheetName val="Softscape_Buildup12"/>
      <sheetName val="Mat'l_Rate12"/>
      <sheetName val="DETAILED__BOQ10"/>
      <sheetName val="M-Book_for_Conc10"/>
      <sheetName val="M-Book_for_FW10"/>
      <sheetName val="B185-B-9_18"/>
      <sheetName val="B185-B-9_28"/>
      <sheetName val="VALVE_CHAMBERS9"/>
      <sheetName val="Fire_Hydrants9"/>
      <sheetName val="B_GATE_VALVE9"/>
      <sheetName val="Sub_G1_Fire9"/>
      <sheetName val="Sub_G12_Fire9"/>
      <sheetName val="Day_work9"/>
      <sheetName val="BOQ_Direct_selling_cost8"/>
      <sheetName val="Materials_Cost(PCC)8"/>
      <sheetName val="India_F&amp;S_Template8"/>
      <sheetName val="IO_LIST8"/>
      <sheetName val="Material_8"/>
      <sheetName val="CHART_OF_ACCOUNTS8"/>
      <sheetName val="E-Bill_No_6_A-O8"/>
      <sheetName val="Quote_Sheet8"/>
      <sheetName val="Div__028"/>
      <sheetName val="Div__038"/>
      <sheetName val="Div__048"/>
      <sheetName val="Div__058"/>
      <sheetName val="Div__068"/>
      <sheetName val="Div__078"/>
      <sheetName val="Div__088"/>
      <sheetName val="Div__098"/>
      <sheetName val="Div__108"/>
      <sheetName val="Div__118"/>
      <sheetName val="Div__128"/>
      <sheetName val="Div_138"/>
      <sheetName val="EXTERNAL_WORKS8"/>
      <sheetName val="PRODUCTIVITY_RATE8"/>
      <sheetName val="U_R_A_-_MASONRY8"/>
      <sheetName val="U_R_A_-_PLASTERING8"/>
      <sheetName val="U_R_A_-_TILING8"/>
      <sheetName val="U_R_A_-_GRANITE8"/>
      <sheetName val="V_C_2_-_EARTHWORK8"/>
      <sheetName val="V_C_9_-_CERAMIC8"/>
      <sheetName val="V_C_9_-_FINISHES8"/>
      <sheetName val="bill_nb2-Plumbing_&amp;_Drainag7"/>
      <sheetName val="Pl_&amp;_Dr_B7"/>
      <sheetName val="Pl_&amp;_Dr_G7"/>
      <sheetName val="Pl_&amp;_Dr_M7"/>
      <sheetName val="Pl_&amp;_Dr_17"/>
      <sheetName val="Pl_&amp;_Dr_27"/>
      <sheetName val="Pl_&amp;_Dr_37"/>
      <sheetName val="Pl_&amp;_Dr_47"/>
      <sheetName val="Pl_&amp;_Dr_57"/>
      <sheetName val="Pl_&amp;_Dr_67"/>
      <sheetName val="Pl_&amp;_Dr_77"/>
      <sheetName val="Pl_&amp;_Dr_87"/>
      <sheetName val="Pl_&amp;_Dr_R7"/>
      <sheetName val="FF_B7"/>
      <sheetName val="FF_G7"/>
      <sheetName val="FF_M7"/>
      <sheetName val="FF_17"/>
      <sheetName val="FF_2_7"/>
      <sheetName val="FF_37"/>
      <sheetName val="FF_47"/>
      <sheetName val="FF_57"/>
      <sheetName val="FF_6_7"/>
      <sheetName val="FF_77"/>
      <sheetName val="FF_87"/>
      <sheetName val="FF_R7"/>
      <sheetName val="bill_nb3-FF7"/>
      <sheetName val="HVAC_B7"/>
      <sheetName val="HVAC_G7"/>
      <sheetName val="HVAC_M7"/>
      <sheetName val="HVAC_17"/>
      <sheetName val="HVAC_27"/>
      <sheetName val="HVAC_37"/>
      <sheetName val="HVAC_47"/>
      <sheetName val="HVAC_57"/>
      <sheetName val="HVAC_67"/>
      <sheetName val="HVAC_77"/>
      <sheetName val="HVAC_87"/>
      <sheetName val="HVAC_R7"/>
      <sheetName val="bill_nb4-HVAC7"/>
      <sheetName val="SC_B7"/>
      <sheetName val="SC_G7"/>
      <sheetName val="SC_M7"/>
      <sheetName val="SC_17"/>
      <sheetName val="SC_27"/>
      <sheetName val="SC_37"/>
      <sheetName val="SC_47"/>
      <sheetName val="SC_57"/>
      <sheetName val="SC_67"/>
      <sheetName val="SC_77"/>
      <sheetName val="SC_87"/>
      <sheetName val="SC_R7"/>
      <sheetName val="AV_B7"/>
      <sheetName val="AV_G7"/>
      <sheetName val="AV_M7"/>
      <sheetName val="AV_17"/>
      <sheetName val="AV_27"/>
      <sheetName val="AV_37"/>
      <sheetName val="AV_47"/>
      <sheetName val="AV_57"/>
      <sheetName val="AV_67"/>
      <sheetName val="AV_77"/>
      <sheetName val="AV_87"/>
      <sheetName val="EL_B7"/>
      <sheetName val="EL_M7"/>
      <sheetName val="EL_17"/>
      <sheetName val="EL_27"/>
      <sheetName val="EL_37"/>
      <sheetName val="EL_47"/>
      <sheetName val="EL_57"/>
      <sheetName val="EL_67"/>
      <sheetName val="EL_77"/>
      <sheetName val="EL_87"/>
      <sheetName val="EL_R7"/>
      <sheetName val="EL_TR7"/>
      <sheetName val="8-_EL7"/>
      <sheetName val="FA_B7"/>
      <sheetName val="FA_G7"/>
      <sheetName val="FA_M7"/>
      <sheetName val="FA_17"/>
      <sheetName val="FA_27"/>
      <sheetName val="FA_37"/>
      <sheetName val="FA_47"/>
      <sheetName val="FA_57"/>
      <sheetName val="FA_67"/>
      <sheetName val="FA_77"/>
      <sheetName val="FA_87"/>
      <sheetName val="FA_R7"/>
      <sheetName val="9-_FA7"/>
      <sheetName val="Eq__Mobilization8"/>
      <sheetName val="w't_table7"/>
      <sheetName val="Elemental_Buildup7"/>
      <sheetName val="Working_for_RCC8"/>
      <sheetName val="B09_18"/>
      <sheetName val="Index_List7"/>
      <sheetName val="Type_List7"/>
      <sheetName val="File_Types7"/>
      <sheetName val="PMWeb_data8"/>
      <sheetName val="SS_MH8"/>
      <sheetName val="PointNo_57"/>
      <sheetName val="2_2)Revised_Cash_Flow7"/>
      <sheetName val="Staffing_and_Rates_IA7"/>
      <sheetName val="Chiet_t7"/>
      <sheetName val="Division_219"/>
      <sheetName val="Division_47"/>
      <sheetName val="Division_57"/>
      <sheetName val="Division_67"/>
      <sheetName val="Division_77"/>
      <sheetName val="Division_87"/>
      <sheetName val="Division_97"/>
      <sheetName val="Division_107"/>
      <sheetName val="Division_127"/>
      <sheetName val="Division_147"/>
      <sheetName val="Division_2110"/>
      <sheetName val="Division_227"/>
      <sheetName val="Division_237"/>
      <sheetName val="Division_267"/>
      <sheetName val="Division_277"/>
      <sheetName val="Division_287"/>
      <sheetName val="Division_317"/>
      <sheetName val="Division_327"/>
      <sheetName val="Division_337"/>
      <sheetName val="Material_List_7"/>
      <sheetName val="입찰내역_발주처_양식7"/>
      <sheetName val="PRECAST_lightconc-II8"/>
      <sheetName val="final_abstract8"/>
      <sheetName val="Summary_of_Work5"/>
      <sheetName val="LIST_DO_NOT_REMOVE6"/>
      <sheetName val="Staff_Acco_5"/>
      <sheetName val="TBAL9697_-group_wise__sdpl5"/>
      <sheetName val="/VWVU))tÏØ0__7"/>
      <sheetName val="B6_2_6"/>
      <sheetName val="Annex_1_Sect_3a5"/>
      <sheetName val="Annex_1_Sect_3a_15"/>
      <sheetName val="Annex_1_Sect_3b5"/>
      <sheetName val="Annex_1_Sect_3c5"/>
      <sheetName val="HOURLY_RATES5"/>
      <sheetName val="Employee_List5"/>
      <sheetName val="Item-_Compact5"/>
      <sheetName val="E_&amp;_R5"/>
      <sheetName val="SITE_WORK4"/>
      <sheetName val="Рабочий_лист4"/>
      <sheetName val="Project_Cost_Breakdown5"/>
      <sheetName val="Rate_summary4"/>
      <sheetName val="PT_141-_Site_A_Landscape4"/>
      <sheetName val="Duct_Accesories4"/>
      <sheetName val="Mall_waterproofing4"/>
      <sheetName val="MSCP_waterproofing4"/>
      <sheetName val="d-safe_DELUXE4"/>
      <sheetName val="RAB_AR&amp;STR4"/>
      <sheetName val="Back_up4"/>
      <sheetName val="INDIGINEOUS_ITEMS_4"/>
      <sheetName val="Labour_&amp;_Plant3"/>
      <sheetName val="[SHOPLIST_xls][SHOPLIST_xls]705"/>
      <sheetName val="[SHOPLIST_xls]70,/0s«iÆøí¬i3"/>
      <sheetName val="Z-_GENERAL_PRICE_SUMMARY3"/>
      <sheetName val="????_???_??4"/>
      <sheetName val="GPL_Revenu_Update3"/>
      <sheetName val="DO_NOT_TOUCH3"/>
      <sheetName val="Work_Type3"/>
      <sheetName val="Ave_wtd_rates3"/>
      <sheetName val="Debits_as_on_12_04_083"/>
      <sheetName val="STAFFSCHED_3"/>
      <sheetName val="TRIAL_BALANCE3"/>
      <sheetName val="Common_Variables3"/>
      <sheetName val="train_cash4"/>
      <sheetName val="accom_cash4"/>
      <sheetName val="Floor_Box_3"/>
      <sheetName val="Geneí¬_i3"/>
      <sheetName val="Risk_Breakdown_Structure3"/>
      <sheetName val="[SHOPLIST_xls][SHOPLIST_xls]706"/>
      <sheetName val="E_H_-_H__W_P_3"/>
      <sheetName val="E__H__Treatment_for_pile_cap3"/>
      <sheetName val="Form_63"/>
      <sheetName val="Risk_Register3"/>
      <sheetName val="Revised_Front_Page3"/>
      <sheetName val="Diff_Run01&amp;Run023"/>
      <sheetName val="CCS_Summary3"/>
      <sheetName val="1_Carillion_Staff3"/>
      <sheetName val="_2_Staff_&amp;_Gen_labour3"/>
      <sheetName val="3_Offices3"/>
      <sheetName val="4_TempServ3"/>
      <sheetName val="__5_Temp_Wks3"/>
      <sheetName val="_6_Addn_Plant3"/>
      <sheetName val="_7__Transport3"/>
      <sheetName val="_8_Testing3"/>
      <sheetName val="9__Miscellaneous3"/>
      <sheetName val="10__Design3"/>
      <sheetName val="_11_Insurances3"/>
      <sheetName val="_12_Client_Req_3"/>
      <sheetName val="Risk_List3"/>
      <sheetName val="Track_of_Changes3"/>
      <sheetName val="Bill_8_Doors_&amp;_Windows3"/>
      <sheetName val="Bill_9_Finishes_3"/>
      <sheetName val="Bill_10_Specialities3"/>
      <sheetName val="Cashflow_projection3"/>
      <sheetName val="steel_total2"/>
      <sheetName val="ELE_BOQ2"/>
      <sheetName val="Resumo_Empreitadas2"/>
      <sheetName val="PROJECT_BRIEF(EX_NEW)3"/>
      <sheetName val="PPA_Summary2"/>
      <sheetName val="Equipment_Rates2"/>
      <sheetName val="[SHOPLIST_xls]702"/>
      <sheetName val="[SHOPLIST_xls]70,2"/>
      <sheetName val="Base_BM-rebar2"/>
      <sheetName val="%_prog_figs_-u5_and_total2"/>
      <sheetName val="_VWVU))tÏØ0__3"/>
      <sheetName val="[SHOPLIST_xls][SHOPLIST_xls][S2"/>
      <sheetName val="AREA_OF_APPLICATION2"/>
      <sheetName val="Data_Sheet2"/>
      <sheetName val="ACC"/>
      <sheetName val="Div.07 Thermal &amp; Moisture"/>
      <sheetName val="hist&amp;proj"/>
      <sheetName val="door"/>
      <sheetName val="window"/>
      <sheetName val="Appendix B"/>
      <sheetName val="BLOCK-A (MEA.SHEET)"/>
      <sheetName val="BOQp4"/>
      <sheetName val="allowances"/>
      <sheetName val="tender allowances"/>
      <sheetName val=" Summary BKG 034"/>
      <sheetName val="BILL 3R"/>
      <sheetName val="sheet6"/>
      <sheetName val="2F 회의실견적(5_14 일대)"/>
      <sheetName val=" HIT-&gt;HMC 견적(3900)"/>
      <sheetName val="DATI_CONS"/>
      <sheetName val="STAIR-A"/>
      <sheetName val="B1"/>
      <sheetName val="Ewaan Show Kitchen (2)"/>
      <sheetName val="Cash Flow Working"/>
      <sheetName val="Data I (2)"/>
      <sheetName val="rEFERENCES "/>
      <sheetName val="DIV2"/>
      <sheetName val="DIV3"/>
      <sheetName val="DIV4"/>
      <sheetName val="DIV7"/>
      <sheetName val="DIV9"/>
      <sheetName val="KAP-2_C1_ALBAHA_GRID_POINT_NGL"/>
      <sheetName val="Material&amp;equipment"/>
      <sheetName val="MN T.B."/>
      <sheetName val="COMPLEXALL"/>
      <sheetName val="[SHOPLIST.xls]/VWVU))tÏØ0__3"/>
      <sheetName val="[SHOPLIST.xls]70,/0s«_iÆø_í¬_i"/>
      <sheetName val="[SHOPLIST.xls]70?,/0?s«i?Æøí¬i?"/>
      <sheetName val="Finansal tamamlanma Eğrisi"/>
      <sheetName val="2 Plex"/>
      <sheetName val="Sheet1 (2)"/>
      <sheetName val="4 Plex"/>
      <sheetName val="6 Plex "/>
      <sheetName val="Detailed Summary"/>
      <sheetName val="Sheet1 (3)"/>
      <sheetName val="Sheet1 (4)"/>
      <sheetName val="Print"/>
      <sheetName val="precast RC element"/>
      <sheetName val="pile Fabrication"/>
      <sheetName val="New Bld"/>
      <sheetName val="BHANDUP"/>
      <sheetName val="70_x0000_,/0_x0000_s«_x0008_i_x"/>
      <sheetName val="11"/>
      <sheetName val="Sheet Index"/>
      <sheetName val="Trade Summary"/>
      <sheetName val="工程量"/>
      <sheetName val="[SHOPLIST.xls]/VWVU))tÏØ0__4"/>
      <sheetName val="BOQ (2)"/>
      <sheetName val="Names"/>
      <sheetName val="LABOUR RATE"/>
      <sheetName val="Material Rate"/>
      <sheetName val="Labor abs-PW"/>
      <sheetName val="Labor abs-NMR"/>
      <sheetName val="WBS01"/>
      <sheetName val="WBS10"/>
      <sheetName val="WBS11"/>
      <sheetName val="WBS12"/>
      <sheetName val="WBS13"/>
      <sheetName val="WBS14"/>
      <sheetName val="WBS15"/>
      <sheetName val="WBS16"/>
      <sheetName val="WBS17"/>
      <sheetName val="WBS18"/>
      <sheetName val="WBS19"/>
      <sheetName val="WBS02"/>
      <sheetName val="WBS20"/>
      <sheetName val="WBS03"/>
      <sheetName val="WBS04"/>
      <sheetName val="WBS05"/>
      <sheetName val="WBS06"/>
      <sheetName val="WBS07"/>
      <sheetName val="WBS08"/>
      <sheetName val="WBS09"/>
      <sheetName val="Package-2"/>
      <sheetName val="Combined Results "/>
      <sheetName val="Cashflow"/>
      <sheetName val="RA"/>
      <sheetName val="grid"/>
      <sheetName val="para"/>
      <sheetName val="kppl pl"/>
      <sheetName val="Basic Rates"/>
      <sheetName val="Materials_Cost(PCC)9"/>
      <sheetName val="India_F&amp;S_Template9"/>
      <sheetName val="IO_LIST9"/>
      <sheetName val="Material_9"/>
      <sheetName val="Quote_Sheet9"/>
      <sheetName val="BOQ_Direct_selling_cost9"/>
      <sheetName val="PRECAST_lightconc-II9"/>
      <sheetName val="final_abstract9"/>
      <sheetName val="Labour_&amp;_Plant4"/>
      <sheetName val="Ave_wtd_rates4"/>
      <sheetName val="Debits_as_on_12_04_084"/>
      <sheetName val="STAFFSCHED_4"/>
      <sheetName val="TRIAL_BALANCE4"/>
      <sheetName val="[SHOPLIST_xls]70,/0s«iÆøí¬i4"/>
      <sheetName val="Common_Variables4"/>
      <sheetName val="GPL_Revenu_Update4"/>
      <sheetName val="DO_NOT_TOUCH4"/>
      <sheetName val="Work_Type4"/>
      <sheetName val="PROJECT_BRIEF(EX_NEW)4"/>
      <sheetName val="AREA_OF_APPLICATION3"/>
      <sheetName val="steel_total3"/>
      <sheetName val="ELE_BOQ3"/>
      <sheetName val="Mix_Design"/>
      <sheetName val="Dash board"/>
      <sheetName val="Report"/>
      <sheetName val="PROCTOR"/>
      <sheetName val="Status Summary"/>
      <sheetName val="LANGUAGE"/>
      <sheetName val="AREAS"/>
      <sheetName val="Labour Rate "/>
      <sheetName val="(M+L)"/>
      <sheetName val="Names&amp;Cases"/>
      <sheetName val="Tables"/>
      <sheetName val="Calculations"/>
      <sheetName val="GS"/>
      <sheetName val="1 - Main Building"/>
      <sheetName val="1 - Summary"/>
      <sheetName val="2 - Landscaping Works"/>
      <sheetName val="2 - Summary"/>
      <sheetName val="4 - Bldg Infra"/>
      <sheetName val="4 - Summary"/>
      <sheetName val="Materials_"/>
      <sheetName val="Asset Allocation (CR)"/>
      <sheetName val="Project Benchmarking"/>
      <sheetName val="Dashboard (1)"/>
      <sheetName val="Remeasure"/>
      <sheetName val="VO Agreed to Unifier Sum"/>
      <sheetName val="VO Not yet Agreed to Unifier"/>
      <sheetName val="VO Anticipated to Unifier"/>
      <sheetName val="EW to Unifier"/>
      <sheetName val="Prov Sums"/>
      <sheetName val="Claims"/>
      <sheetName val="Other Amounts"/>
      <sheetName val="Data Validation"/>
      <sheetName val="TOSHIBA-Structure"/>
      <sheetName val="NKC6"/>
      <sheetName val="Div26 - Elect"/>
      <sheetName val="CHUNG CU CARRILON"/>
      <sheetName val="Sheet5"/>
      <sheetName val="Status "/>
      <sheetName val="CLIENT BUDGET"/>
      <sheetName val="Reco-June 2019"/>
      <sheetName val="REMINING PROGRESS"/>
      <sheetName val="OS&amp;E  IT"/>
      <sheetName val="PAID AMOUNT"/>
      <sheetName val="IPA.21"/>
      <sheetName val="Order by owner"/>
      <sheetName val="IT"/>
      <sheetName val="PERLIM. Sammary"/>
      <sheetName val="KBEC"/>
      <sheetName val="retention"/>
      <sheetName val="RECOVER OF DOUBLE PAYMENT"/>
      <sheetName val="RECTIFICATION"/>
      <sheetName val="rathath al matar"/>
      <sheetName val="faradooni"/>
      <sheetName val="WOTEK"/>
      <sheetName val="MINERWA"/>
      <sheetName val="INTERNAL LINE "/>
      <sheetName val="MINOVA.AL DEYAR"/>
      <sheetName val="OTIS"/>
      <sheetName val="WATERMAN"/>
      <sheetName val="BEAM"/>
      <sheetName val="PLATFORMS"/>
      <sheetName val="BLUE RHINE"/>
      <sheetName val="MALT"/>
      <sheetName val="NATIONAL PAINT"/>
      <sheetName val="MESSARA"/>
      <sheetName val="FIRE RATED"/>
      <sheetName val="MARBLE"/>
      <sheetName val="JASWAY"/>
      <sheetName val="HB CEC schd 4.2"/>
      <sheetName val="HB CEC schd 4.3"/>
      <sheetName val="HB CEC schd 5.2"/>
      <sheetName val="HB CEC schd 6.2"/>
      <sheetName val="HB CEC schd 7.2"/>
      <sheetName val="HB CEC schd 9.2"/>
      <sheetName val="Doha Farm"/>
      <sheetName val="Dropdown List"/>
      <sheetName val="GFA_HQ_Building20"/>
      <sheetName val="GFA_Conference19"/>
      <sheetName val="BQ_External19"/>
      <sheetName val="Graph_Data_(DO_NOT_PRINT)18"/>
      <sheetName val="StattCo_yCharges18"/>
      <sheetName val="Penthouse_Apartment18"/>
      <sheetName val="LABOUR_HISTOGRAM19"/>
      <sheetName val="Chiet_tinh_dz2218"/>
      <sheetName val="Chiet_tinh_dz3518"/>
      <sheetName val="@risk_rents_and_incentives18"/>
      <sheetName val="Car_park_lease18"/>
      <sheetName val="Net_rent_analysis18"/>
      <sheetName val="Poz-1_18"/>
      <sheetName val="Lab_Cum_Hist18"/>
      <sheetName val="Raw_Data18"/>
      <sheetName val="Bill_No__218"/>
      <sheetName val="CT_Thang_Mo18"/>
      <sheetName val="budget_summary_(2)17"/>
      <sheetName val="Budget_Analysis_Summary17"/>
      <sheetName val="LEVEL_SHEET18"/>
      <sheetName val="SPT_vs_PHI18"/>
      <sheetName val="CT__PL17"/>
      <sheetName val="Projet,_methodes_&amp;_couts17"/>
      <sheetName val="Risques_majeurs_&amp;_Frais_Ind_17"/>
      <sheetName val="FOL_-_Bar18"/>
      <sheetName val="intr_stool_brkup17"/>
      <sheetName val="Tender_Summary18"/>
      <sheetName val="Insurance_Ext18"/>
      <sheetName val="Customize_Your_Invoice18"/>
      <sheetName val="HVAC_BoQ18"/>
      <sheetName val="Body_Sheet17"/>
      <sheetName val="1_0_Executive_Summary17"/>
      <sheetName val="Top_sheet17"/>
      <sheetName val="Ap_A15"/>
      <sheetName val="SHOPLIST_xls14"/>
      <sheetName val="Bill_216"/>
      <sheetName val="2_Div_14_15"/>
      <sheetName val="beam-reinft-IIInd_floor14"/>
      <sheetName val="beam-reinft-machine_rm14"/>
      <sheetName val="Bill_115"/>
      <sheetName val="Bill_315"/>
      <sheetName val="Bill_415"/>
      <sheetName val="Bill_515"/>
      <sheetName val="Bill_615"/>
      <sheetName val="Bill_715"/>
      <sheetName val="POWER_ASSUMPTIONS14"/>
      <sheetName val="Invoice_Summary14"/>
      <sheetName val="PROJECT_BRIEF15"/>
      <sheetName val="Civil_Boq13"/>
      <sheetName val="C_(3)15"/>
      <sheetName val="Dubai_golf14"/>
      <sheetName val="WITHOUT_C&amp;I_PROFIT_(3)13"/>
      <sheetName val="HIRED_LABOUR_CODE11"/>
      <sheetName val="PA-_Consutant_11"/>
      <sheetName val="foot-slab_reinft11"/>
      <sheetName val="Softscape_Buildup13"/>
      <sheetName val="Mat'l_Rate13"/>
      <sheetName val="VALVE_CHAMBERS10"/>
      <sheetName val="Fire_Hydrants10"/>
      <sheetName val="B_GATE_VALVE10"/>
      <sheetName val="Sub_G1_Fire10"/>
      <sheetName val="Sub_G12_Fire10"/>
      <sheetName val="Activity_List13"/>
      <sheetName val="BILL_COV11"/>
      <sheetName val="Ra__stair11"/>
      <sheetName val="DETAILED__BOQ11"/>
      <sheetName val="M-Book_for_Conc11"/>
      <sheetName val="M-Book_for_FW11"/>
      <sheetName val="Materials_Cost(PCC)10"/>
      <sheetName val="India_F&amp;S_Template10"/>
      <sheetName val="IO_LIST10"/>
      <sheetName val="Material_10"/>
      <sheetName val="Quote_Sheet10"/>
      <sheetName val="Day_work10"/>
      <sheetName val="Working_for_RCC9"/>
      <sheetName val="Div__029"/>
      <sheetName val="Div__039"/>
      <sheetName val="Div__049"/>
      <sheetName val="Div__059"/>
      <sheetName val="Div__069"/>
      <sheetName val="Div__079"/>
      <sheetName val="Div__089"/>
      <sheetName val="Div__099"/>
      <sheetName val="Div__109"/>
      <sheetName val="Div__119"/>
      <sheetName val="Div__129"/>
      <sheetName val="Div_139"/>
      <sheetName val="EXTERNAL_WORKS9"/>
      <sheetName val="PRODUCTIVITY_RATE9"/>
      <sheetName val="U_R_A_-_MASONRY9"/>
      <sheetName val="U_R_A_-_PLASTERING9"/>
      <sheetName val="U_R_A_-_TILING9"/>
      <sheetName val="U_R_A_-_GRANITE9"/>
      <sheetName val="V_C_2_-_EARTHWORK9"/>
      <sheetName val="V_C_9_-_CERAMIC9"/>
      <sheetName val="V_C_9_-_FINISHES9"/>
      <sheetName val="Elemental_Buildup8"/>
      <sheetName val="Eq__Mobilization9"/>
      <sheetName val="w't_table8"/>
      <sheetName val="bill_nb2-Plumbing_&amp;_Drainag8"/>
      <sheetName val="Pl_&amp;_Dr_B8"/>
      <sheetName val="Pl_&amp;_Dr_G8"/>
      <sheetName val="Pl_&amp;_Dr_M8"/>
      <sheetName val="Pl_&amp;_Dr_18"/>
      <sheetName val="Pl_&amp;_Dr_28"/>
      <sheetName val="Pl_&amp;_Dr_38"/>
      <sheetName val="Pl_&amp;_Dr_48"/>
      <sheetName val="Pl_&amp;_Dr_58"/>
      <sheetName val="Pl_&amp;_Dr_68"/>
      <sheetName val="Pl_&amp;_Dr_78"/>
      <sheetName val="Pl_&amp;_Dr_88"/>
      <sheetName val="Pl_&amp;_Dr_R8"/>
      <sheetName val="FF_B8"/>
      <sheetName val="FF_G8"/>
      <sheetName val="FF_M8"/>
      <sheetName val="FF_18"/>
      <sheetName val="FF_2_8"/>
      <sheetName val="FF_38"/>
      <sheetName val="FF_48"/>
      <sheetName val="FF_58"/>
      <sheetName val="FF_6_8"/>
      <sheetName val="FF_78"/>
      <sheetName val="FF_88"/>
      <sheetName val="FF_R8"/>
      <sheetName val="bill_nb3-FF8"/>
      <sheetName val="HVAC_B8"/>
      <sheetName val="HVAC_G8"/>
      <sheetName val="HVAC_M8"/>
      <sheetName val="HVAC_18"/>
      <sheetName val="HVAC_28"/>
      <sheetName val="HVAC_38"/>
      <sheetName val="HVAC_48"/>
      <sheetName val="HVAC_58"/>
      <sheetName val="HVAC_68"/>
      <sheetName val="HVAC_78"/>
      <sheetName val="HVAC_88"/>
      <sheetName val="HVAC_R8"/>
      <sheetName val="bill_nb4-HVAC8"/>
      <sheetName val="SC_B8"/>
      <sheetName val="SC_G8"/>
      <sheetName val="SC_M8"/>
      <sheetName val="SC_18"/>
      <sheetName val="SC_28"/>
      <sheetName val="SC_38"/>
      <sheetName val="SC_48"/>
      <sheetName val="SC_58"/>
      <sheetName val="SC_68"/>
      <sheetName val="SC_78"/>
      <sheetName val="SC_88"/>
      <sheetName val="SC_R8"/>
      <sheetName val="AV_B8"/>
      <sheetName val="AV_G8"/>
      <sheetName val="AV_M8"/>
      <sheetName val="AV_18"/>
      <sheetName val="AV_28"/>
      <sheetName val="AV_38"/>
      <sheetName val="AV_48"/>
      <sheetName val="AV_58"/>
      <sheetName val="AV_68"/>
      <sheetName val="AV_78"/>
      <sheetName val="AV_88"/>
      <sheetName val="EL_B8"/>
      <sheetName val="EL_M8"/>
      <sheetName val="EL_18"/>
      <sheetName val="EL_28"/>
      <sheetName val="EL_38"/>
      <sheetName val="EL_48"/>
      <sheetName val="EL_58"/>
      <sheetName val="EL_68"/>
      <sheetName val="EL_78"/>
      <sheetName val="EL_88"/>
      <sheetName val="EL_R8"/>
      <sheetName val="EL_TR8"/>
      <sheetName val="8-_EL8"/>
      <sheetName val="FA_B8"/>
      <sheetName val="FA_G8"/>
      <sheetName val="FA_M8"/>
      <sheetName val="FA_18"/>
      <sheetName val="FA_28"/>
      <sheetName val="FA_38"/>
      <sheetName val="FA_48"/>
      <sheetName val="FA_58"/>
      <sheetName val="FA_68"/>
      <sheetName val="FA_78"/>
      <sheetName val="FA_88"/>
      <sheetName val="FA_R8"/>
      <sheetName val="9-_FA8"/>
      <sheetName val="BOQ_Direct_selling_cost10"/>
      <sheetName val="CHART_OF_ACCOUNTS9"/>
      <sheetName val="B185-B-9_19"/>
      <sheetName val="B185-B-9_29"/>
      <sheetName val="Material_List_8"/>
      <sheetName val="E-Bill_No_6_A-O9"/>
      <sheetName val="B09_19"/>
      <sheetName val="Division_220"/>
      <sheetName val="Division_48"/>
      <sheetName val="Division_58"/>
      <sheetName val="Division_68"/>
      <sheetName val="Division_78"/>
      <sheetName val="Division_88"/>
      <sheetName val="Division_98"/>
      <sheetName val="Division_108"/>
      <sheetName val="Division_128"/>
      <sheetName val="Division_148"/>
      <sheetName val="Division_2111"/>
      <sheetName val="Division_228"/>
      <sheetName val="Division_238"/>
      <sheetName val="Division_268"/>
      <sheetName val="Division_278"/>
      <sheetName val="Division_288"/>
      <sheetName val="Division_318"/>
      <sheetName val="Division_328"/>
      <sheetName val="Division_338"/>
      <sheetName val="PMWeb_data9"/>
      <sheetName val="PointNo_58"/>
      <sheetName val="SS_MH9"/>
      <sheetName val="2_2)Revised_Cash_Flow8"/>
      <sheetName val="입찰내역_발주처_양식8"/>
      <sheetName val="/VWVU))tÏØ0__8"/>
      <sheetName val="LIST_DO_NOT_REMOVE7"/>
      <sheetName val="Index_List8"/>
      <sheetName val="Type_List8"/>
      <sheetName val="File_Types8"/>
      <sheetName val="Chiet_t8"/>
      <sheetName val="Staffing_and_Rates_IA8"/>
      <sheetName val="B6_2_7"/>
      <sheetName val="PRECAST_lightconc-II10"/>
      <sheetName val="final_abstract10"/>
      <sheetName val="Summary_of_Work6"/>
      <sheetName val="Staff_Acco_6"/>
      <sheetName val="TBAL9697_-group_wise__sdpl6"/>
      <sheetName val="Employee_List6"/>
      <sheetName val="Project_Cost_Breakdown6"/>
      <sheetName val="Item-_Compact6"/>
      <sheetName val="E_&amp;_R6"/>
      <sheetName val="Рабочий_лист5"/>
      <sheetName val="SITE_WORK5"/>
      <sheetName val="Rate_summary5"/>
      <sheetName val="d-safe_DELUXE5"/>
      <sheetName val="Back_up5"/>
      <sheetName val="PT_141-_Site_A_Landscape5"/>
      <sheetName val="Annex_1_Sect_3a6"/>
      <sheetName val="Annex_1_Sect_3a_16"/>
      <sheetName val="Annex_1_Sect_3b6"/>
      <sheetName val="Annex_1_Sect_3c6"/>
      <sheetName val="HOURLY_RATES6"/>
      <sheetName val="RAB_AR&amp;STR5"/>
      <sheetName val="INDIGINEOUS_ITEMS_5"/>
      <sheetName val="train_cash5"/>
      <sheetName val="accom_cash5"/>
      <sheetName val="Duct_Accesories5"/>
      <sheetName val="Mall_waterproofing5"/>
      <sheetName val="MSCP_waterproofing5"/>
      <sheetName val="????_???_??5"/>
      <sheetName val="Common_Variables5"/>
      <sheetName val="[SHOPLIST_xls]70,/0s«iÆøí¬i5"/>
      <sheetName val="GPL_Revenu_Update5"/>
      <sheetName val="DO_NOT_TOUCH5"/>
      <sheetName val="Work_Type5"/>
      <sheetName val="Labour_&amp;_Plant5"/>
      <sheetName val="Ave_wtd_rates5"/>
      <sheetName val="Debits_as_on_12_04_085"/>
      <sheetName val="STAFFSCHED_5"/>
      <sheetName val="TRIAL_BALANCE5"/>
      <sheetName val="PROJECT_BRIEF(EX_NEW)5"/>
      <sheetName val="Risk_Breakdown_Structure4"/>
      <sheetName val="AREA_OF_APPLICATION4"/>
      <sheetName val="Geneí¬_i4"/>
      <sheetName val="steel_total4"/>
      <sheetName val="ELE_BOQ4"/>
      <sheetName val="Mix_Design1"/>
      <sheetName val="Site_Dev_BOQ"/>
      <sheetName val="Summary "/>
      <sheetName val="B04-A - DIA SUDEER"/>
      <sheetName val="04D - Tanmyat"/>
      <sheetName val="13- B04-B &amp; C"/>
      <sheetName val=" SITE 09 B04-B&amp;C-AFAQ"/>
      <sheetName val="Service_Type"/>
      <sheetName val="Contract_Division"/>
      <sheetName val="SubContract_Type"/>
      <sheetName val="_SHOPLIST_xls_70"/>
      <sheetName val="_SHOPLIST_xls_70,_0s«iÆøí¬i"/>
      <sheetName val="Rate_analysis14"/>
      <sheetName val="[SHOPLIST_xls]703"/>
      <sheetName val="[SHOPLIST_xls]70,3"/>
      <sheetName val="Base_BM-rebar3"/>
      <sheetName val="[SHOPLIST_xls]/VW3"/>
      <sheetName val="[SHOPLIST_xls]/VWVU))tÏØ0__6"/>
      <sheetName val="[SHOPLIST_xls]/VWVU))tÏØ0__7"/>
      <sheetName val="Resumo_Empreitadas3"/>
      <sheetName val="%_prog_figs_-u5_and_total3"/>
      <sheetName val="_VWVU))tÏØ0__4"/>
      <sheetName val="Service_Type3"/>
      <sheetName val="Contract_Division3"/>
      <sheetName val="SubContract_Type3"/>
      <sheetName val="_SHOPLIST_xls_703"/>
      <sheetName val="_SHOPLIST_xls_70,_0s«iÆøí¬i3"/>
      <sheetName val="PPA_Summary3"/>
      <sheetName val="Mix_Design3"/>
      <sheetName val="[SHOPLIST_xls][SHOPLIST_xls][S3"/>
      <sheetName val="Area_Breakdown_PER_LEVEL_LINK1"/>
      <sheetName val="CF_Input1"/>
      <sheetName val="DATA_INPUT1"/>
      <sheetName val="Vordruck-Nr__7_1_3_D1"/>
      <sheetName val="M&amp;A_D1"/>
      <sheetName val="M&amp;A_E1"/>
      <sheetName val="M&amp;A_G1"/>
      <sheetName val="Rate_analysis13"/>
      <sheetName val="[SHOPLIST_xls]/VW2"/>
      <sheetName val="[SHOPLIST_xls]/VWVU))tÏØ0__4"/>
      <sheetName val="[SHOPLIST_xls]/VWVU))tÏØ0__5"/>
      <sheetName val="Service_Type2"/>
      <sheetName val="Contract_Division2"/>
      <sheetName val="SubContract_Type2"/>
      <sheetName val="_SHOPLIST_xls_702"/>
      <sheetName val="_SHOPLIST_xls_70,_0s«iÆøí¬i2"/>
      <sheetName val="Mix_Design2"/>
      <sheetName val="Area_Breakdown_PER_LEVEL_LINK"/>
      <sheetName val="CF_Input"/>
      <sheetName val="DATA_INPUT"/>
      <sheetName val="Vordruck-Nr__7_1_3_D"/>
      <sheetName val="M&amp;A_D"/>
      <sheetName val="M&amp;A_E"/>
      <sheetName val="M&amp;A_G"/>
      <sheetName val="Rate_analysis12"/>
      <sheetName val="[SHOPLIST_xls]/VW1"/>
      <sheetName val="[SHOPLIST_xls]/VWVU))tÏØ0__2"/>
      <sheetName val="[SHOPLIST_xls]/VWVU))tÏØ0__3"/>
      <sheetName val="Service_Type1"/>
      <sheetName val="Contract_Division1"/>
      <sheetName val="SubContract_Type1"/>
      <sheetName val="_SHOPLIST_xls_701"/>
      <sheetName val="_SHOPLIST_xls_70,_0s«iÆøí¬i1"/>
      <sheetName val="Dash_board"/>
      <sheetName val="tender_allowances"/>
      <sheetName val="_Summary_BKG_034"/>
      <sheetName val="BILL_3R"/>
      <sheetName val="1_2_Staff_Schedule1"/>
      <sheetName val="Bill_10"/>
      <sheetName val="[SHOPLIST_xls]/VWVU))tÏØ0__11"/>
      <sheetName val="[SHOPLIST_xls]70,/0s«_iÆø_í¬_i"/>
      <sheetName val="[SHOPLIST_xls]70?,/0?s«i?Æøí¬i?"/>
      <sheetName val="Labour_Costs"/>
      <sheetName val="BLOCK-A_(MEA_SHEET)"/>
      <sheetName val="/VWVU))tÏØ0__9"/>
      <sheetName val="GFA_HQ_Building21"/>
      <sheetName val="GFA_Conference20"/>
      <sheetName val="BQ_External20"/>
      <sheetName val="Graph_Data_(DO_NOT_PRINT)19"/>
      <sheetName val="StattCo_yCharges19"/>
      <sheetName val="Penthouse_Apartment19"/>
      <sheetName val="LABOUR_HISTOGRAM20"/>
      <sheetName val="Chiet_tinh_dz2219"/>
      <sheetName val="Chiet_tinh_dz3519"/>
      <sheetName val="@risk_rents_and_incentives19"/>
      <sheetName val="Car_park_lease19"/>
      <sheetName val="Net_rent_analysis19"/>
      <sheetName val="Poz-1_19"/>
      <sheetName val="Lab_Cum_Hist19"/>
      <sheetName val="Raw_Data19"/>
      <sheetName val="Bill_No__219"/>
      <sheetName val="CT_Thang_Mo19"/>
      <sheetName val="budget_summary_(2)18"/>
      <sheetName val="Budget_Analysis_Summary18"/>
      <sheetName val="LEVEL_SHEET19"/>
      <sheetName val="SPT_vs_PHI19"/>
      <sheetName val="CT__PL18"/>
      <sheetName val="Projet,_methodes_&amp;_couts18"/>
      <sheetName val="Risques_majeurs_&amp;_Frais_Ind_18"/>
      <sheetName val="FOL_-_Bar19"/>
      <sheetName val="intr_stool_brkup18"/>
      <sheetName val="Tender_Summary19"/>
      <sheetName val="Insurance_Ext19"/>
      <sheetName val="Customize_Your_Invoice19"/>
      <sheetName val="HVAC_BoQ19"/>
      <sheetName val="Body_Sheet18"/>
      <sheetName val="1_0_Executive_Summary18"/>
      <sheetName val="Top_sheet18"/>
      <sheetName val="Ap_A16"/>
      <sheetName val="SHOPLIST_xls15"/>
      <sheetName val="Bill_217"/>
      <sheetName val="2_Div_14_16"/>
      <sheetName val="beam-reinft-IIInd_floor15"/>
      <sheetName val="beam-reinft-machine_rm15"/>
      <sheetName val="Bill_116"/>
      <sheetName val="Bill_316"/>
      <sheetName val="Bill_416"/>
      <sheetName val="Bill_516"/>
      <sheetName val="Bill_616"/>
      <sheetName val="Bill_716"/>
      <sheetName val="POWER_ASSUMPTIONS15"/>
      <sheetName val="Invoice_Summary15"/>
      <sheetName val="PROJECT_BRIEF16"/>
      <sheetName val="Civil_Boq14"/>
      <sheetName val="C_(3)16"/>
      <sheetName val="Dubai_golf15"/>
      <sheetName val="WITHOUT_C&amp;I_PROFIT_(3)14"/>
      <sheetName val="HIRED_LABOUR_CODE12"/>
      <sheetName val="PA-_Consutant_12"/>
      <sheetName val="foot-slab_reinft12"/>
      <sheetName val="Softscape_Buildup14"/>
      <sheetName val="Mat'l_Rate14"/>
      <sheetName val="VALVE_CHAMBERS11"/>
      <sheetName val="Fire_Hydrants11"/>
      <sheetName val="B_GATE_VALVE11"/>
      <sheetName val="Sub_G1_Fire11"/>
      <sheetName val="Sub_G12_Fire11"/>
      <sheetName val="Activity_List14"/>
      <sheetName val="BILL_COV12"/>
      <sheetName val="Ra__stair12"/>
      <sheetName val="DETAILED__BOQ12"/>
      <sheetName val="M-Book_for_Conc12"/>
      <sheetName val="M-Book_for_FW12"/>
      <sheetName val="Materials_Cost(PCC)11"/>
      <sheetName val="India_F&amp;S_Template11"/>
      <sheetName val="IO_LIST11"/>
      <sheetName val="Material_11"/>
      <sheetName val="Quote_Sheet11"/>
      <sheetName val="Day_work11"/>
      <sheetName val="Working_for_RCC10"/>
      <sheetName val="Div__0210"/>
      <sheetName val="Div__0310"/>
      <sheetName val="Div__0410"/>
      <sheetName val="Div__0510"/>
      <sheetName val="Div__0610"/>
      <sheetName val="Div__0710"/>
      <sheetName val="Div__0810"/>
      <sheetName val="Div__0910"/>
      <sheetName val="Div__1010"/>
      <sheetName val="Div__1110"/>
      <sheetName val="Div__1210"/>
      <sheetName val="Div_1310"/>
      <sheetName val="EXTERNAL_WORKS10"/>
      <sheetName val="PRODUCTIVITY_RATE10"/>
      <sheetName val="U_R_A_-_MASONRY10"/>
      <sheetName val="U_R_A_-_PLASTERING10"/>
      <sheetName val="U_R_A_-_TILING10"/>
      <sheetName val="U_R_A_-_GRANITE10"/>
      <sheetName val="V_C_2_-_EARTHWORK10"/>
      <sheetName val="V_C_9_-_CERAMIC10"/>
      <sheetName val="V_C_9_-_FINISHES10"/>
      <sheetName val="Elemental_Buildup9"/>
      <sheetName val="BOQ_Direct_selling_cost11"/>
      <sheetName val="Eq__Mobilization10"/>
      <sheetName val="PointNo_59"/>
      <sheetName val="w't_table9"/>
      <sheetName val="bill_nb2-Plumbing_&amp;_Drainag9"/>
      <sheetName val="Pl_&amp;_Dr_B9"/>
      <sheetName val="Pl_&amp;_Dr_G9"/>
      <sheetName val="Pl_&amp;_Dr_M9"/>
      <sheetName val="Pl_&amp;_Dr_19"/>
      <sheetName val="Pl_&amp;_Dr_29"/>
      <sheetName val="Pl_&amp;_Dr_39"/>
      <sheetName val="Pl_&amp;_Dr_49"/>
      <sheetName val="Pl_&amp;_Dr_59"/>
      <sheetName val="Pl_&amp;_Dr_69"/>
      <sheetName val="Pl_&amp;_Dr_79"/>
      <sheetName val="Pl_&amp;_Dr_89"/>
      <sheetName val="Pl_&amp;_Dr_R9"/>
      <sheetName val="FF_B9"/>
      <sheetName val="FF_G9"/>
      <sheetName val="FF_M9"/>
      <sheetName val="FF_19"/>
      <sheetName val="FF_2_9"/>
      <sheetName val="FF_39"/>
      <sheetName val="FF_49"/>
      <sheetName val="FF_59"/>
      <sheetName val="FF_6_9"/>
      <sheetName val="FF_79"/>
      <sheetName val="FF_89"/>
      <sheetName val="FF_R9"/>
      <sheetName val="bill_nb3-FF9"/>
      <sheetName val="HVAC_B9"/>
      <sheetName val="HVAC_G9"/>
      <sheetName val="HVAC_M9"/>
      <sheetName val="HVAC_19"/>
      <sheetName val="HVAC_29"/>
      <sheetName val="HVAC_39"/>
      <sheetName val="HVAC_49"/>
      <sheetName val="HVAC_59"/>
      <sheetName val="HVAC_69"/>
      <sheetName val="HVAC_79"/>
      <sheetName val="HVAC_89"/>
      <sheetName val="HVAC_R9"/>
      <sheetName val="bill_nb4-HVAC9"/>
      <sheetName val="SC_B9"/>
      <sheetName val="SC_G9"/>
      <sheetName val="SC_M9"/>
      <sheetName val="SC_19"/>
      <sheetName val="SC_29"/>
      <sheetName val="SC_39"/>
      <sheetName val="SC_49"/>
      <sheetName val="SC_59"/>
      <sheetName val="SC_69"/>
      <sheetName val="SC_79"/>
      <sheetName val="SC_89"/>
      <sheetName val="SC_R9"/>
      <sheetName val="AV_B9"/>
      <sheetName val="AV_G9"/>
      <sheetName val="AV_M9"/>
      <sheetName val="AV_19"/>
      <sheetName val="AV_29"/>
      <sheetName val="AV_39"/>
      <sheetName val="AV_49"/>
      <sheetName val="AV_59"/>
      <sheetName val="AV_69"/>
      <sheetName val="AV_79"/>
      <sheetName val="AV_89"/>
      <sheetName val="EL_B9"/>
      <sheetName val="EL_M9"/>
      <sheetName val="EL_19"/>
      <sheetName val="EL_29"/>
      <sheetName val="EL_39"/>
      <sheetName val="EL_49"/>
      <sheetName val="EL_59"/>
      <sheetName val="EL_69"/>
      <sheetName val="EL_79"/>
      <sheetName val="EL_89"/>
      <sheetName val="EL_R9"/>
      <sheetName val="EL_TR9"/>
      <sheetName val="8-_EL9"/>
      <sheetName val="FA_B9"/>
      <sheetName val="FA_G9"/>
      <sheetName val="FA_M9"/>
      <sheetName val="FA_19"/>
      <sheetName val="FA_29"/>
      <sheetName val="FA_39"/>
      <sheetName val="FA_49"/>
      <sheetName val="FA_59"/>
      <sheetName val="FA_69"/>
      <sheetName val="FA_79"/>
      <sheetName val="FA_89"/>
      <sheetName val="FA_R9"/>
      <sheetName val="9-_FA9"/>
      <sheetName val="B185-B-9_110"/>
      <sheetName val="B185-B-9_210"/>
      <sheetName val="CHART_OF_ACCOUNTS10"/>
      <sheetName val="Index_List9"/>
      <sheetName val="Type_List9"/>
      <sheetName val="File_Types9"/>
      <sheetName val="E-Bill_No_6_A-O10"/>
      <sheetName val="PMWeb_data10"/>
      <sheetName val="SS_MH10"/>
      <sheetName val="Material_List_9"/>
      <sheetName val="2_2)Revised_Cash_Flow9"/>
      <sheetName val="B09_110"/>
      <sheetName val="Project_Cost_Breakdown7"/>
      <sheetName val="입찰내역_발주처_양식9"/>
      <sheetName val="Division_229"/>
      <sheetName val="Division_49"/>
      <sheetName val="Division_59"/>
      <sheetName val="Division_69"/>
      <sheetName val="Division_79"/>
      <sheetName val="Division_89"/>
      <sheetName val="Division_99"/>
      <sheetName val="Division_109"/>
      <sheetName val="Division_129"/>
      <sheetName val="Division_149"/>
      <sheetName val="Division_2112"/>
      <sheetName val="Division_2210"/>
      <sheetName val="Division_239"/>
      <sheetName val="Division_269"/>
      <sheetName val="Division_279"/>
      <sheetName val="Division_289"/>
      <sheetName val="Division_319"/>
      <sheetName val="Division_329"/>
      <sheetName val="Division_339"/>
      <sheetName val="LIST_DO_NOT_REMOVE8"/>
      <sheetName val="PRECAST_lightconc-II11"/>
      <sheetName val="final_abstract11"/>
      <sheetName val="Staff_Acco_7"/>
      <sheetName val="TBAL9697_-group_wise__sdpl7"/>
      <sheetName val="Chiet_t9"/>
      <sheetName val="Staffing_and_Rates_IA9"/>
      <sheetName val="B6_2_8"/>
      <sheetName val="Summary_of_Work7"/>
      <sheetName val="Employee_List7"/>
      <sheetName val="Item-_Compact7"/>
      <sheetName val="E_&amp;_R7"/>
      <sheetName val="Рабочий_лист6"/>
      <sheetName val="SITE_WORK6"/>
      <sheetName val="Rate_summary6"/>
      <sheetName val="RAB_AR&amp;STR6"/>
      <sheetName val="d-safe_DELUXE6"/>
      <sheetName val="Back_up6"/>
      <sheetName val="PT_141-_Site_A_Landscape6"/>
      <sheetName val="Annex_1_Sect_3a7"/>
      <sheetName val="Annex_1_Sect_3a_17"/>
      <sheetName val="Annex_1_Sect_3b7"/>
      <sheetName val="Annex_1_Sect_3c7"/>
      <sheetName val="HOURLY_RATES7"/>
      <sheetName val="train_cash6"/>
      <sheetName val="accom_cash6"/>
      <sheetName val="INDIGINEOUS_ITEMS_6"/>
      <sheetName val="Duct_Accesories6"/>
      <sheetName val="Mall_waterproofing6"/>
      <sheetName val="MSCP_waterproofing6"/>
      <sheetName val="????_???_??6"/>
      <sheetName val="Common_Variables6"/>
      <sheetName val="[SHOPLIST_xls]70,/0s«iÆøí¬i6"/>
      <sheetName val="GPL_Revenu_Update6"/>
      <sheetName val="DO_NOT_TOUCH6"/>
      <sheetName val="Work_Type6"/>
      <sheetName val="Labour_&amp;_Plant6"/>
      <sheetName val="Ave_wtd_rates6"/>
      <sheetName val="Debits_as_on_12_04_086"/>
      <sheetName val="STAFFSCHED_6"/>
      <sheetName val="TRIAL_BALANCE6"/>
      <sheetName val="PROJECT_BRIEF(EX_NEW)6"/>
      <sheetName val="AREA_OF_APPLICATION5"/>
      <sheetName val="Risk_Breakdown_Structure5"/>
      <sheetName val="Geneí¬_i5"/>
      <sheetName val="steel_total5"/>
      <sheetName val="ELE_BOQ5"/>
      <sheetName val="[SHOPLIST_xls][SHOPLIST_xls]707"/>
      <sheetName val="Materials_1"/>
      <sheetName val="GFA_HQ_Building22"/>
      <sheetName val="GFA_Conference21"/>
      <sheetName val="BQ_External21"/>
      <sheetName val="Penthouse_Apartment20"/>
      <sheetName val="StattCo_yCharges20"/>
      <sheetName val="LABOUR_HISTOGRAM21"/>
      <sheetName val="Raw_Data20"/>
      <sheetName val="Chiet_tinh_dz2220"/>
      <sheetName val="Chiet_tinh_dz3520"/>
      <sheetName val="@risk_rents_and_incentives20"/>
      <sheetName val="Car_park_lease20"/>
      <sheetName val="Net_rent_analysis20"/>
      <sheetName val="Poz-1_20"/>
      <sheetName val="CT_Thang_Mo20"/>
      <sheetName val="Lab_Cum_Hist20"/>
      <sheetName val="Graph_Data_(DO_NOT_PRINT)20"/>
      <sheetName val="Bill_No__220"/>
      <sheetName val="budget_summary_(2)19"/>
      <sheetName val="Budget_Analysis_Summary19"/>
      <sheetName val="CT__PL19"/>
      <sheetName val="FOL_-_Bar20"/>
      <sheetName val="LEVEL_SHEET20"/>
      <sheetName val="SPT_vs_PHI20"/>
      <sheetName val="Tender_Summary20"/>
      <sheetName val="Insurance_Ext20"/>
      <sheetName val="Projet,_methodes_&amp;_couts19"/>
      <sheetName val="Risques_majeurs_&amp;_Frais_Ind_19"/>
      <sheetName val="Customize_Your_Invoice20"/>
      <sheetName val="HVAC_BoQ20"/>
      <sheetName val="Top_sheet19"/>
      <sheetName val="intr_stool_brkup19"/>
      <sheetName val="Body_Sheet19"/>
      <sheetName val="1_0_Executive_Summary19"/>
      <sheetName val="2_Div_14_17"/>
      <sheetName val="Bill_218"/>
      <sheetName val="Invoice_Summary16"/>
      <sheetName val="SHOPLIST_xls16"/>
      <sheetName val="Ap_A17"/>
      <sheetName val="PROJECT_BRIEF17"/>
      <sheetName val="Bill_117"/>
      <sheetName val="Bill_317"/>
      <sheetName val="Bill_417"/>
      <sheetName val="Bill_517"/>
      <sheetName val="Bill_617"/>
      <sheetName val="Bill_717"/>
      <sheetName val="beam-reinft-IIInd_floor16"/>
      <sheetName val="POWER_ASSUMPTIONS16"/>
      <sheetName val="Dubai_golf16"/>
      <sheetName val="beam-reinft-machine_rm16"/>
      <sheetName val="C_(3)17"/>
      <sheetName val="Softscape_Buildup15"/>
      <sheetName val="Mat'l_Rate15"/>
      <sheetName val="Civil_Boq15"/>
      <sheetName val="HIRED_LABOUR_CODE13"/>
      <sheetName val="PA-_Consutant_13"/>
      <sheetName val="foot-slab_reinft13"/>
      <sheetName val="Activity_List15"/>
      <sheetName val="Day_work12"/>
      <sheetName val="Div__0211"/>
      <sheetName val="Div__0311"/>
      <sheetName val="Div__0411"/>
      <sheetName val="Div__0511"/>
      <sheetName val="Div__0611"/>
      <sheetName val="Div__0711"/>
      <sheetName val="Div__0811"/>
      <sheetName val="Div__0911"/>
      <sheetName val="Div__1011"/>
      <sheetName val="Div__1111"/>
      <sheetName val="Div__1211"/>
      <sheetName val="Div_1311"/>
      <sheetName val="EXTERNAL_WORKS11"/>
      <sheetName val="PRODUCTIVITY_RATE11"/>
      <sheetName val="U_R_A_-_MASONRY11"/>
      <sheetName val="U_R_A_-_PLASTERING11"/>
      <sheetName val="U_R_A_-_TILING11"/>
      <sheetName val="U_R_A_-_GRANITE11"/>
      <sheetName val="V_C_2_-_EARTHWORK11"/>
      <sheetName val="V_C_9_-_CERAMIC11"/>
      <sheetName val="V_C_9_-_FINISHES11"/>
      <sheetName val="WITHOUT_C&amp;I_PROFIT_(3)15"/>
      <sheetName val="BILL_COV13"/>
      <sheetName val="DETAILED__BOQ13"/>
      <sheetName val="M-Book_for_Conc13"/>
      <sheetName val="M-Book_for_FW13"/>
      <sheetName val="Ra__stair13"/>
      <sheetName val="Materials_Cost(PCC)12"/>
      <sheetName val="India_F&amp;S_Template12"/>
      <sheetName val="IO_LIST12"/>
      <sheetName val="Material_12"/>
      <sheetName val="Quote_Sheet12"/>
      <sheetName val="VALVE_CHAMBERS12"/>
      <sheetName val="Fire_Hydrants12"/>
      <sheetName val="B_GATE_VALVE12"/>
      <sheetName val="Sub_G1_Fire12"/>
      <sheetName val="Sub_G12_Fire12"/>
      <sheetName val="Elemental_Buildup10"/>
      <sheetName val="Working_for_RCC11"/>
      <sheetName val="BOQ_Direct_selling_cost12"/>
      <sheetName val="Eq__Mobilization11"/>
      <sheetName val="PointNo_510"/>
      <sheetName val="w't_table10"/>
      <sheetName val="bill_nb2-Plumbing_&amp;_Drainag10"/>
      <sheetName val="Pl_&amp;_Dr_B10"/>
      <sheetName val="Pl_&amp;_Dr_G10"/>
      <sheetName val="Pl_&amp;_Dr_M10"/>
      <sheetName val="Pl_&amp;_Dr_110"/>
      <sheetName val="Pl_&amp;_Dr_210"/>
      <sheetName val="Pl_&amp;_Dr_310"/>
      <sheetName val="Pl_&amp;_Dr_410"/>
      <sheetName val="Pl_&amp;_Dr_510"/>
      <sheetName val="Pl_&amp;_Dr_610"/>
      <sheetName val="Pl_&amp;_Dr_710"/>
      <sheetName val="Pl_&amp;_Dr_810"/>
      <sheetName val="Pl_&amp;_Dr_R10"/>
      <sheetName val="FF_B10"/>
      <sheetName val="FF_G10"/>
      <sheetName val="FF_M10"/>
      <sheetName val="FF_110"/>
      <sheetName val="FF_2_10"/>
      <sheetName val="FF_310"/>
      <sheetName val="FF_410"/>
      <sheetName val="FF_510"/>
      <sheetName val="FF_6_10"/>
      <sheetName val="FF_710"/>
      <sheetName val="FF_810"/>
      <sheetName val="FF_R10"/>
      <sheetName val="bill_nb3-FF10"/>
      <sheetName val="HVAC_B10"/>
      <sheetName val="HVAC_G10"/>
      <sheetName val="HVAC_M10"/>
      <sheetName val="HVAC_110"/>
      <sheetName val="HVAC_210"/>
      <sheetName val="HVAC_310"/>
      <sheetName val="HVAC_410"/>
      <sheetName val="HVAC_510"/>
      <sheetName val="HVAC_610"/>
      <sheetName val="HVAC_710"/>
      <sheetName val="HVAC_810"/>
      <sheetName val="HVAC_R10"/>
      <sheetName val="bill_nb4-HVAC10"/>
      <sheetName val="SC_B10"/>
      <sheetName val="SC_G10"/>
      <sheetName val="SC_M10"/>
      <sheetName val="SC_110"/>
      <sheetName val="SC_210"/>
      <sheetName val="SC_310"/>
      <sheetName val="SC_410"/>
      <sheetName val="SC_510"/>
      <sheetName val="SC_610"/>
      <sheetName val="SC_710"/>
      <sheetName val="SC_810"/>
      <sheetName val="SC_R10"/>
      <sheetName val="AV_B10"/>
      <sheetName val="AV_G10"/>
      <sheetName val="AV_M10"/>
      <sheetName val="AV_110"/>
      <sheetName val="AV_210"/>
      <sheetName val="AV_310"/>
      <sheetName val="AV_410"/>
      <sheetName val="AV_510"/>
      <sheetName val="AV_610"/>
      <sheetName val="AV_710"/>
      <sheetName val="AV_810"/>
      <sheetName val="EL_B10"/>
      <sheetName val="EL_M10"/>
      <sheetName val="EL_110"/>
      <sheetName val="EL_210"/>
      <sheetName val="EL_310"/>
      <sheetName val="EL_410"/>
      <sheetName val="EL_510"/>
      <sheetName val="EL_610"/>
      <sheetName val="EL_710"/>
      <sheetName val="EL_810"/>
      <sheetName val="EL_R10"/>
      <sheetName val="EL_TR10"/>
      <sheetName val="8-_EL10"/>
      <sheetName val="FA_B10"/>
      <sheetName val="FA_G10"/>
      <sheetName val="FA_M10"/>
      <sheetName val="FA_110"/>
      <sheetName val="FA_210"/>
      <sheetName val="FA_310"/>
      <sheetName val="FA_410"/>
      <sheetName val="FA_510"/>
      <sheetName val="FA_610"/>
      <sheetName val="FA_710"/>
      <sheetName val="FA_810"/>
      <sheetName val="FA_R10"/>
      <sheetName val="9-_FA10"/>
      <sheetName val="B185-B-9_111"/>
      <sheetName val="B185-B-9_211"/>
      <sheetName val="CHART_OF_ACCOUNTS11"/>
      <sheetName val="Index_List10"/>
      <sheetName val="Type_List10"/>
      <sheetName val="File_Types10"/>
      <sheetName val="E-Bill_No_6_A-O11"/>
      <sheetName val="PMWeb_data11"/>
      <sheetName val="SS_MH11"/>
      <sheetName val="Material_List_10"/>
      <sheetName val="2_2)Revised_Cash_Flow10"/>
      <sheetName val="B09_111"/>
      <sheetName val="Project_Cost_Breakdown8"/>
      <sheetName val="입찰내역_발주처_양식10"/>
      <sheetName val="Division_230"/>
      <sheetName val="Division_410"/>
      <sheetName val="Division_510"/>
      <sheetName val="Division_610"/>
      <sheetName val="Division_710"/>
      <sheetName val="Division_810"/>
      <sheetName val="Division_910"/>
      <sheetName val="Division_1010"/>
      <sheetName val="Division_1210"/>
      <sheetName val="Division_1410"/>
      <sheetName val="Division_2113"/>
      <sheetName val="Division_2211"/>
      <sheetName val="Division_2310"/>
      <sheetName val="Division_2610"/>
      <sheetName val="Division_2710"/>
      <sheetName val="Division_2810"/>
      <sheetName val="Division_3110"/>
      <sheetName val="Division_3210"/>
      <sheetName val="Division_3310"/>
      <sheetName val="LIST_DO_NOT_REMOVE9"/>
      <sheetName val="PRECAST_lightconc-II12"/>
      <sheetName val="final_abstract12"/>
      <sheetName val="Staff_Acco_8"/>
      <sheetName val="TBAL9697_-group_wise__sdpl8"/>
      <sheetName val="/VWVU))tÏØ0__10"/>
      <sheetName val="Chiet_t10"/>
      <sheetName val="Staffing_and_Rates_IA10"/>
      <sheetName val="B6_2_9"/>
      <sheetName val="Summary_of_Work8"/>
      <sheetName val="Employee_List8"/>
      <sheetName val="Item-_Compact8"/>
      <sheetName val="E_&amp;_R8"/>
      <sheetName val="Рабочий_лист7"/>
      <sheetName val="SITE_WORK7"/>
      <sheetName val="Rate_summary7"/>
      <sheetName val="RAB_AR&amp;STR7"/>
      <sheetName val="d-safe_DELUXE7"/>
      <sheetName val="Back_up7"/>
      <sheetName val="PT_141-_Site_A_Landscape7"/>
      <sheetName val="Annex_1_Sect_3a8"/>
      <sheetName val="Annex_1_Sect_3a_18"/>
      <sheetName val="Annex_1_Sect_3b8"/>
      <sheetName val="Annex_1_Sect_3c8"/>
      <sheetName val="HOURLY_RATES8"/>
      <sheetName val="train_cash7"/>
      <sheetName val="accom_cash7"/>
      <sheetName val="INDIGINEOUS_ITEMS_7"/>
      <sheetName val="Duct_Accesories7"/>
      <sheetName val="Mall_waterproofing7"/>
      <sheetName val="MSCP_waterproofing7"/>
      <sheetName val="????_???_??7"/>
      <sheetName val="Common_Variables7"/>
      <sheetName val="[SHOPLIST_xls]70,/0s«iÆøí¬i7"/>
      <sheetName val="GPL_Revenu_Update7"/>
      <sheetName val="DO_NOT_TOUCH7"/>
      <sheetName val="Work_Type7"/>
      <sheetName val="Labour_&amp;_Plant7"/>
      <sheetName val="Ave_wtd_rates7"/>
      <sheetName val="Debits_as_on_12_04_087"/>
      <sheetName val="STAFFSCHED_7"/>
      <sheetName val="TRIAL_BALANCE7"/>
      <sheetName val="[SHOPLIST_xls][SHOPLIST_xls]708"/>
      <sheetName val="PROJECT_BRIEF(EX_NEW)7"/>
      <sheetName val="AREA_OF_APPLICATION6"/>
      <sheetName val="Risk_Breakdown_Structure6"/>
      <sheetName val="Geneí¬_i6"/>
      <sheetName val="steel_total6"/>
      <sheetName val="ELE_BOQ6"/>
      <sheetName val="Floor_Box_4"/>
      <sheetName val="[SHOPLIST_xls][SHOPLIST_xls]709"/>
      <sheetName val="Materials_2"/>
      <sheetName val="BLOCK-A_(MEA_SHEET)1"/>
      <sheetName val="1_2_Staff_Schedule2"/>
      <sheetName val="Site_Dev_BOQ1"/>
      <sheetName val="Labour_Costs1"/>
      <sheetName val="Dash_board1"/>
      <sheetName val="tender_allowances1"/>
      <sheetName val="_Summary_BKG_0341"/>
      <sheetName val="BILL_3R1"/>
      <sheetName val="Bill_101"/>
      <sheetName val="[SHOPLIST_xls]/VWVU))tÏØ0__12"/>
      <sheetName val="[SHOPLIST_xls]/VWVU))tÏØ0__21"/>
      <sheetName val="[SHOPLIST_xls]/VWVU))tÏØ0__31"/>
      <sheetName val="[SHOPLIST_xls]70,/0s«_iÆø_í¬_i1"/>
      <sheetName val="[SHOPLIST_xls]70?,/0?s«i?Æøí¬i1"/>
      <sheetName val="/VWVU))tÏØ0__11"/>
      <sheetName val="Dash_board2"/>
      <sheetName val="Site_Dev_BOQ2"/>
      <sheetName val="tender_allowances2"/>
      <sheetName val="_Summary_BKG_0342"/>
      <sheetName val="BILL_3R2"/>
      <sheetName val="Area_Breakdown_PER_LEVEL_LINK2"/>
      <sheetName val="CF_Input2"/>
      <sheetName val="DATA_INPUT2"/>
      <sheetName val="Vordruck-Nr__7_1_3_D2"/>
      <sheetName val="M&amp;A_D2"/>
      <sheetName val="M&amp;A_E2"/>
      <sheetName val="M&amp;A_G2"/>
      <sheetName val="1_2_Staff_Schedule3"/>
      <sheetName val="Bill_102"/>
      <sheetName val="[SHOPLIST_xls]/VWVU))tÏØ0__13"/>
      <sheetName val="[SHOPLIST_xls]/VWVU))tÏØ0__22"/>
      <sheetName val="[SHOPLIST_xls]/VWVU))tÏØ0__32"/>
      <sheetName val="[SHOPLIST_xls]70,/0s«_iÆø_í¬_i2"/>
      <sheetName val="[SHOPLIST_xls]70?,/0?s«i?Æøí¬i2"/>
      <sheetName val="Labour_Costs2"/>
      <sheetName val="BLOCK-A_(MEA_SHEET)2"/>
      <sheetName val="Tender Docs"/>
      <sheetName val="PENALTY"/>
      <sheetName val="Miral Emails"/>
      <sheetName val="LOAs (061619)"/>
      <sheetName val="Contract Conditions (Tender)"/>
      <sheetName val="Contract Qualifications"/>
      <sheetName val="YVPI &amp; GII"/>
      <sheetName val="LOA (live sheet)"/>
      <sheetName val="LOA Log (082419)"/>
      <sheetName val="FU"/>
      <sheetName val="Key Docs Ref."/>
      <sheetName val="To Mr. Boota (072519)"/>
      <sheetName val="02"/>
      <sheetName val="03"/>
      <sheetName val="04"/>
      <sheetName val="01"/>
      <sheetName val="钢筋"/>
      <sheetName val="ConferenceCentre_x005f_x005f_x0"/>
      <sheetName val="Geneí¬_x005f_x005f_x005f_x0008_"/>
      <sheetName val="70_x005f_x005f_x005f_x0000_,_0_"/>
      <sheetName val="B-3"/>
      <sheetName val="70,/0s«iÆøí¬"/>
      <sheetName val="C-A"/>
      <sheetName val="Sec. A-PQ"/>
      <sheetName val="C-B"/>
      <sheetName val="Preamble B"/>
      <sheetName val="C-C"/>
      <sheetName val="Sec. C-Dayworks"/>
      <sheetName val="C-D"/>
      <sheetName val="d1-OPT1"/>
      <sheetName val="d1-OPT2"/>
      <sheetName val="d2"/>
      <sheetName val="d3"/>
      <sheetName val="d4"/>
      <sheetName val="d5 "/>
      <sheetName val="D6"/>
      <sheetName val="D7"/>
      <sheetName val="d8"/>
      <sheetName val="d9"/>
      <sheetName val="d10"/>
      <sheetName val="d11"/>
      <sheetName val="d12"/>
      <sheetName val="d13"/>
      <sheetName val="d14"/>
      <sheetName val="d15"/>
      <sheetName val="d16"/>
      <sheetName val="D17"/>
      <sheetName val="d18"/>
      <sheetName val="C-E"/>
      <sheetName val="e-OPT1"/>
      <sheetName val="e-OPT2"/>
      <sheetName val="C-F"/>
      <sheetName val="f"/>
      <sheetName val="d14(ss)"/>
      <sheetName val="DDL"/>
      <sheetName val="SCHEDULE"/>
      <sheetName val="Recon Template"/>
      <sheetName val="AOP Summary-2"/>
      <sheetName val="CIF COST ITEM"/>
      <sheetName val="Rates for public areas"/>
      <sheetName val="Qty-UG"/>
      <sheetName val="Labour_Rate_"/>
      <sheetName val="Cost_Heading"/>
      <sheetName val="D_&amp;_W_sizes"/>
      <sheetName val="SOPMA_DD"/>
      <sheetName val="Qtys_ZamZam_(Del__before)"/>
      <sheetName val="Qtys_Relocation_(Del_before)"/>
      <sheetName val="_Qtys_Sub_&amp;_Tents_(Del__before)"/>
      <sheetName val="Qtys__Signages_(Del__before)"/>
      <sheetName val="Qtys_Temporary_Passages_(Del)"/>
      <sheetName val="_Qtys_Ser__Rooms_(Del_before)"/>
      <sheetName val="Detbal"/>
      <sheetName val="Harewood"/>
      <sheetName val="Balance Sheet"/>
      <sheetName val="Estimate for approval"/>
      <sheetName val="HWDG"/>
      <sheetName val="ce"/>
      <sheetName val="Cost_any"/>
      <sheetName val="Set"/>
      <sheetName val="Model"/>
      <sheetName val="CONSTRUCTION COMPONENT"/>
      <sheetName val="[SHOPLIST.xls]/VWVU))tÏØ0__5"/>
      <sheetName val="[SHOPLIST.xls]/VWVU))tÏØ0__6"/>
      <sheetName val="[SHOPLIST.xls]/VWVU))tÏØ0__7"/>
      <sheetName val="/VWVU))tÏØ0__12"/>
      <sheetName val="GFA_HQ_Building23"/>
      <sheetName val="GFA_Conference22"/>
      <sheetName val="BQ_External22"/>
      <sheetName val="Penthouse_Apartment21"/>
      <sheetName val="Raw_Data21"/>
      <sheetName val="StattCo_yCharges21"/>
      <sheetName val="LEVEL_SHEET21"/>
      <sheetName val="SPT_vs_PHI21"/>
      <sheetName val="LABOUR_HISTOGRAM22"/>
      <sheetName val="Chiet_tinh_dz2221"/>
      <sheetName val="Chiet_tinh_dz3521"/>
      <sheetName val="@risk_rents_and_incentives21"/>
      <sheetName val="Car_park_lease21"/>
      <sheetName val="Net_rent_analysis21"/>
      <sheetName val="Poz-1_21"/>
      <sheetName val="Graph_Data_(DO_NOT_PRINT)21"/>
      <sheetName val="Bill_No__221"/>
      <sheetName val="CT_Thang_Mo21"/>
      <sheetName val="Lab_Cum_Hist21"/>
      <sheetName val="CT__PL20"/>
      <sheetName val="Projet,_methodes_&amp;_couts20"/>
      <sheetName val="Risques_majeurs_&amp;_Frais_Ind_20"/>
      <sheetName val="FOL_-_Bar21"/>
      <sheetName val="budget_summary_(2)20"/>
      <sheetName val="Budget_Analysis_Summary20"/>
      <sheetName val="intr_stool_brkup20"/>
      <sheetName val="Tender_Summary21"/>
      <sheetName val="Insurance_Ext21"/>
      <sheetName val="Customize_Your_Invoice21"/>
      <sheetName val="HVAC_BoQ21"/>
      <sheetName val="Body_Sheet20"/>
      <sheetName val="1_0_Executive_Summary20"/>
      <sheetName val="Top_sheet20"/>
      <sheetName val="Bill_219"/>
      <sheetName val="Ap_A18"/>
      <sheetName val="2_Div_14_18"/>
      <sheetName val="SHOPLIST_xls17"/>
      <sheetName val="beam-reinft-IIInd_floor17"/>
      <sheetName val="beam-reinft-machine_rm17"/>
      <sheetName val="Bill_118"/>
      <sheetName val="Bill_318"/>
      <sheetName val="Bill_418"/>
      <sheetName val="Bill_518"/>
      <sheetName val="Bill_618"/>
      <sheetName val="Bill_718"/>
      <sheetName val="POWER_ASSUMPTIONS17"/>
      <sheetName val="Civil_Boq16"/>
      <sheetName val="PROJECT_BRIEF18"/>
      <sheetName val="Invoice_Summary17"/>
      <sheetName val="C_(3)18"/>
      <sheetName val="Dubai_golf17"/>
      <sheetName val="Softscape_Buildup16"/>
      <sheetName val="Mat'l_Rate16"/>
      <sheetName val="WITHOUT_C&amp;I_PROFIT_(3)16"/>
      <sheetName val="Activity_List16"/>
      <sheetName val="HIRED_LABOUR_CODE14"/>
      <sheetName val="PA-_Consutant_14"/>
      <sheetName val="foot-slab_reinft14"/>
      <sheetName val="DETAILED__BOQ14"/>
      <sheetName val="M-Book_for_Conc14"/>
      <sheetName val="M-Book_for_FW14"/>
      <sheetName val="BILL_COV14"/>
      <sheetName val="Ra__stair14"/>
      <sheetName val="VALVE_CHAMBERS13"/>
      <sheetName val="Fire_Hydrants13"/>
      <sheetName val="B_GATE_VALVE13"/>
      <sheetName val="Sub_G1_Fire13"/>
      <sheetName val="Sub_G12_Fire13"/>
      <sheetName val="Eq__Mobilization12"/>
      <sheetName val="w't_table11"/>
      <sheetName val="Materials_Cost(PCC)13"/>
      <sheetName val="India_F&amp;S_Template13"/>
      <sheetName val="IO_LIST13"/>
      <sheetName val="Material_13"/>
      <sheetName val="Quote_Sheet13"/>
      <sheetName val="Day_work13"/>
      <sheetName val="bill_nb2-Plumbing_&amp;_Drainag11"/>
      <sheetName val="Pl_&amp;_Dr_B11"/>
      <sheetName val="Pl_&amp;_Dr_G11"/>
      <sheetName val="Pl_&amp;_Dr_M11"/>
      <sheetName val="Pl_&amp;_Dr_111"/>
      <sheetName val="Pl_&amp;_Dr_211"/>
      <sheetName val="Pl_&amp;_Dr_311"/>
      <sheetName val="Pl_&amp;_Dr_411"/>
      <sheetName val="Pl_&amp;_Dr_511"/>
      <sheetName val="Pl_&amp;_Dr_611"/>
      <sheetName val="Pl_&amp;_Dr_711"/>
      <sheetName val="Pl_&amp;_Dr_811"/>
      <sheetName val="Pl_&amp;_Dr_R11"/>
      <sheetName val="FF_B11"/>
      <sheetName val="FF_G11"/>
      <sheetName val="FF_M11"/>
      <sheetName val="FF_111"/>
      <sheetName val="FF_2_11"/>
      <sheetName val="FF_311"/>
      <sheetName val="FF_411"/>
      <sheetName val="FF_511"/>
      <sheetName val="FF_6_11"/>
      <sheetName val="FF_711"/>
      <sheetName val="FF_811"/>
      <sheetName val="FF_R11"/>
      <sheetName val="bill_nb3-FF11"/>
      <sheetName val="HVAC_B11"/>
      <sheetName val="HVAC_G11"/>
      <sheetName val="HVAC_M11"/>
      <sheetName val="HVAC_111"/>
      <sheetName val="HVAC_211"/>
      <sheetName val="HVAC_311"/>
      <sheetName val="HVAC_411"/>
      <sheetName val="HVAC_511"/>
      <sheetName val="HVAC_611"/>
      <sheetName val="HVAC_711"/>
      <sheetName val="HVAC_811"/>
      <sheetName val="HVAC_R11"/>
      <sheetName val="bill_nb4-HVAC11"/>
      <sheetName val="SC_B11"/>
      <sheetName val="SC_G11"/>
      <sheetName val="SC_M11"/>
      <sheetName val="SC_111"/>
      <sheetName val="SC_211"/>
      <sheetName val="SC_311"/>
      <sheetName val="SC_411"/>
      <sheetName val="SC_511"/>
      <sheetName val="SC_611"/>
      <sheetName val="SC_711"/>
      <sheetName val="SC_811"/>
      <sheetName val="SC_R11"/>
      <sheetName val="AV_B11"/>
      <sheetName val="AV_G11"/>
      <sheetName val="AV_M11"/>
      <sheetName val="AV_111"/>
      <sheetName val="AV_211"/>
      <sheetName val="AV_311"/>
      <sheetName val="AV_411"/>
      <sheetName val="AV_511"/>
      <sheetName val="AV_611"/>
      <sheetName val="AV_711"/>
      <sheetName val="AV_811"/>
      <sheetName val="EL_B11"/>
      <sheetName val="EL_M11"/>
      <sheetName val="EL_111"/>
      <sheetName val="EL_211"/>
      <sheetName val="EL_311"/>
      <sheetName val="EL_411"/>
      <sheetName val="EL_511"/>
      <sheetName val="EL_611"/>
      <sheetName val="EL_711"/>
      <sheetName val="EL_811"/>
      <sheetName val="EL_R11"/>
      <sheetName val="EL_TR11"/>
      <sheetName val="8-_EL11"/>
      <sheetName val="FA_B11"/>
      <sheetName val="FA_G11"/>
      <sheetName val="FA_M11"/>
      <sheetName val="FA_111"/>
      <sheetName val="FA_211"/>
      <sheetName val="FA_311"/>
      <sheetName val="FA_411"/>
      <sheetName val="FA_511"/>
      <sheetName val="FA_611"/>
      <sheetName val="FA_711"/>
      <sheetName val="FA_811"/>
      <sheetName val="FA_R11"/>
      <sheetName val="9-_FA11"/>
      <sheetName val="B09_112"/>
      <sheetName val="BOQ_Direct_selling_cost13"/>
      <sheetName val="CHART_OF_ACCOUNTS12"/>
      <sheetName val="Working_for_RCC12"/>
      <sheetName val="B185-B-9_112"/>
      <sheetName val="B185-B-9_212"/>
      <sheetName val="E-Bill_No_6_A-O12"/>
      <sheetName val="Div__0212"/>
      <sheetName val="Div__0312"/>
      <sheetName val="Div__0412"/>
      <sheetName val="Div__0512"/>
      <sheetName val="Div__0612"/>
      <sheetName val="Div__0712"/>
      <sheetName val="Div__0812"/>
      <sheetName val="Div__0912"/>
      <sheetName val="Div__1012"/>
      <sheetName val="Div__1112"/>
      <sheetName val="Div__1212"/>
      <sheetName val="Div_1312"/>
      <sheetName val="EXTERNAL_WORKS12"/>
      <sheetName val="PRODUCTIVITY_RATE12"/>
      <sheetName val="U_R_A_-_MASONRY12"/>
      <sheetName val="U_R_A_-_PLASTERING12"/>
      <sheetName val="U_R_A_-_TILING12"/>
      <sheetName val="U_R_A_-_GRANITE12"/>
      <sheetName val="V_C_2_-_EARTHWORK12"/>
      <sheetName val="V_C_9_-_CERAMIC12"/>
      <sheetName val="V_C_9_-_FINISHES12"/>
      <sheetName val="Division_240"/>
      <sheetName val="Division_411"/>
      <sheetName val="Division_511"/>
      <sheetName val="Division_611"/>
      <sheetName val="Division_711"/>
      <sheetName val="Division_811"/>
      <sheetName val="Division_911"/>
      <sheetName val="Division_1011"/>
      <sheetName val="Division_1211"/>
      <sheetName val="Division_1411"/>
      <sheetName val="Division_2114"/>
      <sheetName val="Division_2212"/>
      <sheetName val="Division_2311"/>
      <sheetName val="Division_2611"/>
      <sheetName val="Division_2711"/>
      <sheetName val="Division_2811"/>
      <sheetName val="Division_3111"/>
      <sheetName val="Division_3211"/>
      <sheetName val="Division_3311"/>
      <sheetName val="PMWeb_data12"/>
      <sheetName val="Elemental_Buildup11"/>
      <sheetName val="PointNo_511"/>
      <sheetName val="2_2)Revised_Cash_Flow11"/>
      <sheetName val="SS_MH12"/>
      <sheetName val="입찰내역_발주처_양식11"/>
      <sheetName val="Material_List_11"/>
      <sheetName val="LIST_DO_NOT_REMOVE10"/>
      <sheetName val="Index_List11"/>
      <sheetName val="Type_List11"/>
      <sheetName val="File_Types11"/>
      <sheetName val="Chiet_t11"/>
      <sheetName val="Staffing_and_Rates_IA11"/>
      <sheetName val="Project_Cost_Breakdown9"/>
      <sheetName val="PRECAST_lightconc-II13"/>
      <sheetName val="final_abstract13"/>
      <sheetName val="Staff_Acco_9"/>
      <sheetName val="TBAL9697_-group_wise__sdpl9"/>
      <sheetName val="Summary_of_Work9"/>
      <sheetName val="Employee_List9"/>
      <sheetName val="Рабочий_лист8"/>
      <sheetName val="B6_2_10"/>
      <sheetName val="Item-_Compact9"/>
      <sheetName val="E_&amp;_R9"/>
      <sheetName val="Annex_1_Sect_3a9"/>
      <sheetName val="Annex_1_Sect_3a_19"/>
      <sheetName val="Annex_1_Sect_3b9"/>
      <sheetName val="Annex_1_Sect_3c9"/>
      <sheetName val="HOURLY_RATES9"/>
      <sheetName val="SITE_WORK8"/>
      <sheetName val="d-safe_DELUXE8"/>
      <sheetName val="PT_141-_Site_A_Landscape8"/>
      <sheetName val="Rate_summary8"/>
      <sheetName val="RAB_AR&amp;STR8"/>
      <sheetName val="Back_up8"/>
      <sheetName val="train_cash8"/>
      <sheetName val="accom_cash8"/>
      <sheetName val="INDIGINEOUS_ITEMS_8"/>
      <sheetName val="Duct_Accesories8"/>
      <sheetName val="Mall_waterproofing8"/>
      <sheetName val="MSCP_waterproofing8"/>
      <sheetName val="????_???_??8"/>
      <sheetName val="Labour_&amp;_Plant8"/>
      <sheetName val="Ave_wtd_rates8"/>
      <sheetName val="Debits_as_on_12_04_088"/>
      <sheetName val="STAFFSCHED_8"/>
      <sheetName val="TRIAL_BALANCE8"/>
      <sheetName val="[SHOPLIST_xls][SHOPLIST_xls]710"/>
      <sheetName val="[SHOPLIST_xls]70,/0s«iÆøí¬i8"/>
      <sheetName val="Common_Variables8"/>
      <sheetName val="GPL_Revenu_Update8"/>
      <sheetName val="DO_NOT_TOUCH8"/>
      <sheetName val="Work_Type8"/>
      <sheetName val="PROJECT_BRIEF(EX_NEW)8"/>
      <sheetName val="AREA_OF_APPLICATION7"/>
      <sheetName val="Risk_Breakdown_Structure7"/>
      <sheetName val="Geneí¬_i7"/>
      <sheetName val="steel_total7"/>
      <sheetName val="ELE_BOQ7"/>
      <sheetName val="Z-_GENERAL_PRICE_SUMMARY4"/>
      <sheetName val="Resumo_Empreitadas4"/>
      <sheetName val="PPA_Summary4"/>
      <sheetName val="Mix_Design4"/>
      <sheetName val="%_prog_figs_-u5_and_total4"/>
      <sheetName val="_VWVU))tÏØ0__5"/>
      <sheetName val="Floor_Box_5"/>
      <sheetName val="Equipment_Rates3"/>
      <sheetName val="[SHOPLIST_xls]/VWVU))tÏØ0__8"/>
      <sheetName val="[SHOPLIST_xls]/VWVU))tÏØ0__9"/>
      <sheetName val="[SHOPLIST_xls][SHOPLIST_xls]711"/>
      <sheetName val="Dash_board3"/>
      <sheetName val="Materials_3"/>
      <sheetName val="Site_Dev_BOQ3"/>
      <sheetName val="Data_Sheet3"/>
      <sheetName val="tender_allowances3"/>
      <sheetName val="_Summary_BKG_0343"/>
      <sheetName val="BILL_3R3"/>
      <sheetName val="Area_Breakdown_PER_LEVEL_LINK3"/>
      <sheetName val="CF_Input3"/>
      <sheetName val="DATA_INPUT3"/>
      <sheetName val="Vordruck-Nr__7_1_3_D3"/>
      <sheetName val="M&amp;A_D3"/>
      <sheetName val="M&amp;A_E3"/>
      <sheetName val="M&amp;A_G3"/>
      <sheetName val="1_2_Staff_Schedule4"/>
      <sheetName val="Bill_103"/>
      <sheetName val="[SHOPLIST_xls]/VWVU))tÏØ0__14"/>
      <sheetName val="[SHOPLIST_xls]/VWVU))tÏØ0__23"/>
      <sheetName val="[SHOPLIST_xls]/VWVU))tÏØ0__33"/>
      <sheetName val="[SHOPLIST_xls]70,/0s«_iÆø_í¬_i3"/>
      <sheetName val="[SHOPLIST_xls]70?,/0?s«i?Æøí¬i3"/>
      <sheetName val="Labour_Costs3"/>
      <sheetName val="BLOCK-A_(MEA_SHEET)3"/>
      <sheetName val="PRICE_INFO"/>
      <sheetName val="RC_SUMMARY"/>
      <sheetName val="LABOUR_PRODUCTIVITY-TAV"/>
      <sheetName val="MATERIAL_PRICES"/>
      <sheetName val="P-100_MRF_DB_R1"/>
      <sheetName val="Attach_4-18"/>
      <sheetName val="Ewaan_Show_Kitchen_(2)"/>
      <sheetName val="Cash_Flow_Working"/>
      <sheetName val="MN_T_B_"/>
      <sheetName val="Data_I_(2)"/>
      <sheetName val="rEFERENCES_"/>
      <sheetName val="2F_회의실견적(5_14_일대)"/>
      <sheetName val="_HIT-&gt;HMC_견적(3900)"/>
      <sheetName val="Appendix_B"/>
      <sheetName val="/VWVU))tÏØ0__17"/>
      <sheetName val="GFA_HQ_Building28"/>
      <sheetName val="GFA_Conference27"/>
      <sheetName val="BQ_External27"/>
      <sheetName val="Penthouse_Apartment26"/>
      <sheetName val="Raw_Data26"/>
      <sheetName val="StattCo_yCharges26"/>
      <sheetName val="LEVEL_SHEET26"/>
      <sheetName val="SPT_vs_PHI26"/>
      <sheetName val="LABOUR_HISTOGRAM27"/>
      <sheetName val="Chiet_tinh_dz2226"/>
      <sheetName val="Chiet_tinh_dz3526"/>
      <sheetName val="@risk_rents_and_incentives26"/>
      <sheetName val="Car_park_lease26"/>
      <sheetName val="Net_rent_analysis26"/>
      <sheetName val="Poz-1_26"/>
      <sheetName val="Graph_Data_(DO_NOT_PRINT)26"/>
      <sheetName val="Bill_No__226"/>
      <sheetName val="CT_Thang_Mo26"/>
      <sheetName val="Lab_Cum_Hist26"/>
      <sheetName val="CT__PL25"/>
      <sheetName val="Projet,_methodes_&amp;_couts25"/>
      <sheetName val="Risques_majeurs_&amp;_Frais_Ind_25"/>
      <sheetName val="FOL_-_Bar26"/>
      <sheetName val="budget_summary_(2)25"/>
      <sheetName val="Budget_Analysis_Summary25"/>
      <sheetName val="intr_stool_brkup25"/>
      <sheetName val="Tender_Summary26"/>
      <sheetName val="Insurance_Ext26"/>
      <sheetName val="Customize_Your_Invoice26"/>
      <sheetName val="HVAC_BoQ26"/>
      <sheetName val="Body_Sheet25"/>
      <sheetName val="1_0_Executive_Summary25"/>
      <sheetName val="Top_sheet25"/>
      <sheetName val="Bill_224"/>
      <sheetName val="Ap_A23"/>
      <sheetName val="2_Div_14_23"/>
      <sheetName val="SHOPLIST_xls22"/>
      <sheetName val="beam-reinft-IIInd_floor22"/>
      <sheetName val="beam-reinft-machine_rm22"/>
      <sheetName val="Bill_123"/>
      <sheetName val="Bill_323"/>
      <sheetName val="Bill_423"/>
      <sheetName val="Bill_523"/>
      <sheetName val="Bill_623"/>
      <sheetName val="Bill_723"/>
      <sheetName val="POWER_ASSUMPTIONS22"/>
      <sheetName val="Civil_Boq21"/>
      <sheetName val="PROJECT_BRIEF23"/>
      <sheetName val="Invoice_Summary22"/>
      <sheetName val="C_(3)23"/>
      <sheetName val="Dubai_golf22"/>
      <sheetName val="Softscape_Buildup21"/>
      <sheetName val="Mat'l_Rate21"/>
      <sheetName val="WITHOUT_C&amp;I_PROFIT_(3)21"/>
      <sheetName val="Activity_List21"/>
      <sheetName val="HIRED_LABOUR_CODE19"/>
      <sheetName val="PA-_Consutant_19"/>
      <sheetName val="foot-slab_reinft19"/>
      <sheetName val="DETAILED__BOQ19"/>
      <sheetName val="M-Book_for_Conc19"/>
      <sheetName val="M-Book_for_FW19"/>
      <sheetName val="BILL_COV19"/>
      <sheetName val="Ra__stair19"/>
      <sheetName val="VALVE_CHAMBERS18"/>
      <sheetName val="Fire_Hydrants18"/>
      <sheetName val="B_GATE_VALVE18"/>
      <sheetName val="Sub_G1_Fire18"/>
      <sheetName val="Sub_G12_Fire18"/>
      <sheetName val="Eq__Mobilization17"/>
      <sheetName val="w't_table16"/>
      <sheetName val="Materials_Cost(PCC)18"/>
      <sheetName val="India_F&amp;S_Template18"/>
      <sheetName val="IO_LIST18"/>
      <sheetName val="Material_18"/>
      <sheetName val="Quote_Sheet18"/>
      <sheetName val="Day_work18"/>
      <sheetName val="bill_nb2-Plumbing_&amp;_Drainag16"/>
      <sheetName val="Pl_&amp;_Dr_B16"/>
      <sheetName val="Pl_&amp;_Dr_G16"/>
      <sheetName val="Pl_&amp;_Dr_M16"/>
      <sheetName val="Pl_&amp;_Dr_116"/>
      <sheetName val="Pl_&amp;_Dr_216"/>
      <sheetName val="Pl_&amp;_Dr_316"/>
      <sheetName val="Pl_&amp;_Dr_416"/>
      <sheetName val="Pl_&amp;_Dr_516"/>
      <sheetName val="Pl_&amp;_Dr_616"/>
      <sheetName val="Pl_&amp;_Dr_716"/>
      <sheetName val="Pl_&amp;_Dr_816"/>
      <sheetName val="Pl_&amp;_Dr_R16"/>
      <sheetName val="FF_B16"/>
      <sheetName val="FF_G16"/>
      <sheetName val="FF_M16"/>
      <sheetName val="FF_116"/>
      <sheetName val="FF_2_16"/>
      <sheetName val="FF_316"/>
      <sheetName val="FF_416"/>
      <sheetName val="FF_516"/>
      <sheetName val="FF_6_16"/>
      <sheetName val="FF_716"/>
      <sheetName val="FF_816"/>
      <sheetName val="FF_R16"/>
      <sheetName val="bill_nb3-FF16"/>
      <sheetName val="HVAC_B16"/>
      <sheetName val="HVAC_G16"/>
      <sheetName val="HVAC_M16"/>
      <sheetName val="HVAC_116"/>
      <sheetName val="HVAC_216"/>
      <sheetName val="HVAC_316"/>
      <sheetName val="HVAC_416"/>
      <sheetName val="HVAC_516"/>
      <sheetName val="HVAC_616"/>
      <sheetName val="HVAC_716"/>
      <sheetName val="HVAC_816"/>
      <sheetName val="HVAC_R16"/>
      <sheetName val="bill_nb4-HVAC16"/>
      <sheetName val="SC_B16"/>
      <sheetName val="SC_G16"/>
      <sheetName val="SC_M16"/>
      <sheetName val="SC_116"/>
      <sheetName val="SC_216"/>
      <sheetName val="SC_316"/>
      <sheetName val="SC_416"/>
      <sheetName val="SC_516"/>
      <sheetName val="SC_616"/>
      <sheetName val="SC_716"/>
      <sheetName val="SC_816"/>
      <sheetName val="SC_R16"/>
      <sheetName val="AV_B16"/>
      <sheetName val="AV_G16"/>
      <sheetName val="AV_M16"/>
      <sheetName val="AV_116"/>
      <sheetName val="AV_216"/>
      <sheetName val="AV_316"/>
      <sheetName val="AV_416"/>
      <sheetName val="AV_516"/>
      <sheetName val="AV_616"/>
      <sheetName val="AV_716"/>
      <sheetName val="AV_816"/>
      <sheetName val="EL_B16"/>
      <sheetName val="EL_M16"/>
      <sheetName val="EL_116"/>
      <sheetName val="EL_216"/>
      <sheetName val="EL_316"/>
      <sheetName val="EL_416"/>
      <sheetName val="EL_516"/>
      <sheetName val="EL_616"/>
      <sheetName val="EL_716"/>
      <sheetName val="EL_816"/>
      <sheetName val="EL_R16"/>
      <sheetName val="EL_TR16"/>
      <sheetName val="8-_EL16"/>
      <sheetName val="FA_B16"/>
      <sheetName val="FA_G16"/>
      <sheetName val="FA_M16"/>
      <sheetName val="FA_116"/>
      <sheetName val="FA_216"/>
      <sheetName val="FA_316"/>
      <sheetName val="FA_416"/>
      <sheetName val="FA_516"/>
      <sheetName val="FA_616"/>
      <sheetName val="FA_716"/>
      <sheetName val="FA_816"/>
      <sheetName val="FA_R16"/>
      <sheetName val="9-_FA16"/>
      <sheetName val="B09_117"/>
      <sheetName val="BOQ_Direct_selling_cost18"/>
      <sheetName val="CHART_OF_ACCOUNTS17"/>
      <sheetName val="Working_for_RCC17"/>
      <sheetName val="B185-B-9_117"/>
      <sheetName val="B185-B-9_217"/>
      <sheetName val="E-Bill_No_6_A-O17"/>
      <sheetName val="Div__0217"/>
      <sheetName val="Div__0317"/>
      <sheetName val="Div__0417"/>
      <sheetName val="Div__0517"/>
      <sheetName val="Div__0617"/>
      <sheetName val="Div__0717"/>
      <sheetName val="Div__0817"/>
      <sheetName val="Div__0917"/>
      <sheetName val="Div__1017"/>
      <sheetName val="Div__1117"/>
      <sheetName val="Div__1217"/>
      <sheetName val="Div_1317"/>
      <sheetName val="EXTERNAL_WORKS17"/>
      <sheetName val="PRODUCTIVITY_RATE17"/>
      <sheetName val="U_R_A_-_MASONRY17"/>
      <sheetName val="U_R_A_-_PLASTERING17"/>
      <sheetName val="U_R_A_-_TILING17"/>
      <sheetName val="U_R_A_-_GRANITE17"/>
      <sheetName val="V_C_2_-_EARTHWORK17"/>
      <sheetName val="V_C_9_-_CERAMIC17"/>
      <sheetName val="V_C_9_-_FINISHES17"/>
      <sheetName val="Division_245"/>
      <sheetName val="Division_416"/>
      <sheetName val="Division_516"/>
      <sheetName val="Division_616"/>
      <sheetName val="Division_716"/>
      <sheetName val="Division_816"/>
      <sheetName val="Division_916"/>
      <sheetName val="Division_1016"/>
      <sheetName val="Division_1216"/>
      <sheetName val="Division_1416"/>
      <sheetName val="Division_2119"/>
      <sheetName val="Division_2217"/>
      <sheetName val="Division_2316"/>
      <sheetName val="Division_2616"/>
      <sheetName val="Division_2716"/>
      <sheetName val="Division_2816"/>
      <sheetName val="Division_3116"/>
      <sheetName val="Division_3216"/>
      <sheetName val="Division_3316"/>
      <sheetName val="PMWeb_data17"/>
      <sheetName val="Elemental_Buildup16"/>
      <sheetName val="PointNo_516"/>
      <sheetName val="2_2)Revised_Cash_Flow16"/>
      <sheetName val="SS_MH17"/>
      <sheetName val="입찰내역_발주처_양식16"/>
      <sheetName val="Material_List_16"/>
      <sheetName val="LIST_DO_NOT_REMOVE15"/>
      <sheetName val="Index_List16"/>
      <sheetName val="Type_List16"/>
      <sheetName val="File_Types16"/>
      <sheetName val="Chiet_t16"/>
      <sheetName val="Staffing_and_Rates_IA16"/>
      <sheetName val="Project_Cost_Breakdown14"/>
      <sheetName val="PRECAST_lightconc-II18"/>
      <sheetName val="final_abstract18"/>
      <sheetName val="Staff_Acco_14"/>
      <sheetName val="TBAL9697_-group_wise__sdpl14"/>
      <sheetName val="Summary_of_Work14"/>
      <sheetName val="Employee_List14"/>
      <sheetName val="Рабочий_лист13"/>
      <sheetName val="B6_2_15"/>
      <sheetName val="Item-_Compact14"/>
      <sheetName val="E_&amp;_R14"/>
      <sheetName val="Annex_1_Sect_3a14"/>
      <sheetName val="Annex_1_Sect_3a_114"/>
      <sheetName val="Annex_1_Sect_3b14"/>
      <sheetName val="Annex_1_Sect_3c14"/>
      <sheetName val="HOURLY_RATES14"/>
      <sheetName val="SITE_WORK13"/>
      <sheetName val="d-safe_DELUXE13"/>
      <sheetName val="PT_141-_Site_A_Landscape13"/>
      <sheetName val="Rate_summary13"/>
      <sheetName val="RAB_AR&amp;STR13"/>
      <sheetName val="Back_up13"/>
      <sheetName val="train_cash13"/>
      <sheetName val="accom_cash13"/>
      <sheetName val="INDIGINEOUS_ITEMS_13"/>
      <sheetName val="Duct_Accesories13"/>
      <sheetName val="Mall_waterproofing13"/>
      <sheetName val="MSCP_waterproofing13"/>
      <sheetName val="????_???_??13"/>
      <sheetName val="Labour_&amp;_Plant13"/>
      <sheetName val="Ave_wtd_rates13"/>
      <sheetName val="Debits_as_on_12_04_0813"/>
      <sheetName val="STAFFSCHED_13"/>
      <sheetName val="TRIAL_BALANCE13"/>
      <sheetName val="[SHOPLIST_xls][SHOPLIST_xls]720"/>
      <sheetName val="[SHOPLIST_xls]70,/0s«iÆøí¬i13"/>
      <sheetName val="Common_Variables13"/>
      <sheetName val="GPL_Revenu_Update13"/>
      <sheetName val="DO_NOT_TOUCH13"/>
      <sheetName val="Work_Type13"/>
      <sheetName val="PROJECT_BRIEF(EX_NEW)13"/>
      <sheetName val="AREA_OF_APPLICATION12"/>
      <sheetName val="Risk_Breakdown_Structure12"/>
      <sheetName val="Geneí¬_i12"/>
      <sheetName val="steel_total12"/>
      <sheetName val="ELE_BOQ12"/>
      <sheetName val="Z-_GENERAL_PRICE_SUMMARY9"/>
      <sheetName val="Resumo_Empreitadas9"/>
      <sheetName val="PPA_Summary9"/>
      <sheetName val="Mix_Design9"/>
      <sheetName val="%_prog_figs_-u5_and_total9"/>
      <sheetName val="_VWVU))tÏØ0__10"/>
      <sheetName val="Floor_Box_10"/>
      <sheetName val="Equipment_Rates8"/>
      <sheetName val="[SHOPLIST_xls]/VW8"/>
      <sheetName val="[SHOPLIST_xls]/VWVU))tÏØ0__40"/>
      <sheetName val="[SHOPLIST_xls]/VWVU))tÏØ0__41"/>
      <sheetName val="Cashflow_projection8"/>
      <sheetName val="[SHOPLIST_xls][SHOPLIST_xls]721"/>
      <sheetName val="E_H_-_H__W_P_8"/>
      <sheetName val="E__H__Treatment_for_pile_cap8"/>
      <sheetName val="[SHOPLIST_xls][SHOPLIST_xls][S8"/>
      <sheetName val="Form_68"/>
      <sheetName val="Risk_Register8"/>
      <sheetName val="Revised_Front_Page8"/>
      <sheetName val="Diff_Run01&amp;Run028"/>
      <sheetName val="CCS_Summary8"/>
      <sheetName val="1_Carillion_Staff8"/>
      <sheetName val="_2_Staff_&amp;_Gen_labour8"/>
      <sheetName val="3_Offices8"/>
      <sheetName val="4_TempServ8"/>
      <sheetName val="__5_Temp_Wks8"/>
      <sheetName val="_6_Addn_Plant8"/>
      <sheetName val="_7__Transport8"/>
      <sheetName val="_8_Testing8"/>
      <sheetName val="9__Miscellaneous8"/>
      <sheetName val="10__Design8"/>
      <sheetName val="_11_Insurances8"/>
      <sheetName val="_12_Client_Req_8"/>
      <sheetName val="Risk_List8"/>
      <sheetName val="Track_of_Changes8"/>
      <sheetName val="Bill_8_Doors_&amp;_Windows8"/>
      <sheetName val="Bill_9_Finishes_8"/>
      <sheetName val="Bill_10_Specialities8"/>
      <sheetName val="Dash_board8"/>
      <sheetName val="[SHOPLIST_xls]708"/>
      <sheetName val="[SHOPLIST_xls]70,8"/>
      <sheetName val="Base_BM-rebar8"/>
      <sheetName val="Materials_8"/>
      <sheetName val="Site_Dev_BOQ8"/>
      <sheetName val="Data_Sheet8"/>
      <sheetName val="tender_allowances8"/>
      <sheetName val="_Summary_BKG_0348"/>
      <sheetName val="BILL_3R8"/>
      <sheetName val="Area_Breakdown_PER_LEVEL_LINK8"/>
      <sheetName val="CF_Input8"/>
      <sheetName val="DATA_INPUT8"/>
      <sheetName val="Vordruck-Nr__7_1_3_D8"/>
      <sheetName val="M&amp;A_D8"/>
      <sheetName val="M&amp;A_E8"/>
      <sheetName val="M&amp;A_G8"/>
      <sheetName val="1_2_Staff_Schedule9"/>
      <sheetName val="Bill_108"/>
      <sheetName val="[SHOPLIST_xls]/VWVU))tÏØ0__42"/>
      <sheetName val="[SHOPLIST_xls]/VWVU))tÏØ0__43"/>
      <sheetName val="[SHOPLIST_xls]/VWVU))tÏØ0__44"/>
      <sheetName val="[SHOPLIST_xls]70,/0s«_iÆø_í¬_i8"/>
      <sheetName val="[SHOPLIST_xls]70?,/0?s«i?Æøí¬i8"/>
      <sheetName val="Labour_Costs8"/>
      <sheetName val="BLOCK-A_(MEA_SHEET)8"/>
      <sheetName val="Contract_Division6"/>
      <sheetName val="SubContract_Type6"/>
      <sheetName val="Service_Type6"/>
      <sheetName val="Cost_Heading5"/>
      <sheetName val="D_&amp;_W_sizes5"/>
      <sheetName val="SOPMA_DD5"/>
      <sheetName val="PRICE_INFO5"/>
      <sheetName val="RC_SUMMARY5"/>
      <sheetName val="LABOUR_PRODUCTIVITY-TAV5"/>
      <sheetName val="MATERIAL_PRICES5"/>
      <sheetName val="P-100_MRF_DB_R15"/>
      <sheetName val="Attach_4-185"/>
      <sheetName val="_SHOPLIST_xls_705"/>
      <sheetName val="_SHOPLIST_xls_70,_0s«iÆøí¬i5"/>
      <sheetName val="Ewaan_Show_Kitchen_(2)5"/>
      <sheetName val="Cash_Flow_Working5"/>
      <sheetName val="MN_T_B_5"/>
      <sheetName val="Data_I_(2)5"/>
      <sheetName val="rEFERENCES_5"/>
      <sheetName val="Qtys_ZamZam_(Del__before)5"/>
      <sheetName val="Qtys_Relocation_(Del_before)5"/>
      <sheetName val="_Qtys_Sub_&amp;_Tents_(Del__before5"/>
      <sheetName val="Qtys__Signages_(Del__before)5"/>
      <sheetName val="Qtys_Temporary_Passages_(Del)5"/>
      <sheetName val="_Qtys_Ser__Rooms_(Del_before)5"/>
      <sheetName val="Labour_Rate_5"/>
      <sheetName val="2F_회의실견적(5_14_일대)1"/>
      <sheetName val="_HIT-&gt;HMC_견적(3900)1"/>
      <sheetName val="Appendix_B1"/>
      <sheetName val="GFA_HQ_Building25"/>
      <sheetName val="GFA_Conference24"/>
      <sheetName val="BQ_External24"/>
      <sheetName val="Penthouse_Apartment23"/>
      <sheetName val="Raw_Data23"/>
      <sheetName val="StattCo_yCharges23"/>
      <sheetName val="LEVEL_SHEET23"/>
      <sheetName val="SPT_vs_PHI23"/>
      <sheetName val="LABOUR_HISTOGRAM24"/>
      <sheetName val="Chiet_tinh_dz2223"/>
      <sheetName val="Chiet_tinh_dz3523"/>
      <sheetName val="@risk_rents_and_incentives23"/>
      <sheetName val="Car_park_lease23"/>
      <sheetName val="Net_rent_analysis23"/>
      <sheetName val="Poz-1_23"/>
      <sheetName val="Graph_Data_(DO_NOT_PRINT)23"/>
      <sheetName val="Bill_No__223"/>
      <sheetName val="CT_Thang_Mo23"/>
      <sheetName val="Lab_Cum_Hist23"/>
      <sheetName val="CT__PL22"/>
      <sheetName val="Projet,_methodes_&amp;_couts22"/>
      <sheetName val="Risques_majeurs_&amp;_Frais_Ind_22"/>
      <sheetName val="FOL_-_Bar23"/>
      <sheetName val="budget_summary_(2)22"/>
      <sheetName val="Budget_Analysis_Summary22"/>
      <sheetName val="intr_stool_brkup22"/>
      <sheetName val="Tender_Summary23"/>
      <sheetName val="Insurance_Ext23"/>
      <sheetName val="Customize_Your_Invoice23"/>
      <sheetName val="HVAC_BoQ23"/>
      <sheetName val="Body_Sheet22"/>
      <sheetName val="1_0_Executive_Summary22"/>
      <sheetName val="Top_sheet22"/>
      <sheetName val="Bill_221"/>
      <sheetName val="Ap_A20"/>
      <sheetName val="2_Div_14_20"/>
      <sheetName val="SHOPLIST_xls19"/>
      <sheetName val="beam-reinft-IIInd_floor19"/>
      <sheetName val="beam-reinft-machine_rm19"/>
      <sheetName val="Bill_120"/>
      <sheetName val="Bill_320"/>
      <sheetName val="Bill_420"/>
      <sheetName val="Bill_520"/>
      <sheetName val="Bill_620"/>
      <sheetName val="Bill_720"/>
      <sheetName val="POWER_ASSUMPTIONS19"/>
      <sheetName val="Civil_Boq18"/>
      <sheetName val="PROJECT_BRIEF20"/>
      <sheetName val="Invoice_Summary19"/>
      <sheetName val="C_(3)20"/>
      <sheetName val="Dubai_golf19"/>
      <sheetName val="Softscape_Buildup18"/>
      <sheetName val="Mat'l_Rate18"/>
      <sheetName val="WITHOUT_C&amp;I_PROFIT_(3)18"/>
      <sheetName val="Activity_List18"/>
      <sheetName val="HIRED_LABOUR_CODE16"/>
      <sheetName val="PA-_Consutant_16"/>
      <sheetName val="foot-slab_reinft16"/>
      <sheetName val="DETAILED__BOQ16"/>
      <sheetName val="M-Book_for_Conc16"/>
      <sheetName val="M-Book_for_FW16"/>
      <sheetName val="BILL_COV16"/>
      <sheetName val="Ra__stair16"/>
      <sheetName val="VALVE_CHAMBERS15"/>
      <sheetName val="Fire_Hydrants15"/>
      <sheetName val="B_GATE_VALVE15"/>
      <sheetName val="Sub_G1_Fire15"/>
      <sheetName val="Sub_G12_Fire15"/>
      <sheetName val="Eq__Mobilization14"/>
      <sheetName val="w't_table13"/>
      <sheetName val="Materials_Cost(PCC)15"/>
      <sheetName val="India_F&amp;S_Template15"/>
      <sheetName val="IO_LIST15"/>
      <sheetName val="Material_15"/>
      <sheetName val="Quote_Sheet15"/>
      <sheetName val="Day_work15"/>
      <sheetName val="bill_nb2-Plumbing_&amp;_Drainag13"/>
      <sheetName val="Pl_&amp;_Dr_B13"/>
      <sheetName val="Pl_&amp;_Dr_G13"/>
      <sheetName val="Pl_&amp;_Dr_M13"/>
      <sheetName val="Pl_&amp;_Dr_113"/>
      <sheetName val="Pl_&amp;_Dr_213"/>
      <sheetName val="Pl_&amp;_Dr_313"/>
      <sheetName val="Pl_&amp;_Dr_413"/>
      <sheetName val="Pl_&amp;_Dr_513"/>
      <sheetName val="Pl_&amp;_Dr_613"/>
      <sheetName val="Pl_&amp;_Dr_713"/>
      <sheetName val="Pl_&amp;_Dr_813"/>
      <sheetName val="Pl_&amp;_Dr_R13"/>
      <sheetName val="FF_B13"/>
      <sheetName val="FF_G13"/>
      <sheetName val="FF_M13"/>
      <sheetName val="FF_113"/>
      <sheetName val="FF_2_13"/>
      <sheetName val="FF_313"/>
      <sheetName val="FF_413"/>
      <sheetName val="FF_513"/>
      <sheetName val="FF_6_13"/>
      <sheetName val="FF_713"/>
      <sheetName val="FF_813"/>
      <sheetName val="FF_R13"/>
      <sheetName val="bill_nb3-FF13"/>
      <sheetName val="HVAC_B13"/>
      <sheetName val="HVAC_G13"/>
      <sheetName val="HVAC_M13"/>
      <sheetName val="HVAC_113"/>
      <sheetName val="HVAC_213"/>
      <sheetName val="HVAC_313"/>
      <sheetName val="HVAC_413"/>
      <sheetName val="HVAC_513"/>
      <sheetName val="HVAC_613"/>
      <sheetName val="HVAC_713"/>
      <sheetName val="HVAC_813"/>
      <sheetName val="HVAC_R13"/>
      <sheetName val="bill_nb4-HVAC13"/>
      <sheetName val="SC_B13"/>
      <sheetName val="SC_G13"/>
      <sheetName val="SC_M13"/>
      <sheetName val="SC_113"/>
      <sheetName val="SC_213"/>
      <sheetName val="SC_313"/>
      <sheetName val="SC_413"/>
      <sheetName val="SC_513"/>
      <sheetName val="SC_613"/>
      <sheetName val="SC_713"/>
      <sheetName val="SC_813"/>
      <sheetName val="SC_R13"/>
      <sheetName val="AV_B13"/>
      <sheetName val="AV_G13"/>
      <sheetName val="AV_M13"/>
      <sheetName val="AV_113"/>
      <sheetName val="AV_213"/>
      <sheetName val="AV_313"/>
      <sheetName val="AV_413"/>
      <sheetName val="AV_513"/>
      <sheetName val="AV_613"/>
      <sheetName val="AV_713"/>
      <sheetName val="AV_813"/>
      <sheetName val="EL_B13"/>
      <sheetName val="EL_M13"/>
      <sheetName val="EL_113"/>
      <sheetName val="EL_213"/>
      <sheetName val="EL_313"/>
      <sheetName val="EL_413"/>
      <sheetName val="EL_513"/>
      <sheetName val="EL_613"/>
      <sheetName val="EL_713"/>
      <sheetName val="EL_813"/>
      <sheetName val="EL_R13"/>
      <sheetName val="EL_TR13"/>
      <sheetName val="8-_EL13"/>
      <sheetName val="FA_B13"/>
      <sheetName val="FA_G13"/>
      <sheetName val="FA_M13"/>
      <sheetName val="FA_113"/>
      <sheetName val="FA_213"/>
      <sheetName val="FA_313"/>
      <sheetName val="FA_413"/>
      <sheetName val="FA_513"/>
      <sheetName val="FA_613"/>
      <sheetName val="FA_713"/>
      <sheetName val="FA_813"/>
      <sheetName val="FA_R13"/>
      <sheetName val="9-_FA13"/>
      <sheetName val="Div__0214"/>
      <sheetName val="Div__0314"/>
      <sheetName val="Div__0414"/>
      <sheetName val="Div__0514"/>
      <sheetName val="Div__0614"/>
      <sheetName val="Div__0714"/>
      <sheetName val="Div__0814"/>
      <sheetName val="Div__0914"/>
      <sheetName val="Div__1014"/>
      <sheetName val="Div__1114"/>
      <sheetName val="Div__1214"/>
      <sheetName val="Div_1314"/>
      <sheetName val="EXTERNAL_WORKS14"/>
      <sheetName val="PRODUCTIVITY_RATE14"/>
      <sheetName val="U_R_A_-_MASONRY14"/>
      <sheetName val="U_R_A_-_PLASTERING14"/>
      <sheetName val="U_R_A_-_TILING14"/>
      <sheetName val="U_R_A_-_GRANITE14"/>
      <sheetName val="V_C_2_-_EARTHWORK14"/>
      <sheetName val="V_C_9_-_CERAMIC14"/>
      <sheetName val="V_C_9_-_FINISHES14"/>
      <sheetName val="B09_114"/>
      <sheetName val="BOQ_Direct_selling_cost15"/>
      <sheetName val="Working_for_RCC14"/>
      <sheetName val="B185-B-9_114"/>
      <sheetName val="B185-B-9_214"/>
      <sheetName val="CHART_OF_ACCOUNTS14"/>
      <sheetName val="E-Bill_No_6_A-O14"/>
      <sheetName val="/VWVU))tÏØ0__16"/>
      <sheetName val="Elemental_Buildup13"/>
      <sheetName val="Division_242"/>
      <sheetName val="Division_413"/>
      <sheetName val="Division_513"/>
      <sheetName val="Division_613"/>
      <sheetName val="Division_713"/>
      <sheetName val="Division_813"/>
      <sheetName val="Division_913"/>
      <sheetName val="Division_1013"/>
      <sheetName val="Division_1213"/>
      <sheetName val="Division_1413"/>
      <sheetName val="Division_2116"/>
      <sheetName val="Division_2214"/>
      <sheetName val="Division_2313"/>
      <sheetName val="Division_2613"/>
      <sheetName val="Division_2713"/>
      <sheetName val="Division_2813"/>
      <sheetName val="Division_3113"/>
      <sheetName val="Division_3213"/>
      <sheetName val="Division_3313"/>
      <sheetName val="PMWeb_data14"/>
      <sheetName val="PointNo_513"/>
      <sheetName val="2_2)Revised_Cash_Flow13"/>
      <sheetName val="Employee_List11"/>
      <sheetName val="SS_MH14"/>
      <sheetName val="Index_List13"/>
      <sheetName val="Type_List13"/>
      <sheetName val="File_Types13"/>
      <sheetName val="Chiet_t13"/>
      <sheetName val="Staffing_and_Rates_IA13"/>
      <sheetName val="입찰내역_발주처_양식13"/>
      <sheetName val="Summary_of_Work11"/>
      <sheetName val="/VWVU))tÏØ0__14"/>
      <sheetName val="LIST_DO_NOT_REMOVE12"/>
      <sheetName val="Material_List_13"/>
      <sheetName val="PRECAST_lightconc-II15"/>
      <sheetName val="final_abstract15"/>
      <sheetName val="B6_2_12"/>
      <sheetName val="Staff_Acco_11"/>
      <sheetName val="TBAL9697_-group_wise__sdpl11"/>
      <sheetName val="Project_Cost_Breakdown11"/>
      <sheetName val="Item-_Compact11"/>
      <sheetName val="E_&amp;_R11"/>
      <sheetName val="Рабочий_лист10"/>
      <sheetName val="Annex_1_Sect_3a11"/>
      <sheetName val="Annex_1_Sect_3a_111"/>
      <sheetName val="Annex_1_Sect_3b11"/>
      <sheetName val="Annex_1_Sect_3c11"/>
      <sheetName val="HOURLY_RATES11"/>
      <sheetName val="PT_141-_Site_A_Landscape10"/>
      <sheetName val="SITE_WORK10"/>
      <sheetName val="Rate_summary10"/>
      <sheetName val="d-safe_DELUXE10"/>
      <sheetName val="Back_up10"/>
      <sheetName val="RAB_AR&amp;STR10"/>
      <sheetName val="Duct_Accesories10"/>
      <sheetName val="train_cash10"/>
      <sheetName val="accom_cash10"/>
      <sheetName val="INDIGINEOUS_ITEMS_10"/>
      <sheetName val="Common_Variables10"/>
      <sheetName val="Mall_waterproofing10"/>
      <sheetName val="MSCP_waterproofing10"/>
      <sheetName val="[SHOPLIST_xls]70,/0s«iÆøí¬i10"/>
      <sheetName val="GPL_Revenu_Update10"/>
      <sheetName val="DO_NOT_TOUCH10"/>
      <sheetName val="Work_Type10"/>
      <sheetName val="????_???_??10"/>
      <sheetName val="Labour_&amp;_Plant10"/>
      <sheetName val="Ave_wtd_rates10"/>
      <sheetName val="Debits_as_on_12_04_0810"/>
      <sheetName val="STAFFSCHED_10"/>
      <sheetName val="TRIAL_BALANCE10"/>
      <sheetName val="[SHOPLIST_xls][SHOPLIST_xls]714"/>
      <sheetName val="PROJECT_BRIEF(EX_NEW)10"/>
      <sheetName val="PPA_Summary6"/>
      <sheetName val="Mix_Design6"/>
      <sheetName val="AREA_OF_APPLICATION9"/>
      <sheetName val="Risk_Breakdown_Structure9"/>
      <sheetName val="Geneí¬_i9"/>
      <sheetName val="steel_total9"/>
      <sheetName val="ELE_BOQ9"/>
      <sheetName val="Z-_GENERAL_PRICE_SUMMARY6"/>
      <sheetName val="Resumo_Empreitadas6"/>
      <sheetName val="%_prog_figs_-u5_and_total6"/>
      <sheetName val="_VWVU))tÏØ0__7"/>
      <sheetName val="Floor_Box_7"/>
      <sheetName val="[SHOPLIST_xls]/VW5"/>
      <sheetName val="[SHOPLIST_xls]/VWVU))tÏØ0__17"/>
      <sheetName val="[SHOPLIST_xls]/VWVU))tÏØ0__18"/>
      <sheetName val="Equipment_Rates5"/>
      <sheetName val="Cashflow_projection5"/>
      <sheetName val="[SHOPLIST_xls][SHOPLIST_xls]715"/>
      <sheetName val="E_H_-_H__W_P_5"/>
      <sheetName val="E__H__Treatment_for_pile_cap5"/>
      <sheetName val="[SHOPLIST_xls][SHOPLIST_xls][S5"/>
      <sheetName val="Materials_5"/>
      <sheetName val="Form_65"/>
      <sheetName val="Risk_Register5"/>
      <sheetName val="Revised_Front_Page5"/>
      <sheetName val="Diff_Run01&amp;Run025"/>
      <sheetName val="CCS_Summary5"/>
      <sheetName val="1_Carillion_Staff5"/>
      <sheetName val="_2_Staff_&amp;_Gen_labour5"/>
      <sheetName val="3_Offices5"/>
      <sheetName val="4_TempServ5"/>
      <sheetName val="__5_Temp_Wks5"/>
      <sheetName val="_6_Addn_Plant5"/>
      <sheetName val="_7__Transport5"/>
      <sheetName val="_8_Testing5"/>
      <sheetName val="9__Miscellaneous5"/>
      <sheetName val="10__Design5"/>
      <sheetName val="_11_Insurances5"/>
      <sheetName val="_12_Client_Req_5"/>
      <sheetName val="Risk_List5"/>
      <sheetName val="Track_of_Changes5"/>
      <sheetName val="Bill_8_Doors_&amp;_Windows5"/>
      <sheetName val="Bill_9_Finishes_5"/>
      <sheetName val="Bill_10_Specialities5"/>
      <sheetName val="Dash_board5"/>
      <sheetName val="[SHOPLIST_xls]705"/>
      <sheetName val="[SHOPLIST_xls]70,5"/>
      <sheetName val="Site_Dev_BOQ5"/>
      <sheetName val="1_2_Staff_Schedule6"/>
      <sheetName val="[SHOPLIST_xls]/VWVU))tÏØ0__19"/>
      <sheetName val="[SHOPLIST_xls]/VWVU))tÏØ0__25"/>
      <sheetName val="Cost_Heading2"/>
      <sheetName val="D_&amp;_W_sizes2"/>
      <sheetName val="SOPMA_DD2"/>
      <sheetName val="PRICE_INFO2"/>
      <sheetName val="RC_SUMMARY2"/>
      <sheetName val="LABOUR_PRODUCTIVITY-TAV2"/>
      <sheetName val="MATERIAL_PRICES2"/>
      <sheetName val="P-100_MRF_DB_R12"/>
      <sheetName val="Base_BM-rebar5"/>
      <sheetName val="Attach_4-182"/>
      <sheetName val="Area_Breakdown_PER_LEVEL_LINK5"/>
      <sheetName val="CF_Input5"/>
      <sheetName val="DATA_INPUT5"/>
      <sheetName val="Vordruck-Nr__7_1_3_D5"/>
      <sheetName val="M&amp;A_D5"/>
      <sheetName val="M&amp;A_E5"/>
      <sheetName val="M&amp;A_G5"/>
      <sheetName val="Data_Sheet5"/>
      <sheetName val="tender_allowances5"/>
      <sheetName val="_Summary_BKG_0345"/>
      <sheetName val="BILL_3R5"/>
      <sheetName val="BLOCK-A_(MEA_SHEET)5"/>
      <sheetName val="Bill_105"/>
      <sheetName val="Labour_Costs5"/>
      <sheetName val="Ewaan_Show_Kitchen_(2)2"/>
      <sheetName val="Cash_Flow_Working2"/>
      <sheetName val="MN_T_B_2"/>
      <sheetName val="Data_I_(2)2"/>
      <sheetName val="rEFERENCES_2"/>
      <sheetName val="Qtys_ZamZam_(Del__before)2"/>
      <sheetName val="Qtys_Relocation_(Del_before)2"/>
      <sheetName val="_Qtys_Sub_&amp;_Tents_(Del__before2"/>
      <sheetName val="Qtys__Signages_(Del__before)2"/>
      <sheetName val="Qtys_Temporary_Passages_(Del)2"/>
      <sheetName val="_Qtys_Ser__Rooms_(Del_before)2"/>
      <sheetName val="Labour_Rate_2"/>
      <sheetName val="[SHOPLIST_xls]/VWVU))tÏØ0__35"/>
      <sheetName val="[SHOPLIST_xls]70,/0s«_iÆø_í¬_i5"/>
      <sheetName val="[SHOPLIST_xls]70?,/0?s«i?Æøí¬i5"/>
      <sheetName val="GFA_HQ_Building24"/>
      <sheetName val="GFA_Conference23"/>
      <sheetName val="BQ_External23"/>
      <sheetName val="Penthouse_Apartment22"/>
      <sheetName val="Raw_Data22"/>
      <sheetName val="StattCo_yCharges22"/>
      <sheetName val="LEVEL_SHEET22"/>
      <sheetName val="SPT_vs_PHI22"/>
      <sheetName val="LABOUR_HISTOGRAM23"/>
      <sheetName val="Chiet_tinh_dz2222"/>
      <sheetName val="Chiet_tinh_dz3522"/>
      <sheetName val="@risk_rents_and_incentives22"/>
      <sheetName val="Car_park_lease22"/>
      <sheetName val="Net_rent_analysis22"/>
      <sheetName val="Poz-1_22"/>
      <sheetName val="Graph_Data_(DO_NOT_PRINT)22"/>
      <sheetName val="Bill_No__222"/>
      <sheetName val="CT_Thang_Mo22"/>
      <sheetName val="Lab_Cum_Hist22"/>
      <sheetName val="CT__PL21"/>
      <sheetName val="Projet,_methodes_&amp;_couts21"/>
      <sheetName val="Risques_majeurs_&amp;_Frais_Ind_21"/>
      <sheetName val="FOL_-_Bar22"/>
      <sheetName val="budget_summary_(2)21"/>
      <sheetName val="Budget_Analysis_Summary21"/>
      <sheetName val="intr_stool_brkup21"/>
      <sheetName val="Tender_Summary22"/>
      <sheetName val="Insurance_Ext22"/>
      <sheetName val="Customize_Your_Invoice22"/>
      <sheetName val="HVAC_BoQ22"/>
      <sheetName val="Body_Sheet21"/>
      <sheetName val="1_0_Executive_Summary21"/>
      <sheetName val="Top_sheet21"/>
      <sheetName val="Bill_220"/>
      <sheetName val="Ap_A19"/>
      <sheetName val="2_Div_14_19"/>
      <sheetName val="SHOPLIST_xls18"/>
      <sheetName val="beam-reinft-IIInd_floor18"/>
      <sheetName val="beam-reinft-machine_rm18"/>
      <sheetName val="Bill_119"/>
      <sheetName val="Bill_319"/>
      <sheetName val="Bill_419"/>
      <sheetName val="Bill_519"/>
      <sheetName val="Bill_619"/>
      <sheetName val="Bill_719"/>
      <sheetName val="POWER_ASSUMPTIONS18"/>
      <sheetName val="Civil_Boq17"/>
      <sheetName val="PROJECT_BRIEF19"/>
      <sheetName val="Invoice_Summary18"/>
      <sheetName val="C_(3)19"/>
      <sheetName val="Dubai_golf18"/>
      <sheetName val="Softscape_Buildup17"/>
      <sheetName val="Mat'l_Rate17"/>
      <sheetName val="WITHOUT_C&amp;I_PROFIT_(3)17"/>
      <sheetName val="Activity_List17"/>
      <sheetName val="HIRED_LABOUR_CODE15"/>
      <sheetName val="PA-_Consutant_15"/>
      <sheetName val="foot-slab_reinft15"/>
      <sheetName val="DETAILED__BOQ15"/>
      <sheetName val="M-Book_for_Conc15"/>
      <sheetName val="M-Book_for_FW15"/>
      <sheetName val="BILL_COV15"/>
      <sheetName val="Ra__stair15"/>
      <sheetName val="VALVE_CHAMBERS14"/>
      <sheetName val="Fire_Hydrants14"/>
      <sheetName val="B_GATE_VALVE14"/>
      <sheetName val="Sub_G1_Fire14"/>
      <sheetName val="Sub_G12_Fire14"/>
      <sheetName val="Eq__Mobilization13"/>
      <sheetName val="w't_table12"/>
      <sheetName val="Materials_Cost(PCC)14"/>
      <sheetName val="India_F&amp;S_Template14"/>
      <sheetName val="IO_LIST14"/>
      <sheetName val="Material_14"/>
      <sheetName val="Quote_Sheet14"/>
      <sheetName val="Day_work14"/>
      <sheetName val="bill_nb2-Plumbing_&amp;_Drainag12"/>
      <sheetName val="Pl_&amp;_Dr_B12"/>
      <sheetName val="Pl_&amp;_Dr_G12"/>
      <sheetName val="Pl_&amp;_Dr_M12"/>
      <sheetName val="Pl_&amp;_Dr_112"/>
      <sheetName val="Pl_&amp;_Dr_212"/>
      <sheetName val="Pl_&amp;_Dr_312"/>
      <sheetName val="Pl_&amp;_Dr_412"/>
      <sheetName val="Pl_&amp;_Dr_512"/>
      <sheetName val="Pl_&amp;_Dr_612"/>
      <sheetName val="Pl_&amp;_Dr_712"/>
      <sheetName val="Pl_&amp;_Dr_812"/>
      <sheetName val="Pl_&amp;_Dr_R12"/>
      <sheetName val="FF_B12"/>
      <sheetName val="FF_G12"/>
      <sheetName val="FF_M12"/>
      <sheetName val="FF_112"/>
      <sheetName val="FF_2_12"/>
      <sheetName val="FF_312"/>
      <sheetName val="FF_412"/>
      <sheetName val="FF_512"/>
      <sheetName val="FF_6_12"/>
      <sheetName val="FF_712"/>
      <sheetName val="FF_812"/>
      <sheetName val="FF_R12"/>
      <sheetName val="bill_nb3-FF12"/>
      <sheetName val="HVAC_B12"/>
      <sheetName val="HVAC_G12"/>
      <sheetName val="HVAC_M12"/>
      <sheetName val="HVAC_112"/>
      <sheetName val="HVAC_212"/>
      <sheetName val="HVAC_312"/>
      <sheetName val="HVAC_412"/>
      <sheetName val="HVAC_512"/>
      <sheetName val="HVAC_612"/>
      <sheetName val="HVAC_712"/>
      <sheetName val="HVAC_812"/>
      <sheetName val="HVAC_R12"/>
      <sheetName val="bill_nb4-HVAC12"/>
      <sheetName val="SC_B12"/>
      <sheetName val="SC_G12"/>
      <sheetName val="SC_M12"/>
      <sheetName val="SC_112"/>
      <sheetName val="SC_212"/>
      <sheetName val="SC_312"/>
      <sheetName val="SC_412"/>
      <sheetName val="SC_512"/>
      <sheetName val="SC_612"/>
      <sheetName val="SC_712"/>
      <sheetName val="SC_812"/>
      <sheetName val="SC_R12"/>
      <sheetName val="AV_B12"/>
      <sheetName val="AV_G12"/>
      <sheetName val="AV_M12"/>
      <sheetName val="AV_112"/>
      <sheetName val="AV_212"/>
      <sheetName val="AV_312"/>
      <sheetName val="AV_412"/>
      <sheetName val="AV_512"/>
      <sheetName val="AV_612"/>
      <sheetName val="AV_712"/>
      <sheetName val="AV_812"/>
      <sheetName val="EL_B12"/>
      <sheetName val="EL_M12"/>
      <sheetName val="EL_112"/>
      <sheetName val="EL_212"/>
      <sheetName val="EL_312"/>
      <sheetName val="EL_412"/>
      <sheetName val="EL_512"/>
      <sheetName val="EL_612"/>
      <sheetName val="EL_712"/>
      <sheetName val="EL_812"/>
      <sheetName val="EL_R12"/>
      <sheetName val="EL_TR12"/>
      <sheetName val="8-_EL12"/>
      <sheetName val="FA_B12"/>
      <sheetName val="FA_G12"/>
      <sheetName val="FA_M12"/>
      <sheetName val="FA_112"/>
      <sheetName val="FA_212"/>
      <sheetName val="FA_312"/>
      <sheetName val="FA_412"/>
      <sheetName val="FA_512"/>
      <sheetName val="FA_612"/>
      <sheetName val="FA_712"/>
      <sheetName val="FA_812"/>
      <sheetName val="FA_R12"/>
      <sheetName val="9-_FA12"/>
      <sheetName val="Div__0213"/>
      <sheetName val="Div__0313"/>
      <sheetName val="Div__0413"/>
      <sheetName val="Div__0513"/>
      <sheetName val="Div__0613"/>
      <sheetName val="Div__0713"/>
      <sheetName val="Div__0813"/>
      <sheetName val="Div__0913"/>
      <sheetName val="Div__1013"/>
      <sheetName val="Div__1113"/>
      <sheetName val="Div__1213"/>
      <sheetName val="Div_1313"/>
      <sheetName val="EXTERNAL_WORKS13"/>
      <sheetName val="PRODUCTIVITY_RATE13"/>
      <sheetName val="U_R_A_-_MASONRY13"/>
      <sheetName val="U_R_A_-_PLASTERING13"/>
      <sheetName val="U_R_A_-_TILING13"/>
      <sheetName val="U_R_A_-_GRANITE13"/>
      <sheetName val="V_C_2_-_EARTHWORK13"/>
      <sheetName val="V_C_9_-_CERAMIC13"/>
      <sheetName val="V_C_9_-_FINISHES13"/>
      <sheetName val="B09_113"/>
      <sheetName val="BOQ_Direct_selling_cost14"/>
      <sheetName val="Working_for_RCC13"/>
      <sheetName val="B185-B-9_113"/>
      <sheetName val="B185-B-9_213"/>
      <sheetName val="CHART_OF_ACCOUNTS13"/>
      <sheetName val="E-Bill_No_6_A-O13"/>
      <sheetName val="Elemental_Buildup12"/>
      <sheetName val="Division_241"/>
      <sheetName val="Division_412"/>
      <sheetName val="Division_512"/>
      <sheetName val="Division_612"/>
      <sheetName val="Division_712"/>
      <sheetName val="Division_812"/>
      <sheetName val="Division_912"/>
      <sheetName val="Division_1012"/>
      <sheetName val="Division_1212"/>
      <sheetName val="Division_1412"/>
      <sheetName val="Division_2115"/>
      <sheetName val="Division_2213"/>
      <sheetName val="Division_2312"/>
      <sheetName val="Division_2612"/>
      <sheetName val="Division_2712"/>
      <sheetName val="Division_2812"/>
      <sheetName val="Division_3112"/>
      <sheetName val="Division_3212"/>
      <sheetName val="Division_3312"/>
      <sheetName val="PMWeb_data13"/>
      <sheetName val="PointNo_512"/>
      <sheetName val="2_2)Revised_Cash_Flow12"/>
      <sheetName val="Employee_List10"/>
      <sheetName val="SS_MH13"/>
      <sheetName val="Index_List12"/>
      <sheetName val="Type_List12"/>
      <sheetName val="File_Types12"/>
      <sheetName val="Chiet_t12"/>
      <sheetName val="Staffing_and_Rates_IA12"/>
      <sheetName val="입찰내역_발주처_양식12"/>
      <sheetName val="Summary_of_Work10"/>
      <sheetName val="/VWVU))tÏØ0__13"/>
      <sheetName val="LIST_DO_NOT_REMOVE11"/>
      <sheetName val="Material_List_12"/>
      <sheetName val="PRECAST_lightconc-II14"/>
      <sheetName val="final_abstract14"/>
      <sheetName val="B6_2_11"/>
      <sheetName val="Staff_Acco_10"/>
      <sheetName val="TBAL9697_-group_wise__sdpl10"/>
      <sheetName val="Project_Cost_Breakdown10"/>
      <sheetName val="Item-_Compact10"/>
      <sheetName val="E_&amp;_R10"/>
      <sheetName val="Рабочий_лист9"/>
      <sheetName val="Annex_1_Sect_3a10"/>
      <sheetName val="Annex_1_Sect_3a_110"/>
      <sheetName val="Annex_1_Sect_3b10"/>
      <sheetName val="Annex_1_Sect_3c10"/>
      <sheetName val="HOURLY_RATES10"/>
      <sheetName val="PT_141-_Site_A_Landscape9"/>
      <sheetName val="SITE_WORK9"/>
      <sheetName val="Rate_summary9"/>
      <sheetName val="d-safe_DELUXE9"/>
      <sheetName val="Back_up9"/>
      <sheetName val="RAB_AR&amp;STR9"/>
      <sheetName val="Duct_Accesories9"/>
      <sheetName val="train_cash9"/>
      <sheetName val="accom_cash9"/>
      <sheetName val="INDIGINEOUS_ITEMS_9"/>
      <sheetName val="Common_Variables9"/>
      <sheetName val="Mall_waterproofing9"/>
      <sheetName val="MSCP_waterproofing9"/>
      <sheetName val="[SHOPLIST_xls]70,/0s«iÆøí¬i9"/>
      <sheetName val="GPL_Revenu_Update9"/>
      <sheetName val="DO_NOT_TOUCH9"/>
      <sheetName val="Work_Type9"/>
      <sheetName val="????_???_??9"/>
      <sheetName val="Labour_&amp;_Plant9"/>
      <sheetName val="Ave_wtd_rates9"/>
      <sheetName val="Debits_as_on_12_04_089"/>
      <sheetName val="STAFFSCHED_9"/>
      <sheetName val="TRIAL_BALANCE9"/>
      <sheetName val="[SHOPLIST_xls][SHOPLIST_xls]712"/>
      <sheetName val="PROJECT_BRIEF(EX_NEW)9"/>
      <sheetName val="PPA_Summary5"/>
      <sheetName val="Mix_Design5"/>
      <sheetName val="AREA_OF_APPLICATION8"/>
      <sheetName val="Risk_Breakdown_Structure8"/>
      <sheetName val="Geneí¬_i8"/>
      <sheetName val="steel_total8"/>
      <sheetName val="ELE_BOQ8"/>
      <sheetName val="Z-_GENERAL_PRICE_SUMMARY5"/>
      <sheetName val="Resumo_Empreitadas5"/>
      <sheetName val="%_prog_figs_-u5_and_total5"/>
      <sheetName val="_VWVU))tÏØ0__6"/>
      <sheetName val="Floor_Box_6"/>
      <sheetName val="[SHOPLIST_xls]/VW4"/>
      <sheetName val="[SHOPLIST_xls]/VWVU))tÏØ0__10"/>
      <sheetName val="[SHOPLIST_xls]/VWVU))tÏØ0__15"/>
      <sheetName val="Equipment_Rates4"/>
      <sheetName val="Cashflow_projection4"/>
      <sheetName val="[SHOPLIST_xls][SHOPLIST_xls]713"/>
      <sheetName val="E_H_-_H__W_P_4"/>
      <sheetName val="E__H__Treatment_for_pile_cap4"/>
      <sheetName val="[SHOPLIST_xls][SHOPLIST_xls][S4"/>
      <sheetName val="Materials_4"/>
      <sheetName val="Form_64"/>
      <sheetName val="Risk_Register4"/>
      <sheetName val="Revised_Front_Page4"/>
      <sheetName val="Diff_Run01&amp;Run024"/>
      <sheetName val="CCS_Summary4"/>
      <sheetName val="1_Carillion_Staff4"/>
      <sheetName val="_2_Staff_&amp;_Gen_labour4"/>
      <sheetName val="3_Offices4"/>
      <sheetName val="4_TempServ4"/>
      <sheetName val="__5_Temp_Wks4"/>
      <sheetName val="_6_Addn_Plant4"/>
      <sheetName val="_7__Transport4"/>
      <sheetName val="_8_Testing4"/>
      <sheetName val="9__Miscellaneous4"/>
      <sheetName val="10__Design4"/>
      <sheetName val="_11_Insurances4"/>
      <sheetName val="_12_Client_Req_4"/>
      <sheetName val="Risk_List4"/>
      <sheetName val="Track_of_Changes4"/>
      <sheetName val="Bill_8_Doors_&amp;_Windows4"/>
      <sheetName val="Bill_9_Finishes_4"/>
      <sheetName val="Bill_10_Specialities4"/>
      <sheetName val="Dash_board4"/>
      <sheetName val="[SHOPLIST_xls]704"/>
      <sheetName val="[SHOPLIST_xls]70,4"/>
      <sheetName val="Site_Dev_BOQ4"/>
      <sheetName val="1_2_Staff_Schedule5"/>
      <sheetName val="[SHOPLIST_xls]/VWVU))tÏØ0__16"/>
      <sheetName val="[SHOPLIST_xls]/VWVU))tÏØ0__24"/>
      <sheetName val="Cost_Heading1"/>
      <sheetName val="D_&amp;_W_sizes1"/>
      <sheetName val="SOPMA_DD1"/>
      <sheetName val="PRICE_INFO1"/>
      <sheetName val="RC_SUMMARY1"/>
      <sheetName val="LABOUR_PRODUCTIVITY-TAV1"/>
      <sheetName val="MATERIAL_PRICES1"/>
      <sheetName val="P-100_MRF_DB_R11"/>
      <sheetName val="Base_BM-rebar4"/>
      <sheetName val="Attach_4-181"/>
      <sheetName val="Area_Breakdown_PER_LEVEL_LINK4"/>
      <sheetName val="CF_Input4"/>
      <sheetName val="DATA_INPUT4"/>
      <sheetName val="Vordruck-Nr__7_1_3_D4"/>
      <sheetName val="M&amp;A_D4"/>
      <sheetName val="M&amp;A_E4"/>
      <sheetName val="M&amp;A_G4"/>
      <sheetName val="Data_Sheet4"/>
      <sheetName val="tender_allowances4"/>
      <sheetName val="_Summary_BKG_0344"/>
      <sheetName val="BILL_3R4"/>
      <sheetName val="BLOCK-A_(MEA_SHEET)4"/>
      <sheetName val="Bill_104"/>
      <sheetName val="Labour_Costs4"/>
      <sheetName val="Ewaan_Show_Kitchen_(2)1"/>
      <sheetName val="Cash_Flow_Working1"/>
      <sheetName val="MN_T_B_1"/>
      <sheetName val="Data_I_(2)1"/>
      <sheetName val="rEFERENCES_1"/>
      <sheetName val="Qtys_ZamZam_(Del__before)1"/>
      <sheetName val="Qtys_Relocation_(Del_before)1"/>
      <sheetName val="_Qtys_Sub_&amp;_Tents_(Del__before1"/>
      <sheetName val="Qtys__Signages_(Del__before)1"/>
      <sheetName val="Qtys_Temporary_Passages_(Del)1"/>
      <sheetName val="_Qtys_Ser__Rooms_(Del_before)1"/>
      <sheetName val="Labour_Rate_1"/>
      <sheetName val="[SHOPLIST_xls]/VWVU))tÏØ0__34"/>
      <sheetName val="[SHOPLIST_xls]70,/0s«_iÆø_í¬_i4"/>
      <sheetName val="[SHOPLIST_xls]70?,/0?s«i?Æøí¬i4"/>
      <sheetName val="GFA_HQ_Building27"/>
      <sheetName val="GFA_Conference26"/>
      <sheetName val="BQ_External26"/>
      <sheetName val="Penthouse_Apartment25"/>
      <sheetName val="Raw_Data25"/>
      <sheetName val="StattCo_yCharges25"/>
      <sheetName val="LEVEL_SHEET25"/>
      <sheetName val="SPT_vs_PHI25"/>
      <sheetName val="LABOUR_HISTOGRAM26"/>
      <sheetName val="Chiet_tinh_dz2225"/>
      <sheetName val="Chiet_tinh_dz3525"/>
      <sheetName val="@risk_rents_and_incentives25"/>
      <sheetName val="Car_park_lease25"/>
      <sheetName val="Net_rent_analysis25"/>
      <sheetName val="Poz-1_25"/>
      <sheetName val="Graph_Data_(DO_NOT_PRINT)25"/>
      <sheetName val="Bill_No__225"/>
      <sheetName val="CT_Thang_Mo25"/>
      <sheetName val="Lab_Cum_Hist25"/>
      <sheetName val="CT__PL24"/>
      <sheetName val="Projet,_methodes_&amp;_couts24"/>
      <sheetName val="Risques_majeurs_&amp;_Frais_Ind_24"/>
      <sheetName val="FOL_-_Bar25"/>
      <sheetName val="budget_summary_(2)24"/>
      <sheetName val="Budget_Analysis_Summary24"/>
      <sheetName val="intr_stool_brkup24"/>
      <sheetName val="Tender_Summary25"/>
      <sheetName val="Insurance_Ext25"/>
      <sheetName val="Customize_Your_Invoice25"/>
      <sheetName val="HVAC_BoQ25"/>
      <sheetName val="Body_Sheet24"/>
      <sheetName val="1_0_Executive_Summary24"/>
      <sheetName val="Top_sheet24"/>
      <sheetName val="Bill_223"/>
      <sheetName val="Ap_A22"/>
      <sheetName val="2_Div_14_22"/>
      <sheetName val="SHOPLIST_xls21"/>
      <sheetName val="beam-reinft-IIInd_floor21"/>
      <sheetName val="beam-reinft-machine_rm21"/>
      <sheetName val="Bill_122"/>
      <sheetName val="Bill_322"/>
      <sheetName val="Bill_422"/>
      <sheetName val="Bill_522"/>
      <sheetName val="Bill_622"/>
      <sheetName val="Bill_722"/>
      <sheetName val="POWER_ASSUMPTIONS21"/>
      <sheetName val="Civil_Boq20"/>
      <sheetName val="PROJECT_BRIEF22"/>
      <sheetName val="Invoice_Summary21"/>
      <sheetName val="C_(3)22"/>
      <sheetName val="Dubai_golf21"/>
      <sheetName val="Softscape_Buildup20"/>
      <sheetName val="Mat'l_Rate20"/>
      <sheetName val="WITHOUT_C&amp;I_PROFIT_(3)20"/>
      <sheetName val="Activity_List20"/>
      <sheetName val="HIRED_LABOUR_CODE18"/>
      <sheetName val="PA-_Consutant_18"/>
      <sheetName val="foot-slab_reinft18"/>
      <sheetName val="DETAILED__BOQ18"/>
      <sheetName val="M-Book_for_Conc18"/>
      <sheetName val="M-Book_for_FW18"/>
      <sheetName val="BILL_COV18"/>
      <sheetName val="Ra__stair18"/>
      <sheetName val="VALVE_CHAMBERS17"/>
      <sheetName val="Fire_Hydrants17"/>
      <sheetName val="B_GATE_VALVE17"/>
      <sheetName val="Sub_G1_Fire17"/>
      <sheetName val="Sub_G12_Fire17"/>
      <sheetName val="Eq__Mobilization16"/>
      <sheetName val="w't_table15"/>
      <sheetName val="Materials_Cost(PCC)17"/>
      <sheetName val="India_F&amp;S_Template17"/>
      <sheetName val="IO_LIST17"/>
      <sheetName val="Material_17"/>
      <sheetName val="Quote_Sheet17"/>
      <sheetName val="Day_work17"/>
      <sheetName val="bill_nb2-Plumbing_&amp;_Drainag15"/>
      <sheetName val="Pl_&amp;_Dr_B15"/>
      <sheetName val="Pl_&amp;_Dr_G15"/>
      <sheetName val="Pl_&amp;_Dr_M15"/>
      <sheetName val="Pl_&amp;_Dr_115"/>
      <sheetName val="Pl_&amp;_Dr_215"/>
      <sheetName val="Pl_&amp;_Dr_315"/>
      <sheetName val="Pl_&amp;_Dr_415"/>
      <sheetName val="Pl_&amp;_Dr_515"/>
      <sheetName val="Pl_&amp;_Dr_615"/>
      <sheetName val="Pl_&amp;_Dr_715"/>
      <sheetName val="Pl_&amp;_Dr_815"/>
      <sheetName val="Pl_&amp;_Dr_R15"/>
      <sheetName val="FF_B15"/>
      <sheetName val="FF_G15"/>
      <sheetName val="FF_M15"/>
      <sheetName val="FF_115"/>
      <sheetName val="FF_2_15"/>
      <sheetName val="FF_315"/>
      <sheetName val="FF_415"/>
      <sheetName val="FF_515"/>
      <sheetName val="FF_6_15"/>
      <sheetName val="FF_715"/>
      <sheetName val="FF_815"/>
      <sheetName val="FF_R15"/>
      <sheetName val="bill_nb3-FF15"/>
      <sheetName val="HVAC_B15"/>
      <sheetName val="HVAC_G15"/>
      <sheetName val="HVAC_M15"/>
      <sheetName val="HVAC_115"/>
      <sheetName val="HVAC_215"/>
      <sheetName val="HVAC_315"/>
      <sheetName val="HVAC_415"/>
      <sheetName val="HVAC_515"/>
      <sheetName val="HVAC_615"/>
      <sheetName val="HVAC_715"/>
      <sheetName val="HVAC_815"/>
      <sheetName val="HVAC_R15"/>
      <sheetName val="bill_nb4-HVAC15"/>
      <sheetName val="SC_B15"/>
      <sheetName val="SC_G15"/>
      <sheetName val="SC_M15"/>
      <sheetName val="SC_115"/>
      <sheetName val="SC_215"/>
      <sheetName val="SC_315"/>
      <sheetName val="SC_415"/>
      <sheetName val="SC_515"/>
      <sheetName val="SC_615"/>
      <sheetName val="SC_715"/>
      <sheetName val="SC_815"/>
      <sheetName val="SC_R15"/>
      <sheetName val="AV_B15"/>
      <sheetName val="AV_G15"/>
      <sheetName val="AV_M15"/>
      <sheetName val="AV_115"/>
      <sheetName val="AV_215"/>
      <sheetName val="AV_315"/>
      <sheetName val="AV_415"/>
      <sheetName val="AV_515"/>
      <sheetName val="AV_615"/>
      <sheetName val="AV_715"/>
      <sheetName val="AV_815"/>
      <sheetName val="EL_B15"/>
      <sheetName val="EL_M15"/>
      <sheetName val="EL_115"/>
      <sheetName val="EL_215"/>
      <sheetName val="EL_315"/>
      <sheetName val="EL_415"/>
      <sheetName val="EL_515"/>
      <sheetName val="EL_615"/>
      <sheetName val="EL_715"/>
      <sheetName val="EL_815"/>
      <sheetName val="EL_R15"/>
      <sheetName val="EL_TR15"/>
      <sheetName val="8-_EL15"/>
      <sheetName val="FA_B15"/>
      <sheetName val="FA_G15"/>
      <sheetName val="FA_M15"/>
      <sheetName val="FA_115"/>
      <sheetName val="FA_215"/>
      <sheetName val="FA_315"/>
      <sheetName val="FA_415"/>
      <sheetName val="FA_515"/>
      <sheetName val="FA_615"/>
      <sheetName val="FA_715"/>
      <sheetName val="FA_815"/>
      <sheetName val="FA_R15"/>
      <sheetName val="9-_FA15"/>
      <sheetName val="Div__0216"/>
      <sheetName val="Div__0316"/>
      <sheetName val="Div__0416"/>
      <sheetName val="Div__0516"/>
      <sheetName val="Div__0616"/>
      <sheetName val="Div__0716"/>
      <sheetName val="Div__0816"/>
      <sheetName val="Div__0916"/>
      <sheetName val="Div__1016"/>
      <sheetName val="Div__1116"/>
      <sheetName val="Div__1216"/>
      <sheetName val="Div_1316"/>
      <sheetName val="EXTERNAL_WORKS16"/>
      <sheetName val="PRODUCTIVITY_RATE16"/>
      <sheetName val="U_R_A_-_MASONRY16"/>
      <sheetName val="U_R_A_-_PLASTERING16"/>
      <sheetName val="U_R_A_-_TILING16"/>
      <sheetName val="U_R_A_-_GRANITE16"/>
      <sheetName val="V_C_2_-_EARTHWORK16"/>
      <sheetName val="V_C_9_-_CERAMIC16"/>
      <sheetName val="V_C_9_-_FINISHES16"/>
      <sheetName val="B09_116"/>
      <sheetName val="BOQ_Direct_selling_cost17"/>
      <sheetName val="Working_for_RCC16"/>
      <sheetName val="B185-B-9_116"/>
      <sheetName val="B185-B-9_216"/>
      <sheetName val="CHART_OF_ACCOUNTS16"/>
      <sheetName val="E-Bill_No_6_A-O16"/>
      <sheetName val="Elemental_Buildup15"/>
      <sheetName val="Division_244"/>
      <sheetName val="Division_415"/>
      <sheetName val="Division_515"/>
      <sheetName val="Division_615"/>
      <sheetName val="Division_715"/>
      <sheetName val="Division_815"/>
      <sheetName val="Division_915"/>
      <sheetName val="Division_1015"/>
      <sheetName val="Division_1215"/>
      <sheetName val="Division_1415"/>
      <sheetName val="Division_2118"/>
      <sheetName val="Division_2216"/>
      <sheetName val="Division_2315"/>
      <sheetName val="Division_2615"/>
      <sheetName val="Division_2715"/>
      <sheetName val="Division_2815"/>
      <sheetName val="Division_3115"/>
      <sheetName val="Division_3215"/>
      <sheetName val="Division_3315"/>
      <sheetName val="PMWeb_data16"/>
      <sheetName val="PointNo_515"/>
      <sheetName val="2_2)Revised_Cash_Flow15"/>
      <sheetName val="Employee_List13"/>
      <sheetName val="SS_MH16"/>
      <sheetName val="Index_List15"/>
      <sheetName val="Type_List15"/>
      <sheetName val="File_Types15"/>
      <sheetName val="Chiet_t15"/>
      <sheetName val="Staffing_and_Rates_IA15"/>
      <sheetName val="입찰내역_발주처_양식15"/>
      <sheetName val="Summary_of_Work13"/>
      <sheetName val="LIST_DO_NOT_REMOVE14"/>
      <sheetName val="Material_List_15"/>
      <sheetName val="PRECAST_lightconc-II17"/>
      <sheetName val="final_abstract17"/>
      <sheetName val="B6_2_14"/>
      <sheetName val="Staff_Acco_13"/>
      <sheetName val="TBAL9697_-group_wise__sdpl13"/>
      <sheetName val="Project_Cost_Breakdown13"/>
      <sheetName val="Item-_Compact13"/>
      <sheetName val="E_&amp;_R13"/>
      <sheetName val="Рабочий_лист12"/>
      <sheetName val="Annex_1_Sect_3a13"/>
      <sheetName val="Annex_1_Sect_3a_113"/>
      <sheetName val="Annex_1_Sect_3b13"/>
      <sheetName val="Annex_1_Sect_3c13"/>
      <sheetName val="HOURLY_RATES13"/>
      <sheetName val="PT_141-_Site_A_Landscape12"/>
      <sheetName val="SITE_WORK12"/>
      <sheetName val="Rate_summary12"/>
      <sheetName val="d-safe_DELUXE12"/>
      <sheetName val="Back_up12"/>
      <sheetName val="RAB_AR&amp;STR12"/>
      <sheetName val="Duct_Accesories12"/>
      <sheetName val="train_cash12"/>
      <sheetName val="accom_cash12"/>
      <sheetName val="INDIGINEOUS_ITEMS_12"/>
      <sheetName val="Common_Variables12"/>
      <sheetName val="Mall_waterproofing12"/>
      <sheetName val="MSCP_waterproofing12"/>
      <sheetName val="[SHOPLIST_xls]70,/0s«iÆøí¬i12"/>
      <sheetName val="GPL_Revenu_Update12"/>
      <sheetName val="DO_NOT_TOUCH12"/>
      <sheetName val="Work_Type12"/>
      <sheetName val="????_???_??12"/>
      <sheetName val="Labour_&amp;_Plant12"/>
      <sheetName val="Ave_wtd_rates12"/>
      <sheetName val="Debits_as_on_12_04_0812"/>
      <sheetName val="STAFFSCHED_12"/>
      <sheetName val="TRIAL_BALANCE12"/>
      <sheetName val="[SHOPLIST_xls][SHOPLIST_xls]718"/>
      <sheetName val="PROJECT_BRIEF(EX_NEW)12"/>
      <sheetName val="PPA_Summary8"/>
      <sheetName val="Mix_Design8"/>
      <sheetName val="AREA_OF_APPLICATION11"/>
      <sheetName val="Risk_Breakdown_Structure11"/>
      <sheetName val="Geneí¬_i11"/>
      <sheetName val="steel_total11"/>
      <sheetName val="ELE_BOQ11"/>
      <sheetName val="Z-_GENERAL_PRICE_SUMMARY8"/>
      <sheetName val="Resumo_Empreitadas8"/>
      <sheetName val="%_prog_figs_-u5_and_total8"/>
      <sheetName val="_VWVU))tÏØ0__9"/>
      <sheetName val="Floor_Box_9"/>
      <sheetName val="[SHOPLIST_xls]/VW7"/>
      <sheetName val="[SHOPLIST_xls]/VWVU))tÏØ0__29"/>
      <sheetName val="[SHOPLIST_xls]/VWVU))tÏØ0__30"/>
      <sheetName val="Equipment_Rates7"/>
      <sheetName val="Cashflow_projection7"/>
      <sheetName val="[SHOPLIST_xls][SHOPLIST_xls]719"/>
      <sheetName val="E_H_-_H__W_P_7"/>
      <sheetName val="E__H__Treatment_for_pile_cap7"/>
      <sheetName val="[SHOPLIST_xls][SHOPLIST_xls][S7"/>
      <sheetName val="Materials_7"/>
      <sheetName val="Form_67"/>
      <sheetName val="Risk_Register7"/>
      <sheetName val="Revised_Front_Page7"/>
      <sheetName val="Diff_Run01&amp;Run027"/>
      <sheetName val="CCS_Summary7"/>
      <sheetName val="1_Carillion_Staff7"/>
      <sheetName val="_2_Staff_&amp;_Gen_labour7"/>
      <sheetName val="3_Offices7"/>
      <sheetName val="4_TempServ7"/>
      <sheetName val="__5_Temp_Wks7"/>
      <sheetName val="_6_Addn_Plant7"/>
      <sheetName val="_7__Transport7"/>
      <sheetName val="_8_Testing7"/>
      <sheetName val="9__Miscellaneous7"/>
      <sheetName val="10__Design7"/>
      <sheetName val="_11_Insurances7"/>
      <sheetName val="_12_Client_Req_7"/>
      <sheetName val="Risk_List7"/>
      <sheetName val="Track_of_Changes7"/>
      <sheetName val="Bill_8_Doors_&amp;_Windows7"/>
      <sheetName val="Bill_9_Finishes_7"/>
      <sheetName val="Bill_10_Specialities7"/>
      <sheetName val="Dash_board7"/>
      <sheetName val="[SHOPLIST_xls]707"/>
      <sheetName val="[SHOPLIST_xls]70,7"/>
      <sheetName val="Site_Dev_BOQ7"/>
      <sheetName val="1_2_Staff_Schedule8"/>
      <sheetName val="[SHOPLIST_xls]/VWVU))tÏØ0__37"/>
      <sheetName val="[SHOPLIST_xls]/VWVU))tÏØ0__38"/>
      <sheetName val="Cost_Heading4"/>
      <sheetName val="D_&amp;_W_sizes4"/>
      <sheetName val="SOPMA_DD4"/>
      <sheetName val="PRICE_INFO4"/>
      <sheetName val="RC_SUMMARY4"/>
      <sheetName val="LABOUR_PRODUCTIVITY-TAV4"/>
      <sheetName val="MATERIAL_PRICES4"/>
      <sheetName val="P-100_MRF_DB_R14"/>
      <sheetName val="Base_BM-rebar7"/>
      <sheetName val="Contract_Division5"/>
      <sheetName val="SubContract_Type5"/>
      <sheetName val="Service_Type5"/>
      <sheetName val="Attach_4-184"/>
      <sheetName val="Area_Breakdown_PER_LEVEL_LINK7"/>
      <sheetName val="CF_Input7"/>
      <sheetName val="DATA_INPUT7"/>
      <sheetName val="Vordruck-Nr__7_1_3_D7"/>
      <sheetName val="M&amp;A_D7"/>
      <sheetName val="M&amp;A_E7"/>
      <sheetName val="M&amp;A_G7"/>
      <sheetName val="_SHOPLIST_xls_704"/>
      <sheetName val="_SHOPLIST_xls_70,_0s«iÆøí¬i4"/>
      <sheetName val="Data_Sheet7"/>
      <sheetName val="tender_allowances7"/>
      <sheetName val="_Summary_BKG_0347"/>
      <sheetName val="BILL_3R7"/>
      <sheetName val="BLOCK-A_(MEA_SHEET)7"/>
      <sheetName val="Bill_107"/>
      <sheetName val="Labour_Costs7"/>
      <sheetName val="Ewaan_Show_Kitchen_(2)4"/>
      <sheetName val="Cash_Flow_Working4"/>
      <sheetName val="MN_T_B_4"/>
      <sheetName val="Data_I_(2)4"/>
      <sheetName val="rEFERENCES_4"/>
      <sheetName val="Qtys_ZamZam_(Del__before)4"/>
      <sheetName val="Qtys_Relocation_(Del_before)4"/>
      <sheetName val="_Qtys_Sub_&amp;_Tents_(Del__before4"/>
      <sheetName val="Qtys__Signages_(Del__before)4"/>
      <sheetName val="Qtys_Temporary_Passages_(Del)4"/>
      <sheetName val="_Qtys_Ser__Rooms_(Del_before)4"/>
      <sheetName val="Labour_Rate_4"/>
      <sheetName val="[SHOPLIST_xls]/VWVU))tÏØ0__39"/>
      <sheetName val="[SHOPLIST_xls]70,/0s«_iÆø_í¬_i7"/>
      <sheetName val="[SHOPLIST_xls]70?,/0?s«i?Æøí¬i7"/>
      <sheetName val="/VWVU))tÏØ0__15"/>
      <sheetName val="GFA_HQ_Building26"/>
      <sheetName val="GFA_Conference25"/>
      <sheetName val="BQ_External25"/>
      <sheetName val="Penthouse_Apartment24"/>
      <sheetName val="Raw_Data24"/>
      <sheetName val="StattCo_yCharges24"/>
      <sheetName val="LEVEL_SHEET24"/>
      <sheetName val="SPT_vs_PHI24"/>
      <sheetName val="LABOUR_HISTOGRAM25"/>
      <sheetName val="Chiet_tinh_dz2224"/>
      <sheetName val="Chiet_tinh_dz3524"/>
      <sheetName val="@risk_rents_and_incentives24"/>
      <sheetName val="Car_park_lease24"/>
      <sheetName val="Net_rent_analysis24"/>
      <sheetName val="Poz-1_24"/>
      <sheetName val="Graph_Data_(DO_NOT_PRINT)24"/>
      <sheetName val="Bill_No__224"/>
      <sheetName val="CT_Thang_Mo24"/>
      <sheetName val="Lab_Cum_Hist24"/>
      <sheetName val="CT__PL23"/>
      <sheetName val="Projet,_methodes_&amp;_couts23"/>
      <sheetName val="Risques_majeurs_&amp;_Frais_Ind_23"/>
      <sheetName val="FOL_-_Bar24"/>
      <sheetName val="budget_summary_(2)23"/>
      <sheetName val="Budget_Analysis_Summary23"/>
      <sheetName val="intr_stool_brkup23"/>
      <sheetName val="Tender_Summary24"/>
      <sheetName val="Insurance_Ext24"/>
      <sheetName val="Customize_Your_Invoice24"/>
      <sheetName val="HVAC_BoQ24"/>
      <sheetName val="Body_Sheet23"/>
      <sheetName val="1_0_Executive_Summary23"/>
      <sheetName val="Top_sheet23"/>
      <sheetName val="Bill_222"/>
      <sheetName val="Ap_A21"/>
      <sheetName val="2_Div_14_21"/>
      <sheetName val="SHOPLIST_xls20"/>
      <sheetName val="beam-reinft-IIInd_floor20"/>
      <sheetName val="beam-reinft-machine_rm20"/>
      <sheetName val="Bill_121"/>
      <sheetName val="Bill_321"/>
      <sheetName val="Bill_421"/>
      <sheetName val="Bill_521"/>
      <sheetName val="Bill_621"/>
      <sheetName val="Bill_721"/>
      <sheetName val="POWER_ASSUMPTIONS20"/>
      <sheetName val="Civil_Boq19"/>
      <sheetName val="PROJECT_BRIEF21"/>
      <sheetName val="Invoice_Summary20"/>
      <sheetName val="C_(3)21"/>
      <sheetName val="Dubai_golf20"/>
      <sheetName val="Softscape_Buildup19"/>
      <sheetName val="Mat'l_Rate19"/>
      <sheetName val="WITHOUT_C&amp;I_PROFIT_(3)19"/>
      <sheetName val="Activity_List19"/>
      <sheetName val="HIRED_LABOUR_CODE17"/>
      <sheetName val="PA-_Consutant_17"/>
      <sheetName val="foot-slab_reinft17"/>
      <sheetName val="DETAILED__BOQ17"/>
      <sheetName val="M-Book_for_Conc17"/>
      <sheetName val="M-Book_for_FW17"/>
      <sheetName val="BILL_COV17"/>
      <sheetName val="Ra__stair17"/>
      <sheetName val="VALVE_CHAMBERS16"/>
      <sheetName val="Fire_Hydrants16"/>
      <sheetName val="B_GATE_VALVE16"/>
      <sheetName val="Sub_G1_Fire16"/>
      <sheetName val="Sub_G12_Fire16"/>
      <sheetName val="Eq__Mobilization15"/>
      <sheetName val="w't_table14"/>
      <sheetName val="Materials_Cost(PCC)16"/>
      <sheetName val="India_F&amp;S_Template16"/>
      <sheetName val="IO_LIST16"/>
      <sheetName val="Material_16"/>
      <sheetName val="Quote_Sheet16"/>
      <sheetName val="Day_work16"/>
      <sheetName val="bill_nb2-Plumbing_&amp;_Drainag14"/>
      <sheetName val="Pl_&amp;_Dr_B14"/>
      <sheetName val="Pl_&amp;_Dr_G14"/>
      <sheetName val="Pl_&amp;_Dr_M14"/>
      <sheetName val="Pl_&amp;_Dr_114"/>
      <sheetName val="Pl_&amp;_Dr_214"/>
      <sheetName val="Pl_&amp;_Dr_314"/>
      <sheetName val="Pl_&amp;_Dr_414"/>
      <sheetName val="Pl_&amp;_Dr_514"/>
      <sheetName val="Pl_&amp;_Dr_614"/>
      <sheetName val="Pl_&amp;_Dr_714"/>
      <sheetName val="Pl_&amp;_Dr_814"/>
      <sheetName val="Pl_&amp;_Dr_R14"/>
      <sheetName val="FF_B14"/>
      <sheetName val="FF_G14"/>
      <sheetName val="FF_M14"/>
      <sheetName val="FF_114"/>
      <sheetName val="FF_2_14"/>
      <sheetName val="FF_314"/>
      <sheetName val="FF_414"/>
      <sheetName val="FF_514"/>
      <sheetName val="FF_6_14"/>
      <sheetName val="FF_714"/>
      <sheetName val="FF_814"/>
      <sheetName val="FF_R14"/>
      <sheetName val="bill_nb3-FF14"/>
      <sheetName val="HVAC_B14"/>
      <sheetName val="HVAC_G14"/>
      <sheetName val="HVAC_M14"/>
      <sheetName val="HVAC_114"/>
      <sheetName val="HVAC_214"/>
      <sheetName val="HVAC_314"/>
      <sheetName val="HVAC_414"/>
      <sheetName val="HVAC_514"/>
      <sheetName val="HVAC_614"/>
      <sheetName val="HVAC_714"/>
      <sheetName val="HVAC_814"/>
      <sheetName val="HVAC_R14"/>
      <sheetName val="bill_nb4-HVAC14"/>
      <sheetName val="SC_B14"/>
      <sheetName val="SC_G14"/>
      <sheetName val="SC_M14"/>
      <sheetName val="SC_114"/>
      <sheetName val="SC_214"/>
      <sheetName val="SC_314"/>
      <sheetName val="SC_414"/>
      <sheetName val="SC_514"/>
      <sheetName val="SC_614"/>
      <sheetName val="SC_714"/>
      <sheetName val="SC_814"/>
      <sheetName val="SC_R14"/>
      <sheetName val="AV_B14"/>
      <sheetName val="AV_G14"/>
      <sheetName val="AV_M14"/>
      <sheetName val="AV_114"/>
      <sheetName val="AV_214"/>
      <sheetName val="AV_314"/>
      <sheetName val="AV_414"/>
      <sheetName val="AV_514"/>
      <sheetName val="AV_614"/>
      <sheetName val="AV_714"/>
      <sheetName val="AV_814"/>
      <sheetName val="EL_B14"/>
      <sheetName val="EL_M14"/>
      <sheetName val="EL_114"/>
      <sheetName val="EL_214"/>
      <sheetName val="EL_314"/>
      <sheetName val="EL_414"/>
      <sheetName val="EL_514"/>
      <sheetName val="EL_614"/>
      <sheetName val="EL_714"/>
      <sheetName val="EL_814"/>
      <sheetName val="EL_R14"/>
      <sheetName val="EL_TR14"/>
      <sheetName val="8-_EL14"/>
      <sheetName val="FA_B14"/>
      <sheetName val="FA_G14"/>
      <sheetName val="FA_M14"/>
      <sheetName val="FA_114"/>
      <sheetName val="FA_214"/>
      <sheetName val="FA_314"/>
      <sheetName val="FA_414"/>
      <sheetName val="FA_514"/>
      <sheetName val="FA_614"/>
      <sheetName val="FA_714"/>
      <sheetName val="FA_814"/>
      <sheetName val="FA_R14"/>
      <sheetName val="9-_FA14"/>
      <sheetName val="Div__0215"/>
      <sheetName val="Div__0315"/>
      <sheetName val="Div__0415"/>
      <sheetName val="Div__0515"/>
      <sheetName val="Div__0615"/>
      <sheetName val="Div__0715"/>
      <sheetName val="Div__0815"/>
      <sheetName val="Div__0915"/>
      <sheetName val="Div__1015"/>
      <sheetName val="Div__1115"/>
      <sheetName val="Div__1215"/>
      <sheetName val="Div_1315"/>
      <sheetName val="EXTERNAL_WORKS15"/>
      <sheetName val="PRODUCTIVITY_RATE15"/>
      <sheetName val="U_R_A_-_MASONRY15"/>
      <sheetName val="U_R_A_-_PLASTERING15"/>
      <sheetName val="U_R_A_-_TILING15"/>
      <sheetName val="U_R_A_-_GRANITE15"/>
      <sheetName val="V_C_2_-_EARTHWORK15"/>
      <sheetName val="V_C_9_-_CERAMIC15"/>
      <sheetName val="V_C_9_-_FINISHES15"/>
      <sheetName val="B09_115"/>
      <sheetName val="BOQ_Direct_selling_cost16"/>
      <sheetName val="Working_for_RCC15"/>
      <sheetName val="B185-B-9_115"/>
      <sheetName val="B185-B-9_215"/>
      <sheetName val="CHART_OF_ACCOUNTS15"/>
      <sheetName val="E-Bill_No_6_A-O15"/>
      <sheetName val="Elemental_Buildup14"/>
      <sheetName val="Division_243"/>
      <sheetName val="Division_414"/>
      <sheetName val="Division_514"/>
      <sheetName val="Division_614"/>
      <sheetName val="Division_714"/>
      <sheetName val="Division_814"/>
      <sheetName val="Division_914"/>
      <sheetName val="Division_1014"/>
      <sheetName val="Division_1214"/>
      <sheetName val="Division_1414"/>
      <sheetName val="Division_2117"/>
      <sheetName val="Division_2215"/>
      <sheetName val="Division_2314"/>
      <sheetName val="Division_2614"/>
      <sheetName val="Division_2714"/>
      <sheetName val="Division_2814"/>
      <sheetName val="Division_3114"/>
      <sheetName val="Division_3214"/>
      <sheetName val="Division_3314"/>
      <sheetName val="PMWeb_data15"/>
      <sheetName val="PointNo_514"/>
      <sheetName val="2_2)Revised_Cash_Flow14"/>
      <sheetName val="Employee_List12"/>
      <sheetName val="SS_MH15"/>
      <sheetName val="Index_List14"/>
      <sheetName val="Type_List14"/>
      <sheetName val="File_Types14"/>
      <sheetName val="Chiet_t14"/>
      <sheetName val="Staffing_and_Rates_IA14"/>
      <sheetName val="입찰내역_발주처_양식14"/>
      <sheetName val="Summary_of_Work12"/>
      <sheetName val="LIST_DO_NOT_REMOVE13"/>
      <sheetName val="Material_List_14"/>
      <sheetName val="PRECAST_lightconc-II16"/>
      <sheetName val="final_abstract16"/>
      <sheetName val="B6_2_13"/>
      <sheetName val="Staff_Acco_12"/>
      <sheetName val="TBAL9697_-group_wise__sdpl12"/>
      <sheetName val="Project_Cost_Breakdown12"/>
      <sheetName val="Item-_Compact12"/>
      <sheetName val="E_&amp;_R12"/>
      <sheetName val="Рабочий_лист11"/>
      <sheetName val="Annex_1_Sect_3a12"/>
      <sheetName val="Annex_1_Sect_3a_112"/>
      <sheetName val="Annex_1_Sect_3b12"/>
      <sheetName val="Annex_1_Sect_3c12"/>
      <sheetName val="HOURLY_RATES12"/>
      <sheetName val="PT_141-_Site_A_Landscape11"/>
      <sheetName val="SITE_WORK11"/>
      <sheetName val="Rate_summary11"/>
      <sheetName val="d-safe_DELUXE11"/>
      <sheetName val="Back_up11"/>
      <sheetName val="RAB_AR&amp;STR11"/>
      <sheetName val="Duct_Accesories11"/>
      <sheetName val="train_cash11"/>
      <sheetName val="accom_cash11"/>
      <sheetName val="INDIGINEOUS_ITEMS_11"/>
      <sheetName val="Common_Variables11"/>
      <sheetName val="Mall_waterproofing11"/>
      <sheetName val="MSCP_waterproofing11"/>
      <sheetName val="[SHOPLIST_xls]70,/0s«iÆøí¬i11"/>
      <sheetName val="GPL_Revenu_Update11"/>
      <sheetName val="DO_NOT_TOUCH11"/>
      <sheetName val="Work_Type11"/>
      <sheetName val="????_???_??11"/>
      <sheetName val="Labour_&amp;_Plant11"/>
      <sheetName val="Ave_wtd_rates11"/>
      <sheetName val="Debits_as_on_12_04_0811"/>
      <sheetName val="STAFFSCHED_11"/>
      <sheetName val="TRIAL_BALANCE11"/>
      <sheetName val="[SHOPLIST_xls][SHOPLIST_xls]716"/>
      <sheetName val="PROJECT_BRIEF(EX_NEW)11"/>
      <sheetName val="PPA_Summary7"/>
      <sheetName val="Mix_Design7"/>
      <sheetName val="AREA_OF_APPLICATION10"/>
      <sheetName val="Risk_Breakdown_Structure10"/>
      <sheetName val="Geneí¬_i10"/>
      <sheetName val="steel_total10"/>
      <sheetName val="ELE_BOQ10"/>
      <sheetName val="Z-_GENERAL_PRICE_SUMMARY7"/>
      <sheetName val="Resumo_Empreitadas7"/>
      <sheetName val="%_prog_figs_-u5_and_total7"/>
      <sheetName val="_VWVU))tÏØ0__8"/>
      <sheetName val="Floor_Box_8"/>
      <sheetName val="[SHOPLIST_xls]/VW6"/>
      <sheetName val="[SHOPLIST_xls]/VWVU))tÏØ0__20"/>
      <sheetName val="[SHOPLIST_xls]/VWVU))tÏØ0__26"/>
      <sheetName val="Equipment_Rates6"/>
      <sheetName val="Cashflow_projection6"/>
      <sheetName val="[SHOPLIST_xls][SHOPLIST_xls]717"/>
      <sheetName val="E_H_-_H__W_P_6"/>
      <sheetName val="E__H__Treatment_for_pile_cap6"/>
      <sheetName val="[SHOPLIST_xls][SHOPLIST_xls][S6"/>
      <sheetName val="Materials_6"/>
      <sheetName val="Form_66"/>
      <sheetName val="Risk_Register6"/>
      <sheetName val="Revised_Front_Page6"/>
      <sheetName val="Diff_Run01&amp;Run026"/>
      <sheetName val="CCS_Summary6"/>
      <sheetName val="1_Carillion_Staff6"/>
      <sheetName val="_2_Staff_&amp;_Gen_labour6"/>
      <sheetName val="3_Offices6"/>
      <sheetName val="4_TempServ6"/>
      <sheetName val="__5_Temp_Wks6"/>
      <sheetName val="_6_Addn_Plant6"/>
      <sheetName val="_7__Transport6"/>
      <sheetName val="_8_Testing6"/>
      <sheetName val="9__Miscellaneous6"/>
      <sheetName val="10__Design6"/>
      <sheetName val="_11_Insurances6"/>
      <sheetName val="_12_Client_Req_6"/>
      <sheetName val="Risk_List6"/>
      <sheetName val="Track_of_Changes6"/>
      <sheetName val="Bill_8_Doors_&amp;_Windows6"/>
      <sheetName val="Bill_9_Finishes_6"/>
      <sheetName val="Bill_10_Specialities6"/>
      <sheetName val="Dash_board6"/>
      <sheetName val="[SHOPLIST_xls]706"/>
      <sheetName val="[SHOPLIST_xls]70,6"/>
      <sheetName val="Site_Dev_BOQ6"/>
      <sheetName val="1_2_Staff_Schedule7"/>
      <sheetName val="[SHOPLIST_xls]/VWVU))tÏØ0__27"/>
      <sheetName val="[SHOPLIST_xls]/VWVU))tÏØ0__28"/>
      <sheetName val="Cost_Heading3"/>
      <sheetName val="D_&amp;_W_sizes3"/>
      <sheetName val="SOPMA_DD3"/>
      <sheetName val="PRICE_INFO3"/>
      <sheetName val="RC_SUMMARY3"/>
      <sheetName val="LABOUR_PRODUCTIVITY-TAV3"/>
      <sheetName val="MATERIAL_PRICES3"/>
      <sheetName val="P-100_MRF_DB_R13"/>
      <sheetName val="Base_BM-rebar6"/>
      <sheetName val="Contract_Division4"/>
      <sheetName val="SubContract_Type4"/>
      <sheetName val="Service_Type4"/>
      <sheetName val="Attach_4-183"/>
      <sheetName val="Area_Breakdown_PER_LEVEL_LINK6"/>
      <sheetName val="CF_Input6"/>
      <sheetName val="DATA_INPUT6"/>
      <sheetName val="Vordruck-Nr__7_1_3_D6"/>
      <sheetName val="M&amp;A_D6"/>
      <sheetName val="M&amp;A_E6"/>
      <sheetName val="M&amp;A_G6"/>
      <sheetName val="Data_Sheet6"/>
      <sheetName val="tender_allowances6"/>
      <sheetName val="_Summary_BKG_0346"/>
      <sheetName val="BILL_3R6"/>
      <sheetName val="BLOCK-A_(MEA_SHEET)6"/>
      <sheetName val="Bill_106"/>
      <sheetName val="Labour_Costs6"/>
      <sheetName val="Ewaan_Show_Kitchen_(2)3"/>
      <sheetName val="Cash_Flow_Working3"/>
      <sheetName val="MN_T_B_3"/>
      <sheetName val="Data_I_(2)3"/>
      <sheetName val="rEFERENCES_3"/>
      <sheetName val="Qtys_ZamZam_(Del__before)3"/>
      <sheetName val="Qtys_Relocation_(Del_before)3"/>
      <sheetName val="_Qtys_Sub_&amp;_Tents_(Del__before3"/>
      <sheetName val="Qtys__Signages_(Del__before)3"/>
      <sheetName val="Qtys_Temporary_Passages_(Del)3"/>
      <sheetName val="_Qtys_Ser__Rooms_(Del_before)3"/>
      <sheetName val="Labour_Rate_3"/>
      <sheetName val="[SHOPLIST_xls]/VWVU))tÏØ0__36"/>
      <sheetName val="[SHOPLIST_xls]70,/0s«_iÆø_í¬_i6"/>
      <sheetName val="[SHOPLIST_xls]70?,/0?s«i?Æøí¬i6"/>
      <sheetName val="ARBQ"/>
      <sheetName val="GFA_HQ_Building29"/>
      <sheetName val="GFA_Conference28"/>
      <sheetName val="Chiet_tinh_dz2227"/>
      <sheetName val="Chiet_tinh_dz3527"/>
      <sheetName val="BQ_External28"/>
      <sheetName val="StattCo_yCharges27"/>
      <sheetName val="CT_Thang_Mo27"/>
      <sheetName val="Raw_Data27"/>
      <sheetName val="Penthouse_Apartment27"/>
      <sheetName val="LABOUR_HISTOGRAM28"/>
      <sheetName val="@risk_rents_and_incentives27"/>
      <sheetName val="Car_park_lease27"/>
      <sheetName val="Net_rent_analysis27"/>
      <sheetName val="Poz-1_27"/>
      <sheetName val="Lab_Cum_Hist27"/>
      <sheetName val="Graph_Data_(DO_NOT_PRINT)27"/>
      <sheetName val="CT__PL26"/>
      <sheetName val="Projet,_methodes_&amp;_couts26"/>
      <sheetName val="Risques_majeurs_&amp;_Frais_Ind_26"/>
      <sheetName val="LEVEL_SHEET27"/>
      <sheetName val="SPT_vs_PHI27"/>
      <sheetName val="Bill_No__227"/>
      <sheetName val="budget_summary_(2)26"/>
      <sheetName val="Budget_Analysis_Summary26"/>
      <sheetName val="Customize_Your_Invoice27"/>
      <sheetName val="HVAC_BoQ27"/>
      <sheetName val="FOL_-_Bar27"/>
      <sheetName val="Tender_Summary27"/>
      <sheetName val="Insurance_Ext27"/>
      <sheetName val="intr_stool_brkup26"/>
      <sheetName val="Top_sheet26"/>
      <sheetName val="Body_Sheet26"/>
      <sheetName val="1_0_Executive_Summary26"/>
      <sheetName val="Bill_124"/>
      <sheetName val="Bill_225"/>
      <sheetName val="Bill_324"/>
      <sheetName val="Bill_424"/>
      <sheetName val="Bill_524"/>
      <sheetName val="Bill_624"/>
      <sheetName val="Bill_724"/>
      <sheetName val="2_Div_14_24"/>
      <sheetName val="Ap_A24"/>
      <sheetName val="SHOPLIST_xls23"/>
      <sheetName val="Dubai_golf23"/>
      <sheetName val="beam-reinft-IIInd_floor23"/>
      <sheetName val="beam-reinft-machine_rm23"/>
      <sheetName val="POWER_ASSUMPTIONS23"/>
      <sheetName val="Invoice_Summary23"/>
      <sheetName val="PROJECT_BRIEF24"/>
      <sheetName val="C_(3)24"/>
      <sheetName val="Civil_Boq22"/>
      <sheetName val="WITHOUT_C&amp;I_PROFIT_(3)22"/>
      <sheetName val="VALVE_CHAMBERS19"/>
      <sheetName val="Fire_Hydrants19"/>
      <sheetName val="B_GATE_VALVE19"/>
      <sheetName val="Sub_G1_Fire19"/>
      <sheetName val="Sub_G12_Fire19"/>
      <sheetName val="BILL_COV20"/>
      <sheetName val="Activity_List22"/>
      <sheetName val="DETAILED__BOQ20"/>
      <sheetName val="M-Book_for_Conc20"/>
      <sheetName val="M-Book_for_FW20"/>
      <sheetName val="HIRED_LABOUR_CODE20"/>
      <sheetName val="PA-_Consutant_20"/>
      <sheetName val="foot-slab_reinft20"/>
      <sheetName val="Softscape_Buildup22"/>
      <sheetName val="Mat'l_Rate22"/>
      <sheetName val="Ra__stair20"/>
      <sheetName val="Materials_Cost(PCC)19"/>
      <sheetName val="India_F&amp;S_Template19"/>
      <sheetName val="IO_LIST19"/>
      <sheetName val="Material_19"/>
      <sheetName val="Quote_Sheet19"/>
      <sheetName val="Day_work19"/>
      <sheetName val="Div__0218"/>
      <sheetName val="Div__0318"/>
      <sheetName val="Div__0418"/>
      <sheetName val="Div__0518"/>
      <sheetName val="Div__0618"/>
      <sheetName val="Div__0718"/>
      <sheetName val="Div__0818"/>
      <sheetName val="Div__0918"/>
      <sheetName val="Div__1018"/>
      <sheetName val="Div__1118"/>
      <sheetName val="Div__1218"/>
      <sheetName val="Div_1318"/>
      <sheetName val="EXTERNAL_WORKS18"/>
      <sheetName val="PRODUCTIVITY_RATE18"/>
      <sheetName val="U_R_A_-_MASONRY18"/>
      <sheetName val="U_R_A_-_PLASTERING18"/>
      <sheetName val="U_R_A_-_TILING18"/>
      <sheetName val="U_R_A_-_GRANITE18"/>
      <sheetName val="V_C_2_-_EARTHWORK18"/>
      <sheetName val="V_C_9_-_CERAMIC18"/>
      <sheetName val="V_C_9_-_FINISHES18"/>
      <sheetName val="Working_for_RCC18"/>
      <sheetName val="Elemental_Buildup17"/>
      <sheetName val="Eq__Mobilization18"/>
      <sheetName val="w't_table17"/>
      <sheetName val="bill_nb2-Plumbing_&amp;_Drainag17"/>
      <sheetName val="Pl_&amp;_Dr_B17"/>
      <sheetName val="Pl_&amp;_Dr_G17"/>
      <sheetName val="Pl_&amp;_Dr_M17"/>
      <sheetName val="Pl_&amp;_Dr_117"/>
      <sheetName val="Pl_&amp;_Dr_217"/>
      <sheetName val="Pl_&amp;_Dr_317"/>
      <sheetName val="Pl_&amp;_Dr_417"/>
      <sheetName val="Pl_&amp;_Dr_517"/>
      <sheetName val="Pl_&amp;_Dr_617"/>
      <sheetName val="Pl_&amp;_Dr_717"/>
      <sheetName val="Pl_&amp;_Dr_817"/>
      <sheetName val="Pl_&amp;_Dr_R17"/>
      <sheetName val="FF_B17"/>
      <sheetName val="FF_G17"/>
      <sheetName val="FF_M17"/>
      <sheetName val="FF_117"/>
      <sheetName val="FF_2_17"/>
      <sheetName val="FF_317"/>
      <sheetName val="FF_417"/>
      <sheetName val="FF_517"/>
      <sheetName val="FF_6_17"/>
      <sheetName val="FF_717"/>
      <sheetName val="FF_817"/>
      <sheetName val="FF_R17"/>
      <sheetName val="bill_nb3-FF17"/>
      <sheetName val="HVAC_B17"/>
      <sheetName val="HVAC_G17"/>
      <sheetName val="HVAC_M17"/>
      <sheetName val="HVAC_117"/>
      <sheetName val="HVAC_217"/>
      <sheetName val="HVAC_317"/>
      <sheetName val="HVAC_417"/>
      <sheetName val="HVAC_517"/>
      <sheetName val="HVAC_617"/>
      <sheetName val="HVAC_717"/>
      <sheetName val="HVAC_817"/>
      <sheetName val="HVAC_R17"/>
      <sheetName val="bill_nb4-HVAC17"/>
      <sheetName val="SC_B17"/>
      <sheetName val="SC_G17"/>
      <sheetName val="SC_M17"/>
      <sheetName val="SC_117"/>
      <sheetName val="SC_217"/>
      <sheetName val="SC_317"/>
      <sheetName val="SC_417"/>
      <sheetName val="SC_517"/>
      <sheetName val="SC_617"/>
      <sheetName val="SC_717"/>
      <sheetName val="SC_817"/>
      <sheetName val="SC_R17"/>
      <sheetName val="AV_B17"/>
      <sheetName val="AV_G17"/>
      <sheetName val="AV_M17"/>
      <sheetName val="AV_117"/>
      <sheetName val="AV_217"/>
      <sheetName val="AV_317"/>
      <sheetName val="AV_417"/>
      <sheetName val="AV_517"/>
      <sheetName val="AV_617"/>
      <sheetName val="AV_717"/>
      <sheetName val="AV_817"/>
      <sheetName val="EL_B17"/>
      <sheetName val="EL_M17"/>
      <sheetName val="EL_117"/>
      <sheetName val="EL_217"/>
      <sheetName val="EL_317"/>
      <sheetName val="EL_417"/>
      <sheetName val="EL_517"/>
      <sheetName val="EL_617"/>
      <sheetName val="EL_717"/>
      <sheetName val="EL_817"/>
      <sheetName val="EL_R17"/>
      <sheetName val="EL_TR17"/>
      <sheetName val="8-_EL17"/>
      <sheetName val="FA_B17"/>
      <sheetName val="FA_G17"/>
      <sheetName val="FA_M17"/>
      <sheetName val="FA_117"/>
      <sheetName val="FA_217"/>
      <sheetName val="FA_317"/>
      <sheetName val="FA_417"/>
      <sheetName val="FA_517"/>
      <sheetName val="FA_617"/>
      <sheetName val="FA_717"/>
      <sheetName val="FA_817"/>
      <sheetName val="FA_R17"/>
      <sheetName val="9-_FA17"/>
      <sheetName val="BOQ_Direct_selling_cost19"/>
      <sheetName val="CHART_OF_ACCOUNTS18"/>
      <sheetName val="B185-B-9_118"/>
      <sheetName val="B185-B-9_218"/>
      <sheetName val="Material_List_17"/>
      <sheetName val="E-Bill_No_6_A-O18"/>
      <sheetName val="B09_118"/>
      <sheetName val="Division_246"/>
      <sheetName val="Division_417"/>
      <sheetName val="Division_517"/>
      <sheetName val="Division_617"/>
      <sheetName val="Division_717"/>
      <sheetName val="Division_817"/>
      <sheetName val="Division_917"/>
      <sheetName val="Division_1017"/>
      <sheetName val="Division_1217"/>
      <sheetName val="Division_1417"/>
      <sheetName val="Division_2120"/>
      <sheetName val="Division_2218"/>
      <sheetName val="Division_2317"/>
      <sheetName val="Division_2617"/>
      <sheetName val="Division_2717"/>
      <sheetName val="Division_2817"/>
      <sheetName val="Division_3117"/>
      <sheetName val="Division_3217"/>
      <sheetName val="Division_3317"/>
      <sheetName val="PMWeb_data18"/>
      <sheetName val="PointNo_517"/>
      <sheetName val="SS_MH18"/>
      <sheetName val="2_2)Revised_Cash_Flow17"/>
      <sheetName val="입찰내역_발주처_양식17"/>
      <sheetName val="/VWVU))tÏØ0__18"/>
      <sheetName val="LIST_DO_NOT_REMOVE16"/>
      <sheetName val="Index_List17"/>
      <sheetName val="Type_List17"/>
      <sheetName val="File_Types17"/>
      <sheetName val="Chiet_t17"/>
      <sheetName val="Staffing_and_Rates_IA17"/>
      <sheetName val="Summary_of_Work15"/>
      <sheetName val="PRECAST_lightconc-II19"/>
      <sheetName val="final_abstract19"/>
      <sheetName val="Staff_Acco_15"/>
      <sheetName val="TBAL9697_-group_wise__sdpl15"/>
      <sheetName val="Employee_List15"/>
      <sheetName val="Project_Cost_Breakdown15"/>
      <sheetName val="B6_2_16"/>
      <sheetName val="Item-_Compact15"/>
      <sheetName val="E_&amp;_R15"/>
      <sheetName val="Рабочий_лист14"/>
      <sheetName val="SITE_WORK14"/>
      <sheetName val="Annex_1_Sect_3a15"/>
      <sheetName val="Annex_1_Sect_3a_115"/>
      <sheetName val="Annex_1_Sect_3b15"/>
      <sheetName val="Annex_1_Sect_3c15"/>
      <sheetName val="HOURLY_RATES15"/>
      <sheetName val="Rate_summary14"/>
      <sheetName val="RAB_AR&amp;STR14"/>
      <sheetName val="d-safe_DELUXE14"/>
      <sheetName val="Back_up14"/>
      <sheetName val="PT_141-_Site_A_Landscape14"/>
      <sheetName val="train_cash14"/>
      <sheetName val="accom_cash14"/>
      <sheetName val="INDIGINEOUS_ITEMS_14"/>
      <sheetName val="Duct_Accesories14"/>
      <sheetName val="Mall_waterproofing14"/>
      <sheetName val="MSCP_waterproofing14"/>
      <sheetName val="????_???_??14"/>
      <sheetName val="Labour_&amp;_Plant14"/>
      <sheetName val="Ave_wtd_rates14"/>
      <sheetName val="Debits_as_on_12_04_0814"/>
      <sheetName val="STAFFSCHED_14"/>
      <sheetName val="TRIAL_BALANCE14"/>
      <sheetName val="[SHOPLIST_xls][SHOPLIST_xls]722"/>
      <sheetName val="Common_Variables14"/>
      <sheetName val="[SHOPLIST_xls]70,/0s«iÆøí¬i14"/>
      <sheetName val="GPL_Revenu_Update14"/>
      <sheetName val="DO_NOT_TOUCH14"/>
      <sheetName val="Work_Type14"/>
      <sheetName val="PROJECT_BRIEF(EX_NEW)14"/>
      <sheetName val="AREA_OF_APPLICATION13"/>
      <sheetName val="Risk_Breakdown_Structure13"/>
      <sheetName val="Geneí¬_i13"/>
      <sheetName val="steel_total13"/>
      <sheetName val="ELE_BOQ13"/>
      <sheetName val="Z-_GENERAL_PRICE_SUMMARY10"/>
      <sheetName val="Resumo_Empreitadas10"/>
      <sheetName val="PPA_Summary10"/>
      <sheetName val="Mix_Design10"/>
      <sheetName val="%_prog_figs_-u5_and_total10"/>
      <sheetName val="_VWVU))tÏØ0__11"/>
      <sheetName val="Floor_Box_11"/>
      <sheetName val="Equipment_Rates9"/>
      <sheetName val="[SHOPLIST_xls]/VW9"/>
      <sheetName val="[SHOPLIST_xls]/VWVU))tÏØ0__45"/>
      <sheetName val="[SHOPLIST_xls]/VWVU))tÏØ0__46"/>
      <sheetName val="Cashflow_projection9"/>
      <sheetName val="[SHOPLIST_xls][SHOPLIST_xls]723"/>
      <sheetName val="E_H_-_H__W_P_9"/>
      <sheetName val="E__H__Treatment_for_pile_cap9"/>
      <sheetName val="[SHOPLIST_xls][SHOPLIST_xls][S9"/>
      <sheetName val="Form_69"/>
      <sheetName val="Risk_Register9"/>
      <sheetName val="Revised_Front_Page9"/>
      <sheetName val="Diff_Run01&amp;Run029"/>
      <sheetName val="CCS_Summary9"/>
      <sheetName val="1_Carillion_Staff9"/>
      <sheetName val="_2_Staff_&amp;_Gen_labour9"/>
      <sheetName val="3_Offices9"/>
      <sheetName val="4_TempServ9"/>
      <sheetName val="__5_Temp_Wks9"/>
      <sheetName val="_6_Addn_Plant9"/>
      <sheetName val="_7__Transport9"/>
      <sheetName val="_8_Testing9"/>
      <sheetName val="9__Miscellaneous9"/>
      <sheetName val="10__Design9"/>
      <sheetName val="_11_Insurances9"/>
      <sheetName val="_12_Client_Req_9"/>
      <sheetName val="Risk_List9"/>
      <sheetName val="Track_of_Changes9"/>
      <sheetName val="Bill_8_Doors_&amp;_Windows9"/>
      <sheetName val="Bill_9_Finishes_9"/>
      <sheetName val="Bill_10_Specialities9"/>
      <sheetName val="Dash_board9"/>
      <sheetName val="[SHOPLIST_xls]709"/>
      <sheetName val="[SHOPLIST_xls]70,9"/>
      <sheetName val="Base_BM-rebar9"/>
      <sheetName val="Materials_9"/>
      <sheetName val="Site_Dev_BOQ9"/>
      <sheetName val="Data_Sheet9"/>
      <sheetName val="tender_allowances9"/>
      <sheetName val="_Summary_BKG_0349"/>
      <sheetName val="BILL_3R9"/>
      <sheetName val="Area_Breakdown_PER_LEVEL_LINK9"/>
      <sheetName val="CF_Input9"/>
      <sheetName val="DATA_INPUT9"/>
      <sheetName val="Vordruck-Nr__7_1_3_D9"/>
      <sheetName val="M&amp;A_D9"/>
      <sheetName val="M&amp;A_E9"/>
      <sheetName val="M&amp;A_G9"/>
      <sheetName val="1_2_Staff_Schedule10"/>
      <sheetName val="Bill_109"/>
      <sheetName val="[SHOPLIST_xls]/VWVU))tÏØ0__47"/>
      <sheetName val="[SHOPLIST_xls]/VWVU))tÏØ0__48"/>
      <sheetName val="[SHOPLIST_xls]/VWVU))tÏØ0__49"/>
      <sheetName val="[SHOPLIST_xls]70,/0s«_iÆø_í¬_i9"/>
      <sheetName val="[SHOPLIST_xls]70?,/0?s«i?Æøí¬i9"/>
      <sheetName val="Labour_Costs9"/>
      <sheetName val="BLOCK-A_(MEA_SHEET)9"/>
      <sheetName val="Contract_Division7"/>
      <sheetName val="SubContract_Type7"/>
      <sheetName val="Service_Type7"/>
      <sheetName val="Cost_Heading6"/>
      <sheetName val="D_&amp;_W_sizes6"/>
      <sheetName val="SOPMA_DD6"/>
      <sheetName val="PRICE_INFO6"/>
      <sheetName val="RC_SUMMARY6"/>
      <sheetName val="LABOUR_PRODUCTIVITY-TAV6"/>
      <sheetName val="MATERIAL_PRICES6"/>
      <sheetName val="P-100_MRF_DB_R16"/>
      <sheetName val="Attach_4-186"/>
      <sheetName val="_SHOPLIST_xls_706"/>
      <sheetName val="_SHOPLIST_xls_70,_0s«iÆøí¬i6"/>
      <sheetName val="Ewaan_Show_Kitchen_(2)6"/>
      <sheetName val="Cash_Flow_Working6"/>
      <sheetName val="MN_T_B_6"/>
      <sheetName val="Data_I_(2)6"/>
      <sheetName val="rEFERENCES_6"/>
      <sheetName val="Qtys_ZamZam_(Del__before)6"/>
      <sheetName val="Qtys_Relocation_(Del_before)6"/>
      <sheetName val="_Qtys_Sub_&amp;_Tents_(Del__before6"/>
      <sheetName val="Qtys__Signages_(Del__before)6"/>
      <sheetName val="Qtys_Temporary_Passages_(Del)6"/>
      <sheetName val="_Qtys_Ser__Rooms_(Del_before)6"/>
      <sheetName val="Labour_Rate_6"/>
      <sheetName val="2F_회의실견적(5_14_일대)2"/>
      <sheetName val="_HIT-&gt;HMC_견적(3900)2"/>
      <sheetName val="Appendix_B2"/>
      <sheetName val="BOQ_(2)"/>
      <sheetName val="LABOUR_RATE"/>
      <sheetName val="Material_Rate"/>
      <sheetName val="Labor_abs-PW"/>
      <sheetName val="Labor_abs-NMR"/>
      <sheetName val="kppl_pl"/>
      <sheetName val="Basic_Rates"/>
      <sheetName val="Combined_Results_"/>
      <sheetName val="Div_07_Thermal_&amp;_Moisture"/>
      <sheetName val="precast_RC_element"/>
      <sheetName val="pile_Fabrication"/>
      <sheetName val="AOP_Summary-2"/>
      <sheetName val="May_05"/>
      <sheetName val="April_05"/>
      <sheetName val="Aug_05"/>
      <sheetName val="July_05"/>
      <sheetName val="June_05"/>
      <sheetName val="Nov_05"/>
      <sheetName val="Oct_05"/>
      <sheetName val="Sep_05"/>
      <sheetName val="Data_Validation"/>
      <sheetName val="Div26_-_Elect"/>
      <sheetName val="CHUNG_CU_CARRILON"/>
      <sheetName val="GFA_HQ_Building30"/>
      <sheetName val="GFA_Conference29"/>
      <sheetName val="Chiet_tinh_dz2228"/>
      <sheetName val="Chiet_tinh_dz3528"/>
      <sheetName val="BQ_External29"/>
      <sheetName val="StattCo_yCharges28"/>
      <sheetName val="CT_Thang_Mo28"/>
      <sheetName val="Raw_Data28"/>
      <sheetName val="Penthouse_Apartment28"/>
      <sheetName val="LABOUR_HISTOGRAM29"/>
      <sheetName val="@risk_rents_and_incentives28"/>
      <sheetName val="Car_park_lease28"/>
      <sheetName val="Net_rent_analysis28"/>
      <sheetName val="Poz-1_28"/>
      <sheetName val="Lab_Cum_Hist28"/>
      <sheetName val="Graph_Data_(DO_NOT_PRINT)28"/>
      <sheetName val="CT__PL27"/>
      <sheetName val="Projet,_methodes_&amp;_couts27"/>
      <sheetName val="Risques_majeurs_&amp;_Frais_Ind_27"/>
      <sheetName val="LEVEL_SHEET28"/>
      <sheetName val="SPT_vs_PHI28"/>
      <sheetName val="Bill_No__228"/>
      <sheetName val="budget_summary_(2)27"/>
      <sheetName val="Budget_Analysis_Summary27"/>
      <sheetName val="Customize_Your_Invoice28"/>
      <sheetName val="HVAC_BoQ28"/>
      <sheetName val="FOL_-_Bar28"/>
      <sheetName val="Tender_Summary28"/>
      <sheetName val="Insurance_Ext28"/>
      <sheetName val="intr_stool_brkup27"/>
      <sheetName val="Top_sheet27"/>
      <sheetName val="Body_Sheet27"/>
      <sheetName val="1_0_Executive_Summary27"/>
      <sheetName val="Bill_125"/>
      <sheetName val="Bill_226"/>
      <sheetName val="Bill_325"/>
      <sheetName val="Bill_425"/>
      <sheetName val="Bill_525"/>
      <sheetName val="Bill_625"/>
      <sheetName val="Bill_725"/>
      <sheetName val="2_Div_14_25"/>
      <sheetName val="Ap_A25"/>
      <sheetName val="SHOPLIST_xls24"/>
      <sheetName val="Dubai_golf24"/>
      <sheetName val="beam-reinft-IIInd_floor24"/>
      <sheetName val="beam-reinft-machine_rm24"/>
      <sheetName val="POWER_ASSUMPTIONS24"/>
      <sheetName val="Invoice_Summary24"/>
      <sheetName val="PROJECT_BRIEF25"/>
      <sheetName val="C_(3)25"/>
      <sheetName val="Civil_Boq23"/>
      <sheetName val="WITHOUT_C&amp;I_PROFIT_(3)23"/>
      <sheetName val="VALVE_CHAMBERS20"/>
      <sheetName val="Fire_Hydrants20"/>
      <sheetName val="B_GATE_VALVE20"/>
      <sheetName val="Sub_G1_Fire20"/>
      <sheetName val="Sub_G12_Fire20"/>
      <sheetName val="BILL_COV21"/>
      <sheetName val="Activity_List23"/>
      <sheetName val="DETAILED__BOQ21"/>
      <sheetName val="M-Book_for_Conc21"/>
      <sheetName val="M-Book_for_FW21"/>
      <sheetName val="HIRED_LABOUR_CODE21"/>
      <sheetName val="PA-_Consutant_21"/>
      <sheetName val="foot-slab_reinft21"/>
      <sheetName val="Softscape_Buildup23"/>
      <sheetName val="Mat'l_Rate23"/>
      <sheetName val="Ra__stair21"/>
      <sheetName val="Materials_Cost(PCC)20"/>
      <sheetName val="India_F&amp;S_Template20"/>
      <sheetName val="IO_LIST20"/>
      <sheetName val="Material_20"/>
      <sheetName val="Quote_Sheet20"/>
      <sheetName val="Day_work20"/>
      <sheetName val="Div__0219"/>
      <sheetName val="Div__0319"/>
      <sheetName val="Div__0419"/>
      <sheetName val="Div__0519"/>
      <sheetName val="Div__0619"/>
      <sheetName val="Div__0719"/>
      <sheetName val="Div__0819"/>
      <sheetName val="Div__0919"/>
      <sheetName val="Div__1019"/>
      <sheetName val="Div__1119"/>
      <sheetName val="Div__1219"/>
      <sheetName val="Div_1319"/>
      <sheetName val="EXTERNAL_WORKS19"/>
      <sheetName val="PRODUCTIVITY_RATE19"/>
      <sheetName val="U_R_A_-_MASONRY19"/>
      <sheetName val="U_R_A_-_PLASTERING19"/>
      <sheetName val="U_R_A_-_TILING19"/>
      <sheetName val="U_R_A_-_GRANITE19"/>
      <sheetName val="V_C_2_-_EARTHWORK19"/>
      <sheetName val="V_C_9_-_CERAMIC19"/>
      <sheetName val="V_C_9_-_FINISHES19"/>
      <sheetName val="Working_for_RCC19"/>
      <sheetName val="Elemental_Buildup18"/>
      <sheetName val="Eq__Mobilization19"/>
      <sheetName val="w't_table18"/>
      <sheetName val="bill_nb2-Plumbing_&amp;_Drainag18"/>
      <sheetName val="Pl_&amp;_Dr_B18"/>
      <sheetName val="Pl_&amp;_Dr_G18"/>
      <sheetName val="Pl_&amp;_Dr_M18"/>
      <sheetName val="Pl_&amp;_Dr_118"/>
      <sheetName val="Pl_&amp;_Dr_218"/>
      <sheetName val="Pl_&amp;_Dr_318"/>
      <sheetName val="Pl_&amp;_Dr_418"/>
      <sheetName val="Pl_&amp;_Dr_518"/>
      <sheetName val="Pl_&amp;_Dr_618"/>
      <sheetName val="Pl_&amp;_Dr_718"/>
      <sheetName val="Pl_&amp;_Dr_818"/>
      <sheetName val="Pl_&amp;_Dr_R18"/>
      <sheetName val="FF_B18"/>
      <sheetName val="FF_G18"/>
      <sheetName val="FF_M18"/>
      <sheetName val="FF_118"/>
      <sheetName val="FF_2_18"/>
      <sheetName val="FF_318"/>
      <sheetName val="FF_418"/>
      <sheetName val="FF_518"/>
      <sheetName val="FF_6_18"/>
      <sheetName val="FF_718"/>
      <sheetName val="FF_818"/>
      <sheetName val="FF_R18"/>
      <sheetName val="bill_nb3-FF18"/>
      <sheetName val="HVAC_B18"/>
      <sheetName val="HVAC_G18"/>
      <sheetName val="HVAC_M18"/>
      <sheetName val="HVAC_118"/>
      <sheetName val="HVAC_218"/>
      <sheetName val="HVAC_318"/>
      <sheetName val="HVAC_418"/>
      <sheetName val="HVAC_518"/>
      <sheetName val="HVAC_618"/>
      <sheetName val="HVAC_718"/>
      <sheetName val="HVAC_818"/>
      <sheetName val="HVAC_R18"/>
      <sheetName val="bill_nb4-HVAC18"/>
      <sheetName val="SC_B18"/>
      <sheetName val="SC_G18"/>
      <sheetName val="SC_M18"/>
      <sheetName val="SC_118"/>
      <sheetName val="SC_218"/>
      <sheetName val="SC_318"/>
      <sheetName val="SC_418"/>
      <sheetName val="SC_518"/>
      <sheetName val="SC_618"/>
      <sheetName val="SC_718"/>
      <sheetName val="SC_818"/>
      <sheetName val="SC_R18"/>
      <sheetName val="AV_B18"/>
      <sheetName val="AV_G18"/>
      <sheetName val="AV_M18"/>
      <sheetName val="AV_118"/>
      <sheetName val="AV_218"/>
      <sheetName val="AV_318"/>
      <sheetName val="AV_418"/>
      <sheetName val="AV_518"/>
      <sheetName val="AV_618"/>
      <sheetName val="AV_718"/>
      <sheetName val="AV_818"/>
      <sheetName val="EL_B18"/>
      <sheetName val="EL_M18"/>
      <sheetName val="EL_118"/>
      <sheetName val="EL_218"/>
      <sheetName val="EL_318"/>
      <sheetName val="EL_418"/>
      <sheetName val="EL_518"/>
      <sheetName val="EL_618"/>
      <sheetName val="EL_718"/>
      <sheetName val="EL_818"/>
      <sheetName val="EL_R18"/>
      <sheetName val="EL_TR18"/>
      <sheetName val="8-_EL18"/>
      <sheetName val="FA_B18"/>
      <sheetName val="FA_G18"/>
      <sheetName val="FA_M18"/>
      <sheetName val="FA_118"/>
      <sheetName val="FA_218"/>
      <sheetName val="FA_318"/>
      <sheetName val="FA_418"/>
      <sheetName val="FA_518"/>
      <sheetName val="FA_618"/>
      <sheetName val="FA_718"/>
      <sheetName val="FA_818"/>
      <sheetName val="FA_R18"/>
      <sheetName val="9-_FA18"/>
      <sheetName val="BOQ_Direct_selling_cost20"/>
      <sheetName val="CHART_OF_ACCOUNTS19"/>
      <sheetName val="B185-B-9_119"/>
      <sheetName val="B185-B-9_219"/>
      <sheetName val="Material_List_18"/>
      <sheetName val="E-Bill_No_6_A-O19"/>
      <sheetName val="B09_119"/>
      <sheetName val="Division_247"/>
      <sheetName val="Division_418"/>
      <sheetName val="Division_518"/>
      <sheetName val="Division_618"/>
      <sheetName val="Division_718"/>
      <sheetName val="Division_818"/>
      <sheetName val="Division_918"/>
      <sheetName val="Division_1018"/>
      <sheetName val="Division_1218"/>
      <sheetName val="Division_1418"/>
      <sheetName val="Division_2121"/>
      <sheetName val="Division_2219"/>
      <sheetName val="Division_2318"/>
      <sheetName val="Division_2618"/>
      <sheetName val="Division_2718"/>
      <sheetName val="Division_2818"/>
      <sheetName val="Division_3118"/>
      <sheetName val="Division_3218"/>
      <sheetName val="Division_3318"/>
      <sheetName val="PMWeb_data19"/>
      <sheetName val="PointNo_518"/>
      <sheetName val="SS_MH19"/>
      <sheetName val="2_2)Revised_Cash_Flow18"/>
      <sheetName val="입찰내역_발주처_양식18"/>
      <sheetName val="/VWVU))tÏØ0__19"/>
      <sheetName val="LIST_DO_NOT_REMOVE17"/>
      <sheetName val="Index_List18"/>
      <sheetName val="Type_List18"/>
      <sheetName val="File_Types18"/>
      <sheetName val="Chiet_t18"/>
      <sheetName val="Staffing_and_Rates_IA18"/>
      <sheetName val="Summary_of_Work16"/>
      <sheetName val="PRECAST_lightconc-II20"/>
      <sheetName val="final_abstract20"/>
      <sheetName val="Staff_Acco_16"/>
      <sheetName val="TBAL9697_-group_wise__sdpl16"/>
      <sheetName val="Employee_List16"/>
      <sheetName val="Project_Cost_Breakdown16"/>
      <sheetName val="B6_2_17"/>
      <sheetName val="Item-_Compact16"/>
      <sheetName val="E_&amp;_R16"/>
      <sheetName val="Рабочий_лист15"/>
      <sheetName val="SITE_WORK15"/>
      <sheetName val="Annex_1_Sect_3a16"/>
      <sheetName val="Annex_1_Sect_3a_116"/>
      <sheetName val="Annex_1_Sect_3b16"/>
      <sheetName val="Annex_1_Sect_3c16"/>
      <sheetName val="HOURLY_RATES16"/>
      <sheetName val="Rate_summary15"/>
      <sheetName val="RAB_AR&amp;STR15"/>
      <sheetName val="d-safe_DELUXE15"/>
      <sheetName val="Back_up15"/>
      <sheetName val="PT_141-_Site_A_Landscape15"/>
      <sheetName val="train_cash15"/>
      <sheetName val="accom_cash15"/>
      <sheetName val="INDIGINEOUS_ITEMS_15"/>
      <sheetName val="Duct_Accesories15"/>
      <sheetName val="Mall_waterproofing15"/>
      <sheetName val="MSCP_waterproofing15"/>
      <sheetName val="????_???_??15"/>
      <sheetName val="Labour_&amp;_Plant15"/>
      <sheetName val="Ave_wtd_rates15"/>
      <sheetName val="Debits_as_on_12_04_0815"/>
      <sheetName val="STAFFSCHED_15"/>
      <sheetName val="TRIAL_BALANCE15"/>
      <sheetName val="[SHOPLIST_xls][SHOPLIST_xls]724"/>
      <sheetName val="Common_Variables15"/>
      <sheetName val="[SHOPLIST_xls]70,/0s«iÆøí¬i15"/>
      <sheetName val="GPL_Revenu_Update15"/>
      <sheetName val="DO_NOT_TOUCH15"/>
      <sheetName val="Work_Type15"/>
      <sheetName val="PROJECT_BRIEF(EX_NEW)15"/>
      <sheetName val="AREA_OF_APPLICATION14"/>
      <sheetName val="Risk_Breakdown_Structure14"/>
      <sheetName val="Geneí¬_i14"/>
      <sheetName val="steel_total14"/>
      <sheetName val="ELE_BOQ14"/>
      <sheetName val="Z-_GENERAL_PRICE_SUMMARY11"/>
      <sheetName val="Resumo_Empreitadas11"/>
      <sheetName val="PPA_Summary11"/>
      <sheetName val="Mix_Design11"/>
      <sheetName val="%_prog_figs_-u5_and_total11"/>
      <sheetName val="_VWVU))tÏØ0__12"/>
      <sheetName val="Floor_Box_12"/>
      <sheetName val="Equipment_Rates10"/>
      <sheetName val="[SHOPLIST_xls]/VW10"/>
      <sheetName val="[SHOPLIST_xls]/VWVU))tÏØ0__50"/>
      <sheetName val="[SHOPLIST_xls]/VWVU))tÏØ0__51"/>
      <sheetName val="Cashflow_projection10"/>
      <sheetName val="[SHOPLIST_xls][SHOPLIST_xls]725"/>
      <sheetName val="E_H_-_H__W_P_10"/>
      <sheetName val="E__H__Treatment_for_pile_cap10"/>
      <sheetName val="[SHOPLIST_xls][SHOPLIST_xls][10"/>
      <sheetName val="Form_610"/>
      <sheetName val="Risk_Register10"/>
      <sheetName val="Revised_Front_Page10"/>
      <sheetName val="Diff_Run01&amp;Run0210"/>
      <sheetName val="CCS_Summary10"/>
      <sheetName val="1_Carillion_Staff10"/>
      <sheetName val="_2_Staff_&amp;_Gen_labour10"/>
      <sheetName val="3_Offices10"/>
      <sheetName val="4_TempServ10"/>
      <sheetName val="__5_Temp_Wks10"/>
      <sheetName val="_6_Addn_Plant10"/>
      <sheetName val="_7__Transport10"/>
      <sheetName val="_8_Testing10"/>
      <sheetName val="9__Miscellaneous10"/>
      <sheetName val="10__Design10"/>
      <sheetName val="_11_Insurances10"/>
      <sheetName val="_12_Client_Req_10"/>
      <sheetName val="Risk_List10"/>
      <sheetName val="Track_of_Changes10"/>
      <sheetName val="Bill_8_Doors_&amp;_Windows10"/>
      <sheetName val="Bill_9_Finishes_10"/>
      <sheetName val="Bill_10_Specialities10"/>
      <sheetName val="Dash_board10"/>
      <sheetName val="[SHOPLIST_xls]7010"/>
      <sheetName val="[SHOPLIST_xls]70,10"/>
      <sheetName val="Base_BM-rebar10"/>
      <sheetName val="Materials_10"/>
      <sheetName val="Site_Dev_BOQ10"/>
      <sheetName val="Data_Sheet10"/>
      <sheetName val="tender_allowances10"/>
      <sheetName val="_Summary_BKG_03410"/>
      <sheetName val="BILL_3R10"/>
      <sheetName val="Area_Breakdown_PER_LEVEL_LINK10"/>
      <sheetName val="CF_Input10"/>
      <sheetName val="DATA_INPUT10"/>
      <sheetName val="Vordruck-Nr__7_1_3_D10"/>
      <sheetName val="M&amp;A_D10"/>
      <sheetName val="M&amp;A_E10"/>
      <sheetName val="M&amp;A_G10"/>
      <sheetName val="1_2_Staff_Schedule11"/>
      <sheetName val="Bill_1010"/>
      <sheetName val="[SHOPLIST_xls]/VWVU))tÏØ0__52"/>
      <sheetName val="[SHOPLIST_xls]/VWVU))tÏØ0__53"/>
      <sheetName val="[SHOPLIST_xls]/VWVU))tÏØ0__54"/>
      <sheetName val="[SHOPLIST_xls]70,/0s«_iÆø_í¬_10"/>
      <sheetName val="[SHOPLIST_xls]70?,/0?s«i?Æøí¬10"/>
      <sheetName val="Labour_Costs10"/>
      <sheetName val="BLOCK-A_(MEA_SHEET)10"/>
      <sheetName val="Contract_Division8"/>
      <sheetName val="SubContract_Type8"/>
      <sheetName val="Service_Type8"/>
      <sheetName val="Cost_Heading7"/>
      <sheetName val="D_&amp;_W_sizes7"/>
      <sheetName val="SOPMA_DD7"/>
      <sheetName val="PRICE_INFO7"/>
      <sheetName val="RC_SUMMARY7"/>
      <sheetName val="LABOUR_PRODUCTIVITY-TAV7"/>
      <sheetName val="MATERIAL_PRICES7"/>
      <sheetName val="P-100_MRF_DB_R17"/>
      <sheetName val="Attach_4-187"/>
      <sheetName val="_SHOPLIST_xls_707"/>
      <sheetName val="_SHOPLIST_xls_70,_0s«iÆøí¬i7"/>
      <sheetName val="Ewaan_Show_Kitchen_(2)7"/>
      <sheetName val="Cash_Flow_Working7"/>
      <sheetName val="MN_T_B_7"/>
      <sheetName val="Data_I_(2)7"/>
      <sheetName val="rEFERENCES_7"/>
      <sheetName val="Qtys_ZamZam_(Del__before)7"/>
      <sheetName val="Qtys_Relocation_(Del_before)7"/>
      <sheetName val="_Qtys_Sub_&amp;_Tents_(Del__before7"/>
      <sheetName val="Qtys__Signages_(Del__before)7"/>
      <sheetName val="Qtys_Temporary_Passages_(Del)7"/>
      <sheetName val="_Qtys_Ser__Rooms_(Del_before)7"/>
      <sheetName val="Labour_Rate_7"/>
      <sheetName val="2F_회의실견적(5_14_일대)3"/>
      <sheetName val="_HIT-&gt;HMC_견적(3900)3"/>
      <sheetName val="Appendix_B3"/>
      <sheetName val="BOQ_(2)1"/>
      <sheetName val="LABOUR_RATE1"/>
      <sheetName val="Material_Rate1"/>
      <sheetName val="Labor_abs-PW1"/>
      <sheetName val="Labor_abs-NMR1"/>
      <sheetName val="kppl_pl1"/>
      <sheetName val="Basic_Rates1"/>
      <sheetName val="Combined_Results_1"/>
      <sheetName val="Div_07_Thermal_&amp;_Moisture1"/>
      <sheetName val="precast_RC_element1"/>
      <sheetName val="pile_Fabrication1"/>
      <sheetName val="AOP_Summary-21"/>
      <sheetName val="May_051"/>
      <sheetName val="April_051"/>
      <sheetName val="Aug_051"/>
      <sheetName val="July_051"/>
      <sheetName val="June_051"/>
      <sheetName val="Nov_051"/>
      <sheetName val="Oct_051"/>
      <sheetName val="Sep_051"/>
      <sheetName val="Data_Validation1"/>
      <sheetName val="Div26_-_Elect1"/>
      <sheetName val="CHUNG_CU_CARRILON1"/>
      <sheetName val="[SHOPLIST.xls][SHOPLIST.xls]/VW"/>
      <sheetName val="4"/>
      <sheetName val="Core Data"/>
      <sheetName val="[SHOPLIST.xls][SH"/>
      <sheetName val="[SHOPLIST.xls]70_"/>
      <sheetName val="70,/0s«iÆøí¬i1"/>
      <sheetName val="70,/0s«_iÆø_í¬"/>
      <sheetName val="70,/0s«iÆøí¬i2"/>
      <sheetName val="70,/0s«iÆøí¬i3"/>
      <sheetName val="P-Sum-Cab"/>
      <sheetName val="B2-DV No.02"/>
      <sheetName val="GENERAL SUMMARY"/>
      <sheetName val="PRELIMINARIES"/>
      <sheetName val="SITE WORKS"/>
      <sheetName val="MASONRY"/>
      <sheetName val="METAL"/>
      <sheetName val="WOOD WORK"/>
      <sheetName val="THERMAL &amp; MOISTURE "/>
      <sheetName val="DOORS &amp; WINDOWS"/>
      <sheetName val="FINISHES"/>
      <sheetName val="SPECIALITIES"/>
      <sheetName val="ELECTRICAL"/>
      <sheetName val="MECHANICAL"/>
      <sheetName val="Additional Items"/>
      <sheetName val="Estimate_for_approval"/>
      <sheetName val="Det_Des"/>
      <sheetName val="DRUM"/>
      <sheetName val="ICM"/>
      <sheetName val="[SHOPLIST.xls]70_x0000_,/0_x0000_s«_x0008_i_x"/>
      <sheetName val="Laundry"/>
      <sheetName val="Finansal_tamamlanma_Eğrisi"/>
      <sheetName val="New_Bld"/>
      <sheetName val="KP1590_E"/>
      <sheetName val="主材价格"/>
      <sheetName val="_SHOPLIST.xls__SHOPLIST.xls_70,"/>
      <sheetName val="ConferenceCentre_x0000_옰ʒ"/>
      <sheetName val="70_x0000_,_0_x0000_"/>
      <sheetName val="_x0000__x0000__x005"/>
      <sheetName val="Geneí¬_x0008_i_x000"/>
      <sheetName val="各楼量单项组价及与DAR单价对比"/>
      <sheetName val="70_,_0_s«_x0008_i_Æø_x0003_í¬_x"/>
      <sheetName val="_SHOPLIST.xls__SHOPLIST.xls_70_"/>
      <sheetName val="____ ___ __"/>
      <sheetName val="_SHOPLIST_xls__SHOPLIST_xls_70"/>
      <sheetName val="_SHOPLIST_xls__SHOPLIST_xls_70,"/>
      <sheetName val="70,_0"/>
      <sheetName val="_x005"/>
      <sheetName val="Geneí¬i_x000"/>
      <sheetName val="70_,_0_s«i_Æøí¬_x"/>
      <sheetName val="_SHOPLIST_xls__SHOPLIST_xls_70_"/>
      <sheetName val="___________"/>
      <sheetName val="Sec__A-PQ"/>
      <sheetName val="Preamble_B"/>
      <sheetName val="Sec__C-Dayworks"/>
      <sheetName val="d5_"/>
      <sheetName val="70,/0s«i_x"/>
      <sheetName val="2_Plex"/>
      <sheetName val="Sheet1_(2)"/>
      <sheetName val="4_Plex"/>
      <sheetName val="6_Plex_"/>
      <sheetName val="Detailed_Summary"/>
      <sheetName val="Sheet1_(3)"/>
      <sheetName val="Sheet1_(4)"/>
      <sheetName val="HB_CEC_schd_4_2"/>
      <sheetName val="HB_CEC_schd_4_3"/>
      <sheetName val="HB_CEC_schd_5_2"/>
      <sheetName val="HB_CEC_schd_6_2"/>
      <sheetName val="HB_CEC_schd_7_2"/>
      <sheetName val="HB_CEC_schd_9_2"/>
      <sheetName val="Doha_Farm"/>
      <sheetName val="Dropdown_List"/>
      <sheetName val="Asset_Allocation_(CR)"/>
      <sheetName val="Project_Benchmarking"/>
      <sheetName val="1_-_Main_Building"/>
      <sheetName val="1_-_Summary"/>
      <sheetName val="2_-_Landscaping_Works"/>
      <sheetName val="2_-_Summary"/>
      <sheetName val="4_-_Bldg_Infra"/>
      <sheetName val="4_-_Summary"/>
      <sheetName val="Dashboard_(1)"/>
      <sheetName val="VO_Agreed_to_Unifier_Sum"/>
      <sheetName val="VO_Not_yet_Agreed_to_Unifier"/>
      <sheetName val="VO_Anticipated_to_Unifier"/>
      <sheetName val="EW_to_Unifier"/>
      <sheetName val="Prov_Sums"/>
      <sheetName val="Other_Amounts"/>
      <sheetName val="Status_Summary"/>
      <sheetName val="Build-up"/>
      <sheetName val="PDT(L)1"/>
      <sheetName val="EE-PROP"/>
      <sheetName val="Drop Down Data"/>
      <sheetName val="Rules "/>
      <sheetName val="침하계"/>
      <sheetName val="Update list"/>
      <sheetName val="Sinh Nam systems"/>
      <sheetName val="DIE profile"/>
      <sheetName val="Gaskets"/>
      <sheetName val="Fixing"/>
      <sheetName val="Metals"/>
      <sheetName val="Insulation"/>
      <sheetName val="Accesories"/>
      <sheetName val="Frameless"/>
      <sheetName val="Miscellaneous"/>
      <sheetName val="Glass"/>
      <sheetName val="Import tax"/>
      <sheetName val="LKVL-CK-HT-GD1"/>
      <sheetName val="TONG HOP VL-NC"/>
      <sheetName val="chitiet"/>
      <sheetName val="TONGKE3p "/>
      <sheetName val="TH VL, NC, DDHT Thanhphuoc"/>
      <sheetName val="DONGIA"/>
      <sheetName val="DON GIA"/>
      <sheetName val="DG"/>
      <sheetName val="TNHCHINH"/>
      <sheetName val="CHITIET VL-NC"/>
      <sheetName val="Tiepdia"/>
      <sheetName val="TDTKP"/>
      <sheetName val="VCV-BE-TONG"/>
      <sheetName val="TH kinh phi"/>
      <sheetName val="KLDT DIEN"/>
      <sheetName val="Dinh muc CP KTCB khac"/>
      <sheetName val="tifico"/>
      <sheetName val="_SHOPLIST.xls_70_x0000_,_0_x000"/>
      <sheetName val="单价"/>
      <sheetName val="材料价格（藏）"/>
      <sheetName val="汇总表(藏)"/>
      <sheetName val="工程量（新）"/>
      <sheetName val="quotation "/>
      <sheetName val="XLR_NoRangeSheet"/>
      <sheetName val="cost-RC"/>
      <sheetName val="代号(藏)(线密度)"/>
      <sheetName val="Bill 5 - Carpark"/>
      <sheetName val="汇总"/>
      <sheetName val="代号(线密度)藏"/>
      <sheetName val="preliminary"/>
      <sheetName val="BOQ - summary  3"/>
      <sheetName val="NKSC thue"/>
      <sheetName val="실행"/>
      <sheetName val="05. Data_Cash Flow"/>
      <sheetName val="MTO REV.2(ARMOR)"/>
      <sheetName val="SITE-E"/>
      <sheetName val="escon"/>
      <sheetName val="70_x005f_x005f_x005f_x0000_,/0_x005f_x005f_x005f_x0000_"/>
      <sheetName val="[SHOPLIST_xls]70_"/>
      <sheetName val="P15_Cost Implications"/>
      <sheetName val="P15_uPVC ducts-Rate Summary"/>
      <sheetName val="JRC"/>
      <sheetName val="P15-ducts_BU_1"/>
      <sheetName val="P15-ducts_BU_2"/>
      <sheetName val="Flysheets"/>
      <sheetName val="P13_uPVC ducts"/>
      <sheetName val="P13_Mass Concrete"/>
      <sheetName val="P13_Imported Fill"/>
      <sheetName val="P14_uPVC ducts"/>
      <sheetName val="P14_Mass Concrete"/>
      <sheetName val="P14_Imported Fill"/>
      <sheetName val="P14_Sand bed to cable"/>
      <sheetName val="P15_uPVC ducts"/>
      <sheetName val="P15-ducts"/>
      <sheetName val="Comp equip"/>
      <sheetName val="[SHOPLIST_xls][SH"/>
      <sheetName val="Quotation FM administration"/>
      <sheetName val="Quotation"/>
      <sheetName val="Quotation Visitor and Sec"/>
      <sheetName val="Service Charge"/>
      <sheetName val="Edwards"/>
      <sheetName val="CABLES "/>
      <sheetName val="Quotation Offices 108,9,10,11)"/>
      <sheetName val="Quotation modification"/>
      <sheetName val="factor"/>
      <sheetName val="DIV.01 General Requirements"/>
      <sheetName val="Bill (1) Main Building"/>
      <sheetName val="Bill (2) General Site &amp; Parking"/>
      <sheetName val="wd points"/>
      <sheetName val="Bill (3) Guest House"/>
      <sheetName val="Bill (4) Family Buildings"/>
      <sheetName val="Bill (5) Villa Buildings"/>
      <sheetName val="Bill (6) Entrance Building"/>
      <sheetName val="Bill (7) Masjid"/>
      <sheetName val="Bill (8) Auditorium"/>
      <sheetName val="Bill (9) Site Prep. &amp; Roadway"/>
      <sheetName val="Summary Cost"/>
      <sheetName val="LIGHTING"/>
      <sheetName val="lighting points"/>
      <sheetName val="CABLE"/>
      <sheetName val="PANELBOARD"/>
      <sheetName val="ESTIMATE (2)"/>
      <sheetName val="ESTIMATE"/>
      <sheetName val="COM Summary"/>
      <sheetName val="COM-sheet"/>
      <sheetName val="[SHOPLIST.xls]/VWVU))tÏØ0__8"/>
      <sheetName val="[SHOPLIST.xls]/VWVU))tÏØ0__9"/>
      <sheetName val="Abs PMRL"/>
      <sheetName val="L3-WBS Mapping"/>
      <sheetName val="BAFO CCL Submission"/>
      <sheetName val="Rate_analysis15"/>
      <sheetName val="Balance_Sheet"/>
      <sheetName val="Specialist"/>
      <sheetName val="Manpower"/>
      <sheetName val="Deliverables"/>
      <sheetName val="税费"/>
      <sheetName val="P1926-H2B Pkg 2A&amp;2B"/>
      <sheetName val="P1940-H2B Pkg 1 Guestrooms"/>
      <sheetName val="P1929-DHCT"/>
      <sheetName val="Status_"/>
      <sheetName val="CLIENT_BUDGET"/>
      <sheetName val="Reco-June_2019"/>
      <sheetName val="REMINING_PROGRESS"/>
      <sheetName val="OS&amp;E__IT"/>
      <sheetName val="PAID_AMOUNT"/>
      <sheetName val="IPA_21"/>
      <sheetName val="Order_by_owner"/>
      <sheetName val="PERLIM__Sammary"/>
      <sheetName val="RECOVER_OF_DOUBLE_PAYMENT"/>
      <sheetName val="rathath_al_matar"/>
      <sheetName val="INTERNAL_LINE_"/>
      <sheetName val="MINOVA_AL_DEYAR"/>
      <sheetName val="BLUE_RHINE"/>
      <sheetName val="NATIONAL_PAINT"/>
      <sheetName val="FIRE_RATED"/>
      <sheetName val="Trade_Summary"/>
      <sheetName val="Summary_"/>
      <sheetName val="B04-A_-_DIA_SUDEER"/>
      <sheetName val="04D_-_Tanmyat"/>
      <sheetName val="13-_B04-B_&amp;_C"/>
      <sheetName val="_SITE_09_B04-B&amp;C-AFAQ"/>
      <sheetName val="[SHOPLIST_xls]/VWVU))tÏØ0__61"/>
      <sheetName val="[SHOPLIST_xls]/VWVU))tÏØ0__71"/>
      <sheetName val="Sheet_Index"/>
      <sheetName val="Tender_Docs"/>
      <sheetName val="Miral_Emails"/>
      <sheetName val="LOAs_(061619)"/>
      <sheetName val="Contract_Conditions_(Tender)"/>
      <sheetName val="Contract_Qualifications"/>
      <sheetName val="YVPI_&amp;_GII"/>
      <sheetName val="LOA_(live_sheet)"/>
      <sheetName val="LOA_Log_(082419)"/>
      <sheetName val="Key_Docs_Ref_"/>
      <sheetName val="To_Mr__Boota_(072519)"/>
      <sheetName val="CONSTRUCTION_COMPONENT"/>
      <sheetName val="Master data"/>
      <sheetName val="Section_by_layers_old"/>
      <sheetName val="Steel-Circular"/>
      <sheetName val="Backup"/>
      <sheetName val="piedathot"/>
      <sheetName val="projcasflo"/>
      <sheetName val="supdata"/>
      <sheetName val="devbud"/>
      <sheetName val="Pivots"/>
      <sheetName val="Basic Rate"/>
      <sheetName val="MASTER_RATE ANALYSIS"/>
      <sheetName val="BQLIST"/>
      <sheetName val="MAIN SUMMARY"/>
      <sheetName val="[SHOPLIST.xls]/VWVU))tÏØ0__10"/>
      <sheetName val="[SHOPLIST.xls]/VWVU))tÏØ0__11"/>
      <sheetName val="PL"/>
      <sheetName val="FA"/>
      <sheetName val="de_"/>
      <sheetName val="TB ALJADA"/>
      <sheetName val="Plot Area"/>
      <sheetName val="kpmg_rev_calculation"/>
      <sheetName val="Closing entries"/>
      <sheetName val="blockJ"/>
      <sheetName val="Executive Summary"/>
      <sheetName val="Sales Tracking Report (STR)"/>
      <sheetName val="Blocking Tracking Report (BTR)"/>
      <sheetName val="SBTRaljada"/>
      <sheetName val="Geneí¬ i_x0000__x0000_ _x0000_0"/>
      <sheetName val="70_x0000_,_0_x0000_s« i_x0000_Æ"/>
      <sheetName val="ConferenceCentre_옰ʒ䄂ʒ鵠ʐ䄂ʒ閐̐脭め_x"/>
      <sheetName val="_SHOPLIST.xls__VW_x0000_VU_x0"/>
      <sheetName val="Geneí¬_x005f_x005f_x005f_x005f_"/>
      <sheetName val="70_x005f_x005f_x005f_x005f_x005"/>
      <sheetName val="70,_0s«_iÆø_í¬_i"/>
      <sheetName val="_SHOPLIST_xls_70,_0s«iÆøí¬"/>
      <sheetName val="___________1"/>
      <sheetName val="ConferenceCentre_옰ʒ䄂ʒ鵠ʐ䄂ʒ閐̐脭め"/>
      <sheetName val="_SHOPLIST.xls_70,"/>
      <sheetName val="_SHOPLIST_xls_70,_0s«_iÆø_í¬"/>
      <sheetName val="_SHOPLIST.xls__VW"/>
      <sheetName val="_SHOPLIST.xls__VWVU))tÏØ0  "/>
      <sheetName val="_SHOPLIST.xls__VWVU))tÏØ0__"/>
      <sheetName val="_SHOPLIST.xls__SHOPLIST.xls__SH"/>
      <sheetName val="_SHOPLIST.xls__VWVU))tÏØ0__1"/>
      <sheetName val="_SHOPLIST.xls__VWVU))tÏØ0__2"/>
      <sheetName val="_SHOPLIST.xls__VWVU))tÏØ0__3"/>
      <sheetName val="_SHOPLIST.xls_70,_0s«_iÆø_í¬_i"/>
      <sheetName val="_SHOPLIST.xls_70_,_0_s«i_Æøí¬i_"/>
      <sheetName val="_SHOPLIST.xls__VWVU))tÏØ0__4"/>
      <sheetName val="Other Cost Norms"/>
      <sheetName val="[SHOPLIST.xls]70,/0s«iÆøí¬"/>
      <sheetName val="S"/>
      <sheetName val="Portfolio List"/>
      <sheetName val="[SHOPLIST_xls]/VWVU))tÏØ0  "/>
      <sheetName val="Staff"/>
      <sheetName val="Staff OLD "/>
      <sheetName val="BOQ.1.92"/>
      <sheetName val="[SHOPLIST.xls]/VWVU))tÏØ0__17"/>
      <sheetName val="[SHOPLIST.xls]/VWVU))tÏØ0__16"/>
      <sheetName val="[SHOPLIST.xls]/VWVU))tÏØ0__14"/>
      <sheetName val="[SHOPLIST.xls]/VWVU))tÏØ0__12"/>
      <sheetName val="[SHOPLIST.xls]/VWVU))tÏØ0__13"/>
      <sheetName val="[SHOPLIST.xls]/VWVU))tÏØ0__15"/>
      <sheetName val="CPA33-34"/>
      <sheetName val="Indices"/>
      <sheetName val="conc-foot-gradeslab"/>
      <sheetName val="TABLO-3"/>
      <sheetName val="Transport"/>
      <sheetName val="Indirect"/>
      <sheetName val="Contractor Application"/>
      <sheetName val="08 MEP Summary"/>
      <sheetName val="03B1"/>
      <sheetName val="03B2"/>
      <sheetName val="Addnl works"/>
      <sheetName val="VARIATIONS"/>
      <sheetName val="B3. Material on Site-Detail"/>
      <sheetName val="Weekly"/>
      <sheetName val="S-Curve Update"/>
      <sheetName val="BQMPALOC"/>
      <sheetName val="COLUMNS"/>
      <sheetName val="VESSELS "/>
      <sheetName val="4.1 G Ammount"/>
      <sheetName val="예가표"/>
      <sheetName val="제출내역 (2)"/>
      <sheetName val="Bill-1A"/>
      <sheetName val="Bill-1B"/>
      <sheetName val="Bill 6-1"/>
      <sheetName val="Bill 7-1"/>
      <sheetName val="Bill 8 (1)"/>
      <sheetName val="9oo dia"/>
      <sheetName val="12oo dia"/>
      <sheetName val="Break down for OH"/>
      <sheetName val="Bill-9-1"/>
      <sheetName val="Bill-9-2"/>
      <sheetName val="Bill-9-3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 refreshError="1"/>
      <sheetData sheetId="283" refreshError="1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/>
      <sheetData sheetId="490" refreshError="1"/>
      <sheetData sheetId="491" refreshError="1"/>
      <sheetData sheetId="492" refreshError="1"/>
      <sheetData sheetId="493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/>
      <sheetData sheetId="500"/>
      <sheetData sheetId="501"/>
      <sheetData sheetId="502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 refreshError="1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 refreshError="1"/>
      <sheetData sheetId="1013"/>
      <sheetData sheetId="1014"/>
      <sheetData sheetId="1015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 refreshError="1"/>
      <sheetData sheetId="1140" refreshError="1"/>
      <sheetData sheetId="1141" refreshError="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 refreshError="1"/>
      <sheetData sheetId="1166" refreshError="1"/>
      <sheetData sheetId="1167" refreshError="1"/>
      <sheetData sheetId="1168" refreshError="1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/>
      <sheetData sheetId="1402" refreshError="1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/>
      <sheetData sheetId="1737"/>
      <sheetData sheetId="1738"/>
      <sheetData sheetId="1739"/>
      <sheetData sheetId="1740"/>
      <sheetData sheetId="1741" refreshError="1"/>
      <sheetData sheetId="1742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/>
      <sheetData sheetId="1751"/>
      <sheetData sheetId="1752"/>
      <sheetData sheetId="1753"/>
      <sheetData sheetId="1754"/>
      <sheetData sheetId="1755" refreshError="1"/>
      <sheetData sheetId="1756" refreshError="1"/>
      <sheetData sheetId="1757" refreshError="1"/>
      <sheetData sheetId="1758" refreshError="1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 refreshError="1"/>
      <sheetData sheetId="1942" refreshError="1"/>
      <sheetData sheetId="1943"/>
      <sheetData sheetId="1944"/>
      <sheetData sheetId="1945"/>
      <sheetData sheetId="1946" refreshError="1"/>
      <sheetData sheetId="1947" refreshError="1"/>
      <sheetData sheetId="1948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/>
      <sheetData sheetId="2076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/>
      <sheetData sheetId="2127" refreshError="1"/>
      <sheetData sheetId="2128" refreshError="1"/>
      <sheetData sheetId="2129"/>
      <sheetData sheetId="2130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/>
      <sheetData sheetId="2155" refreshError="1"/>
      <sheetData sheetId="2156" refreshError="1"/>
      <sheetData sheetId="2157"/>
      <sheetData sheetId="2158" refreshError="1"/>
      <sheetData sheetId="2159" refreshError="1"/>
      <sheetData sheetId="2160"/>
      <sheetData sheetId="2161"/>
      <sheetData sheetId="2162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/>
      <sheetData sheetId="2380" refreshError="1"/>
      <sheetData sheetId="2381" refreshError="1"/>
      <sheetData sheetId="2382" refreshError="1"/>
      <sheetData sheetId="2383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 refreshError="1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 refreshError="1"/>
      <sheetData sheetId="2518"/>
      <sheetData sheetId="2519" refreshError="1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 refreshError="1"/>
      <sheetData sheetId="2779" refreshError="1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/>
      <sheetData sheetId="2808"/>
      <sheetData sheetId="2809"/>
      <sheetData sheetId="2810" refreshError="1"/>
      <sheetData sheetId="2811" refreshError="1"/>
      <sheetData sheetId="2812"/>
      <sheetData sheetId="2813"/>
      <sheetData sheetId="2814"/>
      <sheetData sheetId="2815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/>
      <sheetData sheetId="2896"/>
      <sheetData sheetId="2897" refreshError="1"/>
      <sheetData sheetId="2898" refreshError="1"/>
      <sheetData sheetId="2899" refreshError="1"/>
      <sheetData sheetId="2900" refreshError="1"/>
      <sheetData sheetId="2901"/>
      <sheetData sheetId="2902"/>
      <sheetData sheetId="2903"/>
      <sheetData sheetId="2904"/>
      <sheetData sheetId="2905" refreshError="1"/>
      <sheetData sheetId="2906" refreshError="1"/>
      <sheetData sheetId="2907" refreshError="1"/>
      <sheetData sheetId="2908" refreshError="1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/>
      <sheetData sheetId="3572"/>
      <sheetData sheetId="3573"/>
      <sheetData sheetId="3574" refreshError="1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/>
      <sheetData sheetId="3593"/>
      <sheetData sheetId="3594"/>
      <sheetData sheetId="3595"/>
      <sheetData sheetId="3596" refreshError="1"/>
      <sheetData sheetId="3597" refreshError="1"/>
      <sheetData sheetId="3598" refreshError="1"/>
      <sheetData sheetId="3599"/>
      <sheetData sheetId="3600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/>
      <sheetData sheetId="3681"/>
      <sheetData sheetId="3682"/>
      <sheetData sheetId="3683" refreshError="1"/>
      <sheetData sheetId="3684" refreshError="1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/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/>
      <sheetData sheetId="6815"/>
      <sheetData sheetId="6816"/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 refreshError="1"/>
      <sheetData sheetId="6851"/>
      <sheetData sheetId="6852"/>
      <sheetData sheetId="6853"/>
      <sheetData sheetId="6854"/>
      <sheetData sheetId="6855"/>
      <sheetData sheetId="6856"/>
      <sheetData sheetId="6857"/>
      <sheetData sheetId="6858"/>
      <sheetData sheetId="6859"/>
      <sheetData sheetId="6860"/>
      <sheetData sheetId="6861"/>
      <sheetData sheetId="6862"/>
      <sheetData sheetId="6863"/>
      <sheetData sheetId="6864"/>
      <sheetData sheetId="6865"/>
      <sheetData sheetId="6866"/>
      <sheetData sheetId="6867"/>
      <sheetData sheetId="6868"/>
      <sheetData sheetId="6869"/>
      <sheetData sheetId="6870"/>
      <sheetData sheetId="6871"/>
      <sheetData sheetId="6872"/>
      <sheetData sheetId="6873"/>
      <sheetData sheetId="6874"/>
      <sheetData sheetId="6875"/>
      <sheetData sheetId="6876"/>
      <sheetData sheetId="6877"/>
      <sheetData sheetId="6878"/>
      <sheetData sheetId="6879"/>
      <sheetData sheetId="6880"/>
      <sheetData sheetId="6881"/>
      <sheetData sheetId="6882"/>
      <sheetData sheetId="6883"/>
      <sheetData sheetId="6884"/>
      <sheetData sheetId="6885"/>
      <sheetData sheetId="6886"/>
      <sheetData sheetId="6887"/>
      <sheetData sheetId="6888"/>
      <sheetData sheetId="6889"/>
      <sheetData sheetId="6890"/>
      <sheetData sheetId="6891"/>
      <sheetData sheetId="6892"/>
      <sheetData sheetId="6893"/>
      <sheetData sheetId="6894"/>
      <sheetData sheetId="6895"/>
      <sheetData sheetId="6896"/>
      <sheetData sheetId="6897"/>
      <sheetData sheetId="6898"/>
      <sheetData sheetId="6899"/>
      <sheetData sheetId="6900"/>
      <sheetData sheetId="6901"/>
      <sheetData sheetId="6902"/>
      <sheetData sheetId="6903"/>
      <sheetData sheetId="6904"/>
      <sheetData sheetId="6905"/>
      <sheetData sheetId="6906"/>
      <sheetData sheetId="6907"/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/>
      <sheetData sheetId="7014"/>
      <sheetData sheetId="7015"/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/>
      <sheetData sheetId="7030"/>
      <sheetData sheetId="7031"/>
      <sheetData sheetId="7032"/>
      <sheetData sheetId="7033"/>
      <sheetData sheetId="7034"/>
      <sheetData sheetId="7035"/>
      <sheetData sheetId="7036"/>
      <sheetData sheetId="7037"/>
      <sheetData sheetId="7038"/>
      <sheetData sheetId="7039"/>
      <sheetData sheetId="7040"/>
      <sheetData sheetId="7041"/>
      <sheetData sheetId="7042"/>
      <sheetData sheetId="7043"/>
      <sheetData sheetId="7044"/>
      <sheetData sheetId="7045"/>
      <sheetData sheetId="7046"/>
      <sheetData sheetId="7047"/>
      <sheetData sheetId="7048"/>
      <sheetData sheetId="7049"/>
      <sheetData sheetId="7050"/>
      <sheetData sheetId="7051"/>
      <sheetData sheetId="7052"/>
      <sheetData sheetId="7053"/>
      <sheetData sheetId="7054"/>
      <sheetData sheetId="7055"/>
      <sheetData sheetId="7056"/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/>
      <sheetData sheetId="7099"/>
      <sheetData sheetId="7100"/>
      <sheetData sheetId="7101"/>
      <sheetData sheetId="7102"/>
      <sheetData sheetId="7103"/>
      <sheetData sheetId="7104"/>
      <sheetData sheetId="7105"/>
      <sheetData sheetId="7106"/>
      <sheetData sheetId="7107"/>
      <sheetData sheetId="7108"/>
      <sheetData sheetId="7109"/>
      <sheetData sheetId="7110"/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 refreshError="1"/>
      <sheetData sheetId="7653" refreshError="1"/>
      <sheetData sheetId="7654" refreshError="1"/>
      <sheetData sheetId="7655"/>
      <sheetData sheetId="7656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 refreshError="1"/>
      <sheetData sheetId="7818" refreshError="1"/>
      <sheetData sheetId="7819" refreshError="1"/>
      <sheetData sheetId="7820"/>
      <sheetData sheetId="7821"/>
      <sheetData sheetId="7822" refreshError="1"/>
      <sheetData sheetId="7823" refreshError="1"/>
      <sheetData sheetId="7824" refreshError="1"/>
      <sheetData sheetId="7825" refreshError="1"/>
      <sheetData sheetId="7826"/>
      <sheetData sheetId="7827"/>
      <sheetData sheetId="7828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/>
      <sheetData sheetId="7916"/>
      <sheetData sheetId="7917" refreshError="1"/>
      <sheetData sheetId="7918"/>
      <sheetData sheetId="7919"/>
      <sheetData sheetId="7920" refreshError="1"/>
      <sheetData sheetId="7921"/>
      <sheetData sheetId="7922"/>
      <sheetData sheetId="7923"/>
      <sheetData sheetId="7924"/>
      <sheetData sheetId="7925"/>
      <sheetData sheetId="7926"/>
      <sheetData sheetId="7927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/>
      <sheetData sheetId="7935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/>
      <sheetData sheetId="7942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er."/>
      <sheetName val="Movement"/>
      <sheetName val="Summary"/>
      <sheetName val="BQ"/>
      <sheetName val="Labor_rate"/>
      <sheetName val="Budget"/>
      <sheetName val="Pay_roll"/>
      <sheetName val="select_month"/>
      <sheetName val="No-edit"/>
      <sheetName val="Enter_Time"/>
      <sheetName val="F-6 COVER"/>
      <sheetName val="Sum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/>
      <sheetData sheetId="7"/>
      <sheetData sheetId="8">
        <row r="2">
          <cell r="A2" t="str">
            <v>January</v>
          </cell>
          <cell r="E2" t="str">
            <v>Poya</v>
          </cell>
        </row>
        <row r="3">
          <cell r="A3" t="str">
            <v>February</v>
          </cell>
          <cell r="E3" t="str">
            <v>Holiday</v>
          </cell>
        </row>
        <row r="4">
          <cell r="A4" t="str">
            <v>March</v>
          </cell>
        </row>
        <row r="5">
          <cell r="A5" t="str">
            <v>April</v>
          </cell>
        </row>
        <row r="6">
          <cell r="A6" t="str">
            <v>May</v>
          </cell>
        </row>
        <row r="7">
          <cell r="A7" t="str">
            <v>June</v>
          </cell>
        </row>
        <row r="8">
          <cell r="A8" t="str">
            <v>July</v>
          </cell>
        </row>
        <row r="9">
          <cell r="A9" t="str">
            <v>August</v>
          </cell>
        </row>
        <row r="10">
          <cell r="A10" t="str">
            <v>September</v>
          </cell>
        </row>
        <row r="11">
          <cell r="A11" t="str">
            <v>October</v>
          </cell>
        </row>
        <row r="12">
          <cell r="A12" t="str">
            <v>November</v>
          </cell>
        </row>
        <row r="13">
          <cell r="A13" t="str">
            <v>December</v>
          </cell>
        </row>
      </sheetData>
      <sheetData sheetId="9"/>
      <sheetData sheetId="10">
        <row r="2">
          <cell r="E2">
            <v>0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>
        <row r="2">
          <cell r="A2" t="str">
            <v>January</v>
          </cell>
        </row>
      </sheetData>
      <sheetData sheetId="3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PC"/>
      <sheetName val="Main Summary"/>
      <sheetName val="B 1"/>
      <sheetName val="B 2.1"/>
      <sheetName val="B 2.2"/>
      <sheetName val="B 3.1"/>
      <sheetName val="B 4.1"/>
      <sheetName val="B 5.1"/>
      <sheetName val="B 6.1"/>
      <sheetName val="B 5.2"/>
      <sheetName val="B 7"/>
      <sheetName val="VO"/>
      <sheetName val="PA Summary"/>
      <sheetName val="Annex-2 Escalation"/>
      <sheetName val="Annex-1 Advance Payment"/>
      <sheetName val="AP Recovery"/>
      <sheetName val="Physical Contingencies"/>
      <sheetName val="IPC 05a+05b"/>
      <sheetName val="Main Summary 5a+5b"/>
      <sheetName val="B 1 (5a+5b)"/>
      <sheetName val="B 2.1 (5a+5b)"/>
      <sheetName val="B 2.2 (5a+5b)"/>
      <sheetName val="B 5.1 (5a+5b) "/>
      <sheetName val="B 5.2 (5a+5b)"/>
      <sheetName val="B 7 (5a+5b)"/>
      <sheetName val="VO (5a+5b)"/>
      <sheetName val="Annex-1 Advance Payment (5a+5b)"/>
      <sheetName val="PA Summary (5a+5b)"/>
      <sheetName val="Annex-2 Escalation (4b)"/>
      <sheetName val="Annex-2 Escalation (4a)"/>
      <sheetName val="AP Recovery (5a+5b)"/>
      <sheetName val="Aug - Flyer"/>
      <sheetName val="July - Flyer"/>
      <sheetName val="No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>
        <row r="2">
          <cell r="C2" t="str">
            <v>WORLD BANK FUNDED PROVINCIAL ROAD DEVELOPMENT PROJECT</v>
          </cell>
        </row>
        <row r="3">
          <cell r="C3" t="str">
            <v>TRANSPORT CONNECTIVITY AND ASSETS MANAGEMENT PROJECT (TCAMP)</v>
          </cell>
        </row>
        <row r="6">
          <cell r="C6" t="str">
            <v>MPCLGS/PRDP/NCP/01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Q1"/>
      <sheetName val="BOQ2"/>
      <sheetName val="BOQ3"/>
      <sheetName val="Estimate"/>
      <sheetName val="Estimate1"/>
      <sheetName val="Summary"/>
      <sheetName val="Temp"/>
      <sheetName val="Rates"/>
    </sheetNames>
    <sheetDataSet>
      <sheetData sheetId="0" refreshError="1"/>
      <sheetData sheetId="1" refreshError="1">
        <row r="575">
          <cell r="G575">
            <v>0</v>
          </cell>
        </row>
        <row r="577">
          <cell r="G577">
            <v>0</v>
          </cell>
        </row>
        <row r="579">
          <cell r="G579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ter_Time"/>
      <sheetName val="No-edit"/>
      <sheetName val="select_month"/>
      <sheetName val="Pay_roll"/>
      <sheetName val="Budget"/>
      <sheetName val="Labor_rate"/>
      <sheetName val="F-6 COVER"/>
      <sheetName val="Sum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</sheetNames>
    <sheetDataSet>
      <sheetData sheetId="0">
        <row r="1">
          <cell r="B1">
            <v>0</v>
          </cell>
          <cell r="D1" t="str">
            <v>Year</v>
          </cell>
          <cell r="E1">
            <v>2009</v>
          </cell>
        </row>
        <row r="2">
          <cell r="B2">
            <v>0</v>
          </cell>
          <cell r="D2" t="str">
            <v>Month</v>
          </cell>
          <cell r="E2" t="str">
            <v>May</v>
          </cell>
          <cell r="F2">
            <v>5</v>
          </cell>
        </row>
        <row r="3">
          <cell r="B3">
            <v>0</v>
          </cell>
          <cell r="D3" t="str">
            <v>S/N</v>
          </cell>
          <cell r="E3">
            <v>5</v>
          </cell>
          <cell r="F3" t="str">
            <v>Name</v>
          </cell>
          <cell r="G3" t="str">
            <v>N.Thamilselvan</v>
          </cell>
          <cell r="H3" t="str">
            <v>Category</v>
          </cell>
          <cell r="I3" t="str">
            <v>Supervisor</v>
          </cell>
        </row>
        <row r="4">
          <cell r="B4" t="str">
            <v>Holiday</v>
          </cell>
          <cell r="D4" t="str">
            <v>Date</v>
          </cell>
          <cell r="E4" t="str">
            <v>Start</v>
          </cell>
          <cell r="F4" t="str">
            <v>Finish</v>
          </cell>
          <cell r="G4" t="str">
            <v>T/Hours</v>
          </cell>
          <cell r="H4" t="str">
            <v>Day</v>
          </cell>
          <cell r="I4" t="str">
            <v>NOT</v>
          </cell>
          <cell r="J4" t="str">
            <v>DOT</v>
          </cell>
        </row>
        <row r="5">
          <cell r="B5">
            <v>0</v>
          </cell>
          <cell r="C5">
            <v>6</v>
          </cell>
          <cell r="D5">
            <v>39934</v>
          </cell>
          <cell r="E5">
            <v>7</v>
          </cell>
          <cell r="F5">
            <v>17</v>
          </cell>
          <cell r="G5">
            <v>9</v>
          </cell>
          <cell r="H5">
            <v>1</v>
          </cell>
          <cell r="I5">
            <v>1</v>
          </cell>
          <cell r="J5">
            <v>0</v>
          </cell>
        </row>
        <row r="6">
          <cell r="B6">
            <v>0</v>
          </cell>
          <cell r="C6">
            <v>7</v>
          </cell>
          <cell r="D6">
            <v>39935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</row>
        <row r="7">
          <cell r="B7">
            <v>0</v>
          </cell>
          <cell r="C7">
            <v>1</v>
          </cell>
          <cell r="D7">
            <v>39936</v>
          </cell>
          <cell r="E7">
            <v>7</v>
          </cell>
          <cell r="F7">
            <v>21</v>
          </cell>
          <cell r="G7">
            <v>13</v>
          </cell>
          <cell r="H7">
            <v>1</v>
          </cell>
          <cell r="I7">
            <v>8</v>
          </cell>
          <cell r="J7">
            <v>5</v>
          </cell>
        </row>
        <row r="8">
          <cell r="B8">
            <v>0</v>
          </cell>
          <cell r="C8">
            <v>2</v>
          </cell>
          <cell r="D8">
            <v>39937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</row>
        <row r="9">
          <cell r="B9">
            <v>0</v>
          </cell>
          <cell r="C9">
            <v>3</v>
          </cell>
          <cell r="D9">
            <v>39938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B10">
            <v>0</v>
          </cell>
          <cell r="C10">
            <v>4</v>
          </cell>
          <cell r="D10">
            <v>39939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</row>
        <row r="11">
          <cell r="B11">
            <v>0</v>
          </cell>
          <cell r="C11">
            <v>5</v>
          </cell>
          <cell r="D11">
            <v>39940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</row>
        <row r="12">
          <cell r="B12">
            <v>0</v>
          </cell>
          <cell r="C12">
            <v>6</v>
          </cell>
          <cell r="D12">
            <v>39941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</row>
        <row r="13">
          <cell r="B13">
            <v>0</v>
          </cell>
          <cell r="C13">
            <v>7</v>
          </cell>
          <cell r="D13">
            <v>39942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</row>
        <row r="14">
          <cell r="B14">
            <v>0</v>
          </cell>
          <cell r="C14">
            <v>1</v>
          </cell>
          <cell r="D14">
            <v>39943</v>
          </cell>
          <cell r="E14">
            <v>7</v>
          </cell>
          <cell r="F14">
            <v>20</v>
          </cell>
          <cell r="G14">
            <v>12</v>
          </cell>
          <cell r="H14">
            <v>1</v>
          </cell>
          <cell r="I14">
            <v>8</v>
          </cell>
          <cell r="J14">
            <v>4</v>
          </cell>
        </row>
        <row r="15">
          <cell r="B15">
            <v>0</v>
          </cell>
          <cell r="C15">
            <v>2</v>
          </cell>
          <cell r="D15">
            <v>39944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</row>
        <row r="16">
          <cell r="B16" t="str">
            <v>Poya</v>
          </cell>
          <cell r="C16">
            <v>3</v>
          </cell>
          <cell r="D16">
            <v>39945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</row>
        <row r="17">
          <cell r="B17">
            <v>0</v>
          </cell>
          <cell r="C17">
            <v>4</v>
          </cell>
          <cell r="D17">
            <v>39946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</row>
        <row r="18">
          <cell r="B18">
            <v>0</v>
          </cell>
          <cell r="C18">
            <v>5</v>
          </cell>
          <cell r="D18">
            <v>39947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</row>
        <row r="19">
          <cell r="B19">
            <v>0</v>
          </cell>
          <cell r="C19">
            <v>6</v>
          </cell>
          <cell r="D19">
            <v>39948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</row>
        <row r="20">
          <cell r="B20" t="str">
            <v>Holiday</v>
          </cell>
          <cell r="C20">
            <v>7</v>
          </cell>
          <cell r="D20">
            <v>39949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</row>
        <row r="21">
          <cell r="B21">
            <v>0</v>
          </cell>
          <cell r="C21">
            <v>1</v>
          </cell>
          <cell r="D21">
            <v>39950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</row>
        <row r="22">
          <cell r="B22">
            <v>0</v>
          </cell>
          <cell r="C22">
            <v>2</v>
          </cell>
          <cell r="D22">
            <v>39951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</row>
        <row r="23">
          <cell r="B23">
            <v>0</v>
          </cell>
          <cell r="C23">
            <v>3</v>
          </cell>
          <cell r="D23">
            <v>39952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</row>
        <row r="24">
          <cell r="B24">
            <v>0</v>
          </cell>
          <cell r="C24">
            <v>4</v>
          </cell>
          <cell r="D24">
            <v>39953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</row>
        <row r="25">
          <cell r="B25">
            <v>0</v>
          </cell>
          <cell r="C25">
            <v>5</v>
          </cell>
          <cell r="D25">
            <v>39954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</row>
        <row r="26">
          <cell r="B26">
            <v>0</v>
          </cell>
          <cell r="C26">
            <v>6</v>
          </cell>
          <cell r="D26">
            <v>39955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</row>
        <row r="27">
          <cell r="B27">
            <v>0</v>
          </cell>
          <cell r="C27">
            <v>7</v>
          </cell>
          <cell r="D27">
            <v>39956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</row>
        <row r="28">
          <cell r="B28">
            <v>0</v>
          </cell>
          <cell r="C28">
            <v>1</v>
          </cell>
          <cell r="D28">
            <v>39957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</row>
        <row r="29">
          <cell r="B29">
            <v>0</v>
          </cell>
          <cell r="C29">
            <v>2</v>
          </cell>
          <cell r="D29">
            <v>39958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</row>
        <row r="30">
          <cell r="B30">
            <v>0</v>
          </cell>
          <cell r="C30">
            <v>3</v>
          </cell>
          <cell r="D30">
            <v>39959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</row>
        <row r="31">
          <cell r="B31">
            <v>0</v>
          </cell>
          <cell r="C31">
            <v>4</v>
          </cell>
          <cell r="D31">
            <v>39960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</row>
        <row r="32">
          <cell r="B32">
            <v>0</v>
          </cell>
          <cell r="C32">
            <v>5</v>
          </cell>
          <cell r="D32">
            <v>39961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</row>
        <row r="33">
          <cell r="B33">
            <v>0</v>
          </cell>
          <cell r="C33">
            <v>6</v>
          </cell>
          <cell r="D33">
            <v>39962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</row>
        <row r="34">
          <cell r="B34">
            <v>0</v>
          </cell>
          <cell r="C34">
            <v>7</v>
          </cell>
          <cell r="D34">
            <v>39963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</row>
        <row r="35">
          <cell r="B35">
            <v>0</v>
          </cell>
          <cell r="C35">
            <v>1</v>
          </cell>
          <cell r="D35">
            <v>39964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</row>
        <row r="37">
          <cell r="A37">
            <v>5</v>
          </cell>
          <cell r="G37" t="str">
            <v>Total</v>
          </cell>
          <cell r="H37">
            <v>3</v>
          </cell>
          <cell r="I37">
            <v>17</v>
          </cell>
          <cell r="J37">
            <v>9</v>
          </cell>
        </row>
      </sheetData>
      <sheetData sheetId="1"/>
      <sheetData sheetId="2">
        <row r="1">
          <cell r="C1" t="str">
            <v>Year</v>
          </cell>
          <cell r="D1">
            <v>2009</v>
          </cell>
        </row>
        <row r="2">
          <cell r="C2" t="str">
            <v>Month</v>
          </cell>
          <cell r="D2" t="str">
            <v>May</v>
          </cell>
          <cell r="E2">
            <v>5</v>
          </cell>
        </row>
        <row r="3">
          <cell r="C3" t="str">
            <v>S/N</v>
          </cell>
          <cell r="D3">
            <v>3</v>
          </cell>
          <cell r="E3" t="str">
            <v>Name</v>
          </cell>
          <cell r="G3" t="str">
            <v>Category</v>
          </cell>
        </row>
        <row r="4">
          <cell r="A4" t="str">
            <v>Holiday</v>
          </cell>
          <cell r="C4" t="str">
            <v>Date</v>
          </cell>
          <cell r="D4" t="str">
            <v>Start</v>
          </cell>
          <cell r="E4" t="str">
            <v>Finish</v>
          </cell>
          <cell r="F4" t="str">
            <v>T/Hours</v>
          </cell>
          <cell r="G4" t="str">
            <v>Day</v>
          </cell>
          <cell r="H4" t="str">
            <v>NOT</v>
          </cell>
          <cell r="I4" t="str">
            <v>DOT</v>
          </cell>
        </row>
        <row r="5">
          <cell r="B5">
            <v>6</v>
          </cell>
          <cell r="C5">
            <v>39934</v>
          </cell>
        </row>
        <row r="6">
          <cell r="B6">
            <v>7</v>
          </cell>
          <cell r="C6">
            <v>39935</v>
          </cell>
        </row>
        <row r="7">
          <cell r="B7">
            <v>1</v>
          </cell>
          <cell r="C7">
            <v>39936</v>
          </cell>
        </row>
        <row r="8">
          <cell r="B8">
            <v>2</v>
          </cell>
          <cell r="C8">
            <v>39937</v>
          </cell>
        </row>
        <row r="9">
          <cell r="B9">
            <v>3</v>
          </cell>
          <cell r="C9">
            <v>39938</v>
          </cell>
        </row>
        <row r="10">
          <cell r="B10">
            <v>4</v>
          </cell>
          <cell r="C10">
            <v>39939</v>
          </cell>
        </row>
        <row r="11">
          <cell r="B11">
            <v>5</v>
          </cell>
          <cell r="C11">
            <v>39940</v>
          </cell>
        </row>
        <row r="12">
          <cell r="B12">
            <v>6</v>
          </cell>
          <cell r="C12">
            <v>39941</v>
          </cell>
        </row>
        <row r="13">
          <cell r="B13">
            <v>7</v>
          </cell>
          <cell r="C13">
            <v>39942</v>
          </cell>
        </row>
        <row r="14">
          <cell r="B14">
            <v>1</v>
          </cell>
          <cell r="C14">
            <v>39943</v>
          </cell>
        </row>
        <row r="15">
          <cell r="B15">
            <v>2</v>
          </cell>
          <cell r="C15">
            <v>39944</v>
          </cell>
        </row>
        <row r="16">
          <cell r="A16" t="str">
            <v>Poya</v>
          </cell>
          <cell r="B16">
            <v>3</v>
          </cell>
          <cell r="C16">
            <v>39945</v>
          </cell>
        </row>
        <row r="17">
          <cell r="B17">
            <v>4</v>
          </cell>
          <cell r="C17">
            <v>39946</v>
          </cell>
        </row>
        <row r="18">
          <cell r="B18">
            <v>5</v>
          </cell>
          <cell r="C18">
            <v>39947</v>
          </cell>
        </row>
        <row r="19">
          <cell r="B19">
            <v>6</v>
          </cell>
          <cell r="C19">
            <v>39948</v>
          </cell>
        </row>
        <row r="20">
          <cell r="A20" t="str">
            <v>Holiday</v>
          </cell>
          <cell r="B20">
            <v>7</v>
          </cell>
          <cell r="C20">
            <v>39949</v>
          </cell>
        </row>
        <row r="21">
          <cell r="B21">
            <v>1</v>
          </cell>
          <cell r="C21">
            <v>39950</v>
          </cell>
        </row>
        <row r="22">
          <cell r="B22">
            <v>2</v>
          </cell>
          <cell r="C22">
            <v>39951</v>
          </cell>
        </row>
        <row r="23">
          <cell r="B23">
            <v>3</v>
          </cell>
          <cell r="C23">
            <v>39952</v>
          </cell>
        </row>
        <row r="24">
          <cell r="B24">
            <v>4</v>
          </cell>
          <cell r="C24">
            <v>39953</v>
          </cell>
        </row>
        <row r="25">
          <cell r="B25">
            <v>5</v>
          </cell>
          <cell r="C25">
            <v>39954</v>
          </cell>
        </row>
        <row r="26">
          <cell r="B26">
            <v>6</v>
          </cell>
          <cell r="C26">
            <v>39955</v>
          </cell>
        </row>
        <row r="27">
          <cell r="B27">
            <v>7</v>
          </cell>
          <cell r="C27">
            <v>39956</v>
          </cell>
        </row>
        <row r="28">
          <cell r="B28">
            <v>1</v>
          </cell>
          <cell r="C28">
            <v>39957</v>
          </cell>
        </row>
        <row r="29">
          <cell r="B29">
            <v>2</v>
          </cell>
          <cell r="C29">
            <v>39958</v>
          </cell>
        </row>
        <row r="30">
          <cell r="B30">
            <v>3</v>
          </cell>
          <cell r="C30">
            <v>39959</v>
          </cell>
        </row>
        <row r="31">
          <cell r="B31">
            <v>4</v>
          </cell>
          <cell r="C31">
            <v>39960</v>
          </cell>
        </row>
        <row r="32">
          <cell r="B32">
            <v>5</v>
          </cell>
          <cell r="C32">
            <v>39961</v>
          </cell>
        </row>
        <row r="33">
          <cell r="B33">
            <v>6</v>
          </cell>
          <cell r="C33">
            <v>39962</v>
          </cell>
        </row>
        <row r="34">
          <cell r="B34">
            <v>7</v>
          </cell>
          <cell r="C34">
            <v>39963</v>
          </cell>
        </row>
        <row r="35">
          <cell r="B35">
            <v>1</v>
          </cell>
          <cell r="C35">
            <v>39964</v>
          </cell>
        </row>
        <row r="37">
          <cell r="C37" t="str">
            <v>Total</v>
          </cell>
          <cell r="G37">
            <v>0</v>
          </cell>
          <cell r="H37">
            <v>0</v>
          </cell>
          <cell r="I37">
            <v>0</v>
          </cell>
        </row>
      </sheetData>
      <sheetData sheetId="3"/>
      <sheetData sheetId="4" refreshError="1"/>
      <sheetData sheetId="5">
        <row r="1">
          <cell r="A1" t="str">
            <v>Category</v>
          </cell>
          <cell r="B1" t="str">
            <v>Basic Salary</v>
          </cell>
        </row>
        <row r="2">
          <cell r="A2" t="str">
            <v>Assistant Electrician</v>
          </cell>
          <cell r="B2">
            <v>433</v>
          </cell>
        </row>
        <row r="3">
          <cell r="A3" t="str">
            <v>Assistant Operator</v>
          </cell>
          <cell r="B3">
            <v>433</v>
          </cell>
        </row>
        <row r="4">
          <cell r="A4" t="str">
            <v>Barbender</v>
          </cell>
          <cell r="B4">
            <v>488</v>
          </cell>
        </row>
        <row r="5">
          <cell r="A5" t="str">
            <v>Blaster</v>
          </cell>
          <cell r="B5">
            <v>630</v>
          </cell>
        </row>
        <row r="6">
          <cell r="A6" t="str">
            <v>Carpenter</v>
          </cell>
          <cell r="B6">
            <v>488</v>
          </cell>
        </row>
        <row r="7">
          <cell r="A7" t="str">
            <v>Cook</v>
          </cell>
          <cell r="B7">
            <v>315</v>
          </cell>
        </row>
        <row r="8">
          <cell r="A8" t="str">
            <v>Cook's Helper</v>
          </cell>
          <cell r="B8">
            <v>280</v>
          </cell>
        </row>
        <row r="9">
          <cell r="A9" t="str">
            <v>Crane Helper</v>
          </cell>
          <cell r="B9">
            <v>400</v>
          </cell>
        </row>
        <row r="10">
          <cell r="A10" t="str">
            <v>Driller</v>
          </cell>
          <cell r="B10">
            <v>630</v>
          </cell>
        </row>
        <row r="11">
          <cell r="A11" t="str">
            <v>Driver</v>
          </cell>
          <cell r="B11">
            <v>300</v>
          </cell>
        </row>
        <row r="12">
          <cell r="A12" t="str">
            <v>Electrical Helper</v>
          </cell>
          <cell r="B12">
            <v>400</v>
          </cell>
        </row>
        <row r="13">
          <cell r="A13" t="str">
            <v>Electrician</v>
          </cell>
          <cell r="B13">
            <v>488</v>
          </cell>
        </row>
        <row r="14">
          <cell r="A14" t="str">
            <v>Excavator Operator</v>
          </cell>
          <cell r="B14">
            <v>526</v>
          </cell>
        </row>
        <row r="15">
          <cell r="A15" t="str">
            <v>Excavator Operator Class 5</v>
          </cell>
          <cell r="B15">
            <v>488</v>
          </cell>
        </row>
        <row r="16">
          <cell r="A16" t="str">
            <v>Handy Man</v>
          </cell>
          <cell r="B16">
            <v>310</v>
          </cell>
        </row>
        <row r="17">
          <cell r="A17" t="str">
            <v>Handy Woman</v>
          </cell>
          <cell r="B17">
            <v>280</v>
          </cell>
        </row>
        <row r="18">
          <cell r="A18" t="str">
            <v>Heavy Vehicle Driver</v>
          </cell>
          <cell r="B18">
            <v>344</v>
          </cell>
        </row>
        <row r="19">
          <cell r="A19" t="str">
            <v>Heavy Vehicle Driver Class 1</v>
          </cell>
          <cell r="B19">
            <v>528</v>
          </cell>
        </row>
        <row r="20">
          <cell r="A20" t="str">
            <v>Heavy Vehicle Driver Class 2</v>
          </cell>
          <cell r="B20">
            <v>463</v>
          </cell>
        </row>
        <row r="21">
          <cell r="A21" t="str">
            <v>Heavy Vehicle Driver Class 3</v>
          </cell>
          <cell r="B21">
            <v>398</v>
          </cell>
        </row>
        <row r="22">
          <cell r="A22" t="str">
            <v>Labour</v>
          </cell>
          <cell r="B22">
            <v>400</v>
          </cell>
        </row>
        <row r="23">
          <cell r="A23" t="str">
            <v>Loader Operator</v>
          </cell>
          <cell r="B23">
            <v>526</v>
          </cell>
        </row>
        <row r="24">
          <cell r="A24" t="str">
            <v>Loader Operator Class 5</v>
          </cell>
          <cell r="B24">
            <v>488</v>
          </cell>
        </row>
        <row r="25">
          <cell r="A25" t="str">
            <v>Mason</v>
          </cell>
          <cell r="B25">
            <v>488</v>
          </cell>
        </row>
        <row r="26">
          <cell r="A26" t="str">
            <v>Mason Class 1</v>
          </cell>
          <cell r="B26">
            <v>535</v>
          </cell>
        </row>
        <row r="27">
          <cell r="A27" t="str">
            <v>Mechanic</v>
          </cell>
          <cell r="B27">
            <v>488</v>
          </cell>
        </row>
        <row r="28">
          <cell r="A28" t="str">
            <v>Mechanic Helper</v>
          </cell>
          <cell r="B28">
            <v>400</v>
          </cell>
        </row>
        <row r="29">
          <cell r="A29" t="str">
            <v>Mechanical Helper</v>
          </cell>
          <cell r="B29">
            <v>526</v>
          </cell>
        </row>
        <row r="30">
          <cell r="A30" t="str">
            <v>Security</v>
          </cell>
          <cell r="B30">
            <v>400</v>
          </cell>
        </row>
        <row r="31">
          <cell r="A31" t="str">
            <v>Senior Site Clerk</v>
          </cell>
          <cell r="B31">
            <v>491</v>
          </cell>
        </row>
        <row r="32">
          <cell r="A32" t="str">
            <v>Signalman</v>
          </cell>
          <cell r="B32">
            <v>400</v>
          </cell>
        </row>
        <row r="33">
          <cell r="A33" t="str">
            <v>Site Clerk</v>
          </cell>
          <cell r="B33">
            <v>425</v>
          </cell>
        </row>
        <row r="34">
          <cell r="A34" t="str">
            <v>Skilled Helper</v>
          </cell>
          <cell r="B34">
            <v>403</v>
          </cell>
        </row>
        <row r="35">
          <cell r="A35" t="str">
            <v>Skilled Labour</v>
          </cell>
          <cell r="B35">
            <v>403</v>
          </cell>
        </row>
        <row r="36">
          <cell r="A36" t="str">
            <v>Supervisor</v>
          </cell>
          <cell r="B36">
            <v>535</v>
          </cell>
        </row>
        <row r="37">
          <cell r="A37" t="str">
            <v>Supervisor Class 2</v>
          </cell>
          <cell r="B37">
            <v>480</v>
          </cell>
        </row>
        <row r="38">
          <cell r="A38" t="str">
            <v>Tunnel Helper</v>
          </cell>
          <cell r="B38">
            <v>400</v>
          </cell>
        </row>
        <row r="39">
          <cell r="A39" t="str">
            <v>Welder</v>
          </cell>
          <cell r="B39">
            <v>488</v>
          </cell>
        </row>
        <row r="40">
          <cell r="A40" t="str">
            <v>Welder Helper</v>
          </cell>
          <cell r="B40">
            <v>400</v>
          </cell>
        </row>
        <row r="41">
          <cell r="A41" t="str">
            <v>Welder Special 1</v>
          </cell>
          <cell r="B41">
            <v>546</v>
          </cell>
        </row>
      </sheetData>
      <sheetData sheetId="6">
        <row r="2">
          <cell r="B2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">
          <cell r="A1" t="str">
            <v xml:space="preserve">CENTRAL EXPRESSWAY PROJECT SECTION -2 FROM MIRIGAMA TO KURUNEGALA PACKAGE - C FROM RANGALLEPOLA (57+000) TO HIRIPITIWALA                                     </v>
          </cell>
        </row>
      </sheetData>
      <sheetData sheetId="17"/>
      <sheetData sheetId="18"/>
      <sheetData sheetId="19"/>
      <sheetData sheetId="20"/>
      <sheetData sheetId="21"/>
      <sheetData sheetId="22">
        <row r="1">
          <cell r="A1" t="str">
            <v xml:space="preserve">CENTRAL EXPRESSWAY PROJECT SECTION -2 FROM MIRIGAMA TO KURUNEGALA PACKAGE - C FROM RANGALLEPOLA (57+000) TO HIRIPITIWALA                                     </v>
          </cell>
        </row>
      </sheetData>
      <sheetData sheetId="23"/>
      <sheetData sheetId="24"/>
      <sheetData sheetId="25"/>
      <sheetData sheetId="26">
        <row r="1">
          <cell r="B1" t="str">
            <v>CENTRAL EXPRESSWAY PROJECT SECTION -2 FROM MIRIGAMA TO KURUNEGALA</v>
          </cell>
        </row>
      </sheetData>
      <sheetData sheetId="27">
        <row r="1">
          <cell r="B1">
            <v>0</v>
          </cell>
        </row>
      </sheetData>
      <sheetData sheetId="28"/>
      <sheetData sheetId="29">
        <row r="1">
          <cell r="C1" t="str">
            <v>Year</v>
          </cell>
        </row>
      </sheetData>
      <sheetData sheetId="30"/>
      <sheetData sheetId="31"/>
      <sheetData sheetId="32">
        <row r="1">
          <cell r="A1" t="str">
            <v>Category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BOQ(new)"/>
      <sheetName val="Budget "/>
      <sheetName val="Print Budget"/>
      <sheetName val="Rate analysis"/>
      <sheetName val="Basic Rates"/>
      <sheetName val="material requiement"/>
      <sheetName val="material requiement (2)"/>
      <sheetName val="Basic Rates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">
          <cell r="C4">
            <v>365</v>
          </cell>
        </row>
        <row r="57">
          <cell r="C57">
            <v>1200</v>
          </cell>
        </row>
        <row r="59">
          <cell r="C59">
            <v>4400</v>
          </cell>
        </row>
      </sheetData>
      <sheetData sheetId="6" refreshError="1"/>
      <sheetData sheetId="7" refreshError="1"/>
      <sheetData sheetId="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aBid"/>
      <sheetName val="CGO Descript"/>
      <sheetName val="HeavyData"/>
      <sheetName val="FitOutConfCentre"/>
      <sheetName val="F-6 COVER"/>
      <sheetName val="Sum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  <sheetName val="B.100"/>
      <sheetName val="Cost code total"/>
      <sheetName val="Vechicle"/>
      <sheetName val="Supervisor"/>
      <sheetName val="Basic Rates"/>
      <sheetName val="Ilding Claim"/>
      <sheetName val="TOTAL COST CODE"/>
      <sheetName val="Basic Data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残数量確認用"/>
      <sheetName val="rejected"/>
      <sheetName val="HeavyData"/>
      <sheetName val="F-6 COVER"/>
      <sheetName val="Sum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  <sheetName val="Cost code total"/>
      <sheetName val="Vechicle"/>
      <sheetName val="Basic Data"/>
    </sheetNames>
    <sheetDataSet>
      <sheetData sheetId="0" refreshError="1">
        <row r="4">
          <cell r="D4">
            <v>1</v>
          </cell>
          <cell r="E4">
            <v>84178090</v>
          </cell>
          <cell r="F4">
            <v>5</v>
          </cell>
          <cell r="G4" t="str">
            <v>INCINERATOR</v>
          </cell>
        </row>
        <row r="5">
          <cell r="D5">
            <v>2</v>
          </cell>
          <cell r="E5">
            <v>84162000</v>
          </cell>
          <cell r="F5">
            <v>5</v>
          </cell>
          <cell r="G5" t="str">
            <v>BURNER</v>
          </cell>
        </row>
        <row r="6">
          <cell r="D6">
            <v>3</v>
          </cell>
          <cell r="E6">
            <v>84242090</v>
          </cell>
          <cell r="F6">
            <v>5</v>
          </cell>
          <cell r="G6" t="str">
            <v>LIQUID OIL GUN ASSSEMBLY</v>
          </cell>
        </row>
        <row r="7">
          <cell r="D7">
            <v>4</v>
          </cell>
          <cell r="E7">
            <v>69029000</v>
          </cell>
          <cell r="F7">
            <v>5</v>
          </cell>
          <cell r="G7" t="str">
            <v>BURNER TILE</v>
          </cell>
        </row>
        <row r="8">
          <cell r="D8">
            <v>5</v>
          </cell>
          <cell r="E8">
            <v>84169000</v>
          </cell>
          <cell r="F8">
            <v>5</v>
          </cell>
          <cell r="G8" t="str">
            <v>PILOT TIP</v>
          </cell>
        </row>
        <row r="9">
          <cell r="D9">
            <v>6</v>
          </cell>
          <cell r="E9">
            <v>84169000</v>
          </cell>
          <cell r="F9">
            <v>5</v>
          </cell>
          <cell r="G9" t="str">
            <v>PILOT INSULATOR</v>
          </cell>
        </row>
        <row r="10">
          <cell r="D10">
            <v>7</v>
          </cell>
          <cell r="E10">
            <v>84169000</v>
          </cell>
          <cell r="F10">
            <v>5</v>
          </cell>
          <cell r="G10" t="str">
            <v>PILOT ASSEMBLY</v>
          </cell>
        </row>
        <row r="11">
          <cell r="D11">
            <v>8</v>
          </cell>
          <cell r="E11">
            <v>73011000</v>
          </cell>
          <cell r="F11">
            <v>5</v>
          </cell>
          <cell r="G11" t="str">
            <v>INSULATOR BRACKET</v>
          </cell>
        </row>
        <row r="12">
          <cell r="D12">
            <v>9</v>
          </cell>
          <cell r="E12">
            <v>84169000</v>
          </cell>
          <cell r="F12">
            <v>5</v>
          </cell>
          <cell r="G12" t="str">
            <v>IGNITION ROD</v>
          </cell>
        </row>
        <row r="13">
          <cell r="D13">
            <v>10</v>
          </cell>
          <cell r="E13">
            <v>85111000</v>
          </cell>
          <cell r="F13">
            <v>5</v>
          </cell>
          <cell r="G13" t="str">
            <v>SPARK PLUG</v>
          </cell>
        </row>
        <row r="14">
          <cell r="D14">
            <v>11</v>
          </cell>
          <cell r="E14">
            <v>84249090</v>
          </cell>
          <cell r="F14">
            <v>5</v>
          </cell>
          <cell r="G14" t="str">
            <v>S.S. CONDITIONING WATER GUN TIP</v>
          </cell>
        </row>
        <row r="15">
          <cell r="D15">
            <v>12</v>
          </cell>
          <cell r="E15">
            <v>84242090</v>
          </cell>
          <cell r="F15">
            <v>5</v>
          </cell>
          <cell r="G15" t="str">
            <v>CONDITIONING WATER GUN ASSEMBLY</v>
          </cell>
        </row>
        <row r="16">
          <cell r="D16">
            <v>13</v>
          </cell>
          <cell r="E16">
            <v>84849000</v>
          </cell>
          <cell r="F16">
            <v>5</v>
          </cell>
          <cell r="G16" t="str">
            <v>WASTE GUN GASKETS</v>
          </cell>
        </row>
        <row r="17">
          <cell r="D17">
            <v>14</v>
          </cell>
          <cell r="E17">
            <v>84849000</v>
          </cell>
          <cell r="F17">
            <v>5</v>
          </cell>
          <cell r="G17" t="str">
            <v>WASTE GUN PRESSURE SEAL GASKETS</v>
          </cell>
        </row>
        <row r="18">
          <cell r="D18">
            <v>15</v>
          </cell>
          <cell r="E18">
            <v>84849000</v>
          </cell>
          <cell r="F18">
            <v>5</v>
          </cell>
          <cell r="G18" t="str">
            <v>ROPE GASKET</v>
          </cell>
        </row>
        <row r="19">
          <cell r="D19">
            <v>16</v>
          </cell>
          <cell r="E19">
            <v>84169000</v>
          </cell>
          <cell r="F19">
            <v>5</v>
          </cell>
          <cell r="G19" t="str">
            <v>FLAME SCANNER</v>
          </cell>
        </row>
        <row r="20">
          <cell r="D20">
            <v>17</v>
          </cell>
          <cell r="E20">
            <v>70179000</v>
          </cell>
          <cell r="F20">
            <v>5</v>
          </cell>
          <cell r="G20" t="str">
            <v>SIGHT GLASSES</v>
          </cell>
        </row>
        <row r="21">
          <cell r="D21">
            <v>18</v>
          </cell>
          <cell r="E21">
            <v>84169000</v>
          </cell>
          <cell r="F21">
            <v>5</v>
          </cell>
          <cell r="G21" t="str">
            <v>FLARE STACK</v>
          </cell>
        </row>
        <row r="22">
          <cell r="D22">
            <v>19</v>
          </cell>
          <cell r="E22">
            <v>84169000</v>
          </cell>
          <cell r="F22">
            <v>5</v>
          </cell>
          <cell r="G22" t="str">
            <v>PILOT FLARE TIP(S)</v>
          </cell>
        </row>
        <row r="23">
          <cell r="D23">
            <v>20</v>
          </cell>
          <cell r="E23">
            <v>84841000</v>
          </cell>
          <cell r="F23">
            <v>5</v>
          </cell>
          <cell r="G23" t="str">
            <v>GASKETS</v>
          </cell>
        </row>
        <row r="24">
          <cell r="D24">
            <v>21</v>
          </cell>
          <cell r="E24">
            <v>84195000</v>
          </cell>
          <cell r="F24">
            <v>5</v>
          </cell>
          <cell r="G24" t="str">
            <v>THERMOCOUPLE(S)</v>
          </cell>
        </row>
        <row r="25">
          <cell r="D25">
            <v>22</v>
          </cell>
          <cell r="E25">
            <v>85311000</v>
          </cell>
          <cell r="F25">
            <v>5</v>
          </cell>
          <cell r="G25" t="str">
            <v xml:space="preserve">FLAME DETECTOR </v>
          </cell>
        </row>
        <row r="26">
          <cell r="D26">
            <v>23</v>
          </cell>
          <cell r="E26">
            <v>85318090</v>
          </cell>
          <cell r="F26">
            <v>5</v>
          </cell>
          <cell r="G26" t="str">
            <v>PILOT MONITORING</v>
          </cell>
        </row>
        <row r="27">
          <cell r="D27">
            <v>24</v>
          </cell>
          <cell r="E27">
            <v>85149000</v>
          </cell>
          <cell r="F27">
            <v>5</v>
          </cell>
          <cell r="G27" t="str">
            <v>FLAME OUT SYSTEM</v>
          </cell>
        </row>
        <row r="28">
          <cell r="D28">
            <v>25</v>
          </cell>
          <cell r="E28">
            <v>85111000</v>
          </cell>
          <cell r="F28">
            <v>5</v>
          </cell>
          <cell r="G28" t="str">
            <v>SPARK PLUG</v>
          </cell>
        </row>
        <row r="29">
          <cell r="D29">
            <v>26</v>
          </cell>
          <cell r="E29">
            <v>70179000</v>
          </cell>
          <cell r="F29">
            <v>5</v>
          </cell>
          <cell r="G29" t="str">
            <v>SIGHT PORT</v>
          </cell>
        </row>
        <row r="30">
          <cell r="D30">
            <v>27</v>
          </cell>
          <cell r="E30">
            <v>84195000</v>
          </cell>
          <cell r="F30">
            <v>5</v>
          </cell>
          <cell r="G30" t="str">
            <v>THERMOCOUPLE(S)</v>
          </cell>
        </row>
        <row r="31">
          <cell r="D31">
            <v>28</v>
          </cell>
          <cell r="E31">
            <v>85393900</v>
          </cell>
          <cell r="F31">
            <v>5</v>
          </cell>
          <cell r="G31" t="str">
            <v>ACW LIGHT LAMP</v>
          </cell>
        </row>
        <row r="32">
          <cell r="D32">
            <v>29</v>
          </cell>
          <cell r="E32">
            <v>85393900</v>
          </cell>
          <cell r="F32">
            <v>5</v>
          </cell>
          <cell r="G32" t="str">
            <v>ACW LIGHT LAMP</v>
          </cell>
        </row>
        <row r="33">
          <cell r="D33">
            <v>30</v>
          </cell>
          <cell r="E33">
            <v>73181500</v>
          </cell>
          <cell r="F33">
            <v>5</v>
          </cell>
          <cell r="G33" t="str">
            <v>BOLT &amp; NUT</v>
          </cell>
        </row>
        <row r="34">
          <cell r="D34">
            <v>31</v>
          </cell>
          <cell r="E34">
            <v>73181500</v>
          </cell>
          <cell r="F34">
            <v>5</v>
          </cell>
          <cell r="G34" t="str">
            <v>BOLT &amp; NUT</v>
          </cell>
        </row>
        <row r="35">
          <cell r="D35">
            <v>32</v>
          </cell>
          <cell r="E35">
            <v>84849000</v>
          </cell>
          <cell r="F35">
            <v>5</v>
          </cell>
          <cell r="G35" t="str">
            <v>CPI SEPARATOR</v>
          </cell>
        </row>
        <row r="36">
          <cell r="D36">
            <v>33</v>
          </cell>
          <cell r="E36">
            <v>73181500</v>
          </cell>
          <cell r="F36">
            <v>5</v>
          </cell>
          <cell r="G36" t="str">
            <v>BOLT &amp; NUT</v>
          </cell>
        </row>
        <row r="37">
          <cell r="D37">
            <v>34</v>
          </cell>
          <cell r="E37">
            <v>73082000</v>
          </cell>
          <cell r="F37">
            <v>5</v>
          </cell>
          <cell r="G37" t="str">
            <v>CARBON STEEL TOWER</v>
          </cell>
        </row>
        <row r="38">
          <cell r="D38">
            <v>35</v>
          </cell>
          <cell r="E38">
            <v>73089090</v>
          </cell>
          <cell r="F38">
            <v>5</v>
          </cell>
          <cell r="G38" t="str">
            <v>CARBON STEEL TOWER TEMPLATE</v>
          </cell>
        </row>
        <row r="39">
          <cell r="D39">
            <v>36</v>
          </cell>
          <cell r="E39">
            <v>73181500</v>
          </cell>
          <cell r="F39">
            <v>5</v>
          </cell>
          <cell r="G39" t="str">
            <v>CARBON STEEL TOWER ANCHOR BOLT AND NUT</v>
          </cell>
        </row>
        <row r="40">
          <cell r="D40">
            <v>37</v>
          </cell>
          <cell r="E40">
            <v>73269099</v>
          </cell>
          <cell r="F40">
            <v>20</v>
          </cell>
          <cell r="G40" t="str">
            <v>CARBON STEEL TOWER TRAY</v>
          </cell>
        </row>
        <row r="41">
          <cell r="D41">
            <v>38</v>
          </cell>
          <cell r="E41">
            <v>73269099</v>
          </cell>
          <cell r="F41">
            <v>20</v>
          </cell>
          <cell r="G41" t="str">
            <v>TRAYS</v>
          </cell>
        </row>
        <row r="42">
          <cell r="D42">
            <v>39</v>
          </cell>
          <cell r="E42">
            <v>73182100</v>
          </cell>
          <cell r="F42">
            <v>5</v>
          </cell>
          <cell r="G42" t="str">
            <v>WASHERS</v>
          </cell>
        </row>
        <row r="43">
          <cell r="D43">
            <v>40</v>
          </cell>
          <cell r="E43">
            <v>73181500</v>
          </cell>
          <cell r="F43">
            <v>5</v>
          </cell>
          <cell r="G43" t="str">
            <v>INTERNAL BOLTS &amp; NUTS</v>
          </cell>
        </row>
        <row r="44">
          <cell r="D44">
            <v>41</v>
          </cell>
          <cell r="E44">
            <v>73269060</v>
          </cell>
          <cell r="F44">
            <v>20</v>
          </cell>
          <cell r="G44" t="str">
            <v>INTERNAL CLAMPS</v>
          </cell>
        </row>
        <row r="45">
          <cell r="D45">
            <v>42</v>
          </cell>
          <cell r="E45">
            <v>84159000</v>
          </cell>
          <cell r="F45">
            <v>5</v>
          </cell>
          <cell r="G45" t="str">
            <v>DEMISTER ASSEMBLY</v>
          </cell>
        </row>
        <row r="46">
          <cell r="D46">
            <v>43</v>
          </cell>
          <cell r="E46">
            <v>84849000</v>
          </cell>
          <cell r="F46">
            <v>5</v>
          </cell>
          <cell r="G46" t="str">
            <v>TOWER PACKING</v>
          </cell>
        </row>
        <row r="47">
          <cell r="D47">
            <v>44</v>
          </cell>
          <cell r="E47">
            <v>73089090</v>
          </cell>
          <cell r="F47">
            <v>5</v>
          </cell>
          <cell r="G47" t="str">
            <v>SPECIALTY INTERNALS</v>
          </cell>
        </row>
        <row r="48">
          <cell r="D48">
            <v>45</v>
          </cell>
          <cell r="E48">
            <v>84849000</v>
          </cell>
          <cell r="F48">
            <v>5</v>
          </cell>
          <cell r="G48" t="str">
            <v>CARBON STEEL TOWER PACKING</v>
          </cell>
        </row>
        <row r="49">
          <cell r="D49">
            <v>46</v>
          </cell>
          <cell r="E49">
            <v>90278090</v>
          </cell>
          <cell r="F49">
            <v>5</v>
          </cell>
          <cell r="G49" t="str">
            <v xml:space="preserve">CARBON STEEL REACTOR </v>
          </cell>
        </row>
        <row r="50">
          <cell r="D50">
            <v>47</v>
          </cell>
          <cell r="E50">
            <v>90279000</v>
          </cell>
          <cell r="F50">
            <v>5</v>
          </cell>
          <cell r="G50" t="str">
            <v>CARBON STEEL REACTOR TEMPLATE</v>
          </cell>
        </row>
        <row r="51">
          <cell r="D51">
            <v>48</v>
          </cell>
          <cell r="E51">
            <v>73182900</v>
          </cell>
          <cell r="F51">
            <v>5</v>
          </cell>
          <cell r="G51" t="str">
            <v>CARBON STEEL REACTOR ANCHOR BOLT AND NUT</v>
          </cell>
        </row>
        <row r="52">
          <cell r="D52">
            <v>49</v>
          </cell>
          <cell r="E52">
            <v>90278090</v>
          </cell>
          <cell r="F52">
            <v>5</v>
          </cell>
          <cell r="G52" t="str">
            <v>CARBON STEEL REACTOR ASSEMBLY</v>
          </cell>
        </row>
        <row r="53">
          <cell r="D53">
            <v>50</v>
          </cell>
          <cell r="E53">
            <v>90279000</v>
          </cell>
          <cell r="F53">
            <v>5</v>
          </cell>
          <cell r="G53" t="str">
            <v xml:space="preserve">CARBON STEEL REACTOR ASSEMBLY COMPONENTS </v>
          </cell>
        </row>
        <row r="54">
          <cell r="D54">
            <v>51</v>
          </cell>
          <cell r="E54">
            <v>73269099</v>
          </cell>
          <cell r="F54">
            <v>20</v>
          </cell>
          <cell r="G54" t="str">
            <v>TRAYS</v>
          </cell>
        </row>
        <row r="55">
          <cell r="D55">
            <v>52</v>
          </cell>
          <cell r="E55">
            <v>73182100</v>
          </cell>
          <cell r="F55">
            <v>5</v>
          </cell>
          <cell r="G55" t="str">
            <v>WASHERS</v>
          </cell>
        </row>
        <row r="56">
          <cell r="D56">
            <v>53</v>
          </cell>
          <cell r="E56">
            <v>73181500</v>
          </cell>
          <cell r="F56">
            <v>5</v>
          </cell>
          <cell r="G56" t="str">
            <v>INTERNAL BOLTS &amp; NUTS</v>
          </cell>
        </row>
        <row r="57">
          <cell r="D57">
            <v>54</v>
          </cell>
          <cell r="E57">
            <v>73269060</v>
          </cell>
          <cell r="F57">
            <v>20</v>
          </cell>
          <cell r="G57" t="str">
            <v>INTERNAL CLAMPS</v>
          </cell>
        </row>
        <row r="58">
          <cell r="D58">
            <v>55</v>
          </cell>
          <cell r="E58">
            <v>84159000</v>
          </cell>
          <cell r="F58">
            <v>5</v>
          </cell>
          <cell r="G58" t="str">
            <v>DEMISTER ASSEMBLY</v>
          </cell>
        </row>
        <row r="59">
          <cell r="D59">
            <v>56</v>
          </cell>
          <cell r="E59">
            <v>84849000</v>
          </cell>
          <cell r="F59">
            <v>5</v>
          </cell>
          <cell r="G59" t="str">
            <v>TOWER PACKING</v>
          </cell>
        </row>
        <row r="60">
          <cell r="D60">
            <v>57</v>
          </cell>
          <cell r="E60">
            <v>73089090</v>
          </cell>
          <cell r="F60">
            <v>5</v>
          </cell>
          <cell r="G60" t="str">
            <v>SPECIALTY INTERNALS</v>
          </cell>
        </row>
        <row r="61">
          <cell r="D61">
            <v>58</v>
          </cell>
          <cell r="E61">
            <v>84189990</v>
          </cell>
          <cell r="F61">
            <v>5</v>
          </cell>
          <cell r="G61" t="str">
            <v>CYCLE GAS COOLER</v>
          </cell>
        </row>
        <row r="62">
          <cell r="D62">
            <v>59</v>
          </cell>
          <cell r="E62">
            <v>73181500</v>
          </cell>
          <cell r="F62">
            <v>5</v>
          </cell>
          <cell r="G62" t="str">
            <v>INTERNAL BOLTS &amp; NUTS</v>
          </cell>
        </row>
        <row r="63">
          <cell r="D63">
            <v>60</v>
          </cell>
          <cell r="E63">
            <v>73182400</v>
          </cell>
          <cell r="F63">
            <v>5</v>
          </cell>
          <cell r="G63" t="str">
            <v>INTRENAL STUDS</v>
          </cell>
        </row>
        <row r="64">
          <cell r="D64">
            <v>61</v>
          </cell>
          <cell r="E64">
            <v>73079900</v>
          </cell>
          <cell r="F64">
            <v>5</v>
          </cell>
          <cell r="G64" t="str">
            <v>TUBE PLUGS</v>
          </cell>
        </row>
        <row r="65">
          <cell r="D65">
            <v>62</v>
          </cell>
          <cell r="E65">
            <v>84199000</v>
          </cell>
          <cell r="F65">
            <v>5</v>
          </cell>
          <cell r="G65" t="str">
            <v>PLATE AND FRAME HEAT EXCHANGER</v>
          </cell>
        </row>
        <row r="66">
          <cell r="D66">
            <v>63</v>
          </cell>
          <cell r="E66">
            <v>72089000</v>
          </cell>
          <cell r="F66">
            <v>5</v>
          </cell>
          <cell r="G66" t="str">
            <v>PLATE INTERMEDIATE</v>
          </cell>
        </row>
        <row r="67">
          <cell r="D67">
            <v>64</v>
          </cell>
          <cell r="E67">
            <v>72089000</v>
          </cell>
          <cell r="F67">
            <v>5</v>
          </cell>
          <cell r="G67" t="str">
            <v>PLATE END</v>
          </cell>
        </row>
        <row r="68">
          <cell r="D68">
            <v>65</v>
          </cell>
          <cell r="E68">
            <v>84212190</v>
          </cell>
          <cell r="F68">
            <v>5</v>
          </cell>
          <cell r="G68" t="str">
            <v>FILTER</v>
          </cell>
        </row>
        <row r="69">
          <cell r="D69">
            <v>66</v>
          </cell>
          <cell r="E69">
            <v>84213900</v>
          </cell>
          <cell r="F69">
            <v>5</v>
          </cell>
          <cell r="G69" t="str">
            <v>STRAINER</v>
          </cell>
        </row>
        <row r="70">
          <cell r="D70">
            <v>67</v>
          </cell>
          <cell r="E70">
            <v>84818090</v>
          </cell>
          <cell r="F70">
            <v>5</v>
          </cell>
          <cell r="G70" t="str">
            <v>BUTTERFLY VALVE</v>
          </cell>
        </row>
        <row r="71">
          <cell r="D71">
            <v>68</v>
          </cell>
          <cell r="E71">
            <v>85162990</v>
          </cell>
          <cell r="F71">
            <v>5</v>
          </cell>
          <cell r="G71" t="str">
            <v>ELECTRIC N2 HEATER</v>
          </cell>
        </row>
        <row r="72">
          <cell r="D72">
            <v>69</v>
          </cell>
          <cell r="E72">
            <v>73181500</v>
          </cell>
          <cell r="F72">
            <v>5</v>
          </cell>
          <cell r="G72" t="str">
            <v>INTERNAL BOLTS &amp; NUTS</v>
          </cell>
        </row>
        <row r="73">
          <cell r="D73">
            <v>70</v>
          </cell>
          <cell r="E73">
            <v>73182400</v>
          </cell>
          <cell r="F73">
            <v>5</v>
          </cell>
          <cell r="G73" t="str">
            <v>INTERNAL STUDS</v>
          </cell>
        </row>
        <row r="74">
          <cell r="D74">
            <v>71</v>
          </cell>
          <cell r="E74">
            <v>81039000</v>
          </cell>
          <cell r="F74">
            <v>5</v>
          </cell>
          <cell r="G74" t="str">
            <v>TUBE PLUGS - TITANIUM ONLY</v>
          </cell>
        </row>
        <row r="75">
          <cell r="D75">
            <v>72</v>
          </cell>
          <cell r="E75">
            <v>85143000</v>
          </cell>
          <cell r="F75">
            <v>5</v>
          </cell>
          <cell r="G75" t="str">
            <v>ELECTRIC FURNACE</v>
          </cell>
        </row>
        <row r="76">
          <cell r="D76">
            <v>73</v>
          </cell>
          <cell r="E76">
            <v>731815000</v>
          </cell>
          <cell r="F76">
            <v>5</v>
          </cell>
          <cell r="G76" t="str">
            <v>INTERNAL BOLTS &amp; NUTS</v>
          </cell>
        </row>
        <row r="77">
          <cell r="D77">
            <v>74</v>
          </cell>
          <cell r="E77">
            <v>73182400</v>
          </cell>
          <cell r="F77">
            <v>5</v>
          </cell>
          <cell r="G77" t="str">
            <v>INTERNAL STUDS</v>
          </cell>
        </row>
        <row r="78">
          <cell r="D78">
            <v>75</v>
          </cell>
          <cell r="E78">
            <v>81039000</v>
          </cell>
          <cell r="F78">
            <v>5</v>
          </cell>
          <cell r="G78" t="str">
            <v>TITANIUM TUBE PLUGS</v>
          </cell>
        </row>
        <row r="79">
          <cell r="D79">
            <v>76</v>
          </cell>
          <cell r="E79">
            <v>84195000</v>
          </cell>
          <cell r="F79">
            <v>5</v>
          </cell>
          <cell r="G79" t="str">
            <v>DOUBLE PIPE HEAT EXCHANGER</v>
          </cell>
        </row>
        <row r="80">
          <cell r="D80">
            <v>77</v>
          </cell>
          <cell r="E80">
            <v>84195000</v>
          </cell>
          <cell r="F80">
            <v>5</v>
          </cell>
          <cell r="G80" t="str">
            <v>CARBON STEEL HEAT EXCHANGER</v>
          </cell>
        </row>
        <row r="81">
          <cell r="D81">
            <v>78</v>
          </cell>
          <cell r="E81">
            <v>73181500</v>
          </cell>
          <cell r="F81">
            <v>5</v>
          </cell>
          <cell r="G81" t="str">
            <v>INTERNAL BOLTS &amp; NUTS</v>
          </cell>
        </row>
        <row r="82">
          <cell r="D82">
            <v>79</v>
          </cell>
          <cell r="E82">
            <v>73182400</v>
          </cell>
          <cell r="F82">
            <v>5</v>
          </cell>
          <cell r="G82" t="str">
            <v>INTERNAL STUDS</v>
          </cell>
        </row>
        <row r="83">
          <cell r="D83">
            <v>80</v>
          </cell>
          <cell r="E83">
            <v>81039000</v>
          </cell>
          <cell r="F83">
            <v>5</v>
          </cell>
          <cell r="G83" t="str">
            <v>TITANIUM TUBE PLUGS</v>
          </cell>
        </row>
        <row r="84">
          <cell r="D84">
            <v>81</v>
          </cell>
          <cell r="E84">
            <v>84195000</v>
          </cell>
          <cell r="F84">
            <v>5</v>
          </cell>
          <cell r="G84" t="str">
            <v>STAINLESS STEEL HEAT EXCHANGER</v>
          </cell>
        </row>
        <row r="85">
          <cell r="D85">
            <v>82</v>
          </cell>
          <cell r="E85">
            <v>73181500</v>
          </cell>
          <cell r="F85">
            <v>5</v>
          </cell>
          <cell r="G85" t="str">
            <v>INTERNAL BOLTS &amp; NUTS</v>
          </cell>
        </row>
        <row r="86">
          <cell r="D86">
            <v>83</v>
          </cell>
          <cell r="E86">
            <v>73182400</v>
          </cell>
          <cell r="F86">
            <v>5</v>
          </cell>
          <cell r="G86" t="str">
            <v>INTERNAL STUDS</v>
          </cell>
        </row>
        <row r="87">
          <cell r="D87">
            <v>84</v>
          </cell>
          <cell r="E87">
            <v>73079900</v>
          </cell>
          <cell r="F87">
            <v>5</v>
          </cell>
          <cell r="G87" t="str">
            <v>TUBE PLUGS</v>
          </cell>
        </row>
        <row r="88">
          <cell r="D88">
            <v>85</v>
          </cell>
          <cell r="E88">
            <v>84158190</v>
          </cell>
          <cell r="F88">
            <v>5</v>
          </cell>
          <cell r="G88" t="str">
            <v>CARBON STEEL AIR COOLER</v>
          </cell>
        </row>
        <row r="89">
          <cell r="D89">
            <v>86</v>
          </cell>
          <cell r="E89">
            <v>40102900</v>
          </cell>
          <cell r="F89">
            <v>5</v>
          </cell>
          <cell r="G89" t="str">
            <v>HTD BELTS</v>
          </cell>
        </row>
        <row r="90">
          <cell r="D90">
            <v>87</v>
          </cell>
          <cell r="E90">
            <v>84835000</v>
          </cell>
          <cell r="F90">
            <v>5</v>
          </cell>
          <cell r="G90" t="str">
            <v>PULLEY</v>
          </cell>
        </row>
        <row r="91">
          <cell r="D91">
            <v>88</v>
          </cell>
          <cell r="E91">
            <v>84149000</v>
          </cell>
          <cell r="F91">
            <v>5</v>
          </cell>
          <cell r="G91" t="str">
            <v>FAN SHAFT</v>
          </cell>
        </row>
        <row r="92">
          <cell r="D92">
            <v>89</v>
          </cell>
          <cell r="E92">
            <v>84821000</v>
          </cell>
          <cell r="F92">
            <v>5</v>
          </cell>
          <cell r="G92" t="str">
            <v>BEARING</v>
          </cell>
        </row>
        <row r="93">
          <cell r="D93">
            <v>90</v>
          </cell>
          <cell r="E93">
            <v>84829900</v>
          </cell>
          <cell r="F93">
            <v>5</v>
          </cell>
          <cell r="G93" t="str">
            <v>BEARING BLOCKS</v>
          </cell>
        </row>
        <row r="94">
          <cell r="D94">
            <v>91</v>
          </cell>
          <cell r="E94">
            <v>84149000</v>
          </cell>
          <cell r="F94">
            <v>5</v>
          </cell>
          <cell r="G94" t="str">
            <v>FAN HUB ASSEMBLY</v>
          </cell>
        </row>
        <row r="95">
          <cell r="D95">
            <v>92</v>
          </cell>
          <cell r="E95">
            <v>84149000</v>
          </cell>
          <cell r="F95">
            <v>5</v>
          </cell>
          <cell r="G95" t="str">
            <v>FAN BLADES</v>
          </cell>
        </row>
        <row r="96">
          <cell r="D96">
            <v>93</v>
          </cell>
          <cell r="E96">
            <v>40095090</v>
          </cell>
          <cell r="F96">
            <v>5</v>
          </cell>
          <cell r="G96" t="str">
            <v>LUBRICATION HOSE ASSEMBLY</v>
          </cell>
        </row>
        <row r="97">
          <cell r="D97">
            <v>94</v>
          </cell>
          <cell r="E97">
            <v>73182100</v>
          </cell>
          <cell r="F97">
            <v>5</v>
          </cell>
          <cell r="G97" t="str">
            <v>LOCKNUTS WASHERS</v>
          </cell>
        </row>
        <row r="98">
          <cell r="D98">
            <v>95</v>
          </cell>
          <cell r="E98">
            <v>83014090</v>
          </cell>
          <cell r="F98">
            <v>5</v>
          </cell>
          <cell r="G98" t="str">
            <v>LOCK KEYS</v>
          </cell>
        </row>
        <row r="99">
          <cell r="D99">
            <v>96</v>
          </cell>
          <cell r="E99">
            <v>73079900</v>
          </cell>
          <cell r="F99">
            <v>5</v>
          </cell>
          <cell r="G99" t="str">
            <v>PLUGS</v>
          </cell>
        </row>
        <row r="100">
          <cell r="D100">
            <v>97</v>
          </cell>
          <cell r="E100">
            <v>84849000</v>
          </cell>
          <cell r="F100">
            <v>5</v>
          </cell>
          <cell r="G100" t="str">
            <v>PLUG GASKETS</v>
          </cell>
        </row>
        <row r="101">
          <cell r="D101">
            <v>98</v>
          </cell>
          <cell r="E101">
            <v>84849000</v>
          </cell>
          <cell r="F101">
            <v>5</v>
          </cell>
          <cell r="G101" t="str">
            <v>HEADER BOX GASKETS</v>
          </cell>
        </row>
        <row r="102">
          <cell r="D102">
            <v>99</v>
          </cell>
          <cell r="E102">
            <v>85014000</v>
          </cell>
          <cell r="F102">
            <v>5</v>
          </cell>
          <cell r="G102" t="str">
            <v>MOTOR</v>
          </cell>
        </row>
        <row r="103">
          <cell r="D103">
            <v>100</v>
          </cell>
          <cell r="E103">
            <v>84243000</v>
          </cell>
          <cell r="F103">
            <v>5</v>
          </cell>
          <cell r="G103" t="str">
            <v>EJECTOR</v>
          </cell>
        </row>
        <row r="104">
          <cell r="D104">
            <v>101</v>
          </cell>
          <cell r="E104">
            <v>84249090</v>
          </cell>
          <cell r="F104">
            <v>5</v>
          </cell>
          <cell r="G104" t="str">
            <v>EJECTOR NOZZLES</v>
          </cell>
        </row>
        <row r="105">
          <cell r="D105">
            <v>102</v>
          </cell>
          <cell r="E105">
            <v>70179000</v>
          </cell>
          <cell r="F105">
            <v>5</v>
          </cell>
          <cell r="G105" t="str">
            <v>GAUGE GLASS</v>
          </cell>
        </row>
        <row r="106">
          <cell r="D106">
            <v>103</v>
          </cell>
          <cell r="E106">
            <v>70179000</v>
          </cell>
          <cell r="F106">
            <v>5</v>
          </cell>
          <cell r="G106" t="str">
            <v>SIGHT GLASS</v>
          </cell>
        </row>
        <row r="107">
          <cell r="D107">
            <v>104</v>
          </cell>
          <cell r="E107">
            <v>84798200</v>
          </cell>
          <cell r="F107">
            <v>5</v>
          </cell>
          <cell r="G107" t="str">
            <v>CATALYST MIX VESSEL WITH AGITATOR</v>
          </cell>
        </row>
        <row r="108">
          <cell r="D108">
            <v>105</v>
          </cell>
          <cell r="E108">
            <v>73269099</v>
          </cell>
          <cell r="F108">
            <v>20</v>
          </cell>
          <cell r="G108" t="str">
            <v>TRAYS</v>
          </cell>
        </row>
        <row r="109">
          <cell r="D109">
            <v>106</v>
          </cell>
          <cell r="E109">
            <v>73182100</v>
          </cell>
          <cell r="F109">
            <v>5</v>
          </cell>
          <cell r="G109" t="str">
            <v>WASHERS</v>
          </cell>
        </row>
        <row r="110">
          <cell r="D110">
            <v>107</v>
          </cell>
          <cell r="E110">
            <v>73181500</v>
          </cell>
          <cell r="F110">
            <v>5</v>
          </cell>
          <cell r="G110" t="str">
            <v>INTERNAL BOLTS &amp; NUTS</v>
          </cell>
        </row>
        <row r="111">
          <cell r="D111">
            <v>108</v>
          </cell>
          <cell r="E111">
            <v>73269060</v>
          </cell>
          <cell r="F111">
            <v>20</v>
          </cell>
          <cell r="G111" t="str">
            <v>INTERNAL CLAMPS</v>
          </cell>
        </row>
        <row r="112">
          <cell r="D112">
            <v>109</v>
          </cell>
          <cell r="E112">
            <v>84159000</v>
          </cell>
          <cell r="F112">
            <v>5</v>
          </cell>
          <cell r="G112" t="str">
            <v>DEMISTER ASSEMBLY</v>
          </cell>
        </row>
        <row r="113">
          <cell r="D113">
            <v>110</v>
          </cell>
          <cell r="E113">
            <v>84849000</v>
          </cell>
          <cell r="F113">
            <v>5</v>
          </cell>
          <cell r="G113" t="str">
            <v>TOWER PACKING</v>
          </cell>
        </row>
        <row r="114">
          <cell r="D114">
            <v>111</v>
          </cell>
          <cell r="E114">
            <v>73089090</v>
          </cell>
          <cell r="F114">
            <v>5</v>
          </cell>
          <cell r="G114" t="str">
            <v>SPECIALTY INTERNALS</v>
          </cell>
        </row>
        <row r="115">
          <cell r="D115">
            <v>112</v>
          </cell>
          <cell r="E115">
            <v>85014000</v>
          </cell>
          <cell r="F115">
            <v>5</v>
          </cell>
          <cell r="G115" t="str">
            <v>MOTOR</v>
          </cell>
        </row>
        <row r="116">
          <cell r="D116">
            <v>113</v>
          </cell>
          <cell r="E116">
            <v>40102200</v>
          </cell>
          <cell r="F116">
            <v>5</v>
          </cell>
          <cell r="G116" t="str">
            <v>V-BELTS</v>
          </cell>
        </row>
        <row r="117">
          <cell r="D117">
            <v>114</v>
          </cell>
          <cell r="E117">
            <v>84839000</v>
          </cell>
          <cell r="F117">
            <v>5</v>
          </cell>
          <cell r="G117" t="str">
            <v>COUPLINGS</v>
          </cell>
        </row>
        <row r="118">
          <cell r="D118">
            <v>115</v>
          </cell>
          <cell r="E118">
            <v>84834000</v>
          </cell>
          <cell r="F118">
            <v>5</v>
          </cell>
          <cell r="G118" t="str">
            <v>GEAR BOX</v>
          </cell>
        </row>
        <row r="119">
          <cell r="D119">
            <v>116</v>
          </cell>
          <cell r="E119">
            <v>84821000</v>
          </cell>
          <cell r="F119">
            <v>5</v>
          </cell>
          <cell r="G119" t="str">
            <v>BEARING ASSEMBLY</v>
          </cell>
        </row>
        <row r="120">
          <cell r="D120">
            <v>117</v>
          </cell>
          <cell r="E120">
            <v>84849000</v>
          </cell>
          <cell r="F120">
            <v>5</v>
          </cell>
          <cell r="G120" t="str">
            <v>MECHANICAL SEAL ASSEMBLY</v>
          </cell>
        </row>
        <row r="121">
          <cell r="D121">
            <v>118</v>
          </cell>
          <cell r="E121">
            <v>40169300</v>
          </cell>
          <cell r="F121">
            <v>5</v>
          </cell>
          <cell r="G121" t="str">
            <v>SEALS</v>
          </cell>
        </row>
        <row r="122">
          <cell r="D122">
            <v>119</v>
          </cell>
          <cell r="E122">
            <v>40169300</v>
          </cell>
          <cell r="F122">
            <v>5</v>
          </cell>
          <cell r="G122" t="str">
            <v>OIL SEALS</v>
          </cell>
        </row>
        <row r="123">
          <cell r="D123">
            <v>120</v>
          </cell>
          <cell r="E123">
            <v>70179000</v>
          </cell>
          <cell r="F123">
            <v>5</v>
          </cell>
          <cell r="G123" t="str">
            <v>OIL SIGHT GLASS</v>
          </cell>
        </row>
        <row r="124">
          <cell r="D124">
            <v>121</v>
          </cell>
          <cell r="E124">
            <v>90268090</v>
          </cell>
          <cell r="F124">
            <v>5</v>
          </cell>
          <cell r="G124" t="str">
            <v>INDICATOR</v>
          </cell>
        </row>
        <row r="125">
          <cell r="D125">
            <v>122</v>
          </cell>
          <cell r="E125">
            <v>82029900</v>
          </cell>
          <cell r="F125">
            <v>5</v>
          </cell>
          <cell r="G125" t="str">
            <v>BLADES ASSEMBLY</v>
          </cell>
        </row>
        <row r="126">
          <cell r="D126">
            <v>123</v>
          </cell>
          <cell r="E126">
            <v>84748000</v>
          </cell>
          <cell r="F126">
            <v>5</v>
          </cell>
          <cell r="G126" t="str">
            <v>PRESSURE SWING VESSEL</v>
          </cell>
        </row>
        <row r="127">
          <cell r="D127">
            <v>124</v>
          </cell>
          <cell r="E127">
            <v>73269099</v>
          </cell>
          <cell r="F127">
            <v>20</v>
          </cell>
          <cell r="G127" t="str">
            <v>TRAYS</v>
          </cell>
        </row>
        <row r="128">
          <cell r="D128">
            <v>125</v>
          </cell>
          <cell r="E128">
            <v>73182100</v>
          </cell>
          <cell r="F128">
            <v>5</v>
          </cell>
          <cell r="G128" t="str">
            <v>WASHERS</v>
          </cell>
        </row>
        <row r="129">
          <cell r="D129">
            <v>126</v>
          </cell>
          <cell r="E129">
            <v>73181500</v>
          </cell>
          <cell r="F129">
            <v>5</v>
          </cell>
          <cell r="G129" t="str">
            <v>INTERNAL BOLTS &amp; NUTS</v>
          </cell>
        </row>
        <row r="130">
          <cell r="D130">
            <v>127</v>
          </cell>
          <cell r="E130">
            <v>73269099</v>
          </cell>
          <cell r="F130">
            <v>20</v>
          </cell>
          <cell r="G130" t="str">
            <v>INTERNAL CLAMPS</v>
          </cell>
        </row>
        <row r="131">
          <cell r="D131">
            <v>128</v>
          </cell>
          <cell r="E131">
            <v>84159000</v>
          </cell>
          <cell r="F131">
            <v>5</v>
          </cell>
          <cell r="G131" t="str">
            <v>DEMISTER ASSEMBLY</v>
          </cell>
        </row>
        <row r="132">
          <cell r="D132">
            <v>129</v>
          </cell>
          <cell r="E132">
            <v>84849000</v>
          </cell>
          <cell r="F132">
            <v>5</v>
          </cell>
          <cell r="G132" t="str">
            <v>TOWER PACKING</v>
          </cell>
        </row>
        <row r="133">
          <cell r="D133">
            <v>130</v>
          </cell>
          <cell r="E133">
            <v>73089090</v>
          </cell>
          <cell r="F133">
            <v>5</v>
          </cell>
          <cell r="G133" t="str">
            <v>SPECIALTY INTERNALS</v>
          </cell>
        </row>
        <row r="134">
          <cell r="D134">
            <v>131</v>
          </cell>
          <cell r="E134">
            <v>84099120</v>
          </cell>
          <cell r="F134">
            <v>5</v>
          </cell>
          <cell r="G134" t="str">
            <v>STAINLESS STEEL DRUM</v>
          </cell>
        </row>
        <row r="135">
          <cell r="D135">
            <v>132</v>
          </cell>
          <cell r="E135">
            <v>73269099</v>
          </cell>
          <cell r="F135">
            <v>20</v>
          </cell>
          <cell r="G135" t="str">
            <v>TRAYS</v>
          </cell>
        </row>
        <row r="136">
          <cell r="D136">
            <v>133</v>
          </cell>
          <cell r="E136">
            <v>73182100</v>
          </cell>
          <cell r="F136">
            <v>5</v>
          </cell>
          <cell r="G136" t="str">
            <v>WASHERS</v>
          </cell>
        </row>
        <row r="137">
          <cell r="D137">
            <v>134</v>
          </cell>
          <cell r="E137">
            <v>73181500</v>
          </cell>
          <cell r="F137">
            <v>5</v>
          </cell>
          <cell r="G137" t="str">
            <v>INTERNAL BOLTS &amp; NUTS</v>
          </cell>
        </row>
        <row r="138">
          <cell r="D138">
            <v>135</v>
          </cell>
          <cell r="E138">
            <v>73269060</v>
          </cell>
          <cell r="F138">
            <v>20</v>
          </cell>
          <cell r="G138" t="str">
            <v>INTERNAL CLAMPS</v>
          </cell>
        </row>
        <row r="139">
          <cell r="D139">
            <v>136</v>
          </cell>
          <cell r="E139">
            <v>84159000</v>
          </cell>
          <cell r="F139">
            <v>5</v>
          </cell>
          <cell r="G139" t="str">
            <v>DEMISTER ASSEMBLY</v>
          </cell>
        </row>
        <row r="140">
          <cell r="D140">
            <v>137</v>
          </cell>
          <cell r="E140">
            <v>84849000</v>
          </cell>
          <cell r="F140">
            <v>5</v>
          </cell>
          <cell r="G140" t="str">
            <v>TOWER PACKING</v>
          </cell>
        </row>
        <row r="141">
          <cell r="D141">
            <v>138</v>
          </cell>
          <cell r="E141">
            <v>73089090</v>
          </cell>
          <cell r="F141">
            <v>5</v>
          </cell>
          <cell r="G141" t="str">
            <v>SPECIALTY INTERNALS</v>
          </cell>
        </row>
        <row r="142">
          <cell r="D142">
            <v>139</v>
          </cell>
          <cell r="E142">
            <v>84849000</v>
          </cell>
          <cell r="F142">
            <v>5</v>
          </cell>
          <cell r="G142" t="str">
            <v>STAINLESS STEEL DRUM PACKING</v>
          </cell>
        </row>
        <row r="143">
          <cell r="D143">
            <v>140</v>
          </cell>
          <cell r="E143">
            <v>84099120</v>
          </cell>
          <cell r="F143">
            <v>5</v>
          </cell>
          <cell r="G143" t="str">
            <v>CARBON STEEL DRUM</v>
          </cell>
        </row>
        <row r="144">
          <cell r="D144">
            <v>141</v>
          </cell>
          <cell r="E144">
            <v>73269099</v>
          </cell>
          <cell r="F144">
            <v>20</v>
          </cell>
          <cell r="G144" t="str">
            <v>TRAYS</v>
          </cell>
        </row>
        <row r="145">
          <cell r="D145">
            <v>142</v>
          </cell>
          <cell r="E145">
            <v>73182100</v>
          </cell>
          <cell r="F145">
            <v>5</v>
          </cell>
          <cell r="G145" t="str">
            <v>WASHERS</v>
          </cell>
        </row>
        <row r="146">
          <cell r="D146">
            <v>143</v>
          </cell>
          <cell r="E146">
            <v>73181500</v>
          </cell>
          <cell r="F146">
            <v>5</v>
          </cell>
          <cell r="G146" t="str">
            <v>INTERNAL BOLTS &amp; NUTS</v>
          </cell>
        </row>
        <row r="147">
          <cell r="D147">
            <v>144</v>
          </cell>
          <cell r="E147">
            <v>73269060</v>
          </cell>
          <cell r="F147">
            <v>20</v>
          </cell>
          <cell r="G147" t="str">
            <v>INTERNAL CLAMPS</v>
          </cell>
        </row>
        <row r="148">
          <cell r="D148">
            <v>145</v>
          </cell>
          <cell r="E148">
            <v>84159090</v>
          </cell>
          <cell r="F148">
            <v>5</v>
          </cell>
          <cell r="G148" t="str">
            <v>DEMISTER ASSEMBLY</v>
          </cell>
        </row>
        <row r="149">
          <cell r="D149">
            <v>146</v>
          </cell>
          <cell r="E149">
            <v>84849000</v>
          </cell>
          <cell r="F149">
            <v>5</v>
          </cell>
          <cell r="G149" t="str">
            <v>TOWER PACKING</v>
          </cell>
        </row>
        <row r="150">
          <cell r="D150">
            <v>147</v>
          </cell>
          <cell r="E150">
            <v>73089090</v>
          </cell>
          <cell r="F150">
            <v>5</v>
          </cell>
          <cell r="G150" t="str">
            <v>SPECIALTY INTERNALS</v>
          </cell>
        </row>
        <row r="151">
          <cell r="D151">
            <v>148</v>
          </cell>
          <cell r="E151">
            <v>84849000</v>
          </cell>
          <cell r="F151">
            <v>5</v>
          </cell>
          <cell r="G151" t="str">
            <v>CARBON STEEL DRUM PACKING</v>
          </cell>
        </row>
        <row r="152">
          <cell r="D152">
            <v>149</v>
          </cell>
          <cell r="E152">
            <v>84798200</v>
          </cell>
          <cell r="F152">
            <v>5</v>
          </cell>
          <cell r="G152" t="str">
            <v>GLASS LINED VESSEL WITH AGITATOR</v>
          </cell>
        </row>
        <row r="153">
          <cell r="D153">
            <v>150</v>
          </cell>
          <cell r="E153">
            <v>73269099</v>
          </cell>
          <cell r="F153">
            <v>20</v>
          </cell>
          <cell r="G153" t="str">
            <v>TRAYS</v>
          </cell>
        </row>
        <row r="154">
          <cell r="D154">
            <v>151</v>
          </cell>
          <cell r="E154">
            <v>73182100</v>
          </cell>
          <cell r="F154">
            <v>5</v>
          </cell>
          <cell r="G154" t="str">
            <v>WASHERS</v>
          </cell>
        </row>
        <row r="155">
          <cell r="D155">
            <v>152</v>
          </cell>
          <cell r="E155">
            <v>73181500</v>
          </cell>
          <cell r="F155">
            <v>5</v>
          </cell>
          <cell r="G155" t="str">
            <v>INTERNAL BOLTS &amp; NUTS</v>
          </cell>
        </row>
        <row r="156">
          <cell r="D156">
            <v>153</v>
          </cell>
          <cell r="E156">
            <v>73269060</v>
          </cell>
          <cell r="F156">
            <v>20</v>
          </cell>
          <cell r="G156" t="str">
            <v>INTERNAL CLAMPS</v>
          </cell>
        </row>
        <row r="157">
          <cell r="D157">
            <v>154</v>
          </cell>
          <cell r="E157">
            <v>84159000</v>
          </cell>
          <cell r="F157">
            <v>5</v>
          </cell>
          <cell r="G157" t="str">
            <v>DEMISTER ASSEMBLY</v>
          </cell>
        </row>
        <row r="158">
          <cell r="D158">
            <v>155</v>
          </cell>
          <cell r="E158">
            <v>84849000</v>
          </cell>
          <cell r="F158">
            <v>5</v>
          </cell>
          <cell r="G158" t="str">
            <v>TOWER PACKING</v>
          </cell>
        </row>
        <row r="159">
          <cell r="D159">
            <v>156</v>
          </cell>
          <cell r="E159">
            <v>73089090</v>
          </cell>
          <cell r="F159">
            <v>5</v>
          </cell>
          <cell r="G159" t="str">
            <v>SPECIALTY INTERNALS</v>
          </cell>
        </row>
        <row r="160">
          <cell r="D160">
            <v>157</v>
          </cell>
          <cell r="E160">
            <v>85014000</v>
          </cell>
          <cell r="F160">
            <v>5</v>
          </cell>
          <cell r="G160" t="str">
            <v>MOTOR</v>
          </cell>
        </row>
        <row r="161">
          <cell r="D161">
            <v>158</v>
          </cell>
          <cell r="E161">
            <v>40102200</v>
          </cell>
          <cell r="F161">
            <v>5</v>
          </cell>
          <cell r="G161" t="str">
            <v>V-BELTS</v>
          </cell>
        </row>
        <row r="162">
          <cell r="D162">
            <v>159</v>
          </cell>
          <cell r="E162">
            <v>84839000</v>
          </cell>
          <cell r="F162">
            <v>5</v>
          </cell>
          <cell r="G162" t="str">
            <v>COUPLINGS</v>
          </cell>
        </row>
        <row r="163">
          <cell r="D163">
            <v>160</v>
          </cell>
          <cell r="E163">
            <v>84834000</v>
          </cell>
          <cell r="F163">
            <v>5</v>
          </cell>
          <cell r="G163" t="str">
            <v>GEAR BOX</v>
          </cell>
        </row>
        <row r="164">
          <cell r="D164">
            <v>161</v>
          </cell>
          <cell r="E164">
            <v>84821000</v>
          </cell>
          <cell r="F164">
            <v>5</v>
          </cell>
          <cell r="G164" t="str">
            <v>BEARING ASSEMBLY</v>
          </cell>
        </row>
        <row r="165">
          <cell r="D165">
            <v>162</v>
          </cell>
          <cell r="E165">
            <v>84849000</v>
          </cell>
          <cell r="F165">
            <v>5</v>
          </cell>
          <cell r="G165" t="str">
            <v>MECHANICAL SEAL ASSEMBLY</v>
          </cell>
        </row>
        <row r="166">
          <cell r="D166">
            <v>163</v>
          </cell>
          <cell r="E166">
            <v>40169300</v>
          </cell>
          <cell r="F166">
            <v>5</v>
          </cell>
          <cell r="G166" t="str">
            <v>SEALS</v>
          </cell>
        </row>
        <row r="167">
          <cell r="D167">
            <v>164</v>
          </cell>
          <cell r="E167">
            <v>40169300</v>
          </cell>
          <cell r="F167">
            <v>5</v>
          </cell>
          <cell r="G167" t="str">
            <v>OIL SEALS</v>
          </cell>
        </row>
        <row r="168">
          <cell r="D168">
            <v>165</v>
          </cell>
          <cell r="E168">
            <v>70179000</v>
          </cell>
          <cell r="F168">
            <v>5</v>
          </cell>
          <cell r="G168" t="str">
            <v>OIL SIGHT GLASS</v>
          </cell>
        </row>
        <row r="169">
          <cell r="D169">
            <v>166</v>
          </cell>
          <cell r="E169">
            <v>90268000</v>
          </cell>
          <cell r="F169">
            <v>5</v>
          </cell>
          <cell r="G169" t="str">
            <v>INDICATOR</v>
          </cell>
        </row>
        <row r="170">
          <cell r="D170">
            <v>167</v>
          </cell>
          <cell r="E170">
            <v>82029900</v>
          </cell>
          <cell r="F170">
            <v>5</v>
          </cell>
          <cell r="G170" t="str">
            <v>BLADES ASSEMBLY</v>
          </cell>
        </row>
        <row r="171">
          <cell r="D171">
            <v>168</v>
          </cell>
          <cell r="E171">
            <v>73090090</v>
          </cell>
          <cell r="F171">
            <v>5</v>
          </cell>
          <cell r="G171" t="str">
            <v>TANK</v>
          </cell>
        </row>
        <row r="172">
          <cell r="D172">
            <v>169</v>
          </cell>
          <cell r="E172">
            <v>90268000</v>
          </cell>
          <cell r="F172">
            <v>5</v>
          </cell>
          <cell r="G172" t="str">
            <v>LEVEL INDICATOR</v>
          </cell>
        </row>
        <row r="173">
          <cell r="D173">
            <v>170</v>
          </cell>
          <cell r="E173">
            <v>73090090</v>
          </cell>
          <cell r="F173">
            <v>5</v>
          </cell>
          <cell r="G173" t="str">
            <v>STORAGE TANK</v>
          </cell>
        </row>
        <row r="174">
          <cell r="D174">
            <v>171</v>
          </cell>
          <cell r="E174">
            <v>90268000</v>
          </cell>
          <cell r="F174">
            <v>5</v>
          </cell>
          <cell r="G174" t="str">
            <v>LEVEL INDICATOR</v>
          </cell>
        </row>
        <row r="175">
          <cell r="D175">
            <v>172</v>
          </cell>
          <cell r="E175">
            <v>84219900</v>
          </cell>
          <cell r="F175">
            <v>5</v>
          </cell>
          <cell r="G175" t="str">
            <v>BAG FILTER</v>
          </cell>
        </row>
        <row r="176">
          <cell r="D176">
            <v>173</v>
          </cell>
          <cell r="E176">
            <v>84212190</v>
          </cell>
          <cell r="F176">
            <v>5</v>
          </cell>
          <cell r="G176" t="str">
            <v>ALUMINUM BAG FILTER</v>
          </cell>
        </row>
        <row r="177">
          <cell r="D177">
            <v>174</v>
          </cell>
          <cell r="E177">
            <v>84219900</v>
          </cell>
          <cell r="F177">
            <v>5</v>
          </cell>
          <cell r="G177" t="str">
            <v>ELEMENT(S)</v>
          </cell>
        </row>
        <row r="178">
          <cell r="D178">
            <v>175</v>
          </cell>
          <cell r="E178">
            <v>83024900</v>
          </cell>
          <cell r="F178">
            <v>5</v>
          </cell>
          <cell r="G178" t="str">
            <v>INTERNAL HARDWARE</v>
          </cell>
        </row>
        <row r="179">
          <cell r="D179">
            <v>176</v>
          </cell>
          <cell r="E179">
            <v>84849000</v>
          </cell>
          <cell r="F179">
            <v>5</v>
          </cell>
          <cell r="G179" t="str">
            <v>PACKING</v>
          </cell>
        </row>
        <row r="180">
          <cell r="D180">
            <v>177</v>
          </cell>
          <cell r="E180">
            <v>73202000</v>
          </cell>
          <cell r="F180">
            <v>5</v>
          </cell>
          <cell r="G180" t="str">
            <v>SPRING(S)</v>
          </cell>
        </row>
        <row r="181">
          <cell r="D181">
            <v>178</v>
          </cell>
          <cell r="E181">
            <v>84849000</v>
          </cell>
          <cell r="F181">
            <v>5</v>
          </cell>
          <cell r="G181" t="str">
            <v>LINER</v>
          </cell>
        </row>
        <row r="182">
          <cell r="D182">
            <v>179</v>
          </cell>
          <cell r="E182">
            <v>84212190</v>
          </cell>
          <cell r="F182">
            <v>5</v>
          </cell>
          <cell r="G182" t="str">
            <v>STAINLESS STEEL BAG FILTER</v>
          </cell>
        </row>
        <row r="183">
          <cell r="D183">
            <v>180</v>
          </cell>
          <cell r="E183">
            <v>84219900</v>
          </cell>
          <cell r="F183">
            <v>5</v>
          </cell>
          <cell r="G183" t="str">
            <v>ELEMENT(S)</v>
          </cell>
        </row>
        <row r="184">
          <cell r="D184">
            <v>181</v>
          </cell>
          <cell r="E184">
            <v>83024900</v>
          </cell>
          <cell r="F184">
            <v>5</v>
          </cell>
          <cell r="G184" t="str">
            <v>INTERNAL HARDWARE</v>
          </cell>
        </row>
        <row r="185">
          <cell r="D185">
            <v>182</v>
          </cell>
          <cell r="E185">
            <v>73202000</v>
          </cell>
          <cell r="F185">
            <v>5</v>
          </cell>
          <cell r="G185" t="str">
            <v>SPRING(S)</v>
          </cell>
        </row>
        <row r="186">
          <cell r="D186">
            <v>183</v>
          </cell>
          <cell r="E186">
            <v>84849000</v>
          </cell>
          <cell r="F186">
            <v>5</v>
          </cell>
          <cell r="G186" t="str">
            <v>LINER</v>
          </cell>
        </row>
        <row r="187">
          <cell r="D187">
            <v>184</v>
          </cell>
          <cell r="E187">
            <v>85091000</v>
          </cell>
          <cell r="F187">
            <v>5</v>
          </cell>
          <cell r="G187" t="str">
            <v>VACUUM CLEANING SYSTEM</v>
          </cell>
        </row>
        <row r="188">
          <cell r="D188">
            <v>185</v>
          </cell>
          <cell r="E188">
            <v>84212190</v>
          </cell>
          <cell r="F188">
            <v>5</v>
          </cell>
          <cell r="G188" t="str">
            <v>STAINLESS STEEL FILTER</v>
          </cell>
        </row>
        <row r="189">
          <cell r="D189">
            <v>186</v>
          </cell>
          <cell r="E189">
            <v>84212190</v>
          </cell>
          <cell r="F189">
            <v>5</v>
          </cell>
          <cell r="G189" t="str">
            <v>CARBON STEEL FILTER</v>
          </cell>
        </row>
        <row r="190">
          <cell r="D190">
            <v>187</v>
          </cell>
          <cell r="E190">
            <v>84219900</v>
          </cell>
          <cell r="F190">
            <v>5</v>
          </cell>
          <cell r="G190" t="str">
            <v>ELEMENT(S)</v>
          </cell>
        </row>
        <row r="191">
          <cell r="D191">
            <v>188</v>
          </cell>
          <cell r="E191">
            <v>83024900</v>
          </cell>
          <cell r="F191">
            <v>5</v>
          </cell>
          <cell r="G191" t="str">
            <v>INTERNAL HARDWARE</v>
          </cell>
        </row>
        <row r="192">
          <cell r="D192">
            <v>189</v>
          </cell>
          <cell r="E192">
            <v>73202000</v>
          </cell>
          <cell r="F192">
            <v>5</v>
          </cell>
          <cell r="G192" t="str">
            <v>SPRING(S)</v>
          </cell>
        </row>
        <row r="193">
          <cell r="D193">
            <v>190</v>
          </cell>
          <cell r="E193">
            <v>84849000</v>
          </cell>
          <cell r="F193">
            <v>5</v>
          </cell>
          <cell r="G193" t="str">
            <v>LINER</v>
          </cell>
        </row>
        <row r="194">
          <cell r="D194">
            <v>191</v>
          </cell>
          <cell r="E194">
            <v>84219900</v>
          </cell>
          <cell r="F194">
            <v>5</v>
          </cell>
          <cell r="G194" t="str">
            <v>CARTRIGE FILTER</v>
          </cell>
        </row>
        <row r="195">
          <cell r="D195">
            <v>192</v>
          </cell>
          <cell r="E195">
            <v>84219900</v>
          </cell>
          <cell r="F195">
            <v>5</v>
          </cell>
          <cell r="G195" t="str">
            <v>ELEMENT(S)</v>
          </cell>
        </row>
        <row r="196">
          <cell r="D196">
            <v>193</v>
          </cell>
          <cell r="E196">
            <v>83024900</v>
          </cell>
          <cell r="F196">
            <v>5</v>
          </cell>
          <cell r="G196" t="str">
            <v>INTERNAL HARDWARE</v>
          </cell>
        </row>
        <row r="197">
          <cell r="D197">
            <v>194</v>
          </cell>
          <cell r="E197">
            <v>73202000</v>
          </cell>
          <cell r="F197">
            <v>5</v>
          </cell>
          <cell r="G197" t="str">
            <v>SPRING(S)</v>
          </cell>
        </row>
        <row r="198">
          <cell r="D198">
            <v>195</v>
          </cell>
          <cell r="E198">
            <v>84849000</v>
          </cell>
          <cell r="F198">
            <v>5</v>
          </cell>
          <cell r="G198" t="str">
            <v>LINER</v>
          </cell>
        </row>
        <row r="199">
          <cell r="D199">
            <v>196</v>
          </cell>
          <cell r="E199">
            <v>84219900</v>
          </cell>
          <cell r="F199">
            <v>5</v>
          </cell>
          <cell r="G199" t="str">
            <v>FILTER ELEMENT</v>
          </cell>
        </row>
        <row r="200">
          <cell r="D200">
            <v>197</v>
          </cell>
          <cell r="E200">
            <v>84219900</v>
          </cell>
          <cell r="F200">
            <v>5</v>
          </cell>
          <cell r="G200" t="str">
            <v>ELEMENT(S)</v>
          </cell>
        </row>
        <row r="201">
          <cell r="D201">
            <v>198</v>
          </cell>
          <cell r="E201">
            <v>83024900</v>
          </cell>
          <cell r="F201">
            <v>5</v>
          </cell>
          <cell r="G201" t="str">
            <v>INTERNAL HARDWARE</v>
          </cell>
        </row>
        <row r="202">
          <cell r="D202">
            <v>199</v>
          </cell>
          <cell r="E202">
            <v>73202000</v>
          </cell>
          <cell r="F202">
            <v>5</v>
          </cell>
          <cell r="G202" t="str">
            <v>SPRING(S)</v>
          </cell>
        </row>
        <row r="203">
          <cell r="D203">
            <v>200</v>
          </cell>
          <cell r="E203">
            <v>84849000</v>
          </cell>
          <cell r="F203">
            <v>5</v>
          </cell>
          <cell r="G203" t="str">
            <v>LINER</v>
          </cell>
        </row>
        <row r="204">
          <cell r="D204">
            <v>201</v>
          </cell>
          <cell r="E204">
            <v>84212190</v>
          </cell>
          <cell r="F204">
            <v>5</v>
          </cell>
          <cell r="G204" t="str">
            <v>PARTICLE SCREENER</v>
          </cell>
        </row>
        <row r="205">
          <cell r="D205">
            <v>202</v>
          </cell>
          <cell r="E205">
            <v>84741000</v>
          </cell>
          <cell r="F205">
            <v>5</v>
          </cell>
          <cell r="G205" t="str">
            <v xml:space="preserve">EXPLOSION PROOF VIBRATOR </v>
          </cell>
        </row>
        <row r="206">
          <cell r="D206">
            <v>203</v>
          </cell>
          <cell r="E206">
            <v>84219900</v>
          </cell>
          <cell r="F206">
            <v>5</v>
          </cell>
          <cell r="G206" t="str">
            <v>SCREEN PANEL</v>
          </cell>
        </row>
        <row r="207">
          <cell r="D207">
            <v>204</v>
          </cell>
          <cell r="E207">
            <v>84741000</v>
          </cell>
          <cell r="F207">
            <v>5</v>
          </cell>
          <cell r="G207" t="str">
            <v>VIBRATOR</v>
          </cell>
        </row>
        <row r="208">
          <cell r="D208">
            <v>205</v>
          </cell>
          <cell r="E208">
            <v>72166900</v>
          </cell>
          <cell r="F208">
            <v>5</v>
          </cell>
          <cell r="G208" t="str">
            <v>STAINLESS STEEL STRINGER PROTECTORS</v>
          </cell>
        </row>
        <row r="209">
          <cell r="D209">
            <v>206</v>
          </cell>
          <cell r="E209">
            <v>731815000</v>
          </cell>
          <cell r="F209">
            <v>5</v>
          </cell>
          <cell r="G209" t="str">
            <v>RAPID CHANGE DRAW BOLT ASSEMBLY</v>
          </cell>
        </row>
        <row r="210">
          <cell r="D210">
            <v>207</v>
          </cell>
          <cell r="E210">
            <v>73089090</v>
          </cell>
          <cell r="F210">
            <v>5</v>
          </cell>
          <cell r="G210" t="str">
            <v xml:space="preserve">FLOAT MOUNT ASSEMBLY </v>
          </cell>
        </row>
        <row r="211">
          <cell r="D211">
            <v>208</v>
          </cell>
          <cell r="E211">
            <v>40169300</v>
          </cell>
          <cell r="F211">
            <v>5</v>
          </cell>
          <cell r="G211" t="str">
            <v>FLEXIBLE MOTOR SEAL</v>
          </cell>
        </row>
        <row r="212">
          <cell r="D212">
            <v>209</v>
          </cell>
          <cell r="E212">
            <v>72149900</v>
          </cell>
          <cell r="F212">
            <v>20</v>
          </cell>
          <cell r="G212" t="str">
            <v>DRAW BARS</v>
          </cell>
        </row>
        <row r="213">
          <cell r="D213">
            <v>210</v>
          </cell>
          <cell r="E213">
            <v>84798200</v>
          </cell>
          <cell r="F213">
            <v>5</v>
          </cell>
          <cell r="G213" t="str">
            <v>PELLET CLASSIFIER</v>
          </cell>
        </row>
        <row r="214">
          <cell r="D214">
            <v>211</v>
          </cell>
          <cell r="E214">
            <v>85014000</v>
          </cell>
          <cell r="F214">
            <v>5</v>
          </cell>
          <cell r="G214" t="str">
            <v>VIBRATING MOTOR</v>
          </cell>
        </row>
        <row r="215">
          <cell r="D215">
            <v>212</v>
          </cell>
          <cell r="E215">
            <v>84219900</v>
          </cell>
          <cell r="F215">
            <v>5</v>
          </cell>
          <cell r="G215" t="str">
            <v>SCREEN PANEL</v>
          </cell>
        </row>
        <row r="216">
          <cell r="D216">
            <v>213</v>
          </cell>
          <cell r="E216">
            <v>73181500</v>
          </cell>
          <cell r="F216">
            <v>5</v>
          </cell>
          <cell r="G216" t="str">
            <v>RAPID CHANGE DRAW BOLT ASSEMBLY</v>
          </cell>
        </row>
        <row r="217">
          <cell r="D217">
            <v>214</v>
          </cell>
          <cell r="E217">
            <v>73089090</v>
          </cell>
          <cell r="F217">
            <v>5</v>
          </cell>
          <cell r="G217" t="str">
            <v xml:space="preserve">FLOAT MOUNT ASSEMBLY </v>
          </cell>
        </row>
        <row r="218">
          <cell r="D218">
            <v>215</v>
          </cell>
          <cell r="E218">
            <v>73089090</v>
          </cell>
          <cell r="F218">
            <v>5</v>
          </cell>
          <cell r="G218" t="str">
            <v>QUICK RELEASE DRAW BASE</v>
          </cell>
        </row>
        <row r="219">
          <cell r="D219">
            <v>216</v>
          </cell>
          <cell r="E219">
            <v>72166900</v>
          </cell>
          <cell r="F219">
            <v>5</v>
          </cell>
          <cell r="G219" t="str">
            <v xml:space="preserve">STAINLESS STEEL STRINGER PROTECTORS </v>
          </cell>
        </row>
        <row r="220">
          <cell r="D220">
            <v>217</v>
          </cell>
          <cell r="E220">
            <v>84212190</v>
          </cell>
          <cell r="F220">
            <v>5</v>
          </cell>
          <cell r="G220" t="str">
            <v>CATALYST SCREENER</v>
          </cell>
        </row>
        <row r="221">
          <cell r="D221">
            <v>218</v>
          </cell>
          <cell r="E221">
            <v>84212190</v>
          </cell>
          <cell r="F221">
            <v>5</v>
          </cell>
          <cell r="G221" t="str">
            <v>SCREEN ASSEMBLY</v>
          </cell>
        </row>
        <row r="222">
          <cell r="D222">
            <v>219</v>
          </cell>
          <cell r="E222">
            <v>84741000</v>
          </cell>
          <cell r="F222">
            <v>5</v>
          </cell>
          <cell r="G222" t="str">
            <v>VIBRATOR</v>
          </cell>
        </row>
        <row r="223">
          <cell r="D223">
            <v>220</v>
          </cell>
          <cell r="E223">
            <v>84212190</v>
          </cell>
          <cell r="F223">
            <v>5</v>
          </cell>
          <cell r="G223" t="str">
            <v>PELLET WATER SKIM FILTER</v>
          </cell>
        </row>
        <row r="224">
          <cell r="D224">
            <v>221</v>
          </cell>
          <cell r="E224">
            <v>84219900</v>
          </cell>
          <cell r="F224">
            <v>5</v>
          </cell>
          <cell r="G224" t="str">
            <v>ELEMENT(S)</v>
          </cell>
        </row>
        <row r="225">
          <cell r="D225">
            <v>222</v>
          </cell>
          <cell r="E225">
            <v>83024900</v>
          </cell>
          <cell r="F225">
            <v>5</v>
          </cell>
          <cell r="G225" t="str">
            <v>INTERNAL HARDWARE</v>
          </cell>
        </row>
        <row r="226">
          <cell r="D226">
            <v>223</v>
          </cell>
          <cell r="E226">
            <v>73202000</v>
          </cell>
          <cell r="F226">
            <v>5</v>
          </cell>
          <cell r="G226" t="str">
            <v>SPRING(S)</v>
          </cell>
        </row>
        <row r="227">
          <cell r="D227">
            <v>224</v>
          </cell>
          <cell r="E227">
            <v>84849000</v>
          </cell>
          <cell r="F227">
            <v>5</v>
          </cell>
          <cell r="G227" t="str">
            <v>LINER</v>
          </cell>
        </row>
        <row r="228">
          <cell r="D228">
            <v>225</v>
          </cell>
          <cell r="E228">
            <v>84212190</v>
          </cell>
          <cell r="F228">
            <v>5</v>
          </cell>
          <cell r="G228" t="str">
            <v>PELLET WATER FILTER</v>
          </cell>
        </row>
        <row r="229">
          <cell r="D229">
            <v>226</v>
          </cell>
          <cell r="E229">
            <v>84219900</v>
          </cell>
          <cell r="F229">
            <v>5</v>
          </cell>
          <cell r="G229" t="str">
            <v>ELEMENT(S)</v>
          </cell>
        </row>
        <row r="230">
          <cell r="D230">
            <v>227</v>
          </cell>
          <cell r="E230">
            <v>83024900</v>
          </cell>
          <cell r="F230">
            <v>5</v>
          </cell>
          <cell r="G230" t="str">
            <v>INTERNAL HARDWARE</v>
          </cell>
        </row>
        <row r="231">
          <cell r="D231">
            <v>228</v>
          </cell>
          <cell r="E231">
            <v>73202000</v>
          </cell>
          <cell r="F231">
            <v>5</v>
          </cell>
          <cell r="G231" t="str">
            <v>SPRING(S)</v>
          </cell>
        </row>
        <row r="232">
          <cell r="D232">
            <v>229</v>
          </cell>
          <cell r="E232">
            <v>84849000</v>
          </cell>
          <cell r="F232">
            <v>5</v>
          </cell>
          <cell r="G232" t="str">
            <v>LINER</v>
          </cell>
        </row>
        <row r="233">
          <cell r="D233">
            <v>230</v>
          </cell>
          <cell r="E233">
            <v>84212190</v>
          </cell>
          <cell r="F233">
            <v>5</v>
          </cell>
          <cell r="G233" t="str">
            <v>PE WATER SCREEN</v>
          </cell>
        </row>
        <row r="234">
          <cell r="D234">
            <v>231</v>
          </cell>
          <cell r="E234">
            <v>84213900</v>
          </cell>
          <cell r="F234">
            <v>5</v>
          </cell>
          <cell r="G234" t="str">
            <v>PRODUCT PURGE BIN</v>
          </cell>
        </row>
        <row r="235">
          <cell r="D235">
            <v>232</v>
          </cell>
          <cell r="E235">
            <v>73269099</v>
          </cell>
          <cell r="F235">
            <v>20</v>
          </cell>
          <cell r="G235" t="str">
            <v>TRAYS</v>
          </cell>
        </row>
        <row r="236">
          <cell r="D236">
            <v>233</v>
          </cell>
          <cell r="E236">
            <v>73182100</v>
          </cell>
          <cell r="F236">
            <v>5</v>
          </cell>
          <cell r="G236" t="str">
            <v>WASHERS</v>
          </cell>
        </row>
        <row r="237">
          <cell r="D237">
            <v>234</v>
          </cell>
          <cell r="E237">
            <v>73181500</v>
          </cell>
          <cell r="F237">
            <v>5</v>
          </cell>
          <cell r="G237" t="str">
            <v>INTERNAL BOLTS &amp; NUTS</v>
          </cell>
        </row>
        <row r="238">
          <cell r="D238">
            <v>235</v>
          </cell>
          <cell r="E238">
            <v>73269060</v>
          </cell>
          <cell r="F238">
            <v>20</v>
          </cell>
          <cell r="G238" t="str">
            <v>INTERNAL CLAMPS</v>
          </cell>
        </row>
        <row r="239">
          <cell r="D239">
            <v>236</v>
          </cell>
          <cell r="E239">
            <v>84159000</v>
          </cell>
          <cell r="F239">
            <v>5</v>
          </cell>
          <cell r="G239" t="str">
            <v>DEMISTER ASSEMBLY</v>
          </cell>
        </row>
        <row r="240">
          <cell r="D240">
            <v>237</v>
          </cell>
          <cell r="E240">
            <v>84849000</v>
          </cell>
          <cell r="F240">
            <v>5</v>
          </cell>
          <cell r="G240" t="str">
            <v>TOWER PACKING</v>
          </cell>
        </row>
        <row r="241">
          <cell r="D241">
            <v>238</v>
          </cell>
          <cell r="E241">
            <v>73089090</v>
          </cell>
          <cell r="F241">
            <v>5</v>
          </cell>
          <cell r="G241" t="str">
            <v>SPECIALTY INTERNALS</v>
          </cell>
        </row>
        <row r="242">
          <cell r="D242">
            <v>239</v>
          </cell>
          <cell r="E242">
            <v>84798200</v>
          </cell>
          <cell r="F242">
            <v>5</v>
          </cell>
          <cell r="G242" t="str">
            <v>SILO &amp; BLENDER</v>
          </cell>
        </row>
        <row r="243">
          <cell r="D243">
            <v>240</v>
          </cell>
          <cell r="E243">
            <v>73269099</v>
          </cell>
          <cell r="F243">
            <v>20</v>
          </cell>
          <cell r="G243" t="str">
            <v>TRAYS</v>
          </cell>
        </row>
        <row r="244">
          <cell r="D244">
            <v>241</v>
          </cell>
          <cell r="E244">
            <v>73182100</v>
          </cell>
          <cell r="F244">
            <v>5</v>
          </cell>
          <cell r="G244" t="str">
            <v>WASHERS</v>
          </cell>
        </row>
        <row r="245">
          <cell r="D245">
            <v>242</v>
          </cell>
          <cell r="E245">
            <v>73181500</v>
          </cell>
          <cell r="F245">
            <v>5</v>
          </cell>
          <cell r="G245" t="str">
            <v>INTERNAL BOLTS &amp; NUTS</v>
          </cell>
        </row>
        <row r="246">
          <cell r="D246">
            <v>243</v>
          </cell>
          <cell r="E246">
            <v>73269060</v>
          </cell>
          <cell r="F246">
            <v>20</v>
          </cell>
          <cell r="G246" t="str">
            <v>INTERNAL CLAMPS</v>
          </cell>
        </row>
        <row r="247">
          <cell r="D247">
            <v>244</v>
          </cell>
          <cell r="E247">
            <v>84159000</v>
          </cell>
          <cell r="F247">
            <v>5</v>
          </cell>
          <cell r="G247" t="str">
            <v>DEMISTER ASSEMBLY</v>
          </cell>
        </row>
        <row r="248">
          <cell r="D248">
            <v>245</v>
          </cell>
          <cell r="E248">
            <v>84849000</v>
          </cell>
          <cell r="F248">
            <v>5</v>
          </cell>
          <cell r="G248" t="str">
            <v>TOWER PACKING</v>
          </cell>
        </row>
        <row r="249">
          <cell r="D249">
            <v>246</v>
          </cell>
          <cell r="E249">
            <v>73089090</v>
          </cell>
          <cell r="F249">
            <v>5</v>
          </cell>
          <cell r="G249" t="str">
            <v>SPECIALTY INTERNALS</v>
          </cell>
        </row>
        <row r="250">
          <cell r="D250">
            <v>247</v>
          </cell>
          <cell r="E250">
            <v>84224000</v>
          </cell>
          <cell r="F250">
            <v>5</v>
          </cell>
          <cell r="G250" t="str">
            <v>PELLET DRYRE PACKAGE</v>
          </cell>
        </row>
        <row r="251">
          <cell r="D251">
            <v>248</v>
          </cell>
          <cell r="E251">
            <v>84212190</v>
          </cell>
          <cell r="F251">
            <v>5</v>
          </cell>
          <cell r="G251" t="str">
            <v>SCREEN</v>
          </cell>
        </row>
        <row r="252">
          <cell r="D252">
            <v>249</v>
          </cell>
          <cell r="E252">
            <v>40102900</v>
          </cell>
          <cell r="F252">
            <v>5</v>
          </cell>
          <cell r="G252" t="str">
            <v>BELT</v>
          </cell>
        </row>
        <row r="253">
          <cell r="D253">
            <v>250</v>
          </cell>
          <cell r="E253">
            <v>9108200</v>
          </cell>
          <cell r="F253">
            <v>5</v>
          </cell>
          <cell r="G253" t="str">
            <v>TIMING</v>
          </cell>
        </row>
        <row r="254">
          <cell r="D254">
            <v>251</v>
          </cell>
          <cell r="E254">
            <v>84213900</v>
          </cell>
          <cell r="F254">
            <v>5</v>
          </cell>
          <cell r="G254" t="str">
            <v>FILTER AIR MAZE</v>
          </cell>
        </row>
        <row r="255">
          <cell r="D255">
            <v>252</v>
          </cell>
          <cell r="E255">
            <v>73181500</v>
          </cell>
          <cell r="F255">
            <v>5</v>
          </cell>
          <cell r="G255" t="str">
            <v>BOLTS &amp; NUTS</v>
          </cell>
        </row>
        <row r="256">
          <cell r="D256">
            <v>253</v>
          </cell>
          <cell r="E256">
            <v>84193900</v>
          </cell>
          <cell r="F256">
            <v>5</v>
          </cell>
          <cell r="G256" t="str">
            <v>Air Dryer Package</v>
          </cell>
        </row>
        <row r="257">
          <cell r="D257">
            <v>254</v>
          </cell>
          <cell r="E257">
            <v>84193900</v>
          </cell>
          <cell r="F257">
            <v>5</v>
          </cell>
          <cell r="G257" t="str">
            <v>AIR DRYER</v>
          </cell>
        </row>
        <row r="258">
          <cell r="D258">
            <v>255</v>
          </cell>
          <cell r="E258">
            <v>84212190</v>
          </cell>
          <cell r="F258">
            <v>5</v>
          </cell>
          <cell r="G258" t="str">
            <v>SEAWATER STRAINER</v>
          </cell>
        </row>
        <row r="259">
          <cell r="D259">
            <v>256</v>
          </cell>
          <cell r="E259">
            <v>73269099</v>
          </cell>
          <cell r="F259">
            <v>20</v>
          </cell>
          <cell r="G259" t="str">
            <v>TRAYS</v>
          </cell>
        </row>
        <row r="260">
          <cell r="D260">
            <v>257</v>
          </cell>
          <cell r="E260">
            <v>73182100</v>
          </cell>
          <cell r="F260">
            <v>5</v>
          </cell>
          <cell r="G260" t="str">
            <v>WASHERS</v>
          </cell>
        </row>
        <row r="261">
          <cell r="D261">
            <v>258</v>
          </cell>
          <cell r="E261">
            <v>73181500</v>
          </cell>
          <cell r="F261">
            <v>5</v>
          </cell>
          <cell r="G261" t="str">
            <v>INTERNAL BOLTS &amp; NUTS</v>
          </cell>
        </row>
        <row r="262">
          <cell r="D262">
            <v>259</v>
          </cell>
          <cell r="E262">
            <v>73269060</v>
          </cell>
          <cell r="F262">
            <v>20</v>
          </cell>
          <cell r="G262" t="str">
            <v>INTERNAL CLAMPS</v>
          </cell>
        </row>
        <row r="263">
          <cell r="D263">
            <v>260</v>
          </cell>
          <cell r="E263">
            <v>84159000</v>
          </cell>
          <cell r="F263">
            <v>5</v>
          </cell>
          <cell r="G263" t="str">
            <v>DEMISTER ASSEMBLY</v>
          </cell>
        </row>
        <row r="264">
          <cell r="D264">
            <v>261</v>
          </cell>
          <cell r="E264">
            <v>84849000</v>
          </cell>
          <cell r="F264">
            <v>5</v>
          </cell>
          <cell r="G264" t="str">
            <v>TOWER PACKING</v>
          </cell>
        </row>
        <row r="265">
          <cell r="D265">
            <v>262</v>
          </cell>
          <cell r="E265">
            <v>73089090</v>
          </cell>
          <cell r="F265">
            <v>5</v>
          </cell>
          <cell r="G265" t="str">
            <v>SPECIALTY INTERNALS</v>
          </cell>
        </row>
        <row r="266">
          <cell r="D266">
            <v>263</v>
          </cell>
          <cell r="E266">
            <v>84137000</v>
          </cell>
          <cell r="F266">
            <v>5</v>
          </cell>
          <cell r="G266" t="str">
            <v>CENTRIFUGAL PUMP</v>
          </cell>
        </row>
        <row r="267">
          <cell r="D267">
            <v>264</v>
          </cell>
          <cell r="E267">
            <v>84149000</v>
          </cell>
          <cell r="F267">
            <v>5</v>
          </cell>
          <cell r="G267" t="str">
            <v>IMPELLER(S)</v>
          </cell>
        </row>
        <row r="268">
          <cell r="D268">
            <v>265</v>
          </cell>
          <cell r="E268">
            <v>84149000</v>
          </cell>
          <cell r="F268">
            <v>5</v>
          </cell>
          <cell r="G268" t="str">
            <v>WEAR RING(S) - IMPELLER</v>
          </cell>
        </row>
        <row r="269">
          <cell r="D269">
            <v>266</v>
          </cell>
          <cell r="E269">
            <v>84149000</v>
          </cell>
          <cell r="F269">
            <v>5</v>
          </cell>
          <cell r="G269" t="str">
            <v>WEAR RING(S) - CASING</v>
          </cell>
        </row>
        <row r="270">
          <cell r="D270">
            <v>267</v>
          </cell>
          <cell r="E270">
            <v>84831000</v>
          </cell>
          <cell r="F270">
            <v>5</v>
          </cell>
          <cell r="G270" t="str">
            <v>SHAFT(S) WITH KEYS &amp; NUTS</v>
          </cell>
        </row>
        <row r="271">
          <cell r="D271">
            <v>268</v>
          </cell>
          <cell r="E271">
            <v>84839000</v>
          </cell>
          <cell r="F271">
            <v>5</v>
          </cell>
          <cell r="G271" t="str">
            <v>SLEEVE(S) - MECHANICAL SEAL</v>
          </cell>
        </row>
        <row r="272">
          <cell r="D272">
            <v>269</v>
          </cell>
          <cell r="E272">
            <v>84839000</v>
          </cell>
          <cell r="F272">
            <v>5</v>
          </cell>
          <cell r="G272" t="str">
            <v>INTERMEDIATE SLEEVE(S)</v>
          </cell>
        </row>
        <row r="273">
          <cell r="D273">
            <v>270</v>
          </cell>
          <cell r="E273">
            <v>84849000</v>
          </cell>
          <cell r="F273">
            <v>5</v>
          </cell>
          <cell r="G273" t="str">
            <v>INTERMEDIATE SPACER(S)</v>
          </cell>
        </row>
        <row r="274">
          <cell r="D274">
            <v>271</v>
          </cell>
          <cell r="E274">
            <v>84839000</v>
          </cell>
          <cell r="F274">
            <v>5</v>
          </cell>
          <cell r="G274" t="str">
            <v>THROTTLE BUSHING</v>
          </cell>
        </row>
        <row r="275">
          <cell r="D275">
            <v>272</v>
          </cell>
          <cell r="E275">
            <v>84821000</v>
          </cell>
          <cell r="F275">
            <v>5</v>
          </cell>
          <cell r="G275" t="str">
            <v>BEARINGS - RADIAL</v>
          </cell>
        </row>
        <row r="276">
          <cell r="D276">
            <v>273</v>
          </cell>
          <cell r="E276">
            <v>84821000</v>
          </cell>
          <cell r="F276">
            <v>5</v>
          </cell>
          <cell r="G276" t="str">
            <v>BEARINGS - THRUST</v>
          </cell>
        </row>
        <row r="277">
          <cell r="D277">
            <v>274</v>
          </cell>
          <cell r="E277">
            <v>84243000</v>
          </cell>
          <cell r="F277">
            <v>5</v>
          </cell>
          <cell r="G277" t="str">
            <v>DIFFUSER ASSEMBLY</v>
          </cell>
        </row>
        <row r="278">
          <cell r="D278">
            <v>275</v>
          </cell>
          <cell r="E278">
            <v>85115000</v>
          </cell>
          <cell r="F278">
            <v>5</v>
          </cell>
          <cell r="G278" t="str">
            <v>INDUCER</v>
          </cell>
        </row>
        <row r="279">
          <cell r="D279">
            <v>276</v>
          </cell>
          <cell r="E279">
            <v>73181600</v>
          </cell>
          <cell r="F279">
            <v>5</v>
          </cell>
          <cell r="G279" t="str">
            <v>BEARINGS LOCK NUT ASSEMBLY</v>
          </cell>
        </row>
        <row r="280">
          <cell r="D280">
            <v>277</v>
          </cell>
          <cell r="E280">
            <v>84849000</v>
          </cell>
          <cell r="F280">
            <v>5</v>
          </cell>
          <cell r="G280" t="str">
            <v>MECHANICAL SEAL(S) COMPLETE</v>
          </cell>
        </row>
        <row r="281">
          <cell r="D281">
            <v>278</v>
          </cell>
          <cell r="E281">
            <v>40169300</v>
          </cell>
          <cell r="F281">
            <v>5</v>
          </cell>
          <cell r="G281" t="str">
            <v>IMPOR SEALS</v>
          </cell>
        </row>
        <row r="282">
          <cell r="D282">
            <v>279</v>
          </cell>
          <cell r="E282">
            <v>84849000</v>
          </cell>
          <cell r="F282">
            <v>5</v>
          </cell>
          <cell r="G282" t="str">
            <v>GLAND PACKING</v>
          </cell>
        </row>
        <row r="283">
          <cell r="D283">
            <v>280</v>
          </cell>
          <cell r="E283">
            <v>84839000</v>
          </cell>
          <cell r="F283">
            <v>5</v>
          </cell>
          <cell r="G283" t="str">
            <v>COUPLINGS - INTERMEDIATE SHAFT</v>
          </cell>
        </row>
        <row r="284">
          <cell r="D284">
            <v>281</v>
          </cell>
          <cell r="E284">
            <v>84821000</v>
          </cell>
          <cell r="F284">
            <v>5</v>
          </cell>
          <cell r="G284" t="str">
            <v>BEARING - LINE SHAFT</v>
          </cell>
        </row>
        <row r="285">
          <cell r="D285">
            <v>282</v>
          </cell>
          <cell r="E285">
            <v>90268000</v>
          </cell>
          <cell r="F285">
            <v>5</v>
          </cell>
          <cell r="G285" t="str">
            <v>LEVEL INDICATOR</v>
          </cell>
        </row>
        <row r="286">
          <cell r="D286">
            <v>283</v>
          </cell>
          <cell r="E286">
            <v>84798950</v>
          </cell>
          <cell r="F286">
            <v>5</v>
          </cell>
          <cell r="G286" t="str">
            <v>CONSTANT LEVEL OILER</v>
          </cell>
        </row>
        <row r="287">
          <cell r="D287">
            <v>284</v>
          </cell>
          <cell r="E287">
            <v>84839000</v>
          </cell>
          <cell r="F287">
            <v>5</v>
          </cell>
          <cell r="G287" t="str">
            <v>COUPLING - TRANSMISSION PARTS</v>
          </cell>
        </row>
        <row r="288">
          <cell r="D288">
            <v>285</v>
          </cell>
          <cell r="E288">
            <v>84213900</v>
          </cell>
          <cell r="F288">
            <v>5</v>
          </cell>
          <cell r="G288" t="str">
            <v>SEAL FLUSH STRAINER</v>
          </cell>
        </row>
        <row r="289">
          <cell r="D289">
            <v>286</v>
          </cell>
          <cell r="E289">
            <v>84186990</v>
          </cell>
          <cell r="F289">
            <v>5</v>
          </cell>
          <cell r="G289" t="str">
            <v>COOLER</v>
          </cell>
        </row>
        <row r="290">
          <cell r="D290">
            <v>287</v>
          </cell>
          <cell r="E290">
            <v>73071900</v>
          </cell>
          <cell r="F290">
            <v>5</v>
          </cell>
          <cell r="G290" t="str">
            <v>NECK BUSH</v>
          </cell>
        </row>
        <row r="291">
          <cell r="D291">
            <v>288</v>
          </cell>
          <cell r="E291">
            <v>73182200</v>
          </cell>
          <cell r="F291">
            <v>5</v>
          </cell>
          <cell r="G291" t="str">
            <v>CASING RING</v>
          </cell>
        </row>
        <row r="292">
          <cell r="D292">
            <v>289</v>
          </cell>
          <cell r="E292">
            <v>84849000</v>
          </cell>
          <cell r="F292">
            <v>5</v>
          </cell>
          <cell r="G292" t="str">
            <v>SHEET GASKET</v>
          </cell>
        </row>
        <row r="293">
          <cell r="D293">
            <v>290</v>
          </cell>
          <cell r="E293">
            <v>84138190</v>
          </cell>
          <cell r="F293">
            <v>5</v>
          </cell>
          <cell r="G293" t="str">
            <v>SUMP PUMP</v>
          </cell>
        </row>
        <row r="294">
          <cell r="D294">
            <v>291</v>
          </cell>
          <cell r="E294">
            <v>84149000</v>
          </cell>
          <cell r="F294">
            <v>5</v>
          </cell>
          <cell r="G294" t="str">
            <v>IMPELLER(S)</v>
          </cell>
        </row>
        <row r="295">
          <cell r="D295">
            <v>292</v>
          </cell>
          <cell r="E295">
            <v>84149000</v>
          </cell>
          <cell r="F295">
            <v>5</v>
          </cell>
          <cell r="G295" t="str">
            <v>WEAR RING(S) - IMPELLER</v>
          </cell>
        </row>
        <row r="296">
          <cell r="D296">
            <v>293</v>
          </cell>
          <cell r="E296">
            <v>84149000</v>
          </cell>
          <cell r="F296">
            <v>5</v>
          </cell>
          <cell r="G296" t="str">
            <v>WEAR RING(S) - CASING</v>
          </cell>
        </row>
        <row r="297">
          <cell r="D297">
            <v>294</v>
          </cell>
          <cell r="E297">
            <v>84831000</v>
          </cell>
          <cell r="F297">
            <v>5</v>
          </cell>
          <cell r="G297" t="str">
            <v>SHAFT(S) WITH KEYS &amp; NUTS</v>
          </cell>
        </row>
        <row r="298">
          <cell r="D298">
            <v>295</v>
          </cell>
          <cell r="E298">
            <v>84839000</v>
          </cell>
          <cell r="F298">
            <v>5</v>
          </cell>
          <cell r="G298" t="str">
            <v>SLEEVE(S) - MECHANICAL SEAL</v>
          </cell>
        </row>
        <row r="299">
          <cell r="D299">
            <v>296</v>
          </cell>
          <cell r="E299">
            <v>84849000</v>
          </cell>
          <cell r="F299">
            <v>5</v>
          </cell>
          <cell r="G299" t="str">
            <v>SLEEVE(S)/SPACER(S)- INTERMEDIATE</v>
          </cell>
        </row>
        <row r="300">
          <cell r="D300">
            <v>297</v>
          </cell>
          <cell r="E300">
            <v>73071900</v>
          </cell>
          <cell r="F300">
            <v>5</v>
          </cell>
          <cell r="G300" t="str">
            <v>THROTTLE BUSHING</v>
          </cell>
        </row>
        <row r="301">
          <cell r="D301">
            <v>298</v>
          </cell>
          <cell r="E301">
            <v>84821000</v>
          </cell>
          <cell r="F301">
            <v>5</v>
          </cell>
          <cell r="G301" t="str">
            <v>BEARINGS - RADIAL</v>
          </cell>
        </row>
        <row r="302">
          <cell r="D302">
            <v>299</v>
          </cell>
          <cell r="E302">
            <v>84821000</v>
          </cell>
          <cell r="F302">
            <v>5</v>
          </cell>
          <cell r="G302" t="str">
            <v>BEARINGS - THRUST</v>
          </cell>
        </row>
        <row r="303">
          <cell r="D303">
            <v>300</v>
          </cell>
          <cell r="E303">
            <v>84243000</v>
          </cell>
          <cell r="F303">
            <v>5</v>
          </cell>
          <cell r="G303" t="str">
            <v>DIFFUSER ASSEMBLY</v>
          </cell>
        </row>
        <row r="304">
          <cell r="D304">
            <v>301</v>
          </cell>
          <cell r="E304">
            <v>85115000</v>
          </cell>
          <cell r="F304">
            <v>5</v>
          </cell>
          <cell r="G304" t="str">
            <v>INDUCER</v>
          </cell>
        </row>
        <row r="305">
          <cell r="D305">
            <v>302</v>
          </cell>
          <cell r="E305">
            <v>73181600</v>
          </cell>
          <cell r="F305">
            <v>5</v>
          </cell>
          <cell r="G305" t="str">
            <v>BEARINGS LOCK NUT ASSEMBLY</v>
          </cell>
        </row>
        <row r="306">
          <cell r="D306">
            <v>303</v>
          </cell>
          <cell r="E306">
            <v>84849000</v>
          </cell>
          <cell r="F306">
            <v>5</v>
          </cell>
          <cell r="G306" t="str">
            <v>MECHANICAL SEAL(S) COMPLETE</v>
          </cell>
        </row>
        <row r="307">
          <cell r="D307">
            <v>304</v>
          </cell>
          <cell r="E307">
            <v>40169300</v>
          </cell>
          <cell r="F307">
            <v>5</v>
          </cell>
          <cell r="G307" t="str">
            <v>IMPOR SEALS</v>
          </cell>
        </row>
        <row r="308">
          <cell r="D308">
            <v>305</v>
          </cell>
          <cell r="E308">
            <v>84849000</v>
          </cell>
          <cell r="F308">
            <v>5</v>
          </cell>
          <cell r="G308" t="str">
            <v>GLAND PACKING</v>
          </cell>
        </row>
        <row r="309">
          <cell r="D309">
            <v>306</v>
          </cell>
          <cell r="E309">
            <v>84839000</v>
          </cell>
          <cell r="F309">
            <v>5</v>
          </cell>
          <cell r="G309" t="str">
            <v>COUPLINGS - INTERMEDIATE SHAFT</v>
          </cell>
        </row>
        <row r="310">
          <cell r="D310">
            <v>307</v>
          </cell>
          <cell r="E310">
            <v>84821000</v>
          </cell>
          <cell r="F310">
            <v>5</v>
          </cell>
          <cell r="G310" t="str">
            <v>BEARING - LINE SHAFT</v>
          </cell>
        </row>
        <row r="311">
          <cell r="D311">
            <v>308</v>
          </cell>
          <cell r="E311">
            <v>90268000</v>
          </cell>
          <cell r="F311">
            <v>5</v>
          </cell>
          <cell r="G311" t="str">
            <v>LEVEL INDICATOR</v>
          </cell>
        </row>
        <row r="312">
          <cell r="D312">
            <v>309</v>
          </cell>
          <cell r="E312">
            <v>84798950</v>
          </cell>
          <cell r="F312">
            <v>5</v>
          </cell>
          <cell r="G312" t="str">
            <v>CONSTANT LEVEL OILER</v>
          </cell>
        </row>
        <row r="313">
          <cell r="D313">
            <v>310</v>
          </cell>
          <cell r="E313">
            <v>84839000</v>
          </cell>
          <cell r="F313">
            <v>5</v>
          </cell>
          <cell r="G313" t="str">
            <v>COUPLING - TRANSMISSION PARTS</v>
          </cell>
        </row>
        <row r="314">
          <cell r="D314">
            <v>311</v>
          </cell>
          <cell r="E314">
            <v>84212190</v>
          </cell>
          <cell r="F314">
            <v>5</v>
          </cell>
          <cell r="G314" t="str">
            <v>SEAL FLUSH STRAINER</v>
          </cell>
        </row>
        <row r="315">
          <cell r="D315">
            <v>312</v>
          </cell>
          <cell r="E315">
            <v>8419900</v>
          </cell>
          <cell r="F315">
            <v>5</v>
          </cell>
          <cell r="G315" t="str">
            <v>COOLER PARTS</v>
          </cell>
        </row>
        <row r="316">
          <cell r="D316">
            <v>313</v>
          </cell>
          <cell r="E316">
            <v>84138190</v>
          </cell>
          <cell r="F316">
            <v>5</v>
          </cell>
          <cell r="G316" t="str">
            <v>SUNDYNE PUMP</v>
          </cell>
        </row>
        <row r="317">
          <cell r="D317">
            <v>314</v>
          </cell>
          <cell r="E317">
            <v>84849000</v>
          </cell>
          <cell r="F317">
            <v>5</v>
          </cell>
          <cell r="G317" t="str">
            <v>DIAPHRAGM(S)</v>
          </cell>
        </row>
        <row r="318">
          <cell r="D318">
            <v>315</v>
          </cell>
          <cell r="E318">
            <v>84818090</v>
          </cell>
          <cell r="F318">
            <v>5</v>
          </cell>
          <cell r="G318" t="str">
            <v>VALVE SUCTION - COMPLETE</v>
          </cell>
        </row>
        <row r="319">
          <cell r="D319">
            <v>316</v>
          </cell>
          <cell r="E319">
            <v>84818090</v>
          </cell>
          <cell r="F319">
            <v>5</v>
          </cell>
          <cell r="G319" t="str">
            <v>VALVE DISCHARGE - COMPLETE</v>
          </cell>
        </row>
        <row r="320">
          <cell r="D320">
            <v>317</v>
          </cell>
          <cell r="E320">
            <v>84099110</v>
          </cell>
          <cell r="F320">
            <v>5</v>
          </cell>
          <cell r="G320" t="str">
            <v>PLUNGER</v>
          </cell>
        </row>
        <row r="321">
          <cell r="D321">
            <v>318</v>
          </cell>
          <cell r="E321">
            <v>84818090</v>
          </cell>
          <cell r="F321">
            <v>5</v>
          </cell>
          <cell r="G321" t="str">
            <v>RELIEF VALVE - HYDRAULIC OIL</v>
          </cell>
        </row>
        <row r="322">
          <cell r="D322">
            <v>319</v>
          </cell>
          <cell r="E322">
            <v>84834000</v>
          </cell>
          <cell r="F322">
            <v>5</v>
          </cell>
          <cell r="G322" t="str">
            <v>GEARS POWER END</v>
          </cell>
        </row>
        <row r="323">
          <cell r="D323">
            <v>320</v>
          </cell>
          <cell r="E323">
            <v>84821000</v>
          </cell>
          <cell r="F323">
            <v>5</v>
          </cell>
          <cell r="G323" t="str">
            <v>BEARINGS</v>
          </cell>
        </row>
        <row r="324">
          <cell r="D324">
            <v>321</v>
          </cell>
          <cell r="E324">
            <v>40169300</v>
          </cell>
          <cell r="F324">
            <v>5</v>
          </cell>
          <cell r="G324" t="str">
            <v>OIL SEALS</v>
          </cell>
        </row>
        <row r="325">
          <cell r="D325">
            <v>322</v>
          </cell>
          <cell r="E325">
            <v>84839000</v>
          </cell>
          <cell r="F325">
            <v>5</v>
          </cell>
          <cell r="G325" t="str">
            <v>COUPLING ASSEMBLY</v>
          </cell>
        </row>
        <row r="326">
          <cell r="D326">
            <v>323</v>
          </cell>
          <cell r="E326">
            <v>84849000</v>
          </cell>
          <cell r="F326">
            <v>5</v>
          </cell>
          <cell r="G326" t="str">
            <v>COUPLING INSERT</v>
          </cell>
        </row>
        <row r="327">
          <cell r="D327">
            <v>324</v>
          </cell>
          <cell r="E327">
            <v>70179000</v>
          </cell>
          <cell r="F327">
            <v>5</v>
          </cell>
          <cell r="G327" t="str">
            <v>OIL SIGHT GLASS</v>
          </cell>
        </row>
        <row r="328">
          <cell r="D328">
            <v>325</v>
          </cell>
          <cell r="E328">
            <v>84849000</v>
          </cell>
          <cell r="F328">
            <v>5</v>
          </cell>
          <cell r="G328" t="str">
            <v>BLADDER - PULSATION BOTTLE</v>
          </cell>
        </row>
        <row r="329">
          <cell r="D329">
            <v>326</v>
          </cell>
          <cell r="E329">
            <v>84128000</v>
          </cell>
          <cell r="F329">
            <v>5</v>
          </cell>
          <cell r="G329" t="str">
            <v>AIR MOTOR</v>
          </cell>
        </row>
        <row r="330">
          <cell r="D330">
            <v>327</v>
          </cell>
          <cell r="E330">
            <v>40169300</v>
          </cell>
          <cell r="F330">
            <v>5</v>
          </cell>
          <cell r="G330" t="str">
            <v>SEAL RING</v>
          </cell>
        </row>
        <row r="331">
          <cell r="D331">
            <v>328</v>
          </cell>
          <cell r="E331">
            <v>84839000</v>
          </cell>
          <cell r="F331">
            <v>5</v>
          </cell>
          <cell r="G331" t="str">
            <v>SHAFT SLEEVE</v>
          </cell>
        </row>
        <row r="332">
          <cell r="D332">
            <v>329</v>
          </cell>
          <cell r="E332">
            <v>84212300</v>
          </cell>
          <cell r="F332">
            <v>5</v>
          </cell>
          <cell r="G332" t="str">
            <v>OIL FILTER</v>
          </cell>
        </row>
        <row r="333">
          <cell r="D333">
            <v>330</v>
          </cell>
          <cell r="E333">
            <v>73182100</v>
          </cell>
          <cell r="F333">
            <v>5</v>
          </cell>
          <cell r="G333" t="str">
            <v>TAB WASHER</v>
          </cell>
        </row>
        <row r="334">
          <cell r="D334">
            <v>331</v>
          </cell>
          <cell r="E334">
            <v>84849000</v>
          </cell>
          <cell r="F334">
            <v>5</v>
          </cell>
          <cell r="G334" t="str">
            <v>SHAFT SEAL</v>
          </cell>
        </row>
        <row r="335">
          <cell r="D335">
            <v>332</v>
          </cell>
          <cell r="E335">
            <v>84149000</v>
          </cell>
          <cell r="F335">
            <v>5</v>
          </cell>
          <cell r="G335" t="str">
            <v>IMPELLER</v>
          </cell>
        </row>
        <row r="336">
          <cell r="D336">
            <v>333</v>
          </cell>
          <cell r="E336">
            <v>84831000</v>
          </cell>
          <cell r="F336">
            <v>5</v>
          </cell>
          <cell r="G336" t="str">
            <v>HIGH SPEED SHAFT ASSEMBLY</v>
          </cell>
        </row>
        <row r="337">
          <cell r="D337">
            <v>334</v>
          </cell>
          <cell r="E337">
            <v>84243000</v>
          </cell>
          <cell r="F337">
            <v>5</v>
          </cell>
          <cell r="G337" t="str">
            <v>DIFFUSER</v>
          </cell>
        </row>
        <row r="338">
          <cell r="D338">
            <v>335</v>
          </cell>
          <cell r="E338">
            <v>85115000</v>
          </cell>
          <cell r="F338">
            <v>5</v>
          </cell>
          <cell r="G338" t="str">
            <v>INDUCER</v>
          </cell>
        </row>
        <row r="339">
          <cell r="D339">
            <v>336</v>
          </cell>
          <cell r="E339">
            <v>84138190</v>
          </cell>
          <cell r="F339">
            <v>5</v>
          </cell>
          <cell r="G339" t="str">
            <v>METERING PUMP</v>
          </cell>
        </row>
        <row r="340">
          <cell r="D340">
            <v>337</v>
          </cell>
          <cell r="E340">
            <v>84859000</v>
          </cell>
          <cell r="F340">
            <v>5</v>
          </cell>
          <cell r="G340" t="str">
            <v>ROTOR ASSEMBLY WITH NUTS &amp; WASHERS</v>
          </cell>
        </row>
        <row r="341">
          <cell r="D341">
            <v>338</v>
          </cell>
          <cell r="E341">
            <v>84821000</v>
          </cell>
          <cell r="F341">
            <v>5</v>
          </cell>
          <cell r="G341" t="str">
            <v>BEARINGS RADIAL</v>
          </cell>
        </row>
        <row r="342">
          <cell r="D342">
            <v>339</v>
          </cell>
          <cell r="E342">
            <v>84832000</v>
          </cell>
          <cell r="F342">
            <v>5</v>
          </cell>
          <cell r="G342" t="str">
            <v>THRUST</v>
          </cell>
        </row>
        <row r="343">
          <cell r="D343">
            <v>340</v>
          </cell>
          <cell r="E343">
            <v>84849000</v>
          </cell>
          <cell r="F343">
            <v>5</v>
          </cell>
          <cell r="G343" t="str">
            <v>MECHANICAL SEALS</v>
          </cell>
        </row>
        <row r="344">
          <cell r="D344">
            <v>341</v>
          </cell>
          <cell r="E344">
            <v>84839000</v>
          </cell>
          <cell r="F344">
            <v>5</v>
          </cell>
          <cell r="G344" t="str">
            <v>SHAFT SLEEVE(S)</v>
          </cell>
        </row>
        <row r="345">
          <cell r="D345">
            <v>342</v>
          </cell>
          <cell r="E345">
            <v>84839000</v>
          </cell>
          <cell r="F345">
            <v>5</v>
          </cell>
          <cell r="G345" t="str">
            <v>COUPLING - TRANSMISSION PARTS</v>
          </cell>
        </row>
        <row r="346">
          <cell r="D346">
            <v>343</v>
          </cell>
          <cell r="E346">
            <v>84818090</v>
          </cell>
          <cell r="F346">
            <v>5</v>
          </cell>
          <cell r="G346" t="str">
            <v>OIL RELIEF VALVE, INTERNAL</v>
          </cell>
        </row>
        <row r="347">
          <cell r="D347">
            <v>344</v>
          </cell>
          <cell r="E347">
            <v>84135000</v>
          </cell>
          <cell r="F347">
            <v>5</v>
          </cell>
          <cell r="G347" t="str">
            <v>AIR DRIVEN PUMP</v>
          </cell>
        </row>
        <row r="348">
          <cell r="D348">
            <v>345</v>
          </cell>
          <cell r="E348">
            <v>84149000</v>
          </cell>
          <cell r="F348">
            <v>5</v>
          </cell>
          <cell r="G348" t="str">
            <v>IMPELLER(S)</v>
          </cell>
        </row>
        <row r="349">
          <cell r="D349">
            <v>346</v>
          </cell>
          <cell r="E349">
            <v>73182200</v>
          </cell>
          <cell r="F349">
            <v>5</v>
          </cell>
          <cell r="G349" t="str">
            <v>WEAR RING(S)</v>
          </cell>
        </row>
        <row r="350">
          <cell r="D350">
            <v>347</v>
          </cell>
          <cell r="E350">
            <v>84831000</v>
          </cell>
          <cell r="F350">
            <v>5</v>
          </cell>
          <cell r="G350" t="str">
            <v>SHAFT(S) WITH KEYS &amp; NUTS</v>
          </cell>
        </row>
        <row r="351">
          <cell r="D351">
            <v>348</v>
          </cell>
          <cell r="E351">
            <v>84839000</v>
          </cell>
          <cell r="F351">
            <v>5</v>
          </cell>
          <cell r="G351" t="str">
            <v>SLEEVE(S) - MECHANICAL SEAL</v>
          </cell>
        </row>
        <row r="352">
          <cell r="D352">
            <v>349</v>
          </cell>
          <cell r="E352">
            <v>84839000</v>
          </cell>
          <cell r="F352">
            <v>5</v>
          </cell>
          <cell r="G352" t="str">
            <v>INTERMEDIATE SLEEVE(S)</v>
          </cell>
        </row>
        <row r="353">
          <cell r="D353">
            <v>350</v>
          </cell>
          <cell r="E353">
            <v>84849000</v>
          </cell>
          <cell r="F353">
            <v>5</v>
          </cell>
          <cell r="G353" t="str">
            <v>INTERMEDIATE SPACER(S)</v>
          </cell>
        </row>
        <row r="354">
          <cell r="D354">
            <v>351</v>
          </cell>
          <cell r="E354">
            <v>73071900</v>
          </cell>
          <cell r="F354">
            <v>5</v>
          </cell>
          <cell r="G354" t="str">
            <v>THROTTLE BUSHING</v>
          </cell>
        </row>
        <row r="355">
          <cell r="D355">
            <v>352</v>
          </cell>
          <cell r="E355">
            <v>84821000</v>
          </cell>
          <cell r="F355">
            <v>5</v>
          </cell>
          <cell r="G355" t="str">
            <v>BEARINGS</v>
          </cell>
        </row>
        <row r="356">
          <cell r="D356">
            <v>353</v>
          </cell>
          <cell r="E356">
            <v>84243000</v>
          </cell>
          <cell r="F356">
            <v>5</v>
          </cell>
          <cell r="G356" t="str">
            <v>DIFFUSER ASSEMBLY</v>
          </cell>
        </row>
        <row r="357">
          <cell r="D357">
            <v>354</v>
          </cell>
          <cell r="E357">
            <v>85115000</v>
          </cell>
          <cell r="F357">
            <v>5</v>
          </cell>
          <cell r="G357" t="str">
            <v>INDUCER</v>
          </cell>
        </row>
        <row r="358">
          <cell r="D358">
            <v>355</v>
          </cell>
          <cell r="E358">
            <v>73181600</v>
          </cell>
          <cell r="F358">
            <v>5</v>
          </cell>
          <cell r="G358" t="str">
            <v>BEARINGS LOCK NUT ASSEMBLY</v>
          </cell>
        </row>
        <row r="359">
          <cell r="D359">
            <v>356</v>
          </cell>
          <cell r="E359">
            <v>84849000</v>
          </cell>
          <cell r="F359">
            <v>5</v>
          </cell>
          <cell r="G359" t="str">
            <v>MECHANICAL SEAL(S) COMPLETE</v>
          </cell>
        </row>
        <row r="360">
          <cell r="D360">
            <v>357</v>
          </cell>
          <cell r="E360">
            <v>40169300</v>
          </cell>
          <cell r="F360">
            <v>5</v>
          </cell>
          <cell r="G360" t="str">
            <v>IMPOR SEALS</v>
          </cell>
        </row>
        <row r="361">
          <cell r="D361">
            <v>358</v>
          </cell>
          <cell r="E361">
            <v>84849000</v>
          </cell>
          <cell r="F361">
            <v>5</v>
          </cell>
          <cell r="G361" t="str">
            <v>GLAND PACKING</v>
          </cell>
        </row>
        <row r="362">
          <cell r="D362">
            <v>359</v>
          </cell>
          <cell r="E362">
            <v>84839000</v>
          </cell>
          <cell r="F362">
            <v>5</v>
          </cell>
          <cell r="G362" t="str">
            <v>COUPLINGS - INTERMEDIATE SHAFT</v>
          </cell>
        </row>
        <row r="363">
          <cell r="D363">
            <v>360</v>
          </cell>
          <cell r="E363">
            <v>84821000</v>
          </cell>
          <cell r="F363">
            <v>5</v>
          </cell>
          <cell r="G363" t="str">
            <v>BEARING - LLINE SHAFT</v>
          </cell>
        </row>
        <row r="364">
          <cell r="D364">
            <v>361</v>
          </cell>
          <cell r="E364">
            <v>90268000</v>
          </cell>
          <cell r="F364">
            <v>5</v>
          </cell>
          <cell r="G364" t="str">
            <v>LEVEL INDICATOR</v>
          </cell>
        </row>
        <row r="365">
          <cell r="D365">
            <v>362</v>
          </cell>
          <cell r="E365">
            <v>84798950</v>
          </cell>
          <cell r="F365">
            <v>5</v>
          </cell>
          <cell r="G365" t="str">
            <v>CONSTANT LEVEL OILER</v>
          </cell>
        </row>
        <row r="366">
          <cell r="D366">
            <v>363</v>
          </cell>
          <cell r="E366">
            <v>84839000</v>
          </cell>
          <cell r="F366">
            <v>5</v>
          </cell>
          <cell r="G366" t="str">
            <v>COUPLING - TRANSMISSION PARTS</v>
          </cell>
        </row>
        <row r="367">
          <cell r="D367">
            <v>364</v>
          </cell>
          <cell r="E367">
            <v>84212190</v>
          </cell>
          <cell r="F367">
            <v>5</v>
          </cell>
          <cell r="G367" t="str">
            <v>SEAL FLUSH STRAINER</v>
          </cell>
        </row>
        <row r="368">
          <cell r="D368">
            <v>365</v>
          </cell>
          <cell r="E368">
            <v>84199000</v>
          </cell>
          <cell r="F368">
            <v>5</v>
          </cell>
          <cell r="G368" t="str">
            <v>COOLER PARTS</v>
          </cell>
        </row>
        <row r="369">
          <cell r="D369">
            <v>366</v>
          </cell>
          <cell r="E369">
            <v>84143000</v>
          </cell>
          <cell r="F369">
            <v>5</v>
          </cell>
          <cell r="G369" t="str">
            <v>CYCLE GAS COMPRESSOR</v>
          </cell>
        </row>
        <row r="370">
          <cell r="D370">
            <v>367</v>
          </cell>
          <cell r="E370">
            <v>84149000</v>
          </cell>
          <cell r="F370">
            <v>5</v>
          </cell>
          <cell r="G370" t="str">
            <v>CYCLE GAS COMPRESSOR PACKAGE</v>
          </cell>
        </row>
        <row r="371">
          <cell r="D371">
            <v>368</v>
          </cell>
          <cell r="E371">
            <v>84821000</v>
          </cell>
          <cell r="F371">
            <v>5</v>
          </cell>
          <cell r="G371" t="str">
            <v>BEARING ASSEMBLY</v>
          </cell>
        </row>
        <row r="372">
          <cell r="D372">
            <v>369</v>
          </cell>
          <cell r="E372">
            <v>84821000</v>
          </cell>
          <cell r="F372">
            <v>5</v>
          </cell>
          <cell r="G372" t="str">
            <v>BEARING ASSEMBLY, RADIAL</v>
          </cell>
        </row>
        <row r="373">
          <cell r="D373">
            <v>370</v>
          </cell>
          <cell r="E373">
            <v>84832000</v>
          </cell>
          <cell r="F373">
            <v>5</v>
          </cell>
          <cell r="G373" t="str">
            <v>BEARING ASSEMBLY, THRUST</v>
          </cell>
        </row>
        <row r="374">
          <cell r="D374">
            <v>371</v>
          </cell>
          <cell r="E374">
            <v>84829900</v>
          </cell>
          <cell r="F374">
            <v>5</v>
          </cell>
          <cell r="G374" t="str">
            <v>BEARING PADS</v>
          </cell>
        </row>
        <row r="375">
          <cell r="D375">
            <v>372</v>
          </cell>
          <cell r="E375">
            <v>84832000</v>
          </cell>
          <cell r="F375">
            <v>5</v>
          </cell>
          <cell r="G375" t="str">
            <v>THRUST COLLAR WITH KEYS &amp; NUTS</v>
          </cell>
        </row>
        <row r="376">
          <cell r="D376">
            <v>373</v>
          </cell>
          <cell r="E376">
            <v>40169300</v>
          </cell>
          <cell r="F376">
            <v>5</v>
          </cell>
          <cell r="G376" t="str">
            <v>OIL SEALS/LABRYRINTHS</v>
          </cell>
        </row>
        <row r="377">
          <cell r="D377">
            <v>374</v>
          </cell>
          <cell r="E377">
            <v>40169300</v>
          </cell>
          <cell r="F377">
            <v>5</v>
          </cell>
          <cell r="G377" t="str">
            <v xml:space="preserve">SEAL </v>
          </cell>
        </row>
        <row r="378">
          <cell r="D378">
            <v>375</v>
          </cell>
          <cell r="E378">
            <v>40169300</v>
          </cell>
          <cell r="F378">
            <v>5</v>
          </cell>
          <cell r="G378" t="str">
            <v>SEAL ASSEMBLY</v>
          </cell>
        </row>
        <row r="379">
          <cell r="D379">
            <v>376</v>
          </cell>
          <cell r="E379">
            <v>40169300</v>
          </cell>
          <cell r="F379">
            <v>5</v>
          </cell>
          <cell r="G379" t="str">
            <v>SEAL RINGS, STATIONARY</v>
          </cell>
        </row>
        <row r="380">
          <cell r="D380">
            <v>377</v>
          </cell>
          <cell r="E380">
            <v>40169300</v>
          </cell>
          <cell r="F380">
            <v>5</v>
          </cell>
          <cell r="G380" t="str">
            <v>SEAL RINGS, ROTATING</v>
          </cell>
        </row>
        <row r="381">
          <cell r="D381">
            <v>378</v>
          </cell>
          <cell r="E381">
            <v>73202000</v>
          </cell>
          <cell r="F381">
            <v>5</v>
          </cell>
          <cell r="G381" t="str">
            <v>SPRINGS-SEAL</v>
          </cell>
        </row>
        <row r="382">
          <cell r="D382">
            <v>379</v>
          </cell>
          <cell r="E382">
            <v>84839000</v>
          </cell>
          <cell r="F382">
            <v>5</v>
          </cell>
          <cell r="G382" t="str">
            <v>SLEEVE-SHAFT</v>
          </cell>
        </row>
        <row r="383">
          <cell r="D383">
            <v>380</v>
          </cell>
          <cell r="E383">
            <v>40169300</v>
          </cell>
          <cell r="F383">
            <v>5</v>
          </cell>
          <cell r="G383" t="str">
            <v>SEAL-LABYRINTH, IMPELLERS</v>
          </cell>
        </row>
        <row r="384">
          <cell r="D384">
            <v>381</v>
          </cell>
          <cell r="E384">
            <v>40169300</v>
          </cell>
          <cell r="F384">
            <v>5</v>
          </cell>
          <cell r="G384" t="str">
            <v>SEAL-LABYRINTH, DIAPHRAGMS</v>
          </cell>
        </row>
        <row r="385">
          <cell r="D385">
            <v>382</v>
          </cell>
          <cell r="E385">
            <v>40169300</v>
          </cell>
          <cell r="F385">
            <v>5</v>
          </cell>
          <cell r="G385" t="str">
            <v>SEAL-BALANCING DRUM</v>
          </cell>
        </row>
        <row r="386">
          <cell r="D386">
            <v>383</v>
          </cell>
          <cell r="E386">
            <v>73182100</v>
          </cell>
          <cell r="F386">
            <v>5</v>
          </cell>
          <cell r="G386" t="str">
            <v>INTERNAL LOCKWASHERS</v>
          </cell>
        </row>
        <row r="387">
          <cell r="D387">
            <v>384</v>
          </cell>
          <cell r="E387">
            <v>73181500</v>
          </cell>
          <cell r="F387">
            <v>5</v>
          </cell>
          <cell r="G387" t="str">
            <v>INTERNAL BOLTING</v>
          </cell>
        </row>
        <row r="388">
          <cell r="D388">
            <v>385</v>
          </cell>
          <cell r="E388">
            <v>84849000</v>
          </cell>
          <cell r="F388">
            <v>5</v>
          </cell>
          <cell r="G388" t="str">
            <v>COUPLING SPACERS WITH HUBS</v>
          </cell>
        </row>
        <row r="389">
          <cell r="D389">
            <v>386</v>
          </cell>
          <cell r="E389">
            <v>84849000</v>
          </cell>
          <cell r="F389">
            <v>5</v>
          </cell>
          <cell r="G389" t="str">
            <v>SHIM PACKS</v>
          </cell>
        </row>
        <row r="390">
          <cell r="D390">
            <v>387</v>
          </cell>
          <cell r="E390">
            <v>73181500</v>
          </cell>
          <cell r="F390">
            <v>5</v>
          </cell>
          <cell r="G390" t="str">
            <v>COUPLING BOLTS</v>
          </cell>
        </row>
        <row r="391">
          <cell r="D391">
            <v>388</v>
          </cell>
          <cell r="E391">
            <v>84834000</v>
          </cell>
          <cell r="F391">
            <v>5</v>
          </cell>
          <cell r="G391" t="str">
            <v>GEAR PARTS</v>
          </cell>
        </row>
        <row r="392">
          <cell r="D392">
            <v>389</v>
          </cell>
          <cell r="E392">
            <v>82059010</v>
          </cell>
          <cell r="F392">
            <v>5</v>
          </cell>
          <cell r="G392" t="str">
            <v>TOOL KIT</v>
          </cell>
        </row>
        <row r="393">
          <cell r="D393">
            <v>390</v>
          </cell>
          <cell r="E393">
            <v>32149000</v>
          </cell>
          <cell r="F393">
            <v>5</v>
          </cell>
          <cell r="G393" t="str">
            <v>SEALANTS</v>
          </cell>
        </row>
        <row r="394">
          <cell r="D394">
            <v>391</v>
          </cell>
          <cell r="E394">
            <v>27100059</v>
          </cell>
          <cell r="F394">
            <v>20</v>
          </cell>
          <cell r="G394" t="str">
            <v>ANTISIEZE</v>
          </cell>
        </row>
        <row r="395">
          <cell r="D395">
            <v>392</v>
          </cell>
          <cell r="E395">
            <v>84821000</v>
          </cell>
          <cell r="F395">
            <v>5</v>
          </cell>
          <cell r="G395" t="str">
            <v>JOURNAL BEARING</v>
          </cell>
        </row>
        <row r="396">
          <cell r="D396">
            <v>393</v>
          </cell>
          <cell r="E396">
            <v>40169590</v>
          </cell>
          <cell r="F396">
            <v>5</v>
          </cell>
          <cell r="G396" t="str">
            <v>OIL GUARD</v>
          </cell>
        </row>
        <row r="397">
          <cell r="D397">
            <v>394</v>
          </cell>
          <cell r="E397">
            <v>40169300</v>
          </cell>
          <cell r="F397">
            <v>5</v>
          </cell>
          <cell r="G397" t="str">
            <v>TANDEM DRY GAS SEAL</v>
          </cell>
        </row>
        <row r="398">
          <cell r="D398">
            <v>395</v>
          </cell>
          <cell r="E398">
            <v>84849000</v>
          </cell>
          <cell r="F398">
            <v>5</v>
          </cell>
          <cell r="G398" t="str">
            <v>BARRIER SEAL</v>
          </cell>
        </row>
        <row r="399">
          <cell r="D399">
            <v>396</v>
          </cell>
          <cell r="E399">
            <v>73181600</v>
          </cell>
          <cell r="F399">
            <v>5</v>
          </cell>
          <cell r="G399" t="str">
            <v>SEAL CHECKNUT</v>
          </cell>
        </row>
        <row r="400">
          <cell r="D400">
            <v>397</v>
          </cell>
          <cell r="E400">
            <v>73181500</v>
          </cell>
          <cell r="F400">
            <v>5</v>
          </cell>
          <cell r="G400" t="str">
            <v>CAPSCREW</v>
          </cell>
        </row>
        <row r="401">
          <cell r="D401">
            <v>398</v>
          </cell>
          <cell r="E401">
            <v>90303900</v>
          </cell>
          <cell r="F401">
            <v>5</v>
          </cell>
          <cell r="G401" t="str">
            <v>AXIAL VIBRATION SENSOR</v>
          </cell>
        </row>
        <row r="402">
          <cell r="D402">
            <v>399</v>
          </cell>
          <cell r="E402">
            <v>85445990</v>
          </cell>
          <cell r="F402">
            <v>5</v>
          </cell>
          <cell r="G402" t="str">
            <v>VIBRATION SENSOR CABLE</v>
          </cell>
        </row>
        <row r="403">
          <cell r="D403">
            <v>400</v>
          </cell>
          <cell r="E403">
            <v>90303900</v>
          </cell>
          <cell r="F403">
            <v>5</v>
          </cell>
          <cell r="G403" t="str">
            <v>RADIAL VIBRATION SENSOR</v>
          </cell>
        </row>
        <row r="404">
          <cell r="D404">
            <v>401</v>
          </cell>
          <cell r="E404">
            <v>90269000</v>
          </cell>
          <cell r="F404">
            <v>5</v>
          </cell>
          <cell r="G404" t="str">
            <v>PROBE HOUSING</v>
          </cell>
        </row>
        <row r="405">
          <cell r="D405">
            <v>402</v>
          </cell>
          <cell r="E405">
            <v>84213900</v>
          </cell>
          <cell r="F405">
            <v>5</v>
          </cell>
          <cell r="G405" t="str">
            <v>BREATHER FILTER</v>
          </cell>
        </row>
        <row r="406">
          <cell r="D406">
            <v>403</v>
          </cell>
          <cell r="E406">
            <v>84849000</v>
          </cell>
          <cell r="F406">
            <v>5</v>
          </cell>
          <cell r="G406" t="str">
            <v>SPRIAL WOUND GASKET</v>
          </cell>
        </row>
        <row r="407">
          <cell r="D407">
            <v>404</v>
          </cell>
          <cell r="E407">
            <v>59080000</v>
          </cell>
          <cell r="F407">
            <v>5</v>
          </cell>
          <cell r="G407" t="str">
            <v>NYLON ROD</v>
          </cell>
        </row>
        <row r="408">
          <cell r="D408">
            <v>405</v>
          </cell>
          <cell r="E408">
            <v>73181500</v>
          </cell>
          <cell r="F408">
            <v>5</v>
          </cell>
          <cell r="G408" t="str">
            <v>SET SCREW</v>
          </cell>
        </row>
        <row r="409">
          <cell r="D409">
            <v>406</v>
          </cell>
          <cell r="E409">
            <v>73182200</v>
          </cell>
          <cell r="F409">
            <v>5</v>
          </cell>
          <cell r="G409" t="str">
            <v>BACKUP RING</v>
          </cell>
        </row>
        <row r="410">
          <cell r="D410">
            <v>407</v>
          </cell>
          <cell r="E410">
            <v>85441900</v>
          </cell>
          <cell r="F410">
            <v>5</v>
          </cell>
          <cell r="G410" t="str">
            <v>MALE WIRE TERMINAL</v>
          </cell>
        </row>
        <row r="411">
          <cell r="D411">
            <v>408</v>
          </cell>
          <cell r="E411">
            <v>85441900</v>
          </cell>
          <cell r="F411">
            <v>5</v>
          </cell>
          <cell r="G411" t="str">
            <v>FEMALE WIRE TERMINAL</v>
          </cell>
        </row>
        <row r="412">
          <cell r="D412">
            <v>409</v>
          </cell>
          <cell r="E412">
            <v>85115000</v>
          </cell>
          <cell r="F412">
            <v>5</v>
          </cell>
          <cell r="G412" t="str">
            <v>ACTUATOR</v>
          </cell>
        </row>
        <row r="413">
          <cell r="D413">
            <v>410</v>
          </cell>
          <cell r="E413">
            <v>84839000</v>
          </cell>
          <cell r="F413">
            <v>5</v>
          </cell>
          <cell r="G413" t="str">
            <v>YOKE</v>
          </cell>
        </row>
        <row r="414">
          <cell r="D414">
            <v>411</v>
          </cell>
          <cell r="E414">
            <v>73181600</v>
          </cell>
          <cell r="F414">
            <v>5</v>
          </cell>
          <cell r="G414" t="str">
            <v>JAM NUT</v>
          </cell>
        </row>
        <row r="415">
          <cell r="D415">
            <v>412</v>
          </cell>
          <cell r="E415">
            <v>73181500</v>
          </cell>
          <cell r="F415">
            <v>5</v>
          </cell>
          <cell r="G415" t="str">
            <v>SCREW</v>
          </cell>
        </row>
        <row r="416">
          <cell r="D416">
            <v>413</v>
          </cell>
          <cell r="E416">
            <v>72159000</v>
          </cell>
          <cell r="F416">
            <v>20</v>
          </cell>
          <cell r="G416" t="str">
            <v>ROD END</v>
          </cell>
        </row>
        <row r="417">
          <cell r="D417">
            <v>414</v>
          </cell>
          <cell r="E417">
            <v>73182400</v>
          </cell>
          <cell r="F417">
            <v>5</v>
          </cell>
          <cell r="G417" t="str">
            <v>STUD</v>
          </cell>
        </row>
        <row r="418">
          <cell r="D418">
            <v>415</v>
          </cell>
          <cell r="E418">
            <v>40169300</v>
          </cell>
          <cell r="F418">
            <v>5</v>
          </cell>
          <cell r="G418" t="str">
            <v>CUP SEAL</v>
          </cell>
        </row>
        <row r="419">
          <cell r="D419">
            <v>416</v>
          </cell>
          <cell r="E419">
            <v>84149000</v>
          </cell>
          <cell r="F419">
            <v>5</v>
          </cell>
          <cell r="G419" t="str">
            <v>VANE</v>
          </cell>
        </row>
        <row r="420">
          <cell r="D420">
            <v>417</v>
          </cell>
          <cell r="E420">
            <v>84839000</v>
          </cell>
          <cell r="F420">
            <v>5</v>
          </cell>
          <cell r="G420" t="str">
            <v>GUIDE BUSHING</v>
          </cell>
        </row>
        <row r="421">
          <cell r="D421">
            <v>418</v>
          </cell>
          <cell r="E421">
            <v>84839000</v>
          </cell>
          <cell r="F421">
            <v>5</v>
          </cell>
          <cell r="G421" t="str">
            <v>COUPLING</v>
          </cell>
        </row>
        <row r="422">
          <cell r="D422">
            <v>419</v>
          </cell>
          <cell r="E422">
            <v>84839000</v>
          </cell>
          <cell r="F422">
            <v>5</v>
          </cell>
          <cell r="G422" t="str">
            <v>AXIAL ADJUSTMENT SHIM SET</v>
          </cell>
        </row>
        <row r="423">
          <cell r="D423">
            <v>420</v>
          </cell>
          <cell r="E423">
            <v>84821000</v>
          </cell>
          <cell r="F423">
            <v>5</v>
          </cell>
          <cell r="G423" t="str">
            <v>FRONT &amp; REAR BRGS</v>
          </cell>
        </row>
        <row r="424">
          <cell r="D424">
            <v>421</v>
          </cell>
          <cell r="E424">
            <v>40169300</v>
          </cell>
          <cell r="F424">
            <v>5</v>
          </cell>
          <cell r="G424" t="str">
            <v>INNER OIL SEALS SET</v>
          </cell>
        </row>
        <row r="425">
          <cell r="D425">
            <v>422</v>
          </cell>
          <cell r="E425">
            <v>70179000</v>
          </cell>
          <cell r="F425">
            <v>5</v>
          </cell>
          <cell r="G425" t="str">
            <v>OIL SIGHT GLASS</v>
          </cell>
        </row>
        <row r="426">
          <cell r="D426">
            <v>423</v>
          </cell>
          <cell r="E426">
            <v>40169300</v>
          </cell>
          <cell r="F426">
            <v>5</v>
          </cell>
          <cell r="G426" t="str">
            <v>VALVE STEM SEAL RING</v>
          </cell>
        </row>
        <row r="427">
          <cell r="D427">
            <v>424</v>
          </cell>
          <cell r="E427">
            <v>73182200</v>
          </cell>
          <cell r="F427">
            <v>5</v>
          </cell>
          <cell r="G427" t="str">
            <v>RETAINING RING</v>
          </cell>
        </row>
        <row r="428">
          <cell r="D428">
            <v>425</v>
          </cell>
          <cell r="E428">
            <v>84839000</v>
          </cell>
          <cell r="F428">
            <v>5</v>
          </cell>
          <cell r="G428" t="str">
            <v>COLLAR ASSEMBLY</v>
          </cell>
        </row>
        <row r="429">
          <cell r="D429">
            <v>426</v>
          </cell>
          <cell r="E429">
            <v>84813000</v>
          </cell>
          <cell r="F429">
            <v>5</v>
          </cell>
          <cell r="G429" t="str">
            <v>CLAPPER VALVE SET</v>
          </cell>
        </row>
        <row r="430">
          <cell r="D430">
            <v>427</v>
          </cell>
          <cell r="E430">
            <v>84839000</v>
          </cell>
          <cell r="F430">
            <v>5</v>
          </cell>
          <cell r="G430" t="str">
            <v>OVERSPEED TRIP LINKAGE</v>
          </cell>
        </row>
        <row r="431">
          <cell r="D431">
            <v>428</v>
          </cell>
          <cell r="E431">
            <v>84839000</v>
          </cell>
          <cell r="F431">
            <v>5</v>
          </cell>
          <cell r="G431" t="str">
            <v>GOVERNOR DRIVE COUPLING</v>
          </cell>
        </row>
        <row r="432">
          <cell r="D432">
            <v>429</v>
          </cell>
          <cell r="E432">
            <v>84139100</v>
          </cell>
          <cell r="F432">
            <v>5</v>
          </cell>
          <cell r="G432" t="str">
            <v>OIL PUMP DRIVE COUPLING</v>
          </cell>
        </row>
        <row r="433">
          <cell r="D433">
            <v>430</v>
          </cell>
          <cell r="E433">
            <v>84859000</v>
          </cell>
          <cell r="F433">
            <v>5</v>
          </cell>
          <cell r="G433" t="str">
            <v>MINOR REPAIR KIT</v>
          </cell>
        </row>
        <row r="434">
          <cell r="D434">
            <v>431</v>
          </cell>
          <cell r="E434">
            <v>84859000</v>
          </cell>
          <cell r="F434">
            <v>5</v>
          </cell>
          <cell r="G434" t="str">
            <v>MAJOR REPAIR KIT</v>
          </cell>
        </row>
        <row r="435">
          <cell r="D435">
            <v>432</v>
          </cell>
          <cell r="E435">
            <v>73121090</v>
          </cell>
          <cell r="F435">
            <v>5</v>
          </cell>
          <cell r="G435" t="str">
            <v>SPARE BUNDLE</v>
          </cell>
        </row>
        <row r="436">
          <cell r="D436">
            <v>433</v>
          </cell>
          <cell r="E436">
            <v>9026200</v>
          </cell>
          <cell r="F436">
            <v>5</v>
          </cell>
          <cell r="G436" t="str">
            <v>PRESSURE INDICATOR</v>
          </cell>
        </row>
        <row r="437">
          <cell r="D437">
            <v>434</v>
          </cell>
          <cell r="E437">
            <v>90251900</v>
          </cell>
          <cell r="F437">
            <v>5</v>
          </cell>
          <cell r="G437" t="str">
            <v>TEMPERATURE INDICATOR</v>
          </cell>
        </row>
        <row r="438">
          <cell r="D438">
            <v>435</v>
          </cell>
          <cell r="E438">
            <v>84219900</v>
          </cell>
          <cell r="F438">
            <v>5</v>
          </cell>
          <cell r="G438" t="str">
            <v>ONE FILTER CARTRIDGE</v>
          </cell>
        </row>
        <row r="439">
          <cell r="D439">
            <v>436</v>
          </cell>
          <cell r="E439">
            <v>84141000</v>
          </cell>
          <cell r="F439">
            <v>5</v>
          </cell>
          <cell r="G439" t="str">
            <v>VENT RECOVERY COMPRESSOR</v>
          </cell>
        </row>
        <row r="440">
          <cell r="D440">
            <v>437</v>
          </cell>
          <cell r="E440">
            <v>84149000</v>
          </cell>
          <cell r="F440">
            <v>5</v>
          </cell>
          <cell r="G440" t="str">
            <v>VENT RECOVERY COMPRESSOR PACKAGE</v>
          </cell>
        </row>
        <row r="441">
          <cell r="D441">
            <v>438</v>
          </cell>
          <cell r="E441">
            <v>84099110</v>
          </cell>
          <cell r="F441">
            <v>5</v>
          </cell>
          <cell r="G441" t="str">
            <v>PISTON RING SET</v>
          </cell>
        </row>
        <row r="442">
          <cell r="D442">
            <v>439</v>
          </cell>
          <cell r="E442">
            <v>73182200</v>
          </cell>
          <cell r="F442">
            <v>5</v>
          </cell>
          <cell r="G442" t="str">
            <v>RIDER RING SET</v>
          </cell>
        </row>
        <row r="443">
          <cell r="D443">
            <v>440</v>
          </cell>
          <cell r="E443">
            <v>73182100</v>
          </cell>
          <cell r="F443">
            <v>5</v>
          </cell>
          <cell r="G443" t="str">
            <v>OIL WIPER RING SET WITH SPRINGS</v>
          </cell>
        </row>
        <row r="444">
          <cell r="D444">
            <v>441</v>
          </cell>
          <cell r="E444">
            <v>84849000</v>
          </cell>
          <cell r="F444">
            <v>5</v>
          </cell>
          <cell r="G444" t="str">
            <v>PACKING - ROD SET WITH SPRINGS</v>
          </cell>
        </row>
        <row r="445">
          <cell r="D445">
            <v>442</v>
          </cell>
          <cell r="E445">
            <v>84099110</v>
          </cell>
          <cell r="F445">
            <v>5</v>
          </cell>
          <cell r="G445" t="str">
            <v>PISTON</v>
          </cell>
        </row>
        <row r="446">
          <cell r="D446">
            <v>443</v>
          </cell>
          <cell r="E446">
            <v>84099110</v>
          </cell>
          <cell r="F446">
            <v>5</v>
          </cell>
          <cell r="G446" t="str">
            <v>ROD - PISTON WITH NUT AND PIN</v>
          </cell>
        </row>
        <row r="447">
          <cell r="D447">
            <v>444</v>
          </cell>
          <cell r="E447">
            <v>84849000</v>
          </cell>
          <cell r="F447">
            <v>5</v>
          </cell>
          <cell r="G447" t="str">
            <v>LINER - CYLINDER</v>
          </cell>
        </row>
        <row r="448">
          <cell r="D448">
            <v>445</v>
          </cell>
          <cell r="E448">
            <v>84818090</v>
          </cell>
          <cell r="F448">
            <v>5</v>
          </cell>
          <cell r="G448" t="str">
            <v>VALVE - SUCTION COMPETE</v>
          </cell>
        </row>
        <row r="449">
          <cell r="D449">
            <v>446</v>
          </cell>
          <cell r="E449">
            <v>84818020</v>
          </cell>
          <cell r="F449">
            <v>5</v>
          </cell>
          <cell r="G449" t="str">
            <v>VALVE - DISCHARGE COMPLETE</v>
          </cell>
        </row>
        <row r="450">
          <cell r="D450">
            <v>447</v>
          </cell>
          <cell r="E450">
            <v>84849000</v>
          </cell>
          <cell r="F450">
            <v>5</v>
          </cell>
          <cell r="G450" t="str">
            <v>GASKET SUCTION</v>
          </cell>
        </row>
        <row r="451">
          <cell r="D451">
            <v>448</v>
          </cell>
          <cell r="E451">
            <v>84818020</v>
          </cell>
          <cell r="F451">
            <v>5</v>
          </cell>
          <cell r="G451" t="str">
            <v>DISCHARGE VALVES</v>
          </cell>
        </row>
        <row r="452">
          <cell r="D452">
            <v>449</v>
          </cell>
          <cell r="E452">
            <v>84819000</v>
          </cell>
          <cell r="F452">
            <v>5</v>
          </cell>
          <cell r="G452" t="str">
            <v>DISCHARGE VALVE COVER</v>
          </cell>
        </row>
        <row r="453">
          <cell r="D453">
            <v>450</v>
          </cell>
          <cell r="E453">
            <v>73202000</v>
          </cell>
          <cell r="F453">
            <v>5</v>
          </cell>
          <cell r="G453" t="str">
            <v>SPRING SUCTION</v>
          </cell>
        </row>
        <row r="454">
          <cell r="D454">
            <v>451</v>
          </cell>
          <cell r="E454">
            <v>84819000</v>
          </cell>
          <cell r="F454">
            <v>5</v>
          </cell>
          <cell r="G454" t="str">
            <v>DISCHARGE VALVE-PLATE</v>
          </cell>
        </row>
        <row r="455">
          <cell r="D455">
            <v>452</v>
          </cell>
          <cell r="E455">
            <v>84819000</v>
          </cell>
          <cell r="F455">
            <v>5</v>
          </cell>
          <cell r="G455" t="str">
            <v>VALVE-PLATE</v>
          </cell>
        </row>
        <row r="456">
          <cell r="D456">
            <v>453</v>
          </cell>
          <cell r="E456">
            <v>84814000</v>
          </cell>
          <cell r="F456">
            <v>5</v>
          </cell>
          <cell r="G456" t="str">
            <v>SPRING - VALVE</v>
          </cell>
        </row>
        <row r="457">
          <cell r="D457">
            <v>454</v>
          </cell>
          <cell r="E457">
            <v>84818090</v>
          </cell>
          <cell r="F457">
            <v>5</v>
          </cell>
          <cell r="G457" t="str">
            <v>BUSH - VALVE</v>
          </cell>
        </row>
        <row r="458">
          <cell r="D458">
            <v>455</v>
          </cell>
          <cell r="E458">
            <v>84818090</v>
          </cell>
          <cell r="F458">
            <v>5</v>
          </cell>
          <cell r="G458" t="str">
            <v>STEAM - VALVE</v>
          </cell>
        </row>
        <row r="459">
          <cell r="D459">
            <v>456</v>
          </cell>
          <cell r="E459">
            <v>84818090</v>
          </cell>
          <cell r="F459">
            <v>5</v>
          </cell>
          <cell r="G459" t="str">
            <v>DIAPHRAGM - VALVE</v>
          </cell>
        </row>
        <row r="460">
          <cell r="D460">
            <v>457</v>
          </cell>
          <cell r="E460">
            <v>84261900</v>
          </cell>
          <cell r="F460">
            <v>5</v>
          </cell>
          <cell r="G460" t="str">
            <v>LOAD/UNLOADER ASSEMBLY COMPLETE</v>
          </cell>
        </row>
        <row r="461">
          <cell r="D461">
            <v>458</v>
          </cell>
          <cell r="E461">
            <v>84832000</v>
          </cell>
          <cell r="F461">
            <v>5</v>
          </cell>
          <cell r="G461" t="str">
            <v>MAIN BEARINGS FOR CRANK SHAFT</v>
          </cell>
        </row>
        <row r="462">
          <cell r="D462">
            <v>459</v>
          </cell>
          <cell r="E462">
            <v>84829900</v>
          </cell>
          <cell r="F462">
            <v>5</v>
          </cell>
          <cell r="G462" t="str">
            <v>BIG ENG - BEARING CONNECTING ROD</v>
          </cell>
        </row>
        <row r="463">
          <cell r="D463">
            <v>460</v>
          </cell>
          <cell r="E463">
            <v>84829900</v>
          </cell>
          <cell r="F463">
            <v>5</v>
          </cell>
          <cell r="G463" t="str">
            <v>SMALL END - BEARING CONNECTION ROD</v>
          </cell>
        </row>
        <row r="464">
          <cell r="D464">
            <v>461</v>
          </cell>
          <cell r="E464">
            <v>84821000</v>
          </cell>
          <cell r="F464">
            <v>5</v>
          </cell>
          <cell r="G464" t="str">
            <v>THRUST-BEARING</v>
          </cell>
        </row>
        <row r="465">
          <cell r="D465">
            <v>462</v>
          </cell>
          <cell r="E465">
            <v>84839000</v>
          </cell>
          <cell r="F465">
            <v>5</v>
          </cell>
          <cell r="G465" t="str">
            <v>CONNECTION ROD</v>
          </cell>
        </row>
        <row r="466">
          <cell r="D466">
            <v>463</v>
          </cell>
          <cell r="E466">
            <v>84839000</v>
          </cell>
          <cell r="F466">
            <v>5</v>
          </cell>
          <cell r="G466" t="str">
            <v>SHOES - CROSSHEAD</v>
          </cell>
        </row>
        <row r="467">
          <cell r="D467">
            <v>464</v>
          </cell>
          <cell r="E467">
            <v>84839000</v>
          </cell>
          <cell r="F467">
            <v>5</v>
          </cell>
          <cell r="G467" t="str">
            <v>PIN - CROSSHEAD</v>
          </cell>
        </row>
        <row r="468">
          <cell r="D468">
            <v>465</v>
          </cell>
          <cell r="E468">
            <v>40169300</v>
          </cell>
          <cell r="F468">
            <v>5</v>
          </cell>
          <cell r="G468" t="str">
            <v>OIL SEAL - SHAFT</v>
          </cell>
        </row>
        <row r="469">
          <cell r="D469">
            <v>466</v>
          </cell>
          <cell r="E469">
            <v>73181500</v>
          </cell>
          <cell r="F469">
            <v>5</v>
          </cell>
          <cell r="G469" t="str">
            <v>COUPLING BOLT SET WITH NUTS</v>
          </cell>
        </row>
        <row r="470">
          <cell r="D470">
            <v>467</v>
          </cell>
          <cell r="E470">
            <v>73181500</v>
          </cell>
          <cell r="F470">
            <v>5</v>
          </cell>
          <cell r="G470" t="str">
            <v>BOLT -B CONNECTING ROD WITH NUT</v>
          </cell>
        </row>
        <row r="471">
          <cell r="D471">
            <v>468</v>
          </cell>
          <cell r="E471">
            <v>84135000</v>
          </cell>
          <cell r="F471">
            <v>5</v>
          </cell>
          <cell r="G471" t="str">
            <v>MAIN L.O. PUMP ASSEMBLY</v>
          </cell>
        </row>
        <row r="472">
          <cell r="D472">
            <v>469</v>
          </cell>
          <cell r="E472">
            <v>84849000</v>
          </cell>
          <cell r="F472">
            <v>5</v>
          </cell>
          <cell r="G472" t="str">
            <v>MECHANICAL SEAL</v>
          </cell>
        </row>
        <row r="473">
          <cell r="D473">
            <v>470</v>
          </cell>
          <cell r="E473">
            <v>84821000</v>
          </cell>
          <cell r="F473">
            <v>5</v>
          </cell>
          <cell r="G473" t="str">
            <v>BEARING SET</v>
          </cell>
        </row>
        <row r="474">
          <cell r="D474">
            <v>471</v>
          </cell>
          <cell r="E474">
            <v>84212190</v>
          </cell>
          <cell r="F474">
            <v>5</v>
          </cell>
          <cell r="G474" t="str">
            <v>FILTER SUCTION</v>
          </cell>
        </row>
        <row r="475">
          <cell r="D475">
            <v>472</v>
          </cell>
          <cell r="E475">
            <v>84133000</v>
          </cell>
          <cell r="F475">
            <v>5</v>
          </cell>
          <cell r="G475" t="str">
            <v>AUXILIARY OIL PUMP</v>
          </cell>
        </row>
        <row r="476">
          <cell r="D476">
            <v>473</v>
          </cell>
          <cell r="E476">
            <v>84139100</v>
          </cell>
          <cell r="F476">
            <v>5</v>
          </cell>
          <cell r="G476" t="str">
            <v>COUPLING - AUXILIARY OIL PUMP</v>
          </cell>
        </row>
        <row r="477">
          <cell r="D477">
            <v>474</v>
          </cell>
          <cell r="E477">
            <v>84219900</v>
          </cell>
          <cell r="F477">
            <v>5</v>
          </cell>
          <cell r="G477" t="str">
            <v>FILTER CARTRIDGE</v>
          </cell>
        </row>
        <row r="478">
          <cell r="D478">
            <v>475</v>
          </cell>
          <cell r="E478">
            <v>84849000</v>
          </cell>
          <cell r="F478">
            <v>5</v>
          </cell>
          <cell r="G478" t="str">
            <v>BARRING</v>
          </cell>
        </row>
        <row r="479">
          <cell r="D479">
            <v>476</v>
          </cell>
          <cell r="E479">
            <v>84141000</v>
          </cell>
          <cell r="F479">
            <v>5</v>
          </cell>
          <cell r="G479" t="str">
            <v>NITROGEN COMPRESSOR</v>
          </cell>
        </row>
        <row r="480">
          <cell r="D480">
            <v>477</v>
          </cell>
          <cell r="E480">
            <v>84149000</v>
          </cell>
          <cell r="F480">
            <v>5</v>
          </cell>
          <cell r="G480" t="str">
            <v>NITROGEN COMPRESSOR PACKAGE</v>
          </cell>
        </row>
        <row r="481">
          <cell r="D481">
            <v>478</v>
          </cell>
          <cell r="E481">
            <v>84822000</v>
          </cell>
          <cell r="F481">
            <v>5</v>
          </cell>
          <cell r="G481" t="str">
            <v>BEARING ASSEMBLY, RADIAL</v>
          </cell>
        </row>
        <row r="482">
          <cell r="D482">
            <v>479</v>
          </cell>
          <cell r="E482">
            <v>84822000</v>
          </cell>
          <cell r="F482">
            <v>5</v>
          </cell>
          <cell r="G482" t="str">
            <v>BEARING ASSEMBLY, RADIAL</v>
          </cell>
        </row>
        <row r="483">
          <cell r="D483">
            <v>480</v>
          </cell>
          <cell r="E483">
            <v>84821000</v>
          </cell>
          <cell r="F483">
            <v>5</v>
          </cell>
          <cell r="G483" t="str">
            <v>BEARING ASSEMBLY, THRUST</v>
          </cell>
        </row>
        <row r="484">
          <cell r="D484">
            <v>481</v>
          </cell>
          <cell r="E484">
            <v>84829900</v>
          </cell>
          <cell r="F484">
            <v>5</v>
          </cell>
          <cell r="G484" t="str">
            <v>BEARING PADS - RADIAL/THRUST</v>
          </cell>
        </row>
        <row r="485">
          <cell r="D485">
            <v>482</v>
          </cell>
          <cell r="E485">
            <v>84832000</v>
          </cell>
          <cell r="F485">
            <v>5</v>
          </cell>
          <cell r="G485" t="str">
            <v>THRUST COLLAR WITH KEYS &amp; NUTS</v>
          </cell>
        </row>
        <row r="486">
          <cell r="D486">
            <v>483</v>
          </cell>
          <cell r="E486">
            <v>40169300</v>
          </cell>
          <cell r="F486">
            <v>5</v>
          </cell>
          <cell r="G486" t="str">
            <v>OIL SEALS</v>
          </cell>
        </row>
        <row r="487">
          <cell r="D487">
            <v>484</v>
          </cell>
          <cell r="E487">
            <v>40169300</v>
          </cell>
          <cell r="F487">
            <v>5</v>
          </cell>
          <cell r="G487" t="str">
            <v>LABRYRINTHS</v>
          </cell>
        </row>
        <row r="488">
          <cell r="D488">
            <v>485</v>
          </cell>
          <cell r="E488">
            <v>84849000</v>
          </cell>
          <cell r="F488">
            <v>5</v>
          </cell>
          <cell r="G488" t="str">
            <v>SEAL ASSEMBLY</v>
          </cell>
        </row>
        <row r="489">
          <cell r="D489">
            <v>486</v>
          </cell>
          <cell r="E489">
            <v>84849000</v>
          </cell>
          <cell r="F489">
            <v>5</v>
          </cell>
          <cell r="G489" t="str">
            <v>SEAL ASSEMBLY</v>
          </cell>
        </row>
        <row r="490">
          <cell r="D490">
            <v>487</v>
          </cell>
          <cell r="E490">
            <v>40169300</v>
          </cell>
          <cell r="F490">
            <v>5</v>
          </cell>
          <cell r="G490" t="str">
            <v>SEAL RINGS, STATIONARY</v>
          </cell>
        </row>
        <row r="491">
          <cell r="D491">
            <v>488</v>
          </cell>
          <cell r="E491">
            <v>40169300</v>
          </cell>
          <cell r="F491">
            <v>5</v>
          </cell>
          <cell r="G491" t="str">
            <v>SEAL RINGS, ROTATING</v>
          </cell>
        </row>
        <row r="492">
          <cell r="D492">
            <v>489</v>
          </cell>
          <cell r="E492">
            <v>73202000</v>
          </cell>
          <cell r="F492">
            <v>5</v>
          </cell>
          <cell r="G492" t="str">
            <v>SPRINGS-SEAL</v>
          </cell>
        </row>
        <row r="493">
          <cell r="D493">
            <v>490</v>
          </cell>
          <cell r="E493">
            <v>84839000</v>
          </cell>
          <cell r="F493">
            <v>5</v>
          </cell>
          <cell r="G493" t="str">
            <v>SLEEVE-SHAFT</v>
          </cell>
        </row>
        <row r="494">
          <cell r="D494">
            <v>491</v>
          </cell>
          <cell r="E494">
            <v>84849000</v>
          </cell>
          <cell r="F494">
            <v>5</v>
          </cell>
          <cell r="G494" t="str">
            <v>GASKETS/O'RINGS</v>
          </cell>
        </row>
        <row r="495">
          <cell r="D495">
            <v>492</v>
          </cell>
          <cell r="E495">
            <v>40169300</v>
          </cell>
          <cell r="F495">
            <v>5</v>
          </cell>
          <cell r="G495" t="str">
            <v>SEAL-LABYRINTH, IMPELLERS</v>
          </cell>
        </row>
        <row r="496">
          <cell r="D496">
            <v>493</v>
          </cell>
          <cell r="E496">
            <v>40169300</v>
          </cell>
          <cell r="F496">
            <v>5</v>
          </cell>
          <cell r="G496" t="str">
            <v>SEAL-LABYRINTH, DIAPHRAGMS</v>
          </cell>
        </row>
        <row r="497">
          <cell r="D497">
            <v>494</v>
          </cell>
          <cell r="E497">
            <v>84849000</v>
          </cell>
          <cell r="F497">
            <v>5</v>
          </cell>
          <cell r="G497" t="str">
            <v>SEAL-BALANCING DRUM</v>
          </cell>
        </row>
        <row r="498">
          <cell r="D498">
            <v>495</v>
          </cell>
          <cell r="E498">
            <v>73182100</v>
          </cell>
          <cell r="F498">
            <v>5</v>
          </cell>
          <cell r="G498" t="str">
            <v>INTERNAL LOCKWASHERS</v>
          </cell>
        </row>
        <row r="499">
          <cell r="D499">
            <v>496</v>
          </cell>
          <cell r="E499">
            <v>73181500</v>
          </cell>
          <cell r="F499">
            <v>5</v>
          </cell>
          <cell r="G499" t="str">
            <v>INTERNAL BOLTING</v>
          </cell>
        </row>
        <row r="500">
          <cell r="D500">
            <v>497</v>
          </cell>
          <cell r="E500">
            <v>84849000</v>
          </cell>
          <cell r="F500">
            <v>5</v>
          </cell>
          <cell r="G500" t="str">
            <v>COUPLING SPACERS WITH HUBS</v>
          </cell>
        </row>
        <row r="501">
          <cell r="D501">
            <v>498</v>
          </cell>
          <cell r="E501">
            <v>84849000</v>
          </cell>
          <cell r="F501">
            <v>5</v>
          </cell>
          <cell r="G501" t="str">
            <v>SHIM PACKS</v>
          </cell>
        </row>
        <row r="502">
          <cell r="D502">
            <v>499</v>
          </cell>
          <cell r="E502">
            <v>73181500</v>
          </cell>
          <cell r="F502">
            <v>5</v>
          </cell>
          <cell r="G502" t="str">
            <v>COUPLING BOLTS</v>
          </cell>
        </row>
        <row r="503">
          <cell r="D503">
            <v>500</v>
          </cell>
          <cell r="E503">
            <v>84834000</v>
          </cell>
          <cell r="F503">
            <v>5</v>
          </cell>
          <cell r="G503" t="str">
            <v xml:space="preserve">GEAR </v>
          </cell>
        </row>
        <row r="504">
          <cell r="D504">
            <v>501</v>
          </cell>
          <cell r="E504">
            <v>82059010</v>
          </cell>
          <cell r="F504">
            <v>5</v>
          </cell>
          <cell r="G504" t="str">
            <v>TOOL KIT</v>
          </cell>
        </row>
        <row r="505">
          <cell r="D505">
            <v>502</v>
          </cell>
          <cell r="E505">
            <v>32149000</v>
          </cell>
          <cell r="F505">
            <v>5</v>
          </cell>
          <cell r="G505" t="str">
            <v>SEALANTS</v>
          </cell>
        </row>
        <row r="506">
          <cell r="D506">
            <v>503</v>
          </cell>
          <cell r="E506">
            <v>27100059</v>
          </cell>
          <cell r="F506">
            <v>20</v>
          </cell>
          <cell r="G506" t="str">
            <v>ANTISIEZE</v>
          </cell>
        </row>
        <row r="507">
          <cell r="D507">
            <v>504</v>
          </cell>
          <cell r="E507">
            <v>84819000</v>
          </cell>
          <cell r="F507">
            <v>5</v>
          </cell>
          <cell r="G507" t="str">
            <v>VALVE PLATE</v>
          </cell>
        </row>
        <row r="508">
          <cell r="D508">
            <v>505</v>
          </cell>
          <cell r="E508">
            <v>84819000</v>
          </cell>
          <cell r="F508">
            <v>5</v>
          </cell>
          <cell r="G508" t="str">
            <v>VALVE SPRING</v>
          </cell>
        </row>
        <row r="509">
          <cell r="D509">
            <v>506</v>
          </cell>
          <cell r="E509">
            <v>40169510</v>
          </cell>
          <cell r="F509">
            <v>5</v>
          </cell>
          <cell r="G509" t="str">
            <v>BUFFER PLATE</v>
          </cell>
        </row>
        <row r="510">
          <cell r="D510">
            <v>507</v>
          </cell>
          <cell r="E510">
            <v>84099110</v>
          </cell>
          <cell r="F510">
            <v>5</v>
          </cell>
          <cell r="G510" t="str">
            <v>PISTON SLEEVE</v>
          </cell>
        </row>
        <row r="511">
          <cell r="D511">
            <v>508</v>
          </cell>
          <cell r="E511">
            <v>84099110</v>
          </cell>
          <cell r="F511">
            <v>5</v>
          </cell>
          <cell r="G511" t="str">
            <v>PISTON ROD</v>
          </cell>
        </row>
        <row r="512">
          <cell r="D512">
            <v>509</v>
          </cell>
          <cell r="E512">
            <v>84741000</v>
          </cell>
          <cell r="F512">
            <v>5</v>
          </cell>
          <cell r="G512" t="str">
            <v>OIL SCRAPER</v>
          </cell>
        </row>
        <row r="513">
          <cell r="D513">
            <v>510</v>
          </cell>
          <cell r="E513">
            <v>84818090</v>
          </cell>
          <cell r="F513">
            <v>5</v>
          </cell>
          <cell r="G513" t="str">
            <v>SUCTION VALVE</v>
          </cell>
        </row>
        <row r="514">
          <cell r="D514">
            <v>511</v>
          </cell>
          <cell r="E514">
            <v>84261900</v>
          </cell>
          <cell r="F514">
            <v>5</v>
          </cell>
          <cell r="G514" t="str">
            <v>UNLOADER</v>
          </cell>
        </row>
        <row r="515">
          <cell r="D515">
            <v>512</v>
          </cell>
          <cell r="E515">
            <v>84818090</v>
          </cell>
          <cell r="F515">
            <v>5</v>
          </cell>
          <cell r="G515" t="str">
            <v>DISCHARGE VALVE</v>
          </cell>
        </row>
        <row r="516">
          <cell r="D516">
            <v>513</v>
          </cell>
          <cell r="E516">
            <v>72166900</v>
          </cell>
          <cell r="F516">
            <v>5</v>
          </cell>
          <cell r="G516" t="str">
            <v>MAIN METAL</v>
          </cell>
        </row>
        <row r="517">
          <cell r="D517">
            <v>514</v>
          </cell>
          <cell r="E517">
            <v>84839000</v>
          </cell>
          <cell r="F517">
            <v>5</v>
          </cell>
          <cell r="G517" t="str">
            <v>CRANKPIN</v>
          </cell>
        </row>
        <row r="518">
          <cell r="D518">
            <v>515</v>
          </cell>
          <cell r="E518">
            <v>84099110</v>
          </cell>
          <cell r="F518">
            <v>5</v>
          </cell>
          <cell r="G518" t="str">
            <v>CROSSHEAD</v>
          </cell>
        </row>
        <row r="519">
          <cell r="D519">
            <v>516</v>
          </cell>
          <cell r="E519">
            <v>84099110</v>
          </cell>
          <cell r="F519">
            <v>5</v>
          </cell>
          <cell r="G519" t="str">
            <v>PISTON ROD</v>
          </cell>
        </row>
        <row r="520">
          <cell r="D520">
            <v>517</v>
          </cell>
          <cell r="E520">
            <v>84839000</v>
          </cell>
          <cell r="F520">
            <v>5</v>
          </cell>
          <cell r="G520" t="str">
            <v>CROSSHEAD PIN</v>
          </cell>
        </row>
        <row r="521">
          <cell r="D521">
            <v>518</v>
          </cell>
          <cell r="E521">
            <v>70179000</v>
          </cell>
          <cell r="F521">
            <v>5</v>
          </cell>
          <cell r="G521" t="str">
            <v>SIGHT GLASS</v>
          </cell>
        </row>
        <row r="522">
          <cell r="D522">
            <v>519</v>
          </cell>
          <cell r="E522">
            <v>90261000</v>
          </cell>
          <cell r="F522">
            <v>5</v>
          </cell>
          <cell r="G522" t="str">
            <v>OIL GAUGE</v>
          </cell>
        </row>
        <row r="523">
          <cell r="D523">
            <v>520</v>
          </cell>
          <cell r="E523">
            <v>84212300</v>
          </cell>
          <cell r="F523">
            <v>5</v>
          </cell>
          <cell r="G523" t="str">
            <v>OIL FILTER</v>
          </cell>
        </row>
        <row r="524">
          <cell r="D524">
            <v>521</v>
          </cell>
          <cell r="E524">
            <v>84834000</v>
          </cell>
          <cell r="F524">
            <v>5</v>
          </cell>
          <cell r="G524" t="str">
            <v>GEAR</v>
          </cell>
        </row>
        <row r="525">
          <cell r="D525">
            <v>522</v>
          </cell>
          <cell r="E525">
            <v>84133000</v>
          </cell>
          <cell r="F525">
            <v>5</v>
          </cell>
          <cell r="G525" t="str">
            <v>OIL PUMP</v>
          </cell>
        </row>
        <row r="526">
          <cell r="D526">
            <v>523</v>
          </cell>
          <cell r="E526">
            <v>82059010</v>
          </cell>
          <cell r="F526">
            <v>5</v>
          </cell>
          <cell r="G526" t="str">
            <v>TOOL BOX</v>
          </cell>
        </row>
        <row r="527">
          <cell r="D527">
            <v>524</v>
          </cell>
          <cell r="E527">
            <v>84749000</v>
          </cell>
          <cell r="F527">
            <v>5</v>
          </cell>
          <cell r="G527" t="str">
            <v>JIG</v>
          </cell>
        </row>
        <row r="528">
          <cell r="D528">
            <v>525</v>
          </cell>
          <cell r="E528">
            <v>90303900</v>
          </cell>
          <cell r="F528">
            <v>5</v>
          </cell>
          <cell r="G528" t="str">
            <v>DEFLECTION GAUGE</v>
          </cell>
        </row>
        <row r="529">
          <cell r="D529">
            <v>526</v>
          </cell>
          <cell r="E529">
            <v>82041200</v>
          </cell>
          <cell r="F529">
            <v>5</v>
          </cell>
          <cell r="G529" t="str">
            <v>SPANNER</v>
          </cell>
        </row>
        <row r="530">
          <cell r="D530">
            <v>527</v>
          </cell>
          <cell r="E530">
            <v>82041200</v>
          </cell>
          <cell r="F530">
            <v>5</v>
          </cell>
          <cell r="G530" t="str">
            <v>WRENCH</v>
          </cell>
        </row>
        <row r="531">
          <cell r="D531">
            <v>528</v>
          </cell>
          <cell r="E531">
            <v>84149000</v>
          </cell>
          <cell r="F531">
            <v>5</v>
          </cell>
          <cell r="G531" t="str">
            <v>BLOWER</v>
          </cell>
        </row>
        <row r="532">
          <cell r="D532">
            <v>529</v>
          </cell>
          <cell r="E532">
            <v>84821000</v>
          </cell>
          <cell r="F532">
            <v>5</v>
          </cell>
          <cell r="G532" t="str">
            <v>BEARING ASSEMBLY</v>
          </cell>
        </row>
        <row r="533">
          <cell r="D533">
            <v>530</v>
          </cell>
          <cell r="E533">
            <v>84839000</v>
          </cell>
          <cell r="F533">
            <v>5</v>
          </cell>
          <cell r="G533" t="str">
            <v>COUPLING ASSEMBLY</v>
          </cell>
        </row>
        <row r="534">
          <cell r="D534">
            <v>531</v>
          </cell>
          <cell r="E534">
            <v>84835000</v>
          </cell>
          <cell r="F534">
            <v>5</v>
          </cell>
          <cell r="G534" t="str">
            <v>PULLEYS</v>
          </cell>
        </row>
        <row r="535">
          <cell r="D535">
            <v>532</v>
          </cell>
          <cell r="E535">
            <v>40102900</v>
          </cell>
          <cell r="F535">
            <v>5</v>
          </cell>
          <cell r="G535" t="str">
            <v>BELTS</v>
          </cell>
        </row>
        <row r="536">
          <cell r="D536">
            <v>533</v>
          </cell>
          <cell r="E536">
            <v>40169300</v>
          </cell>
          <cell r="F536">
            <v>5</v>
          </cell>
          <cell r="G536" t="str">
            <v>SEALS</v>
          </cell>
        </row>
        <row r="537">
          <cell r="D537">
            <v>534</v>
          </cell>
          <cell r="E537">
            <v>40169590</v>
          </cell>
          <cell r="F537">
            <v>5</v>
          </cell>
          <cell r="G537" t="str">
            <v>DAMPER</v>
          </cell>
        </row>
        <row r="538">
          <cell r="D538">
            <v>535</v>
          </cell>
          <cell r="E538">
            <v>70179000</v>
          </cell>
          <cell r="F538">
            <v>5</v>
          </cell>
          <cell r="G538" t="str">
            <v>SIGHT GLASS</v>
          </cell>
        </row>
        <row r="539">
          <cell r="D539">
            <v>536</v>
          </cell>
          <cell r="E539">
            <v>84798950</v>
          </cell>
          <cell r="F539">
            <v>5</v>
          </cell>
          <cell r="G539" t="str">
            <v>CONSTANT LEVEL OILER</v>
          </cell>
        </row>
        <row r="540">
          <cell r="D540">
            <v>537</v>
          </cell>
          <cell r="E540">
            <v>84859000</v>
          </cell>
          <cell r="F540">
            <v>5</v>
          </cell>
          <cell r="G540" t="str">
            <v>ROTOR ASSEMBLY</v>
          </cell>
        </row>
        <row r="541">
          <cell r="D541">
            <v>538</v>
          </cell>
          <cell r="E541">
            <v>84141000</v>
          </cell>
          <cell r="F541">
            <v>5</v>
          </cell>
          <cell r="G541" t="str">
            <v>AIR COMPRESSOR</v>
          </cell>
        </row>
        <row r="542">
          <cell r="D542">
            <v>539</v>
          </cell>
          <cell r="E542">
            <v>84149000</v>
          </cell>
          <cell r="F542">
            <v>5</v>
          </cell>
          <cell r="G542" t="str">
            <v>AIR COMPRESSOR PACKAGE</v>
          </cell>
        </row>
        <row r="543">
          <cell r="D543">
            <v>540</v>
          </cell>
          <cell r="E543">
            <v>84821000</v>
          </cell>
          <cell r="F543">
            <v>5</v>
          </cell>
          <cell r="G543" t="str">
            <v>BEARING ASSEMBLY, RADIAL</v>
          </cell>
        </row>
        <row r="544">
          <cell r="D544">
            <v>541</v>
          </cell>
          <cell r="E544">
            <v>84821000</v>
          </cell>
          <cell r="F544">
            <v>5</v>
          </cell>
          <cell r="G544" t="str">
            <v>BEARING ASSEMBLY, RADIAL</v>
          </cell>
        </row>
        <row r="545">
          <cell r="D545">
            <v>542</v>
          </cell>
          <cell r="E545">
            <v>84821000</v>
          </cell>
          <cell r="F545">
            <v>5</v>
          </cell>
          <cell r="G545" t="str">
            <v>BEARING ASSEMBLY, THRUST</v>
          </cell>
        </row>
        <row r="546">
          <cell r="D546">
            <v>543</v>
          </cell>
          <cell r="E546">
            <v>84829900</v>
          </cell>
          <cell r="F546">
            <v>5</v>
          </cell>
          <cell r="G546" t="str">
            <v>BEARING PADS - RADIAL</v>
          </cell>
        </row>
        <row r="547">
          <cell r="D547">
            <v>544</v>
          </cell>
          <cell r="E547">
            <v>84829900</v>
          </cell>
          <cell r="F547">
            <v>5</v>
          </cell>
          <cell r="G547" t="str">
            <v>BEARING PADS - THRUST</v>
          </cell>
        </row>
        <row r="548">
          <cell r="D548">
            <v>545</v>
          </cell>
          <cell r="E548">
            <v>84832000</v>
          </cell>
          <cell r="F548">
            <v>5</v>
          </cell>
          <cell r="G548" t="str">
            <v>THRUST COLLAR WITH KEYS &amp; NUTS</v>
          </cell>
        </row>
        <row r="549">
          <cell r="D549">
            <v>546</v>
          </cell>
          <cell r="E549">
            <v>40169300</v>
          </cell>
          <cell r="F549">
            <v>5</v>
          </cell>
          <cell r="G549" t="str">
            <v>OIL SEALS</v>
          </cell>
        </row>
        <row r="550">
          <cell r="D550">
            <v>547</v>
          </cell>
          <cell r="E550">
            <v>40169300</v>
          </cell>
          <cell r="F550">
            <v>5</v>
          </cell>
          <cell r="G550" t="str">
            <v>LABRYRINTHS</v>
          </cell>
        </row>
        <row r="551">
          <cell r="D551">
            <v>548</v>
          </cell>
          <cell r="E551">
            <v>40169300</v>
          </cell>
          <cell r="F551">
            <v>5</v>
          </cell>
          <cell r="G551" t="str">
            <v>SEAL ASSEMBLY</v>
          </cell>
        </row>
        <row r="552">
          <cell r="D552">
            <v>549</v>
          </cell>
          <cell r="E552">
            <v>40169300</v>
          </cell>
          <cell r="F552">
            <v>5</v>
          </cell>
          <cell r="G552" t="str">
            <v>SEAL ASSEMBLY</v>
          </cell>
        </row>
        <row r="553">
          <cell r="D553">
            <v>550</v>
          </cell>
          <cell r="E553">
            <v>40169300</v>
          </cell>
          <cell r="F553">
            <v>5</v>
          </cell>
          <cell r="G553" t="str">
            <v>SEAL RINGS, STATIONARY</v>
          </cell>
        </row>
        <row r="554">
          <cell r="D554">
            <v>551</v>
          </cell>
          <cell r="E554">
            <v>40169300</v>
          </cell>
          <cell r="F554">
            <v>5</v>
          </cell>
          <cell r="G554" t="str">
            <v>SEAL RINGS, ROTATING</v>
          </cell>
        </row>
        <row r="555">
          <cell r="D555">
            <v>552</v>
          </cell>
          <cell r="E555">
            <v>73202000</v>
          </cell>
          <cell r="F555">
            <v>5</v>
          </cell>
          <cell r="G555" t="str">
            <v>SPRINGS-SEAL</v>
          </cell>
        </row>
        <row r="556">
          <cell r="D556">
            <v>553</v>
          </cell>
          <cell r="E556">
            <v>84839000</v>
          </cell>
          <cell r="F556">
            <v>5</v>
          </cell>
          <cell r="G556" t="str">
            <v>SLEEVE-SHAFT</v>
          </cell>
        </row>
        <row r="557">
          <cell r="D557">
            <v>554</v>
          </cell>
          <cell r="E557">
            <v>40169300</v>
          </cell>
          <cell r="F557">
            <v>5</v>
          </cell>
          <cell r="G557" t="str">
            <v>SEAL-LABYRINTH, IMPELLERS</v>
          </cell>
        </row>
        <row r="558">
          <cell r="D558">
            <v>555</v>
          </cell>
          <cell r="E558">
            <v>40169300</v>
          </cell>
          <cell r="F558">
            <v>5</v>
          </cell>
          <cell r="G558" t="str">
            <v>SEAL-LABYRINTH, DIAPHRAGMS</v>
          </cell>
        </row>
        <row r="559">
          <cell r="D559">
            <v>556</v>
          </cell>
          <cell r="E559">
            <v>40169300</v>
          </cell>
          <cell r="F559">
            <v>5</v>
          </cell>
          <cell r="G559" t="str">
            <v>SEAL-BALANCING DRUM</v>
          </cell>
        </row>
        <row r="560">
          <cell r="D560">
            <v>557</v>
          </cell>
          <cell r="E560">
            <v>73182100</v>
          </cell>
          <cell r="F560">
            <v>5</v>
          </cell>
          <cell r="G560" t="str">
            <v>INTERNAL LOCKWASHERS</v>
          </cell>
        </row>
        <row r="561">
          <cell r="D561">
            <v>558</v>
          </cell>
          <cell r="E561">
            <v>73181500</v>
          </cell>
          <cell r="F561">
            <v>5</v>
          </cell>
          <cell r="G561" t="str">
            <v>INTERNAL BOLTING</v>
          </cell>
        </row>
        <row r="562">
          <cell r="D562">
            <v>559</v>
          </cell>
          <cell r="E562">
            <v>84849000</v>
          </cell>
          <cell r="F562">
            <v>5</v>
          </cell>
          <cell r="G562" t="str">
            <v>COUPLING SPACERS WITH HUBS</v>
          </cell>
        </row>
        <row r="563">
          <cell r="D563">
            <v>560</v>
          </cell>
          <cell r="E563">
            <v>84849000</v>
          </cell>
          <cell r="F563">
            <v>5</v>
          </cell>
          <cell r="G563" t="str">
            <v>SHIM PACKS</v>
          </cell>
        </row>
        <row r="564">
          <cell r="D564">
            <v>561</v>
          </cell>
          <cell r="E564">
            <v>73181500</v>
          </cell>
          <cell r="F564">
            <v>5</v>
          </cell>
          <cell r="G564" t="str">
            <v>COUPLING BOLTS</v>
          </cell>
        </row>
        <row r="565">
          <cell r="D565">
            <v>562</v>
          </cell>
          <cell r="E565">
            <v>84834000</v>
          </cell>
          <cell r="F565">
            <v>5</v>
          </cell>
          <cell r="G565" t="str">
            <v xml:space="preserve">GEAR </v>
          </cell>
        </row>
        <row r="566">
          <cell r="D566">
            <v>563</v>
          </cell>
          <cell r="E566">
            <v>82059010</v>
          </cell>
          <cell r="F566">
            <v>5</v>
          </cell>
          <cell r="G566" t="str">
            <v>TOOL KIT</v>
          </cell>
        </row>
        <row r="567">
          <cell r="D567">
            <v>564</v>
          </cell>
          <cell r="E567">
            <v>32149000</v>
          </cell>
          <cell r="F567">
            <v>5</v>
          </cell>
          <cell r="G567" t="str">
            <v>SEALANTS</v>
          </cell>
        </row>
        <row r="568">
          <cell r="D568">
            <v>565</v>
          </cell>
          <cell r="E568">
            <v>27100059</v>
          </cell>
          <cell r="F568">
            <v>20</v>
          </cell>
          <cell r="G568" t="str">
            <v>ANTISIEZE</v>
          </cell>
        </row>
        <row r="569">
          <cell r="D569">
            <v>566</v>
          </cell>
          <cell r="E569">
            <v>27100059</v>
          </cell>
          <cell r="F569">
            <v>20</v>
          </cell>
          <cell r="G569" t="str">
            <v>OIL BUFFLE</v>
          </cell>
        </row>
        <row r="570">
          <cell r="D570">
            <v>567</v>
          </cell>
          <cell r="E570">
            <v>40169300</v>
          </cell>
          <cell r="F570">
            <v>5</v>
          </cell>
          <cell r="G570" t="str">
            <v>SHAFT SEAL</v>
          </cell>
        </row>
        <row r="571">
          <cell r="D571">
            <v>568</v>
          </cell>
          <cell r="E571">
            <v>40169300</v>
          </cell>
          <cell r="F571">
            <v>5</v>
          </cell>
          <cell r="G571" t="str">
            <v>RUBBER PACKING</v>
          </cell>
        </row>
        <row r="572">
          <cell r="D572">
            <v>569</v>
          </cell>
          <cell r="E572">
            <v>84859000</v>
          </cell>
          <cell r="F572">
            <v>5</v>
          </cell>
          <cell r="G572" t="str">
            <v>SPARE ROTOR</v>
          </cell>
        </row>
        <row r="573">
          <cell r="D573">
            <v>570</v>
          </cell>
          <cell r="E573">
            <v>82051000</v>
          </cell>
          <cell r="F573">
            <v>5</v>
          </cell>
          <cell r="G573" t="str">
            <v>REAMER BOLTS</v>
          </cell>
        </row>
        <row r="574">
          <cell r="D574">
            <v>571</v>
          </cell>
          <cell r="E574">
            <v>84219900</v>
          </cell>
          <cell r="F574">
            <v>5</v>
          </cell>
          <cell r="G574" t="str">
            <v>FILTER ELEMENT</v>
          </cell>
        </row>
        <row r="575">
          <cell r="D575">
            <v>572</v>
          </cell>
          <cell r="E575">
            <v>84818090</v>
          </cell>
          <cell r="F575">
            <v>5</v>
          </cell>
          <cell r="G575" t="str">
            <v>VALVE DIAPHRAGM</v>
          </cell>
        </row>
        <row r="576">
          <cell r="D576">
            <v>573</v>
          </cell>
          <cell r="E576">
            <v>84819000</v>
          </cell>
          <cell r="F576">
            <v>5</v>
          </cell>
          <cell r="G576" t="str">
            <v>VALVE TRIM</v>
          </cell>
        </row>
        <row r="577">
          <cell r="D577">
            <v>574</v>
          </cell>
          <cell r="E577">
            <v>84819000</v>
          </cell>
          <cell r="F577">
            <v>5</v>
          </cell>
          <cell r="G577" t="str">
            <v>VALVE SEAT RING</v>
          </cell>
        </row>
        <row r="578">
          <cell r="D578">
            <v>575</v>
          </cell>
          <cell r="E578">
            <v>84849000</v>
          </cell>
          <cell r="F578">
            <v>5</v>
          </cell>
          <cell r="G578" t="str">
            <v>VALVE PACKINGS</v>
          </cell>
        </row>
        <row r="579">
          <cell r="D579">
            <v>576</v>
          </cell>
          <cell r="E579">
            <v>84819000</v>
          </cell>
          <cell r="F579">
            <v>5</v>
          </cell>
          <cell r="G579" t="str">
            <v>VALVE STEM PIN</v>
          </cell>
        </row>
        <row r="580">
          <cell r="D580">
            <v>577</v>
          </cell>
          <cell r="E580">
            <v>70179000</v>
          </cell>
          <cell r="F580">
            <v>5</v>
          </cell>
          <cell r="G580" t="str">
            <v>GLASS FOR SIGHT GLASS</v>
          </cell>
        </row>
        <row r="581">
          <cell r="D581">
            <v>578</v>
          </cell>
          <cell r="E581">
            <v>40101900</v>
          </cell>
          <cell r="F581">
            <v>5</v>
          </cell>
          <cell r="G581" t="str">
            <v>BELT DRIVER</v>
          </cell>
        </row>
        <row r="582">
          <cell r="D582">
            <v>579</v>
          </cell>
          <cell r="E582">
            <v>84835000</v>
          </cell>
          <cell r="F582">
            <v>5</v>
          </cell>
          <cell r="G582" t="str">
            <v>FAN AND MOTOR SHEAVES</v>
          </cell>
        </row>
        <row r="583">
          <cell r="D583">
            <v>580</v>
          </cell>
          <cell r="E583">
            <v>85365000</v>
          </cell>
          <cell r="F583">
            <v>5</v>
          </cell>
          <cell r="G583" t="str">
            <v>VIBRATION SWITCHES</v>
          </cell>
        </row>
        <row r="584">
          <cell r="D584">
            <v>581</v>
          </cell>
          <cell r="E584">
            <v>73079900</v>
          </cell>
          <cell r="F584">
            <v>5</v>
          </cell>
          <cell r="G584" t="str">
            <v>PLUGS</v>
          </cell>
        </row>
        <row r="585">
          <cell r="D585">
            <v>582</v>
          </cell>
          <cell r="E585">
            <v>70179000</v>
          </cell>
          <cell r="F585">
            <v>5</v>
          </cell>
          <cell r="G585" t="str">
            <v>GLASS</v>
          </cell>
        </row>
        <row r="586">
          <cell r="D586">
            <v>583</v>
          </cell>
          <cell r="E586">
            <v>84219900</v>
          </cell>
          <cell r="F586">
            <v>5</v>
          </cell>
          <cell r="G586" t="str">
            <v>AIR FILTER ELEMENT</v>
          </cell>
        </row>
        <row r="587">
          <cell r="D587">
            <v>584</v>
          </cell>
          <cell r="E587">
            <v>84818090</v>
          </cell>
          <cell r="F587">
            <v>5</v>
          </cell>
          <cell r="G587" t="str">
            <v>SOLENOID VALVE</v>
          </cell>
        </row>
        <row r="588">
          <cell r="D588">
            <v>585</v>
          </cell>
          <cell r="E588">
            <v>85365000</v>
          </cell>
          <cell r="F588">
            <v>5</v>
          </cell>
          <cell r="G588" t="str">
            <v>DIFFERENTIAL PRESSURE SWITCH</v>
          </cell>
        </row>
        <row r="589">
          <cell r="D589">
            <v>586</v>
          </cell>
          <cell r="E589">
            <v>85364900</v>
          </cell>
          <cell r="F589">
            <v>5</v>
          </cell>
          <cell r="G589" t="str">
            <v>RELAY</v>
          </cell>
        </row>
        <row r="590">
          <cell r="D590">
            <v>587</v>
          </cell>
          <cell r="E590">
            <v>91070000</v>
          </cell>
          <cell r="F590">
            <v>5</v>
          </cell>
          <cell r="G590" t="str">
            <v>PULSE TIMER</v>
          </cell>
        </row>
        <row r="591">
          <cell r="D591">
            <v>588</v>
          </cell>
          <cell r="E591">
            <v>91070000</v>
          </cell>
          <cell r="F591">
            <v>5</v>
          </cell>
          <cell r="G591" t="str">
            <v>TIMER</v>
          </cell>
        </row>
        <row r="592">
          <cell r="D592">
            <v>589</v>
          </cell>
          <cell r="E592">
            <v>84189990</v>
          </cell>
          <cell r="F592">
            <v>5</v>
          </cell>
          <cell r="G592" t="str">
            <v>REFRIGENERATOR</v>
          </cell>
        </row>
        <row r="593">
          <cell r="D593">
            <v>590</v>
          </cell>
          <cell r="E593">
            <v>84199000</v>
          </cell>
          <cell r="F593">
            <v>5</v>
          </cell>
          <cell r="G593" t="str">
            <v>REFRIGENERATOR PACKAGE</v>
          </cell>
        </row>
        <row r="594">
          <cell r="D594">
            <v>591</v>
          </cell>
          <cell r="E594">
            <v>84821000</v>
          </cell>
          <cell r="F594">
            <v>5</v>
          </cell>
          <cell r="G594" t="str">
            <v>BEARING ASSEMBLY, RADIAL</v>
          </cell>
        </row>
        <row r="595">
          <cell r="D595">
            <v>592</v>
          </cell>
          <cell r="E595">
            <v>84821000</v>
          </cell>
          <cell r="F595">
            <v>5</v>
          </cell>
          <cell r="G595" t="str">
            <v>BEARING ASSEMBLY, RADIAL</v>
          </cell>
        </row>
        <row r="596">
          <cell r="D596">
            <v>593</v>
          </cell>
          <cell r="E596">
            <v>84821000</v>
          </cell>
          <cell r="F596">
            <v>5</v>
          </cell>
          <cell r="G596" t="str">
            <v>BEARING ASSEMBLY, THRUST</v>
          </cell>
        </row>
        <row r="597">
          <cell r="D597">
            <v>594</v>
          </cell>
          <cell r="E597">
            <v>84829900</v>
          </cell>
          <cell r="F597">
            <v>5</v>
          </cell>
          <cell r="G597" t="str">
            <v>BEARING PADS - RADIAL/THRUST</v>
          </cell>
        </row>
        <row r="598">
          <cell r="D598">
            <v>595</v>
          </cell>
          <cell r="E598">
            <v>84832000</v>
          </cell>
          <cell r="F598">
            <v>5</v>
          </cell>
          <cell r="G598" t="str">
            <v>THRUST COLLAR WITH KEYS &amp; NUTS</v>
          </cell>
        </row>
        <row r="599">
          <cell r="D599">
            <v>596</v>
          </cell>
          <cell r="E599">
            <v>40169300</v>
          </cell>
          <cell r="F599">
            <v>5</v>
          </cell>
          <cell r="G599" t="str">
            <v>OIL SEALS</v>
          </cell>
        </row>
        <row r="600">
          <cell r="D600">
            <v>597</v>
          </cell>
          <cell r="E600">
            <v>40169300</v>
          </cell>
          <cell r="F600">
            <v>5</v>
          </cell>
          <cell r="G600" t="str">
            <v>LABRYRINTHS</v>
          </cell>
        </row>
        <row r="601">
          <cell r="D601">
            <v>598</v>
          </cell>
          <cell r="E601">
            <v>84842000</v>
          </cell>
          <cell r="F601">
            <v>5</v>
          </cell>
          <cell r="G601" t="str">
            <v>SEAL ASSEMBLY</v>
          </cell>
        </row>
        <row r="602">
          <cell r="D602">
            <v>599</v>
          </cell>
          <cell r="E602">
            <v>84842000</v>
          </cell>
          <cell r="F602">
            <v>5</v>
          </cell>
          <cell r="G602" t="str">
            <v>SEAL ASSEMBLY</v>
          </cell>
        </row>
        <row r="603">
          <cell r="D603">
            <v>600</v>
          </cell>
          <cell r="E603">
            <v>40169300</v>
          </cell>
          <cell r="F603">
            <v>5</v>
          </cell>
          <cell r="G603" t="str">
            <v>SEAL RINGS, STATIONARY</v>
          </cell>
        </row>
        <row r="604">
          <cell r="D604">
            <v>601</v>
          </cell>
          <cell r="E604">
            <v>40169300</v>
          </cell>
          <cell r="F604">
            <v>5</v>
          </cell>
          <cell r="G604" t="str">
            <v>SEAL RINGS, ROTATING</v>
          </cell>
        </row>
        <row r="605">
          <cell r="D605">
            <v>602</v>
          </cell>
          <cell r="E605">
            <v>73202000</v>
          </cell>
          <cell r="F605">
            <v>5</v>
          </cell>
          <cell r="G605" t="str">
            <v>SPRINGS-SEAL</v>
          </cell>
        </row>
        <row r="606">
          <cell r="D606">
            <v>603</v>
          </cell>
          <cell r="E606">
            <v>84839000</v>
          </cell>
          <cell r="F606">
            <v>5</v>
          </cell>
          <cell r="G606" t="str">
            <v>SLEEVE-SHAFT</v>
          </cell>
        </row>
        <row r="607">
          <cell r="D607">
            <v>604</v>
          </cell>
          <cell r="E607">
            <v>40169300</v>
          </cell>
          <cell r="F607">
            <v>5</v>
          </cell>
          <cell r="G607" t="str">
            <v>SEAL-LABYRINTH, IMPELLERS</v>
          </cell>
        </row>
        <row r="608">
          <cell r="D608">
            <v>605</v>
          </cell>
          <cell r="E608">
            <v>40169300</v>
          </cell>
          <cell r="F608">
            <v>5</v>
          </cell>
          <cell r="G608" t="str">
            <v>SEAL-LABYRINTH, DIAPHRAGMS</v>
          </cell>
        </row>
        <row r="609">
          <cell r="D609">
            <v>606</v>
          </cell>
          <cell r="E609">
            <v>84849000</v>
          </cell>
          <cell r="F609">
            <v>5</v>
          </cell>
          <cell r="G609" t="str">
            <v>SEAL-BALANCING DRUM</v>
          </cell>
        </row>
        <row r="610">
          <cell r="D610">
            <v>607</v>
          </cell>
          <cell r="E610">
            <v>73182100</v>
          </cell>
          <cell r="F610">
            <v>5</v>
          </cell>
          <cell r="G610" t="str">
            <v>INTERNAL LOCKWASHERS</v>
          </cell>
        </row>
        <row r="611">
          <cell r="D611">
            <v>608</v>
          </cell>
          <cell r="E611">
            <v>73181500</v>
          </cell>
          <cell r="F611">
            <v>5</v>
          </cell>
          <cell r="G611" t="str">
            <v>INTERNAL BOLTING</v>
          </cell>
        </row>
        <row r="612">
          <cell r="D612">
            <v>609</v>
          </cell>
          <cell r="E612">
            <v>84849000</v>
          </cell>
          <cell r="F612">
            <v>5</v>
          </cell>
          <cell r="G612" t="str">
            <v>COUPLING SPACERS WITH HUBS</v>
          </cell>
        </row>
        <row r="613">
          <cell r="D613">
            <v>610</v>
          </cell>
          <cell r="E613">
            <v>84849000</v>
          </cell>
          <cell r="F613">
            <v>5</v>
          </cell>
          <cell r="G613" t="str">
            <v>SHIM PACKS</v>
          </cell>
        </row>
        <row r="614">
          <cell r="D614">
            <v>611</v>
          </cell>
          <cell r="E614">
            <v>73181500</v>
          </cell>
          <cell r="F614">
            <v>5</v>
          </cell>
          <cell r="G614" t="str">
            <v>COUPLING BOLTS</v>
          </cell>
        </row>
        <row r="615">
          <cell r="D615">
            <v>612</v>
          </cell>
          <cell r="E615">
            <v>84834000</v>
          </cell>
          <cell r="F615">
            <v>5</v>
          </cell>
          <cell r="G615" t="str">
            <v xml:space="preserve">GEAR </v>
          </cell>
        </row>
        <row r="616">
          <cell r="D616">
            <v>613</v>
          </cell>
          <cell r="E616">
            <v>82059010</v>
          </cell>
          <cell r="F616">
            <v>5</v>
          </cell>
          <cell r="G616" t="str">
            <v>TOOL KIT</v>
          </cell>
        </row>
        <row r="617">
          <cell r="D617">
            <v>614</v>
          </cell>
          <cell r="E617">
            <v>32149000</v>
          </cell>
          <cell r="F617">
            <v>5</v>
          </cell>
          <cell r="G617" t="str">
            <v>SEALANTS</v>
          </cell>
        </row>
        <row r="618">
          <cell r="D618">
            <v>615</v>
          </cell>
          <cell r="E618">
            <v>27100059</v>
          </cell>
          <cell r="F618">
            <v>20</v>
          </cell>
          <cell r="G618" t="str">
            <v>ANTISIEZE</v>
          </cell>
        </row>
        <row r="619">
          <cell r="D619">
            <v>616</v>
          </cell>
          <cell r="E619">
            <v>85021300</v>
          </cell>
          <cell r="F619">
            <v>5</v>
          </cell>
          <cell r="G619" t="str">
            <v>EMERGENCY  DIESEL GENERATOR</v>
          </cell>
        </row>
        <row r="620">
          <cell r="D620">
            <v>617</v>
          </cell>
          <cell r="E620">
            <v>84212300</v>
          </cell>
          <cell r="F620">
            <v>5</v>
          </cell>
          <cell r="G620" t="str">
            <v>FUEL FILTER</v>
          </cell>
        </row>
        <row r="621">
          <cell r="D621">
            <v>618</v>
          </cell>
          <cell r="E621">
            <v>84212300</v>
          </cell>
          <cell r="F621">
            <v>5</v>
          </cell>
          <cell r="G621" t="str">
            <v>OIL FILTER</v>
          </cell>
        </row>
        <row r="622">
          <cell r="D622">
            <v>619</v>
          </cell>
          <cell r="E622">
            <v>84212190</v>
          </cell>
          <cell r="F622">
            <v>5</v>
          </cell>
          <cell r="G622" t="str">
            <v>WATER FILTER</v>
          </cell>
        </row>
        <row r="623">
          <cell r="D623">
            <v>620</v>
          </cell>
          <cell r="E623">
            <v>84213100</v>
          </cell>
          <cell r="F623">
            <v>5</v>
          </cell>
          <cell r="G623" t="str">
            <v>AIR FILTER</v>
          </cell>
        </row>
        <row r="624">
          <cell r="D624">
            <v>621</v>
          </cell>
          <cell r="E624">
            <v>90328900</v>
          </cell>
          <cell r="F624">
            <v>5</v>
          </cell>
          <cell r="G624" t="str">
            <v>D.C.A. TEST KIT</v>
          </cell>
        </row>
        <row r="625">
          <cell r="D625">
            <v>622</v>
          </cell>
          <cell r="E625">
            <v>84849000</v>
          </cell>
          <cell r="F625">
            <v>5</v>
          </cell>
          <cell r="G625" t="str">
            <v>ROCKER COVER GASKET</v>
          </cell>
        </row>
        <row r="626">
          <cell r="D626">
            <v>623</v>
          </cell>
          <cell r="E626">
            <v>40169300</v>
          </cell>
          <cell r="F626">
            <v>5</v>
          </cell>
          <cell r="G626" t="str">
            <v>SEAL RING</v>
          </cell>
        </row>
        <row r="627">
          <cell r="D627">
            <v>624</v>
          </cell>
          <cell r="E627">
            <v>40101900</v>
          </cell>
          <cell r="F627">
            <v>5</v>
          </cell>
          <cell r="G627" t="str">
            <v>DRIVE BELT</v>
          </cell>
        </row>
        <row r="628">
          <cell r="D628">
            <v>625</v>
          </cell>
          <cell r="E628">
            <v>73079900</v>
          </cell>
          <cell r="F628">
            <v>5</v>
          </cell>
          <cell r="G628" t="str">
            <v>CAP</v>
          </cell>
        </row>
        <row r="629">
          <cell r="D629">
            <v>626</v>
          </cell>
          <cell r="E629">
            <v>40169300</v>
          </cell>
          <cell r="F629">
            <v>5</v>
          </cell>
          <cell r="G629" t="str">
            <v>SEAL</v>
          </cell>
        </row>
        <row r="630">
          <cell r="D630">
            <v>627</v>
          </cell>
          <cell r="E630">
            <v>90321000</v>
          </cell>
          <cell r="F630">
            <v>5</v>
          </cell>
          <cell r="G630" t="str">
            <v>THERMOSTAT</v>
          </cell>
        </row>
        <row r="631">
          <cell r="D631">
            <v>628</v>
          </cell>
          <cell r="E631">
            <v>40095090</v>
          </cell>
          <cell r="F631">
            <v>5</v>
          </cell>
          <cell r="G631" t="str">
            <v>RADIATOR HOSE</v>
          </cell>
        </row>
        <row r="632">
          <cell r="D632">
            <v>629</v>
          </cell>
          <cell r="E632">
            <v>40095090</v>
          </cell>
          <cell r="F632">
            <v>5</v>
          </cell>
          <cell r="G632" t="str">
            <v>HOSE</v>
          </cell>
        </row>
        <row r="633">
          <cell r="D633">
            <v>630</v>
          </cell>
          <cell r="E633">
            <v>85408900</v>
          </cell>
          <cell r="F633">
            <v>5</v>
          </cell>
          <cell r="G633" t="str">
            <v>DIODE FOWARD</v>
          </cell>
        </row>
        <row r="634">
          <cell r="D634">
            <v>631</v>
          </cell>
          <cell r="E634">
            <v>85408900</v>
          </cell>
          <cell r="F634">
            <v>5</v>
          </cell>
          <cell r="G634" t="str">
            <v>DIODE REVERSE</v>
          </cell>
        </row>
        <row r="635">
          <cell r="D635">
            <v>632</v>
          </cell>
          <cell r="E635">
            <v>85333900</v>
          </cell>
          <cell r="F635">
            <v>5</v>
          </cell>
          <cell r="G635" t="str">
            <v>VARISTOR</v>
          </cell>
        </row>
        <row r="636">
          <cell r="D636">
            <v>633</v>
          </cell>
          <cell r="E636">
            <v>85351000</v>
          </cell>
          <cell r="F636">
            <v>5</v>
          </cell>
          <cell r="G636" t="str">
            <v>FUSE LINK</v>
          </cell>
        </row>
        <row r="637">
          <cell r="D637">
            <v>634</v>
          </cell>
          <cell r="E637">
            <v>85393900</v>
          </cell>
          <cell r="F637">
            <v>5</v>
          </cell>
          <cell r="G637" t="str">
            <v>NEON BULB</v>
          </cell>
        </row>
        <row r="638">
          <cell r="D638">
            <v>635</v>
          </cell>
          <cell r="E638">
            <v>84772000</v>
          </cell>
          <cell r="F638">
            <v>5</v>
          </cell>
          <cell r="G638" t="str">
            <v>EXTRUDER</v>
          </cell>
        </row>
        <row r="639">
          <cell r="D639">
            <v>636</v>
          </cell>
          <cell r="E639">
            <v>84779000</v>
          </cell>
          <cell r="F639">
            <v>5</v>
          </cell>
          <cell r="G639" t="str">
            <v>EXTRUDER PACKAGE</v>
          </cell>
        </row>
        <row r="640">
          <cell r="D640">
            <v>637</v>
          </cell>
          <cell r="E640">
            <v>84243000</v>
          </cell>
          <cell r="F640">
            <v>5</v>
          </cell>
          <cell r="G640" t="str">
            <v>AIR BREATHER</v>
          </cell>
        </row>
        <row r="641">
          <cell r="D641">
            <v>638</v>
          </cell>
          <cell r="E641">
            <v>84099120</v>
          </cell>
          <cell r="F641">
            <v>5</v>
          </cell>
          <cell r="G641" t="str">
            <v>AIR CYLINDER</v>
          </cell>
        </row>
        <row r="642">
          <cell r="D642">
            <v>639</v>
          </cell>
          <cell r="E642">
            <v>84213100</v>
          </cell>
          <cell r="F642">
            <v>5</v>
          </cell>
          <cell r="G642" t="str">
            <v>AIR FILTER</v>
          </cell>
        </row>
        <row r="643">
          <cell r="D643">
            <v>640</v>
          </cell>
          <cell r="E643">
            <v>84099110</v>
          </cell>
          <cell r="F643">
            <v>5</v>
          </cell>
          <cell r="G643" t="str">
            <v>PISTON RING</v>
          </cell>
        </row>
        <row r="644">
          <cell r="D644">
            <v>641</v>
          </cell>
          <cell r="E644">
            <v>84821000</v>
          </cell>
          <cell r="F644">
            <v>5</v>
          </cell>
          <cell r="G644" t="str">
            <v xml:space="preserve">BEARING SET </v>
          </cell>
        </row>
        <row r="645">
          <cell r="D645">
            <v>642</v>
          </cell>
          <cell r="E645">
            <v>84829900</v>
          </cell>
          <cell r="F645">
            <v>5</v>
          </cell>
          <cell r="G645" t="str">
            <v>BEARING SLEEVE</v>
          </cell>
        </row>
        <row r="646">
          <cell r="D646">
            <v>643</v>
          </cell>
          <cell r="E646">
            <v>73181500</v>
          </cell>
          <cell r="F646">
            <v>5</v>
          </cell>
          <cell r="G646" t="str">
            <v>BOLTS &amp; NUTS</v>
          </cell>
        </row>
        <row r="647">
          <cell r="D647">
            <v>644</v>
          </cell>
          <cell r="E647">
            <v>85362000</v>
          </cell>
          <cell r="F647">
            <v>5</v>
          </cell>
          <cell r="G647" t="str">
            <v>BREAKER PLATE</v>
          </cell>
        </row>
        <row r="648">
          <cell r="D648">
            <v>645</v>
          </cell>
          <cell r="E648">
            <v>85364900</v>
          </cell>
          <cell r="F648">
            <v>5</v>
          </cell>
          <cell r="G648" t="str">
            <v>BUCHOLTZ'S RELAY</v>
          </cell>
        </row>
        <row r="649">
          <cell r="D649">
            <v>646</v>
          </cell>
          <cell r="E649">
            <v>84849000</v>
          </cell>
          <cell r="F649">
            <v>5</v>
          </cell>
          <cell r="G649" t="str">
            <v>CHAMBER</v>
          </cell>
        </row>
        <row r="650">
          <cell r="D650">
            <v>647</v>
          </cell>
          <cell r="E650">
            <v>85372000</v>
          </cell>
          <cell r="F650">
            <v>5</v>
          </cell>
          <cell r="G650" t="str">
            <v>CIRCUIT BOARD</v>
          </cell>
        </row>
        <row r="651">
          <cell r="D651">
            <v>648</v>
          </cell>
          <cell r="E651">
            <v>84836000</v>
          </cell>
          <cell r="F651">
            <v>5</v>
          </cell>
          <cell r="G651" t="str">
            <v>CLUTCH HALF</v>
          </cell>
        </row>
        <row r="652">
          <cell r="D652">
            <v>649</v>
          </cell>
          <cell r="E652">
            <v>85030000</v>
          </cell>
          <cell r="F652">
            <v>5</v>
          </cell>
          <cell r="G652" t="str">
            <v xml:space="preserve">COIL </v>
          </cell>
        </row>
        <row r="653">
          <cell r="D653">
            <v>650</v>
          </cell>
          <cell r="E653">
            <v>84818090</v>
          </cell>
          <cell r="F653">
            <v>5</v>
          </cell>
          <cell r="G653" t="str">
            <v>CONTROL VALVE</v>
          </cell>
        </row>
        <row r="654">
          <cell r="D654">
            <v>651</v>
          </cell>
          <cell r="E654">
            <v>85043400</v>
          </cell>
          <cell r="F654">
            <v>5</v>
          </cell>
          <cell r="G654" t="str">
            <v>CONVERTER UNIT</v>
          </cell>
        </row>
        <row r="655">
          <cell r="D655">
            <v>652</v>
          </cell>
          <cell r="E655">
            <v>84145900</v>
          </cell>
          <cell r="F655">
            <v>5</v>
          </cell>
          <cell r="G655" t="str">
            <v xml:space="preserve">COOLING AIR FAN </v>
          </cell>
        </row>
        <row r="656">
          <cell r="D656">
            <v>653</v>
          </cell>
          <cell r="E656">
            <v>84145900</v>
          </cell>
          <cell r="F656">
            <v>5</v>
          </cell>
          <cell r="G656" t="str">
            <v>COOLING AIR FAN WITH MOTOR</v>
          </cell>
        </row>
        <row r="657">
          <cell r="D657">
            <v>654</v>
          </cell>
          <cell r="E657">
            <v>84213100</v>
          </cell>
          <cell r="F657">
            <v>5</v>
          </cell>
          <cell r="G657" t="str">
            <v>COOLING AIR FILTER</v>
          </cell>
        </row>
        <row r="658">
          <cell r="D658">
            <v>655</v>
          </cell>
          <cell r="E658">
            <v>84149000</v>
          </cell>
          <cell r="F658">
            <v>5</v>
          </cell>
          <cell r="G658" t="str">
            <v>COOLING FAN MOTOR</v>
          </cell>
        </row>
        <row r="659">
          <cell r="D659">
            <v>656</v>
          </cell>
          <cell r="E659">
            <v>84839000</v>
          </cell>
          <cell r="F659">
            <v>5</v>
          </cell>
          <cell r="G659" t="str">
            <v xml:space="preserve">COUPLING </v>
          </cell>
        </row>
        <row r="660">
          <cell r="D660">
            <v>657</v>
          </cell>
          <cell r="E660">
            <v>84831000</v>
          </cell>
          <cell r="F660">
            <v>5</v>
          </cell>
          <cell r="G660" t="str">
            <v xml:space="preserve">CUTTER SHAFT AND DRIVE </v>
          </cell>
        </row>
        <row r="661">
          <cell r="D661">
            <v>658</v>
          </cell>
          <cell r="E661">
            <v>840991200</v>
          </cell>
          <cell r="F661">
            <v>5</v>
          </cell>
          <cell r="G661" t="str">
            <v>CYLINDER</v>
          </cell>
        </row>
        <row r="662">
          <cell r="D662">
            <v>659</v>
          </cell>
          <cell r="E662">
            <v>84243000</v>
          </cell>
          <cell r="F662">
            <v>5</v>
          </cell>
          <cell r="G662" t="str">
            <v>DEHYDRATING BREATHER</v>
          </cell>
        </row>
        <row r="663">
          <cell r="D663">
            <v>660</v>
          </cell>
          <cell r="E663">
            <v>85311000</v>
          </cell>
          <cell r="F663">
            <v>5</v>
          </cell>
          <cell r="G663" t="str">
            <v>DETECTOR</v>
          </cell>
        </row>
        <row r="664">
          <cell r="D664">
            <v>661</v>
          </cell>
          <cell r="E664">
            <v>84799000</v>
          </cell>
          <cell r="F664">
            <v>5</v>
          </cell>
          <cell r="G664" t="str">
            <v>DIE PLATE</v>
          </cell>
        </row>
        <row r="665">
          <cell r="D665">
            <v>662</v>
          </cell>
          <cell r="E665">
            <v>90262000</v>
          </cell>
          <cell r="F665">
            <v>5</v>
          </cell>
          <cell r="G665" t="str">
            <v>DIFF. PRESS. TRANSMITTER</v>
          </cell>
        </row>
        <row r="666">
          <cell r="D666">
            <v>663</v>
          </cell>
          <cell r="E666">
            <v>40169300</v>
          </cell>
          <cell r="F666">
            <v>5</v>
          </cell>
          <cell r="G666" t="str">
            <v>DUST SEAL</v>
          </cell>
        </row>
        <row r="667">
          <cell r="D667">
            <v>664</v>
          </cell>
          <cell r="E667">
            <v>56029000</v>
          </cell>
          <cell r="F667">
            <v>5</v>
          </cell>
          <cell r="G667" t="str">
            <v>FELT</v>
          </cell>
        </row>
        <row r="668">
          <cell r="D668">
            <v>665</v>
          </cell>
          <cell r="E668">
            <v>84219900</v>
          </cell>
          <cell r="F668">
            <v>5</v>
          </cell>
          <cell r="G668" t="str">
            <v>FILTER ELEMENT</v>
          </cell>
        </row>
        <row r="669">
          <cell r="D669">
            <v>666</v>
          </cell>
          <cell r="E669">
            <v>83079000</v>
          </cell>
          <cell r="F669">
            <v>5</v>
          </cell>
          <cell r="G669" t="str">
            <v>FLEXIBLE TUBE</v>
          </cell>
        </row>
        <row r="670">
          <cell r="D670">
            <v>667</v>
          </cell>
          <cell r="E670">
            <v>85365000</v>
          </cell>
          <cell r="F670">
            <v>5</v>
          </cell>
          <cell r="G670" t="str">
            <v>FLOW AND TEMPERATURE SWITCH</v>
          </cell>
        </row>
        <row r="671">
          <cell r="D671">
            <v>668</v>
          </cell>
          <cell r="E671">
            <v>85365000</v>
          </cell>
          <cell r="F671">
            <v>5</v>
          </cell>
          <cell r="G671" t="str">
            <v>FLOW OR TEMPERATURE SWITCH</v>
          </cell>
        </row>
        <row r="672">
          <cell r="D672">
            <v>669</v>
          </cell>
          <cell r="E672">
            <v>85365000</v>
          </cell>
          <cell r="F672">
            <v>5</v>
          </cell>
          <cell r="G672" t="str">
            <v>FLOW INDICATING SWITCH</v>
          </cell>
        </row>
        <row r="673">
          <cell r="D673">
            <v>670</v>
          </cell>
          <cell r="E673">
            <v>90261000</v>
          </cell>
          <cell r="F673">
            <v>5</v>
          </cell>
          <cell r="G673" t="str">
            <v>FLOW METER</v>
          </cell>
        </row>
        <row r="674">
          <cell r="D674">
            <v>671</v>
          </cell>
          <cell r="E674">
            <v>85365000</v>
          </cell>
          <cell r="F674">
            <v>5</v>
          </cell>
          <cell r="G674" t="str">
            <v>FLOW SWITCH</v>
          </cell>
        </row>
        <row r="675">
          <cell r="D675">
            <v>672</v>
          </cell>
          <cell r="E675">
            <v>90261000</v>
          </cell>
          <cell r="F675">
            <v>5</v>
          </cell>
          <cell r="G675" t="str">
            <v>FLOW TRANSMITTER</v>
          </cell>
        </row>
        <row r="676">
          <cell r="D676">
            <v>673</v>
          </cell>
          <cell r="E676">
            <v>85393900</v>
          </cell>
          <cell r="F676">
            <v>5</v>
          </cell>
          <cell r="G676" t="str">
            <v>FLUORECENT LAMP</v>
          </cell>
        </row>
        <row r="677">
          <cell r="D677">
            <v>674</v>
          </cell>
          <cell r="E677">
            <v>84831000</v>
          </cell>
          <cell r="F677">
            <v>5</v>
          </cell>
          <cell r="G677" t="str">
            <v>GEAR AND SHAFT SET</v>
          </cell>
        </row>
        <row r="678">
          <cell r="D678">
            <v>675</v>
          </cell>
          <cell r="E678">
            <v>84834000</v>
          </cell>
          <cell r="F678">
            <v>5</v>
          </cell>
          <cell r="G678" t="str">
            <v>GEAR COUPLING</v>
          </cell>
        </row>
        <row r="679">
          <cell r="D679">
            <v>676</v>
          </cell>
          <cell r="E679">
            <v>84834000</v>
          </cell>
          <cell r="F679">
            <v>5</v>
          </cell>
          <cell r="G679" t="str">
            <v>GEAR SET</v>
          </cell>
        </row>
        <row r="680">
          <cell r="D680">
            <v>677</v>
          </cell>
          <cell r="E680">
            <v>84849000</v>
          </cell>
          <cell r="F680">
            <v>5</v>
          </cell>
          <cell r="G680" t="str">
            <v>GLAND PACKING</v>
          </cell>
        </row>
        <row r="681">
          <cell r="D681">
            <v>678</v>
          </cell>
          <cell r="E681">
            <v>84283200</v>
          </cell>
          <cell r="F681">
            <v>5</v>
          </cell>
          <cell r="G681" t="str">
            <v>HOPPER SECTION</v>
          </cell>
        </row>
        <row r="682">
          <cell r="D682">
            <v>679</v>
          </cell>
          <cell r="E682">
            <v>40095090</v>
          </cell>
          <cell r="F682">
            <v>5</v>
          </cell>
          <cell r="G682" t="str">
            <v>HOSE</v>
          </cell>
        </row>
        <row r="683">
          <cell r="D683">
            <v>680</v>
          </cell>
          <cell r="E683">
            <v>84099120</v>
          </cell>
          <cell r="F683">
            <v>5</v>
          </cell>
          <cell r="G683" t="str">
            <v>HYD CYLINDER</v>
          </cell>
        </row>
        <row r="684">
          <cell r="D684">
            <v>681</v>
          </cell>
          <cell r="E684">
            <v>90268000</v>
          </cell>
          <cell r="F684">
            <v>5</v>
          </cell>
          <cell r="G684" t="str">
            <v>INDICATOR</v>
          </cell>
        </row>
        <row r="685">
          <cell r="D685">
            <v>682</v>
          </cell>
          <cell r="E685">
            <v>84818090</v>
          </cell>
          <cell r="F685">
            <v>5</v>
          </cell>
          <cell r="G685" t="str">
            <v xml:space="preserve">INJECTION NOZZLE </v>
          </cell>
        </row>
        <row r="686">
          <cell r="D686">
            <v>683</v>
          </cell>
          <cell r="E686">
            <v>84859000</v>
          </cell>
          <cell r="F686">
            <v>5</v>
          </cell>
          <cell r="G686" t="str">
            <v xml:space="preserve">INSULATION DISK </v>
          </cell>
        </row>
        <row r="687">
          <cell r="D687">
            <v>684</v>
          </cell>
          <cell r="E687">
            <v>84849000</v>
          </cell>
          <cell r="F687">
            <v>5</v>
          </cell>
          <cell r="G687" t="str">
            <v>INSULATION RING</v>
          </cell>
        </row>
        <row r="688">
          <cell r="D688">
            <v>685</v>
          </cell>
          <cell r="E688">
            <v>85333900</v>
          </cell>
          <cell r="F688">
            <v>5</v>
          </cell>
          <cell r="G688" t="str">
            <v>INVERTER UNIT</v>
          </cell>
        </row>
        <row r="689">
          <cell r="D689">
            <v>686</v>
          </cell>
          <cell r="E689">
            <v>82029900</v>
          </cell>
          <cell r="F689">
            <v>5</v>
          </cell>
          <cell r="G689" t="str">
            <v>KNIFE</v>
          </cell>
        </row>
        <row r="690">
          <cell r="D690">
            <v>687</v>
          </cell>
          <cell r="E690">
            <v>85393900</v>
          </cell>
          <cell r="F690">
            <v>5</v>
          </cell>
          <cell r="G690" t="str">
            <v>LAMP TUBE</v>
          </cell>
        </row>
        <row r="691">
          <cell r="D691">
            <v>688</v>
          </cell>
          <cell r="E691">
            <v>85365000</v>
          </cell>
          <cell r="F691">
            <v>5</v>
          </cell>
          <cell r="G691" t="str">
            <v xml:space="preserve">LEVEL SWITCH </v>
          </cell>
        </row>
        <row r="692">
          <cell r="D692">
            <v>689</v>
          </cell>
          <cell r="E692">
            <v>85372000</v>
          </cell>
          <cell r="F692">
            <v>5</v>
          </cell>
          <cell r="G692" t="str">
            <v>LOCAL OPERATION PANEL</v>
          </cell>
        </row>
        <row r="693">
          <cell r="D693">
            <v>690</v>
          </cell>
          <cell r="E693">
            <v>84139100</v>
          </cell>
          <cell r="F693">
            <v>5</v>
          </cell>
          <cell r="G693" t="str">
            <v>LUBE OIL PUMP MOTOR</v>
          </cell>
        </row>
        <row r="694">
          <cell r="D694">
            <v>691</v>
          </cell>
          <cell r="E694">
            <v>84849000</v>
          </cell>
          <cell r="F694">
            <v>5</v>
          </cell>
          <cell r="G694" t="str">
            <v>MECHANICAL SEAL</v>
          </cell>
        </row>
        <row r="695">
          <cell r="D695">
            <v>692</v>
          </cell>
          <cell r="E695">
            <v>84849000</v>
          </cell>
          <cell r="F695">
            <v>5</v>
          </cell>
          <cell r="G695" t="str">
            <v>METAL GASKET</v>
          </cell>
        </row>
        <row r="696">
          <cell r="D696">
            <v>693</v>
          </cell>
          <cell r="E696">
            <v>85013100</v>
          </cell>
          <cell r="F696">
            <v>5</v>
          </cell>
          <cell r="G696" t="str">
            <v>MOTOR</v>
          </cell>
        </row>
        <row r="697">
          <cell r="D697">
            <v>694</v>
          </cell>
          <cell r="E697">
            <v>84821000</v>
          </cell>
          <cell r="F697">
            <v>5</v>
          </cell>
          <cell r="G697" t="str">
            <v>MOTOR BEARING</v>
          </cell>
        </row>
        <row r="698">
          <cell r="D698">
            <v>695</v>
          </cell>
          <cell r="E698">
            <v>84849000</v>
          </cell>
          <cell r="F698">
            <v>5</v>
          </cell>
          <cell r="G698" t="str">
            <v xml:space="preserve">MOTOR SEAL </v>
          </cell>
        </row>
        <row r="699">
          <cell r="D699">
            <v>696</v>
          </cell>
          <cell r="E699">
            <v>40169300</v>
          </cell>
          <cell r="F699">
            <v>5</v>
          </cell>
          <cell r="G699" t="str">
            <v>OIL CONSERVATOR</v>
          </cell>
        </row>
        <row r="700">
          <cell r="D700">
            <v>697</v>
          </cell>
          <cell r="E700">
            <v>90261000</v>
          </cell>
          <cell r="F700">
            <v>5</v>
          </cell>
          <cell r="G700" t="str">
            <v>OIL GAUGE</v>
          </cell>
        </row>
        <row r="701">
          <cell r="D701">
            <v>698</v>
          </cell>
          <cell r="E701">
            <v>90261000</v>
          </cell>
          <cell r="F701">
            <v>5</v>
          </cell>
          <cell r="G701" t="str">
            <v>OIL POT GAUGE</v>
          </cell>
        </row>
        <row r="702">
          <cell r="D702">
            <v>699</v>
          </cell>
          <cell r="E702">
            <v>40169300</v>
          </cell>
          <cell r="F702">
            <v>5</v>
          </cell>
          <cell r="G702" t="str">
            <v>OIL SEAL</v>
          </cell>
        </row>
        <row r="703">
          <cell r="D703">
            <v>700</v>
          </cell>
          <cell r="E703">
            <v>40169300</v>
          </cell>
          <cell r="F703">
            <v>5</v>
          </cell>
          <cell r="G703" t="str">
            <v>OIL SEL RETA. PACKING</v>
          </cell>
        </row>
        <row r="704">
          <cell r="D704">
            <v>701</v>
          </cell>
          <cell r="E704">
            <v>90251900</v>
          </cell>
          <cell r="F704">
            <v>5</v>
          </cell>
          <cell r="G704" t="str">
            <v>OIL THERMOMETER</v>
          </cell>
        </row>
        <row r="705">
          <cell r="D705">
            <v>702</v>
          </cell>
          <cell r="E705">
            <v>90328900</v>
          </cell>
          <cell r="F705">
            <v>5</v>
          </cell>
          <cell r="G705" t="str">
            <v>OPERATOR STATION</v>
          </cell>
        </row>
        <row r="706">
          <cell r="D706">
            <v>703</v>
          </cell>
          <cell r="E706">
            <v>73071900</v>
          </cell>
          <cell r="F706">
            <v>5</v>
          </cell>
          <cell r="G706" t="str">
            <v>OUTSIDE SLEEVE</v>
          </cell>
        </row>
        <row r="707">
          <cell r="D707">
            <v>704</v>
          </cell>
          <cell r="E707">
            <v>85365000</v>
          </cell>
          <cell r="F707">
            <v>5</v>
          </cell>
          <cell r="G707" t="str">
            <v>PB SWITCH</v>
          </cell>
        </row>
        <row r="708">
          <cell r="D708">
            <v>705</v>
          </cell>
          <cell r="E708">
            <v>72089000</v>
          </cell>
          <cell r="F708">
            <v>5</v>
          </cell>
          <cell r="G708" t="str">
            <v>PLATE</v>
          </cell>
        </row>
        <row r="709">
          <cell r="D709">
            <v>706</v>
          </cell>
          <cell r="E709">
            <v>90303900</v>
          </cell>
          <cell r="F709">
            <v>5</v>
          </cell>
          <cell r="G709" t="str">
            <v>POTENTIOMETER</v>
          </cell>
        </row>
        <row r="710">
          <cell r="D710">
            <v>707</v>
          </cell>
          <cell r="E710">
            <v>90262000</v>
          </cell>
          <cell r="F710">
            <v>5</v>
          </cell>
          <cell r="G710" t="str">
            <v>PRESS. TRANSMITTER</v>
          </cell>
        </row>
        <row r="711">
          <cell r="D711">
            <v>708</v>
          </cell>
          <cell r="E711">
            <v>90262000</v>
          </cell>
          <cell r="F711">
            <v>5</v>
          </cell>
          <cell r="G711" t="str">
            <v>PRESSURE GAUGE</v>
          </cell>
        </row>
        <row r="712">
          <cell r="D712">
            <v>709</v>
          </cell>
          <cell r="E712">
            <v>85365000</v>
          </cell>
          <cell r="F712">
            <v>5</v>
          </cell>
          <cell r="G712" t="str">
            <v xml:space="preserve">PRESSURE SWITCH </v>
          </cell>
        </row>
        <row r="713">
          <cell r="D713">
            <v>710</v>
          </cell>
          <cell r="E713">
            <v>85340000</v>
          </cell>
          <cell r="F713">
            <v>5</v>
          </cell>
          <cell r="G713" t="str">
            <v xml:space="preserve">PRINT CIRCUIT </v>
          </cell>
        </row>
        <row r="714">
          <cell r="D714">
            <v>711</v>
          </cell>
          <cell r="E714">
            <v>85340000</v>
          </cell>
          <cell r="F714">
            <v>5</v>
          </cell>
          <cell r="G714" t="str">
            <v>PRINT CIRCUIT BOARD</v>
          </cell>
        </row>
        <row r="715">
          <cell r="D715">
            <v>712</v>
          </cell>
          <cell r="E715">
            <v>90268000</v>
          </cell>
          <cell r="F715">
            <v>5</v>
          </cell>
          <cell r="G715" t="str">
            <v>PROXIMEATER</v>
          </cell>
        </row>
        <row r="716">
          <cell r="D716">
            <v>713</v>
          </cell>
          <cell r="E716">
            <v>85365000</v>
          </cell>
          <cell r="F716">
            <v>5</v>
          </cell>
          <cell r="G716" t="str">
            <v>PROXIMETER SWITCH</v>
          </cell>
        </row>
        <row r="717">
          <cell r="D717">
            <v>714</v>
          </cell>
          <cell r="E717">
            <v>841381900</v>
          </cell>
          <cell r="F717">
            <v>5</v>
          </cell>
          <cell r="G717" t="str">
            <v>PUMP</v>
          </cell>
        </row>
        <row r="718">
          <cell r="D718">
            <v>715</v>
          </cell>
          <cell r="E718">
            <v>84139100</v>
          </cell>
          <cell r="F718">
            <v>5</v>
          </cell>
          <cell r="G718" t="str">
            <v>PUMP ROTOR</v>
          </cell>
        </row>
        <row r="719">
          <cell r="D719">
            <v>716</v>
          </cell>
          <cell r="E719">
            <v>84859000</v>
          </cell>
          <cell r="F719">
            <v>5</v>
          </cell>
          <cell r="G719" t="str">
            <v xml:space="preserve">REPAIR KIT </v>
          </cell>
        </row>
        <row r="720">
          <cell r="D720">
            <v>717</v>
          </cell>
          <cell r="E720">
            <v>39093000</v>
          </cell>
          <cell r="F720">
            <v>5</v>
          </cell>
          <cell r="G720" t="str">
            <v>RESIN</v>
          </cell>
        </row>
        <row r="721">
          <cell r="D721">
            <v>718</v>
          </cell>
          <cell r="E721">
            <v>90262000</v>
          </cell>
          <cell r="F721">
            <v>5</v>
          </cell>
          <cell r="G721" t="str">
            <v>RESIN PRESS. TRANS.</v>
          </cell>
        </row>
        <row r="722">
          <cell r="D722">
            <v>719</v>
          </cell>
          <cell r="E722">
            <v>84839000</v>
          </cell>
          <cell r="F722">
            <v>5</v>
          </cell>
          <cell r="G722" t="str">
            <v>ROTARY JOINT</v>
          </cell>
        </row>
        <row r="723">
          <cell r="D723">
            <v>720</v>
          </cell>
          <cell r="E723">
            <v>84859000</v>
          </cell>
          <cell r="F723">
            <v>5</v>
          </cell>
          <cell r="G723" t="str">
            <v>ROTOR ASSEMBLY</v>
          </cell>
        </row>
        <row r="724">
          <cell r="D724">
            <v>721</v>
          </cell>
          <cell r="E724">
            <v>84859000</v>
          </cell>
          <cell r="F724">
            <v>5</v>
          </cell>
          <cell r="G724" t="str">
            <v xml:space="preserve">RUPTURE DISK </v>
          </cell>
        </row>
        <row r="725">
          <cell r="D725">
            <v>722</v>
          </cell>
          <cell r="E725">
            <v>84814000</v>
          </cell>
          <cell r="F725">
            <v>5</v>
          </cell>
          <cell r="G725" t="str">
            <v xml:space="preserve">SAFETY VALVE </v>
          </cell>
        </row>
        <row r="726">
          <cell r="D726">
            <v>723</v>
          </cell>
          <cell r="E726">
            <v>85393900</v>
          </cell>
          <cell r="F726">
            <v>5</v>
          </cell>
          <cell r="G726" t="str">
            <v>SCOPE LAMP</v>
          </cell>
        </row>
        <row r="727">
          <cell r="D727">
            <v>724</v>
          </cell>
          <cell r="E727">
            <v>84219900</v>
          </cell>
          <cell r="F727">
            <v>5</v>
          </cell>
          <cell r="G727" t="str">
            <v>SCREEN CAP</v>
          </cell>
        </row>
        <row r="728">
          <cell r="D728">
            <v>725</v>
          </cell>
          <cell r="E728">
            <v>84212300</v>
          </cell>
          <cell r="F728">
            <v>5</v>
          </cell>
          <cell r="G728" t="str">
            <v>SCREEN PACK</v>
          </cell>
        </row>
        <row r="729">
          <cell r="D729">
            <v>726</v>
          </cell>
          <cell r="E729">
            <v>40169300</v>
          </cell>
          <cell r="F729">
            <v>5</v>
          </cell>
          <cell r="G729" t="str">
            <v>SEAL KIT</v>
          </cell>
        </row>
        <row r="730">
          <cell r="D730">
            <v>727</v>
          </cell>
          <cell r="E730">
            <v>40169300</v>
          </cell>
          <cell r="F730">
            <v>5</v>
          </cell>
          <cell r="G730" t="str">
            <v>SEAL RING</v>
          </cell>
        </row>
        <row r="731">
          <cell r="D731">
            <v>728</v>
          </cell>
          <cell r="E731">
            <v>85365000</v>
          </cell>
          <cell r="F731">
            <v>5</v>
          </cell>
          <cell r="G731" t="str">
            <v>SELECT SWITCH</v>
          </cell>
        </row>
        <row r="732">
          <cell r="D732">
            <v>729</v>
          </cell>
          <cell r="E732">
            <v>90268000</v>
          </cell>
          <cell r="F732">
            <v>5</v>
          </cell>
          <cell r="G732" t="str">
            <v xml:space="preserve">SENSOR </v>
          </cell>
        </row>
        <row r="733">
          <cell r="D733">
            <v>730</v>
          </cell>
          <cell r="E733">
            <v>73071900</v>
          </cell>
          <cell r="F733">
            <v>5</v>
          </cell>
          <cell r="G733" t="str">
            <v>SOCKET</v>
          </cell>
        </row>
        <row r="734">
          <cell r="D734">
            <v>731</v>
          </cell>
          <cell r="E734">
            <v>73181500</v>
          </cell>
          <cell r="F734">
            <v>5</v>
          </cell>
          <cell r="G734" t="str">
            <v>SOCKET BOLT</v>
          </cell>
        </row>
        <row r="735">
          <cell r="D735">
            <v>732</v>
          </cell>
          <cell r="E735">
            <v>848180900</v>
          </cell>
          <cell r="F735">
            <v>5</v>
          </cell>
          <cell r="G735" t="str">
            <v>SOLENOID VALVE</v>
          </cell>
        </row>
        <row r="736">
          <cell r="D736">
            <v>733</v>
          </cell>
          <cell r="E736">
            <v>90268000</v>
          </cell>
          <cell r="F736">
            <v>5</v>
          </cell>
          <cell r="G736" t="str">
            <v xml:space="preserve">SPEED SENSOR </v>
          </cell>
        </row>
        <row r="737">
          <cell r="D737">
            <v>734</v>
          </cell>
          <cell r="E737">
            <v>84821000</v>
          </cell>
          <cell r="F737">
            <v>5</v>
          </cell>
          <cell r="G737" t="str">
            <v xml:space="preserve">SPHERICAL ROLLER </v>
          </cell>
        </row>
        <row r="738">
          <cell r="D738">
            <v>735</v>
          </cell>
          <cell r="E738">
            <v>73043900</v>
          </cell>
          <cell r="F738">
            <v>20</v>
          </cell>
          <cell r="G738" t="str">
            <v xml:space="preserve">SYPHON PIPE </v>
          </cell>
        </row>
        <row r="739">
          <cell r="D739">
            <v>736</v>
          </cell>
          <cell r="E739">
            <v>85365000</v>
          </cell>
          <cell r="F739">
            <v>5</v>
          </cell>
          <cell r="G739" t="str">
            <v>TEMPERATURE SWITCH</v>
          </cell>
        </row>
        <row r="740">
          <cell r="D740">
            <v>737</v>
          </cell>
          <cell r="E740">
            <v>84195000</v>
          </cell>
          <cell r="F740">
            <v>5</v>
          </cell>
          <cell r="G740" t="str">
            <v xml:space="preserve">THERMOCOUPLE </v>
          </cell>
        </row>
        <row r="741">
          <cell r="D741">
            <v>738</v>
          </cell>
          <cell r="E741">
            <v>90251900</v>
          </cell>
          <cell r="F741">
            <v>5</v>
          </cell>
          <cell r="G741" t="str">
            <v xml:space="preserve">THERMOMETER </v>
          </cell>
        </row>
        <row r="742">
          <cell r="D742">
            <v>739</v>
          </cell>
          <cell r="E742">
            <v>84834000</v>
          </cell>
          <cell r="F742">
            <v>5</v>
          </cell>
          <cell r="G742" t="str">
            <v>TIMING GEAR</v>
          </cell>
        </row>
        <row r="743">
          <cell r="D743">
            <v>740</v>
          </cell>
          <cell r="E743">
            <v>84818090</v>
          </cell>
          <cell r="F743">
            <v>5</v>
          </cell>
          <cell r="G743" t="str">
            <v>VALVE</v>
          </cell>
        </row>
        <row r="744">
          <cell r="D744">
            <v>741</v>
          </cell>
          <cell r="E744">
            <v>90268000</v>
          </cell>
          <cell r="F744">
            <v>5</v>
          </cell>
          <cell r="G744" t="str">
            <v>VIBRATION SENSOR</v>
          </cell>
        </row>
        <row r="745">
          <cell r="D745">
            <v>742</v>
          </cell>
          <cell r="E745">
            <v>40169300</v>
          </cell>
          <cell r="F745">
            <v>5</v>
          </cell>
          <cell r="G745" t="str">
            <v>VISCO SEAL</v>
          </cell>
        </row>
        <row r="746">
          <cell r="D746">
            <v>743</v>
          </cell>
          <cell r="E746">
            <v>73182100</v>
          </cell>
          <cell r="F746">
            <v>5</v>
          </cell>
          <cell r="G746" t="str">
            <v>WASHER</v>
          </cell>
        </row>
        <row r="747">
          <cell r="D747">
            <v>744</v>
          </cell>
          <cell r="E747">
            <v>85365000</v>
          </cell>
          <cell r="F747">
            <v>5</v>
          </cell>
          <cell r="G747" t="str">
            <v>WATER CHAMBER LEVEL SWITCH</v>
          </cell>
        </row>
        <row r="748">
          <cell r="D748">
            <v>745</v>
          </cell>
          <cell r="E748">
            <v>85311000</v>
          </cell>
          <cell r="F748">
            <v>5</v>
          </cell>
          <cell r="G748" t="str">
            <v>WATER LEAKAGE DETECTOR</v>
          </cell>
        </row>
        <row r="749">
          <cell r="D749">
            <v>746</v>
          </cell>
          <cell r="E749">
            <v>70099100</v>
          </cell>
          <cell r="F749">
            <v>5</v>
          </cell>
          <cell r="G749" t="str">
            <v>WINDOW GLASS</v>
          </cell>
        </row>
        <row r="750">
          <cell r="D750">
            <v>747</v>
          </cell>
          <cell r="E750">
            <v>85115000</v>
          </cell>
          <cell r="F750">
            <v>5</v>
          </cell>
          <cell r="G750" t="str">
            <v>MODULAR CATALYST FEEDER</v>
          </cell>
        </row>
        <row r="751">
          <cell r="D751">
            <v>748</v>
          </cell>
          <cell r="E751">
            <v>85119000</v>
          </cell>
          <cell r="F751">
            <v>5</v>
          </cell>
          <cell r="G751" t="str">
            <v>MODULAR CATALYST FEEDER PACKAGE</v>
          </cell>
        </row>
        <row r="752">
          <cell r="D752">
            <v>749</v>
          </cell>
          <cell r="E752">
            <v>85115000</v>
          </cell>
          <cell r="F752">
            <v>5</v>
          </cell>
          <cell r="G752" t="str">
            <v>ACTUATOR</v>
          </cell>
        </row>
        <row r="753">
          <cell r="D753">
            <v>750</v>
          </cell>
          <cell r="E753">
            <v>84839000</v>
          </cell>
          <cell r="F753">
            <v>5</v>
          </cell>
          <cell r="G753" t="str">
            <v>ANGLE GEAR REDUCER</v>
          </cell>
        </row>
        <row r="754">
          <cell r="D754">
            <v>751</v>
          </cell>
          <cell r="E754">
            <v>84818090</v>
          </cell>
          <cell r="F754">
            <v>5</v>
          </cell>
          <cell r="G754" t="str">
            <v>BALL VALVE</v>
          </cell>
        </row>
        <row r="755">
          <cell r="D755">
            <v>752</v>
          </cell>
          <cell r="E755">
            <v>82041200</v>
          </cell>
          <cell r="F755">
            <v>5</v>
          </cell>
          <cell r="G755" t="str">
            <v>BLIND KEY</v>
          </cell>
        </row>
        <row r="756">
          <cell r="D756">
            <v>753</v>
          </cell>
          <cell r="E756">
            <v>85365000</v>
          </cell>
          <cell r="F756">
            <v>5</v>
          </cell>
          <cell r="G756" t="str">
            <v>BOTTOM P/U BLOCK MODULAR</v>
          </cell>
        </row>
        <row r="757">
          <cell r="D757">
            <v>754</v>
          </cell>
          <cell r="E757">
            <v>96035000</v>
          </cell>
          <cell r="F757">
            <v>5</v>
          </cell>
          <cell r="G757" t="str">
            <v>BRUSH</v>
          </cell>
        </row>
        <row r="758">
          <cell r="D758">
            <v>755</v>
          </cell>
          <cell r="E758">
            <v>84661000</v>
          </cell>
          <cell r="F758">
            <v>5</v>
          </cell>
          <cell r="G758" t="str">
            <v>BRUSH HOLDER</v>
          </cell>
        </row>
        <row r="759">
          <cell r="D759">
            <v>756</v>
          </cell>
          <cell r="E759">
            <v>73079900</v>
          </cell>
          <cell r="F759">
            <v>5</v>
          </cell>
          <cell r="G759" t="str">
            <v>CAP</v>
          </cell>
        </row>
        <row r="760">
          <cell r="D760">
            <v>757</v>
          </cell>
          <cell r="E760">
            <v>84813000</v>
          </cell>
          <cell r="F760">
            <v>5</v>
          </cell>
          <cell r="G760" t="str">
            <v>CHECK VALVE</v>
          </cell>
        </row>
        <row r="761">
          <cell r="D761">
            <v>758</v>
          </cell>
          <cell r="E761">
            <v>73202000</v>
          </cell>
          <cell r="F761">
            <v>5</v>
          </cell>
          <cell r="G761" t="str">
            <v>COMPRESSION SPRING</v>
          </cell>
        </row>
        <row r="762">
          <cell r="D762">
            <v>759</v>
          </cell>
          <cell r="E762">
            <v>84818090</v>
          </cell>
          <cell r="F762">
            <v>5</v>
          </cell>
          <cell r="G762" t="str">
            <v>CONTROL VALVE</v>
          </cell>
        </row>
        <row r="763">
          <cell r="D763">
            <v>760</v>
          </cell>
          <cell r="E763">
            <v>84839000</v>
          </cell>
          <cell r="F763">
            <v>5</v>
          </cell>
          <cell r="G763" t="str">
            <v xml:space="preserve">COUPLING </v>
          </cell>
        </row>
        <row r="764">
          <cell r="D764">
            <v>761</v>
          </cell>
          <cell r="E764">
            <v>84839000</v>
          </cell>
          <cell r="F764">
            <v>5</v>
          </cell>
          <cell r="G764" t="str">
            <v>COVER PLATE</v>
          </cell>
        </row>
        <row r="765">
          <cell r="D765">
            <v>762</v>
          </cell>
          <cell r="E765">
            <v>84849000</v>
          </cell>
          <cell r="F765">
            <v>5</v>
          </cell>
          <cell r="G765" t="str">
            <v xml:space="preserve">DIAPHRAGM </v>
          </cell>
        </row>
        <row r="766">
          <cell r="D766">
            <v>763</v>
          </cell>
          <cell r="E766">
            <v>84671910</v>
          </cell>
          <cell r="F766">
            <v>5</v>
          </cell>
          <cell r="G766" t="str">
            <v>DRILL</v>
          </cell>
        </row>
        <row r="767">
          <cell r="D767">
            <v>764</v>
          </cell>
          <cell r="E767">
            <v>73182900</v>
          </cell>
          <cell r="F767">
            <v>5</v>
          </cell>
          <cell r="G767" t="str">
            <v>DRIVE PIN</v>
          </cell>
        </row>
        <row r="768">
          <cell r="D768">
            <v>765</v>
          </cell>
          <cell r="E768">
            <v>84831000</v>
          </cell>
          <cell r="F768">
            <v>5</v>
          </cell>
          <cell r="G768" t="str">
            <v>DRIVE SHAFT</v>
          </cell>
        </row>
        <row r="769">
          <cell r="D769">
            <v>766</v>
          </cell>
          <cell r="E769">
            <v>85441900</v>
          </cell>
          <cell r="F769">
            <v>5</v>
          </cell>
          <cell r="G769" t="str">
            <v>FEMALE CONNECTOR</v>
          </cell>
        </row>
        <row r="770">
          <cell r="D770">
            <v>767</v>
          </cell>
          <cell r="E770">
            <v>84219900</v>
          </cell>
          <cell r="F770">
            <v>5</v>
          </cell>
          <cell r="G770" t="str">
            <v>FILTER ELEMENT</v>
          </cell>
        </row>
        <row r="771">
          <cell r="D771">
            <v>768</v>
          </cell>
          <cell r="E771">
            <v>39269069</v>
          </cell>
          <cell r="F771">
            <v>5</v>
          </cell>
          <cell r="G771" t="str">
            <v>FLOATING COVER PLATE</v>
          </cell>
        </row>
        <row r="772">
          <cell r="D772">
            <v>769</v>
          </cell>
          <cell r="E772">
            <v>84834000</v>
          </cell>
          <cell r="F772">
            <v>5</v>
          </cell>
          <cell r="G772" t="str">
            <v>FOLLOWER</v>
          </cell>
        </row>
        <row r="773">
          <cell r="D773">
            <v>770</v>
          </cell>
          <cell r="E773">
            <v>40095090</v>
          </cell>
          <cell r="F773">
            <v>5</v>
          </cell>
          <cell r="G773" t="str">
            <v>HOSE ASSEMBLIES</v>
          </cell>
        </row>
        <row r="774">
          <cell r="D774">
            <v>771</v>
          </cell>
          <cell r="E774">
            <v>84839000</v>
          </cell>
          <cell r="F774">
            <v>5</v>
          </cell>
          <cell r="G774" t="str">
            <v>HYDRAULIC COUPLER</v>
          </cell>
        </row>
        <row r="775">
          <cell r="D775">
            <v>772</v>
          </cell>
          <cell r="E775">
            <v>38249099</v>
          </cell>
          <cell r="F775">
            <v>5</v>
          </cell>
          <cell r="G775" t="str">
            <v>HYDRAULIC FLUID</v>
          </cell>
        </row>
        <row r="776">
          <cell r="D776">
            <v>773</v>
          </cell>
          <cell r="E776">
            <v>73069000</v>
          </cell>
          <cell r="F776">
            <v>20</v>
          </cell>
          <cell r="G776" t="str">
            <v>INJECTION TUBING</v>
          </cell>
        </row>
        <row r="777">
          <cell r="D777">
            <v>774</v>
          </cell>
          <cell r="E777">
            <v>85115000</v>
          </cell>
          <cell r="F777">
            <v>5</v>
          </cell>
          <cell r="G777" t="str">
            <v>ACTUATOR</v>
          </cell>
        </row>
        <row r="778">
          <cell r="D778">
            <v>775</v>
          </cell>
          <cell r="E778">
            <v>730719000</v>
          </cell>
          <cell r="F778">
            <v>5</v>
          </cell>
          <cell r="G778" t="str">
            <v>KNOCK OUT BUSHING</v>
          </cell>
        </row>
        <row r="779">
          <cell r="D779">
            <v>776</v>
          </cell>
          <cell r="E779">
            <v>40169300</v>
          </cell>
          <cell r="F779">
            <v>5</v>
          </cell>
          <cell r="G779" t="str">
            <v>LANTERN RING</v>
          </cell>
        </row>
        <row r="780">
          <cell r="D780">
            <v>777</v>
          </cell>
          <cell r="E780">
            <v>73269099</v>
          </cell>
          <cell r="F780">
            <v>20</v>
          </cell>
          <cell r="G780" t="str">
            <v>LARGE SCREEN HOLDER</v>
          </cell>
        </row>
        <row r="781">
          <cell r="D781">
            <v>778</v>
          </cell>
          <cell r="E781">
            <v>90268000</v>
          </cell>
          <cell r="F781">
            <v>5</v>
          </cell>
          <cell r="G781" t="str">
            <v>LIMIT</v>
          </cell>
        </row>
        <row r="782">
          <cell r="D782">
            <v>779</v>
          </cell>
          <cell r="E782">
            <v>40101900</v>
          </cell>
          <cell r="F782">
            <v>5</v>
          </cell>
          <cell r="G782" t="str">
            <v>LINK BELT</v>
          </cell>
        </row>
        <row r="783">
          <cell r="D783">
            <v>780</v>
          </cell>
          <cell r="E783">
            <v>85051900</v>
          </cell>
          <cell r="F783">
            <v>5</v>
          </cell>
          <cell r="G783" t="str">
            <v>MAGNETIC PICKUP</v>
          </cell>
        </row>
        <row r="784">
          <cell r="D784">
            <v>781</v>
          </cell>
          <cell r="E784">
            <v>85441900</v>
          </cell>
          <cell r="F784">
            <v>5</v>
          </cell>
          <cell r="G784" t="str">
            <v>MALE CONECTOR</v>
          </cell>
        </row>
        <row r="785">
          <cell r="D785">
            <v>782</v>
          </cell>
          <cell r="E785">
            <v>84859000</v>
          </cell>
          <cell r="F785">
            <v>5</v>
          </cell>
          <cell r="G785" t="str">
            <v>METERING DISC DRIVER</v>
          </cell>
        </row>
        <row r="786">
          <cell r="D786">
            <v>783</v>
          </cell>
          <cell r="E786">
            <v>90269000</v>
          </cell>
          <cell r="F786">
            <v>5</v>
          </cell>
          <cell r="G786" t="str">
            <v>METERING DISC DRIVER PIN</v>
          </cell>
        </row>
        <row r="787">
          <cell r="D787">
            <v>784</v>
          </cell>
          <cell r="E787">
            <v>84818090</v>
          </cell>
          <cell r="F787">
            <v>5</v>
          </cell>
          <cell r="G787" t="str">
            <v xml:space="preserve">METERING VALVE </v>
          </cell>
        </row>
        <row r="788">
          <cell r="D788">
            <v>785</v>
          </cell>
          <cell r="E788">
            <v>84099120</v>
          </cell>
          <cell r="F788">
            <v>5</v>
          </cell>
          <cell r="G788" t="str">
            <v>MILLER FLUID POWER HYDRAULIC CYLINDER</v>
          </cell>
        </row>
        <row r="789">
          <cell r="D789">
            <v>786</v>
          </cell>
          <cell r="E789">
            <v>85013200</v>
          </cell>
          <cell r="F789">
            <v>5</v>
          </cell>
          <cell r="G789" t="str">
            <v>MOTOR</v>
          </cell>
        </row>
        <row r="790">
          <cell r="D790">
            <v>787</v>
          </cell>
          <cell r="E790">
            <v>84818090</v>
          </cell>
          <cell r="F790">
            <v>5</v>
          </cell>
          <cell r="G790" t="str">
            <v>NEEDLE VALVE</v>
          </cell>
        </row>
        <row r="791">
          <cell r="D791">
            <v>788</v>
          </cell>
          <cell r="E791">
            <v>73079900</v>
          </cell>
          <cell r="F791">
            <v>5</v>
          </cell>
          <cell r="G791" t="str">
            <v>ORIFICE NIPPLE</v>
          </cell>
        </row>
        <row r="792">
          <cell r="D792">
            <v>789</v>
          </cell>
          <cell r="E792">
            <v>73182200</v>
          </cell>
          <cell r="F792">
            <v>5</v>
          </cell>
          <cell r="G792" t="str">
            <v>PACKING BACK-UP RING</v>
          </cell>
        </row>
        <row r="793">
          <cell r="D793">
            <v>790</v>
          </cell>
          <cell r="E793">
            <v>84123900</v>
          </cell>
          <cell r="F793">
            <v>5</v>
          </cell>
          <cell r="G793" t="str">
            <v>PNEUMATIC ACTUATOR</v>
          </cell>
        </row>
        <row r="794">
          <cell r="D794">
            <v>791</v>
          </cell>
          <cell r="E794">
            <v>39211300</v>
          </cell>
          <cell r="F794">
            <v>20</v>
          </cell>
          <cell r="G794" t="str">
            <v>POLYURETHANE SHEET</v>
          </cell>
        </row>
        <row r="795">
          <cell r="D795">
            <v>792</v>
          </cell>
          <cell r="E795">
            <v>90262000</v>
          </cell>
          <cell r="F795">
            <v>5</v>
          </cell>
          <cell r="G795" t="str">
            <v>PRESSURE GAUGE</v>
          </cell>
        </row>
        <row r="796">
          <cell r="D796">
            <v>793</v>
          </cell>
          <cell r="E796">
            <v>90268000</v>
          </cell>
          <cell r="F796">
            <v>5</v>
          </cell>
          <cell r="G796" t="str">
            <v>PURGEMETER</v>
          </cell>
        </row>
        <row r="797">
          <cell r="D797">
            <v>794</v>
          </cell>
          <cell r="E797">
            <v>73182200</v>
          </cell>
          <cell r="F797">
            <v>5</v>
          </cell>
          <cell r="G797" t="str">
            <v>QUAD RING</v>
          </cell>
        </row>
        <row r="798">
          <cell r="D798">
            <v>795</v>
          </cell>
          <cell r="E798">
            <v>84859000</v>
          </cell>
          <cell r="F798">
            <v>5</v>
          </cell>
          <cell r="G798" t="str">
            <v xml:space="preserve">REPAIR KIT </v>
          </cell>
        </row>
        <row r="799">
          <cell r="D799">
            <v>796</v>
          </cell>
          <cell r="E799">
            <v>73181500</v>
          </cell>
          <cell r="F799">
            <v>5</v>
          </cell>
          <cell r="G799" t="str">
            <v>ROLL PIN</v>
          </cell>
        </row>
        <row r="800">
          <cell r="D800">
            <v>797</v>
          </cell>
          <cell r="E800">
            <v>90261000</v>
          </cell>
          <cell r="F800">
            <v>5</v>
          </cell>
          <cell r="G800" t="str">
            <v>ROTAMETER</v>
          </cell>
        </row>
        <row r="801">
          <cell r="D801">
            <v>798</v>
          </cell>
          <cell r="E801">
            <v>84212190</v>
          </cell>
          <cell r="F801">
            <v>5</v>
          </cell>
          <cell r="G801" t="str">
            <v>SCREEN ASSEMBLY</v>
          </cell>
        </row>
        <row r="802">
          <cell r="D802">
            <v>799</v>
          </cell>
          <cell r="E802">
            <v>73181500</v>
          </cell>
          <cell r="F802">
            <v>5</v>
          </cell>
          <cell r="G802" t="str">
            <v>SCREW</v>
          </cell>
        </row>
        <row r="803">
          <cell r="D803">
            <v>800</v>
          </cell>
          <cell r="E803">
            <v>84849000</v>
          </cell>
          <cell r="F803">
            <v>5</v>
          </cell>
          <cell r="G803" t="str">
            <v>SEAL SINTERED METAL</v>
          </cell>
        </row>
        <row r="804">
          <cell r="D804">
            <v>801</v>
          </cell>
          <cell r="E804">
            <v>73181500</v>
          </cell>
          <cell r="F804">
            <v>5</v>
          </cell>
          <cell r="G804" t="str">
            <v>SHEAR PIN</v>
          </cell>
        </row>
        <row r="805">
          <cell r="D805">
            <v>802</v>
          </cell>
          <cell r="E805">
            <v>70179000</v>
          </cell>
          <cell r="F805">
            <v>5</v>
          </cell>
          <cell r="G805" t="str">
            <v>SIGHT GLASS</v>
          </cell>
        </row>
        <row r="806">
          <cell r="D806">
            <v>803</v>
          </cell>
          <cell r="E806">
            <v>73269099</v>
          </cell>
          <cell r="F806">
            <v>20</v>
          </cell>
          <cell r="G806" t="str">
            <v>SMALL SCREEN HOLDER</v>
          </cell>
        </row>
        <row r="807">
          <cell r="D807">
            <v>804</v>
          </cell>
          <cell r="E807">
            <v>73079900</v>
          </cell>
          <cell r="F807">
            <v>5</v>
          </cell>
          <cell r="G807" t="str">
            <v>SOCKET</v>
          </cell>
        </row>
        <row r="808">
          <cell r="D808">
            <v>805</v>
          </cell>
          <cell r="E808">
            <v>84219900</v>
          </cell>
          <cell r="F808">
            <v>5</v>
          </cell>
          <cell r="G808" t="str">
            <v>SOCKET CAP SCREEN</v>
          </cell>
        </row>
        <row r="809">
          <cell r="D809">
            <v>806</v>
          </cell>
          <cell r="E809">
            <v>73181500</v>
          </cell>
          <cell r="F809">
            <v>5</v>
          </cell>
          <cell r="G809" t="str">
            <v>SOCKET HEAD SCREWS</v>
          </cell>
        </row>
        <row r="810">
          <cell r="D810">
            <v>807</v>
          </cell>
          <cell r="E810">
            <v>84818090</v>
          </cell>
          <cell r="F810">
            <v>5</v>
          </cell>
          <cell r="G810" t="str">
            <v>SOLENOID VALVE</v>
          </cell>
        </row>
        <row r="811">
          <cell r="D811">
            <v>808</v>
          </cell>
          <cell r="E811">
            <v>8481900</v>
          </cell>
          <cell r="F811">
            <v>5</v>
          </cell>
          <cell r="G811" t="str">
            <v>SPARE BALL</v>
          </cell>
        </row>
        <row r="812">
          <cell r="D812">
            <v>809</v>
          </cell>
          <cell r="E812">
            <v>84819000</v>
          </cell>
          <cell r="F812">
            <v>5</v>
          </cell>
          <cell r="G812" t="str">
            <v>SPARE BALL SEAT</v>
          </cell>
        </row>
        <row r="813">
          <cell r="D813">
            <v>810</v>
          </cell>
          <cell r="E813">
            <v>90328900</v>
          </cell>
          <cell r="F813">
            <v>5</v>
          </cell>
          <cell r="G813" t="str">
            <v>SPEED CONTROLLER</v>
          </cell>
        </row>
        <row r="814">
          <cell r="D814">
            <v>811</v>
          </cell>
          <cell r="E814">
            <v>84832000</v>
          </cell>
          <cell r="F814">
            <v>5</v>
          </cell>
          <cell r="G814" t="str">
            <v xml:space="preserve">SPHERICAL ROLLER </v>
          </cell>
        </row>
        <row r="815">
          <cell r="D815">
            <v>812</v>
          </cell>
          <cell r="E815">
            <v>84819000</v>
          </cell>
          <cell r="F815">
            <v>5</v>
          </cell>
          <cell r="G815" t="str">
            <v>STEM ASSEMBLY</v>
          </cell>
        </row>
        <row r="816">
          <cell r="D816">
            <v>813</v>
          </cell>
          <cell r="E816">
            <v>85365000</v>
          </cell>
          <cell r="F816">
            <v>5</v>
          </cell>
          <cell r="G816" t="str">
            <v>SWITCH</v>
          </cell>
        </row>
        <row r="817">
          <cell r="D817">
            <v>814</v>
          </cell>
          <cell r="E817">
            <v>84813000</v>
          </cell>
          <cell r="F817">
            <v>5</v>
          </cell>
          <cell r="G817" t="str">
            <v>PILOT CHECK VALVE</v>
          </cell>
        </row>
        <row r="818">
          <cell r="D818">
            <v>815</v>
          </cell>
          <cell r="E818">
            <v>84839000</v>
          </cell>
          <cell r="F818">
            <v>5</v>
          </cell>
          <cell r="G818" t="str">
            <v>TIE ROD END</v>
          </cell>
        </row>
        <row r="819">
          <cell r="D819">
            <v>816</v>
          </cell>
          <cell r="E819">
            <v>84835000</v>
          </cell>
          <cell r="F819">
            <v>5</v>
          </cell>
          <cell r="G819" t="str">
            <v>TOP PICKUP BLOCK</v>
          </cell>
        </row>
        <row r="820">
          <cell r="D820">
            <v>817</v>
          </cell>
          <cell r="E820">
            <v>73202000</v>
          </cell>
          <cell r="F820">
            <v>5</v>
          </cell>
          <cell r="G820" t="str">
            <v>TORSION SPRING</v>
          </cell>
        </row>
        <row r="821">
          <cell r="D821">
            <v>818</v>
          </cell>
          <cell r="E821">
            <v>84818090</v>
          </cell>
          <cell r="F821">
            <v>5</v>
          </cell>
          <cell r="G821" t="str">
            <v>VALVE</v>
          </cell>
        </row>
        <row r="822">
          <cell r="D822">
            <v>819</v>
          </cell>
          <cell r="E822">
            <v>84819000</v>
          </cell>
          <cell r="F822">
            <v>5</v>
          </cell>
          <cell r="G822" t="str">
            <v>VALVE COVER</v>
          </cell>
        </row>
        <row r="823">
          <cell r="D823">
            <v>820</v>
          </cell>
          <cell r="E823">
            <v>84818090</v>
          </cell>
          <cell r="F823">
            <v>5</v>
          </cell>
          <cell r="G823" t="str">
            <v>VALVE FLAPPER</v>
          </cell>
        </row>
        <row r="824">
          <cell r="D824">
            <v>821</v>
          </cell>
          <cell r="E824">
            <v>84819000</v>
          </cell>
          <cell r="F824">
            <v>5</v>
          </cell>
          <cell r="G824" t="str">
            <v>VALVE SEAT</v>
          </cell>
        </row>
        <row r="825">
          <cell r="D825">
            <v>822</v>
          </cell>
          <cell r="E825">
            <v>84813000</v>
          </cell>
          <cell r="F825">
            <v>5</v>
          </cell>
          <cell r="G825" t="str">
            <v>WAFER CHECK VALVE</v>
          </cell>
        </row>
        <row r="826">
          <cell r="D826">
            <v>823</v>
          </cell>
          <cell r="E826">
            <v>72089000</v>
          </cell>
          <cell r="F826">
            <v>5</v>
          </cell>
          <cell r="G826" t="str">
            <v>WEAR PLATE</v>
          </cell>
        </row>
        <row r="827">
          <cell r="D827">
            <v>824</v>
          </cell>
          <cell r="E827">
            <v>73182100</v>
          </cell>
          <cell r="F827">
            <v>5</v>
          </cell>
          <cell r="G827" t="str">
            <v>WEAR WASHER</v>
          </cell>
        </row>
        <row r="828">
          <cell r="D828">
            <v>825</v>
          </cell>
          <cell r="E828">
            <v>84779000</v>
          </cell>
          <cell r="F828">
            <v>5</v>
          </cell>
          <cell r="G828" t="str">
            <v>EXTRUDER FEED PACKAGE</v>
          </cell>
        </row>
        <row r="829">
          <cell r="D829">
            <v>826</v>
          </cell>
          <cell r="E829">
            <v>85389000</v>
          </cell>
          <cell r="F829">
            <v>5</v>
          </cell>
          <cell r="G829" t="str">
            <v>TOUCHSCREEN</v>
          </cell>
        </row>
        <row r="830">
          <cell r="D830">
            <v>827</v>
          </cell>
          <cell r="E830">
            <v>90329000</v>
          </cell>
          <cell r="F830">
            <v>5</v>
          </cell>
          <cell r="G830" t="str">
            <v>CONVERTER MODULE</v>
          </cell>
        </row>
        <row r="831">
          <cell r="D831">
            <v>828</v>
          </cell>
          <cell r="E831">
            <v>85340000</v>
          </cell>
          <cell r="F831">
            <v>5</v>
          </cell>
          <cell r="G831" t="str">
            <v>PRINT CIRCUIT BOARD</v>
          </cell>
        </row>
        <row r="832">
          <cell r="D832">
            <v>829</v>
          </cell>
          <cell r="E832">
            <v>90329000</v>
          </cell>
          <cell r="F832">
            <v>5</v>
          </cell>
          <cell r="G832" t="str">
            <v>COMMUNICATION MODULE</v>
          </cell>
        </row>
        <row r="833">
          <cell r="D833">
            <v>830</v>
          </cell>
          <cell r="E833">
            <v>39261000</v>
          </cell>
          <cell r="F833">
            <v>5</v>
          </cell>
          <cell r="G833" t="str">
            <v>CARD RACK</v>
          </cell>
        </row>
        <row r="834">
          <cell r="D834">
            <v>831</v>
          </cell>
          <cell r="E834">
            <v>85389000</v>
          </cell>
          <cell r="F834">
            <v>5</v>
          </cell>
          <cell r="G834" t="str">
            <v>I/O MODULE</v>
          </cell>
        </row>
        <row r="835">
          <cell r="D835">
            <v>832</v>
          </cell>
          <cell r="E835">
            <v>85333900</v>
          </cell>
          <cell r="F835">
            <v>5</v>
          </cell>
          <cell r="G835" t="str">
            <v>INVERTER</v>
          </cell>
        </row>
        <row r="836">
          <cell r="D836">
            <v>833</v>
          </cell>
          <cell r="E836">
            <v>85115000</v>
          </cell>
          <cell r="F836">
            <v>5</v>
          </cell>
          <cell r="G836" t="str">
            <v>COMPUTER MODULE POWER SUPPLY</v>
          </cell>
        </row>
        <row r="837">
          <cell r="D837">
            <v>834</v>
          </cell>
          <cell r="E837">
            <v>85479000</v>
          </cell>
          <cell r="F837">
            <v>5</v>
          </cell>
          <cell r="G837" t="str">
            <v>ZENER BARRIER</v>
          </cell>
        </row>
        <row r="838">
          <cell r="D838">
            <v>835</v>
          </cell>
          <cell r="E838">
            <v>84238900</v>
          </cell>
          <cell r="F838">
            <v>5</v>
          </cell>
          <cell r="G838" t="str">
            <v>WEIGHT RESOLVER MODULE</v>
          </cell>
        </row>
        <row r="839">
          <cell r="D839">
            <v>836</v>
          </cell>
          <cell r="E839">
            <v>84212190</v>
          </cell>
          <cell r="F839">
            <v>5</v>
          </cell>
          <cell r="G839" t="str">
            <v>FILTERS</v>
          </cell>
        </row>
        <row r="840">
          <cell r="D840">
            <v>837</v>
          </cell>
          <cell r="E840">
            <v>73181500</v>
          </cell>
          <cell r="F840">
            <v>5</v>
          </cell>
          <cell r="G840" t="str">
            <v>BOLTS &amp; NUTS</v>
          </cell>
        </row>
        <row r="841">
          <cell r="D841">
            <v>838</v>
          </cell>
          <cell r="E841">
            <v>85119000</v>
          </cell>
          <cell r="F841">
            <v>5</v>
          </cell>
          <cell r="G841" t="str">
            <v>ROTARY FEEDER DELUMPER</v>
          </cell>
        </row>
        <row r="842">
          <cell r="D842">
            <v>839</v>
          </cell>
          <cell r="E842">
            <v>85479000</v>
          </cell>
          <cell r="F842">
            <v>5</v>
          </cell>
          <cell r="G842" t="str">
            <v>INTRINSIC BARRIER</v>
          </cell>
        </row>
        <row r="843">
          <cell r="D843">
            <v>840</v>
          </cell>
          <cell r="E843">
            <v>40169300</v>
          </cell>
          <cell r="F843">
            <v>5</v>
          </cell>
          <cell r="G843" t="str">
            <v>SEAL RING</v>
          </cell>
        </row>
        <row r="844">
          <cell r="D844">
            <v>841</v>
          </cell>
          <cell r="E844">
            <v>40169300</v>
          </cell>
          <cell r="F844">
            <v>5</v>
          </cell>
          <cell r="G844" t="str">
            <v>LANTERN RING</v>
          </cell>
        </row>
        <row r="845">
          <cell r="D845">
            <v>842</v>
          </cell>
          <cell r="E845">
            <v>82029900</v>
          </cell>
          <cell r="F845">
            <v>5</v>
          </cell>
          <cell r="G845" t="str">
            <v>TOP KNIFE</v>
          </cell>
        </row>
        <row r="846">
          <cell r="D846">
            <v>843</v>
          </cell>
          <cell r="E846">
            <v>84849000</v>
          </cell>
          <cell r="F846">
            <v>5</v>
          </cell>
          <cell r="G846" t="str">
            <v>PACKING</v>
          </cell>
        </row>
        <row r="847">
          <cell r="D847">
            <v>844</v>
          </cell>
          <cell r="E847">
            <v>84138190</v>
          </cell>
          <cell r="F847">
            <v>5</v>
          </cell>
          <cell r="G847" t="str">
            <v>HYDRAULIC PUMP</v>
          </cell>
        </row>
        <row r="848">
          <cell r="D848">
            <v>845</v>
          </cell>
          <cell r="E848">
            <v>84128000</v>
          </cell>
          <cell r="F848">
            <v>5</v>
          </cell>
          <cell r="G848" t="str">
            <v>HYDRAULIC MOTOR</v>
          </cell>
        </row>
        <row r="849">
          <cell r="D849">
            <v>846</v>
          </cell>
          <cell r="E849">
            <v>85030000</v>
          </cell>
          <cell r="F849">
            <v>5</v>
          </cell>
          <cell r="G849" t="str">
            <v>HYDRAULIC MOTOR COUPLING</v>
          </cell>
        </row>
        <row r="850">
          <cell r="D850">
            <v>847</v>
          </cell>
          <cell r="E850">
            <v>85016400</v>
          </cell>
          <cell r="F850">
            <v>5</v>
          </cell>
          <cell r="G850" t="str">
            <v>ELECTRIC MOTOR</v>
          </cell>
        </row>
        <row r="851">
          <cell r="D851">
            <v>848</v>
          </cell>
          <cell r="E851">
            <v>40095090</v>
          </cell>
          <cell r="F851">
            <v>5</v>
          </cell>
          <cell r="G851" t="str">
            <v>HIGH PRESSURE HOSE ASSEMBLY</v>
          </cell>
        </row>
        <row r="852">
          <cell r="D852">
            <v>849</v>
          </cell>
          <cell r="E852">
            <v>40095090</v>
          </cell>
          <cell r="F852">
            <v>5</v>
          </cell>
          <cell r="G852" t="str">
            <v>RETURN HOSE ASSEMBLY</v>
          </cell>
        </row>
        <row r="853">
          <cell r="D853">
            <v>850</v>
          </cell>
          <cell r="E853">
            <v>84219900</v>
          </cell>
          <cell r="F853">
            <v>5</v>
          </cell>
          <cell r="G853" t="str">
            <v>HIGH PRESSURE OIL FILTER ELEMENTS</v>
          </cell>
        </row>
        <row r="854">
          <cell r="D854">
            <v>851</v>
          </cell>
          <cell r="E854">
            <v>84212190</v>
          </cell>
          <cell r="F854">
            <v>5</v>
          </cell>
          <cell r="G854" t="str">
            <v>RETURN FILTERS</v>
          </cell>
        </row>
        <row r="855">
          <cell r="D855">
            <v>852</v>
          </cell>
          <cell r="E855">
            <v>90261000</v>
          </cell>
          <cell r="F855">
            <v>5</v>
          </cell>
          <cell r="G855" t="str">
            <v>OIL LEVEL GAUGE AND GASKETS</v>
          </cell>
        </row>
        <row r="856">
          <cell r="D856">
            <v>853</v>
          </cell>
          <cell r="E856">
            <v>84219900</v>
          </cell>
          <cell r="F856">
            <v>5</v>
          </cell>
          <cell r="G856" t="str">
            <v>RETURN FILTER ELEMENTS</v>
          </cell>
        </row>
        <row r="857">
          <cell r="D857">
            <v>854</v>
          </cell>
          <cell r="E857">
            <v>90268000</v>
          </cell>
          <cell r="F857">
            <v>5</v>
          </cell>
          <cell r="G857" t="str">
            <v>SPEED SENSOR AND ENCODER</v>
          </cell>
        </row>
        <row r="858">
          <cell r="D858">
            <v>855</v>
          </cell>
          <cell r="E858">
            <v>85365000</v>
          </cell>
          <cell r="F858">
            <v>5</v>
          </cell>
          <cell r="G858" t="str">
            <v>DOOR SWITCH</v>
          </cell>
        </row>
        <row r="859">
          <cell r="D859">
            <v>856</v>
          </cell>
          <cell r="E859">
            <v>85365000</v>
          </cell>
          <cell r="F859">
            <v>5</v>
          </cell>
          <cell r="G859" t="str">
            <v>DOOR SAFETY SWITCH</v>
          </cell>
        </row>
        <row r="860">
          <cell r="D860">
            <v>857</v>
          </cell>
          <cell r="E860">
            <v>85365000</v>
          </cell>
          <cell r="F860">
            <v>5</v>
          </cell>
          <cell r="G860" t="str">
            <v>OIL FLOAT SWITCH</v>
          </cell>
        </row>
        <row r="861">
          <cell r="D861">
            <v>858</v>
          </cell>
          <cell r="E861">
            <v>85365000</v>
          </cell>
          <cell r="F861">
            <v>5</v>
          </cell>
          <cell r="G861" t="str">
            <v>OIL TEMPERATURE SWITCH</v>
          </cell>
        </row>
        <row r="862">
          <cell r="D862">
            <v>859</v>
          </cell>
          <cell r="E862">
            <v>85115000</v>
          </cell>
          <cell r="F862">
            <v>5</v>
          </cell>
          <cell r="G862" t="str">
            <v>PLC POWER SUPPLY</v>
          </cell>
        </row>
        <row r="863">
          <cell r="D863">
            <v>860</v>
          </cell>
          <cell r="E863">
            <v>90328900</v>
          </cell>
          <cell r="F863">
            <v>5</v>
          </cell>
          <cell r="G863" t="str">
            <v>CPU</v>
          </cell>
        </row>
        <row r="864">
          <cell r="D864">
            <v>861</v>
          </cell>
          <cell r="E864">
            <v>90329000</v>
          </cell>
          <cell r="F864">
            <v>5</v>
          </cell>
          <cell r="G864" t="str">
            <v>EPROM CHIP (PROGRAMMED)</v>
          </cell>
        </row>
        <row r="865">
          <cell r="D865">
            <v>862</v>
          </cell>
          <cell r="E865">
            <v>9032900</v>
          </cell>
          <cell r="F865">
            <v>5</v>
          </cell>
          <cell r="G865" t="str">
            <v>24 V INPUT CARD</v>
          </cell>
        </row>
        <row r="866">
          <cell r="D866">
            <v>863</v>
          </cell>
          <cell r="E866">
            <v>90329000</v>
          </cell>
          <cell r="F866">
            <v>5</v>
          </cell>
          <cell r="G866" t="str">
            <v>ANALOG INPUT CARD</v>
          </cell>
        </row>
        <row r="867">
          <cell r="D867">
            <v>864</v>
          </cell>
          <cell r="E867">
            <v>90329000</v>
          </cell>
          <cell r="F867">
            <v>5</v>
          </cell>
          <cell r="G867" t="str">
            <v>ANALOG OUTPUT CARD</v>
          </cell>
        </row>
        <row r="868">
          <cell r="D868">
            <v>865</v>
          </cell>
          <cell r="E868">
            <v>84223010</v>
          </cell>
          <cell r="F868">
            <v>5</v>
          </cell>
          <cell r="G868" t="str">
            <v>ADDITIVE BAG COMPACTOR</v>
          </cell>
        </row>
        <row r="869">
          <cell r="D869">
            <v>866</v>
          </cell>
          <cell r="E869">
            <v>84212190</v>
          </cell>
          <cell r="F869">
            <v>5</v>
          </cell>
          <cell r="G869" t="str">
            <v>MAGNETIC SCREENER</v>
          </cell>
        </row>
        <row r="870">
          <cell r="D870">
            <v>867</v>
          </cell>
          <cell r="E870">
            <v>84223010</v>
          </cell>
          <cell r="F870">
            <v>5</v>
          </cell>
          <cell r="G870" t="str">
            <v>PACKAGING SYSTEM</v>
          </cell>
        </row>
        <row r="871">
          <cell r="D871">
            <v>868</v>
          </cell>
          <cell r="E871">
            <v>84821000</v>
          </cell>
          <cell r="F871">
            <v>5</v>
          </cell>
          <cell r="G871" t="str">
            <v xml:space="preserve">BEARING </v>
          </cell>
        </row>
        <row r="872">
          <cell r="D872">
            <v>869</v>
          </cell>
          <cell r="E872">
            <v>84839000</v>
          </cell>
          <cell r="F872">
            <v>5</v>
          </cell>
          <cell r="G872" t="str">
            <v>BRAKE</v>
          </cell>
        </row>
        <row r="873">
          <cell r="D873">
            <v>870</v>
          </cell>
          <cell r="E873">
            <v>84839000</v>
          </cell>
          <cell r="F873">
            <v>5</v>
          </cell>
          <cell r="G873" t="str">
            <v xml:space="preserve">CHAIN SPROCKETS </v>
          </cell>
        </row>
        <row r="874">
          <cell r="D874">
            <v>871</v>
          </cell>
          <cell r="E874">
            <v>90329000</v>
          </cell>
          <cell r="F874">
            <v>5</v>
          </cell>
          <cell r="G874" t="str">
            <v xml:space="preserve">CONTROL SWITCH </v>
          </cell>
        </row>
        <row r="875">
          <cell r="D875">
            <v>872</v>
          </cell>
          <cell r="E875">
            <v>85043400</v>
          </cell>
          <cell r="F875">
            <v>5</v>
          </cell>
          <cell r="G875" t="str">
            <v xml:space="preserve">CONVERTER </v>
          </cell>
        </row>
        <row r="876">
          <cell r="D876">
            <v>873</v>
          </cell>
          <cell r="E876">
            <v>85351000</v>
          </cell>
          <cell r="F876">
            <v>5</v>
          </cell>
          <cell r="G876" t="str">
            <v xml:space="preserve">DIAZED FUSE </v>
          </cell>
        </row>
        <row r="877">
          <cell r="D877">
            <v>874</v>
          </cell>
          <cell r="E877">
            <v>90329000</v>
          </cell>
          <cell r="F877">
            <v>5</v>
          </cell>
          <cell r="G877" t="str">
            <v xml:space="preserve">DIGITAL INPUT </v>
          </cell>
        </row>
        <row r="878">
          <cell r="D878">
            <v>875</v>
          </cell>
          <cell r="E878">
            <v>85372000</v>
          </cell>
          <cell r="F878">
            <v>5</v>
          </cell>
          <cell r="G878" t="str">
            <v xml:space="preserve">ELECTRONIC BOARD </v>
          </cell>
        </row>
        <row r="879">
          <cell r="D879">
            <v>876</v>
          </cell>
          <cell r="E879">
            <v>90329000</v>
          </cell>
          <cell r="F879">
            <v>5</v>
          </cell>
          <cell r="G879" t="str">
            <v xml:space="preserve">ELECTRONIC SET </v>
          </cell>
        </row>
        <row r="880">
          <cell r="D880">
            <v>877</v>
          </cell>
          <cell r="E880">
            <v>85353000</v>
          </cell>
          <cell r="F880">
            <v>5</v>
          </cell>
          <cell r="G880" t="str">
            <v xml:space="preserve">EMERGENCY PUSH BUTTON </v>
          </cell>
        </row>
        <row r="881">
          <cell r="D881">
            <v>878</v>
          </cell>
          <cell r="E881">
            <v>85364900</v>
          </cell>
          <cell r="F881">
            <v>5</v>
          </cell>
          <cell r="G881" t="str">
            <v xml:space="preserve">EMERGENCY STOP RELAY </v>
          </cell>
        </row>
        <row r="882">
          <cell r="D882">
            <v>879</v>
          </cell>
          <cell r="E882">
            <v>82029900</v>
          </cell>
          <cell r="F882">
            <v>5</v>
          </cell>
          <cell r="G882" t="str">
            <v xml:space="preserve">FILM KNIVES </v>
          </cell>
        </row>
        <row r="883">
          <cell r="D883">
            <v>880</v>
          </cell>
          <cell r="E883">
            <v>84212190</v>
          </cell>
          <cell r="F883">
            <v>5</v>
          </cell>
          <cell r="G883" t="str">
            <v xml:space="preserve">FILTER AND FAN </v>
          </cell>
        </row>
        <row r="884">
          <cell r="D884">
            <v>881</v>
          </cell>
          <cell r="E884">
            <v>84821000</v>
          </cell>
          <cell r="F884">
            <v>5</v>
          </cell>
          <cell r="G884" t="str">
            <v xml:space="preserve">FLANGE BEARING </v>
          </cell>
        </row>
        <row r="885">
          <cell r="D885">
            <v>882</v>
          </cell>
          <cell r="E885">
            <v>84229000</v>
          </cell>
          <cell r="F885">
            <v>5</v>
          </cell>
          <cell r="G885" t="str">
            <v xml:space="preserve">GUIDING SYSTEM </v>
          </cell>
        </row>
        <row r="886">
          <cell r="D886">
            <v>883</v>
          </cell>
          <cell r="E886">
            <v>84199000</v>
          </cell>
          <cell r="F886">
            <v>5</v>
          </cell>
          <cell r="G886" t="str">
            <v>HEATING ELEMENTS</v>
          </cell>
        </row>
        <row r="887">
          <cell r="D887">
            <v>884</v>
          </cell>
          <cell r="E887">
            <v>84834000</v>
          </cell>
          <cell r="F887">
            <v>5</v>
          </cell>
          <cell r="G887" t="str">
            <v xml:space="preserve">IDLERS </v>
          </cell>
        </row>
        <row r="888">
          <cell r="D888">
            <v>885</v>
          </cell>
          <cell r="E888">
            <v>84212190</v>
          </cell>
          <cell r="F888">
            <v>5</v>
          </cell>
          <cell r="G888" t="str">
            <v>INKE FILTERS</v>
          </cell>
        </row>
        <row r="889">
          <cell r="D889">
            <v>886</v>
          </cell>
          <cell r="E889">
            <v>94059900</v>
          </cell>
          <cell r="F889">
            <v>5</v>
          </cell>
          <cell r="G889" t="str">
            <v xml:space="preserve">LIGHT BARRIER </v>
          </cell>
        </row>
        <row r="890">
          <cell r="D890">
            <v>887</v>
          </cell>
          <cell r="E890">
            <v>85365000</v>
          </cell>
          <cell r="F890">
            <v>5</v>
          </cell>
          <cell r="G890" t="str">
            <v xml:space="preserve">LIMIT SWITCH </v>
          </cell>
        </row>
        <row r="891">
          <cell r="D891">
            <v>888</v>
          </cell>
          <cell r="E891">
            <v>85030000</v>
          </cell>
          <cell r="F891">
            <v>5</v>
          </cell>
          <cell r="G891" t="str">
            <v xml:space="preserve">MOTOR BRAKE </v>
          </cell>
        </row>
        <row r="892">
          <cell r="D892">
            <v>889</v>
          </cell>
          <cell r="E892">
            <v>85030000</v>
          </cell>
          <cell r="F892">
            <v>5</v>
          </cell>
          <cell r="G892" t="str">
            <v>MOTOR CONTACTOR</v>
          </cell>
        </row>
        <row r="893">
          <cell r="D893">
            <v>890</v>
          </cell>
          <cell r="E893">
            <v>84813000</v>
          </cell>
          <cell r="F893">
            <v>5</v>
          </cell>
          <cell r="G893" t="str">
            <v>NON-RETURN VALVE</v>
          </cell>
        </row>
        <row r="894">
          <cell r="D894">
            <v>891</v>
          </cell>
          <cell r="E894">
            <v>85414000</v>
          </cell>
          <cell r="F894">
            <v>5</v>
          </cell>
          <cell r="G894" t="str">
            <v xml:space="preserve">PHOTOCELLS </v>
          </cell>
        </row>
        <row r="895">
          <cell r="D895">
            <v>892</v>
          </cell>
          <cell r="E895">
            <v>84099120</v>
          </cell>
          <cell r="F895">
            <v>5</v>
          </cell>
          <cell r="G895" t="str">
            <v xml:space="preserve">PNEUMATIC CYLINDER </v>
          </cell>
        </row>
        <row r="896">
          <cell r="D896">
            <v>893</v>
          </cell>
          <cell r="E896">
            <v>85366900</v>
          </cell>
          <cell r="F896">
            <v>5</v>
          </cell>
          <cell r="G896" t="str">
            <v xml:space="preserve">POWER CONTACTOR </v>
          </cell>
        </row>
        <row r="897">
          <cell r="D897">
            <v>894</v>
          </cell>
          <cell r="E897">
            <v>39269069</v>
          </cell>
          <cell r="F897">
            <v>5</v>
          </cell>
          <cell r="G897" t="str">
            <v xml:space="preserve">PRESSURE GUARD </v>
          </cell>
        </row>
        <row r="898">
          <cell r="D898">
            <v>895</v>
          </cell>
          <cell r="E898">
            <v>84811000</v>
          </cell>
          <cell r="F898">
            <v>5</v>
          </cell>
          <cell r="G898" t="str">
            <v xml:space="preserve">PRESSURE REDUCER </v>
          </cell>
        </row>
        <row r="899">
          <cell r="D899">
            <v>896</v>
          </cell>
          <cell r="E899">
            <v>84424000</v>
          </cell>
          <cell r="F899">
            <v>5</v>
          </cell>
          <cell r="G899" t="str">
            <v xml:space="preserve">PRINTING HEAD </v>
          </cell>
        </row>
        <row r="900">
          <cell r="D900">
            <v>897</v>
          </cell>
          <cell r="E900">
            <v>85365000</v>
          </cell>
          <cell r="F900">
            <v>5</v>
          </cell>
          <cell r="G900" t="str">
            <v xml:space="preserve">PROXIMITY SWITCH </v>
          </cell>
        </row>
        <row r="901">
          <cell r="D901">
            <v>898</v>
          </cell>
          <cell r="E901">
            <v>84835000</v>
          </cell>
          <cell r="F901">
            <v>5</v>
          </cell>
          <cell r="G901" t="str">
            <v xml:space="preserve">PULLEY </v>
          </cell>
        </row>
        <row r="902">
          <cell r="D902">
            <v>899</v>
          </cell>
          <cell r="E902">
            <v>85353000</v>
          </cell>
          <cell r="F902">
            <v>5</v>
          </cell>
          <cell r="G902" t="str">
            <v xml:space="preserve">PUSH BUTTON </v>
          </cell>
        </row>
        <row r="903">
          <cell r="D903">
            <v>900</v>
          </cell>
          <cell r="E903">
            <v>94059900</v>
          </cell>
          <cell r="F903">
            <v>5</v>
          </cell>
          <cell r="G903" t="str">
            <v xml:space="preserve">REFLECTOR </v>
          </cell>
        </row>
        <row r="904">
          <cell r="D904">
            <v>901</v>
          </cell>
          <cell r="E904">
            <v>85364900</v>
          </cell>
          <cell r="F904">
            <v>5</v>
          </cell>
          <cell r="G904" t="str">
            <v xml:space="preserve">RELAY </v>
          </cell>
        </row>
        <row r="905">
          <cell r="D905">
            <v>902</v>
          </cell>
          <cell r="E905">
            <v>39269070</v>
          </cell>
          <cell r="F905">
            <v>5</v>
          </cell>
          <cell r="G905" t="str">
            <v>ROLLS OF TEFLON BELT</v>
          </cell>
        </row>
        <row r="906">
          <cell r="D906">
            <v>903</v>
          </cell>
          <cell r="E906">
            <v>40169400</v>
          </cell>
          <cell r="F906">
            <v>5</v>
          </cell>
          <cell r="G906" t="str">
            <v>ROPE BUMPER</v>
          </cell>
        </row>
        <row r="907">
          <cell r="D907">
            <v>904</v>
          </cell>
          <cell r="E907">
            <v>84314900</v>
          </cell>
          <cell r="F907">
            <v>5</v>
          </cell>
          <cell r="G907" t="str">
            <v>ROPES FOR LIFTING HOIST</v>
          </cell>
        </row>
        <row r="908">
          <cell r="D908">
            <v>905</v>
          </cell>
          <cell r="E908">
            <v>40102900</v>
          </cell>
          <cell r="F908">
            <v>5</v>
          </cell>
          <cell r="G908" t="str">
            <v>RUBBER BELT, ENDLESS VULCANIZED</v>
          </cell>
        </row>
        <row r="909">
          <cell r="D909">
            <v>906</v>
          </cell>
          <cell r="E909">
            <v>85393900</v>
          </cell>
          <cell r="F909">
            <v>5</v>
          </cell>
          <cell r="G909" t="str">
            <v xml:space="preserve">SET OF CONTROL LAMPS </v>
          </cell>
        </row>
        <row r="910">
          <cell r="D910">
            <v>907</v>
          </cell>
          <cell r="E910">
            <v>85061090</v>
          </cell>
          <cell r="F910">
            <v>5</v>
          </cell>
          <cell r="G910" t="str">
            <v xml:space="preserve">SET OF LOAD CELLS </v>
          </cell>
        </row>
        <row r="911">
          <cell r="D911">
            <v>908</v>
          </cell>
          <cell r="E911">
            <v>84849000</v>
          </cell>
          <cell r="F911">
            <v>5</v>
          </cell>
          <cell r="G911" t="str">
            <v xml:space="preserve">SET OF WEARING PARTS </v>
          </cell>
        </row>
        <row r="912">
          <cell r="D912">
            <v>909</v>
          </cell>
          <cell r="E912">
            <v>84839000</v>
          </cell>
          <cell r="F912">
            <v>5</v>
          </cell>
          <cell r="G912" t="str">
            <v>SLIDING CLUTCHES</v>
          </cell>
        </row>
        <row r="913">
          <cell r="D913">
            <v>910</v>
          </cell>
          <cell r="E913">
            <v>84818090</v>
          </cell>
          <cell r="F913">
            <v>5</v>
          </cell>
          <cell r="G913" t="str">
            <v>SOLENOID VALVES</v>
          </cell>
        </row>
        <row r="914">
          <cell r="D914">
            <v>911</v>
          </cell>
          <cell r="E914">
            <v>40102900</v>
          </cell>
          <cell r="F914">
            <v>5</v>
          </cell>
          <cell r="G914" t="str">
            <v>SPECIAL BELT</v>
          </cell>
        </row>
        <row r="915">
          <cell r="D915">
            <v>912</v>
          </cell>
          <cell r="E915">
            <v>85414000</v>
          </cell>
          <cell r="F915">
            <v>5</v>
          </cell>
          <cell r="G915" t="str">
            <v>SPECIAL PHOTOCELL</v>
          </cell>
        </row>
        <row r="916">
          <cell r="D916">
            <v>913</v>
          </cell>
          <cell r="E916">
            <v>84798999</v>
          </cell>
          <cell r="F916">
            <v>5</v>
          </cell>
          <cell r="G916" t="str">
            <v>SPECIAL TEFLON COATING DEVICES</v>
          </cell>
        </row>
        <row r="917">
          <cell r="D917">
            <v>914</v>
          </cell>
          <cell r="E917">
            <v>84849000</v>
          </cell>
          <cell r="F917">
            <v>5</v>
          </cell>
          <cell r="G917" t="str">
            <v>STRAIGHT SEALING LINKS</v>
          </cell>
        </row>
        <row r="918">
          <cell r="D918">
            <v>915</v>
          </cell>
          <cell r="E918">
            <v>85353000</v>
          </cell>
          <cell r="F918">
            <v>5</v>
          </cell>
          <cell r="G918" t="str">
            <v xml:space="preserve">SWITCH ELEMENT </v>
          </cell>
        </row>
        <row r="919">
          <cell r="D919">
            <v>916</v>
          </cell>
          <cell r="E919">
            <v>85353000</v>
          </cell>
          <cell r="F919">
            <v>5</v>
          </cell>
          <cell r="G919" t="str">
            <v xml:space="preserve">SWITCHING ELEMENT </v>
          </cell>
        </row>
        <row r="920">
          <cell r="D920">
            <v>917</v>
          </cell>
          <cell r="E920">
            <v>40102900</v>
          </cell>
          <cell r="F920">
            <v>5</v>
          </cell>
          <cell r="G920" t="str">
            <v>TOOTH BELT</v>
          </cell>
        </row>
        <row r="921">
          <cell r="D921">
            <v>918</v>
          </cell>
          <cell r="E921">
            <v>84859000</v>
          </cell>
          <cell r="F921">
            <v>5</v>
          </cell>
          <cell r="G921" t="str">
            <v>TOOTH BELT DISK</v>
          </cell>
        </row>
        <row r="922">
          <cell r="D922">
            <v>919</v>
          </cell>
          <cell r="E922">
            <v>40102900</v>
          </cell>
          <cell r="F922">
            <v>5</v>
          </cell>
          <cell r="G922" t="str">
            <v>TRANSPORTING BELTS</v>
          </cell>
        </row>
        <row r="923">
          <cell r="D923">
            <v>920</v>
          </cell>
          <cell r="E923">
            <v>84839000</v>
          </cell>
          <cell r="F923">
            <v>5</v>
          </cell>
          <cell r="G923" t="str">
            <v xml:space="preserve">WEARING PARTS </v>
          </cell>
        </row>
        <row r="924">
          <cell r="D924">
            <v>921</v>
          </cell>
          <cell r="E924">
            <v>39199000</v>
          </cell>
          <cell r="F924">
            <v>5</v>
          </cell>
          <cell r="G924" t="str">
            <v xml:space="preserve">ADHESIVE TAPE </v>
          </cell>
        </row>
        <row r="925">
          <cell r="D925">
            <v>922</v>
          </cell>
          <cell r="E925">
            <v>8307900</v>
          </cell>
          <cell r="F925">
            <v>5</v>
          </cell>
          <cell r="G925" t="str">
            <v xml:space="preserve">AIR HOSE </v>
          </cell>
        </row>
        <row r="926">
          <cell r="D926">
            <v>923</v>
          </cell>
          <cell r="E926">
            <v>84839000</v>
          </cell>
          <cell r="F926">
            <v>5</v>
          </cell>
          <cell r="G926" t="str">
            <v xml:space="preserve">CARDAN NEEDLE </v>
          </cell>
        </row>
        <row r="927">
          <cell r="D927">
            <v>924</v>
          </cell>
          <cell r="E927">
            <v>73269060</v>
          </cell>
          <cell r="F927">
            <v>20</v>
          </cell>
          <cell r="G927" t="str">
            <v xml:space="preserve">CLAMP </v>
          </cell>
        </row>
        <row r="928">
          <cell r="D928">
            <v>925</v>
          </cell>
          <cell r="E928">
            <v>85441900</v>
          </cell>
          <cell r="F928">
            <v>5</v>
          </cell>
          <cell r="G928" t="str">
            <v xml:space="preserve">CONNECTION </v>
          </cell>
        </row>
        <row r="929">
          <cell r="D929">
            <v>926</v>
          </cell>
          <cell r="E929">
            <v>73141900</v>
          </cell>
          <cell r="F929">
            <v>20</v>
          </cell>
          <cell r="G929" t="str">
            <v xml:space="preserve">IMPULSE BAND </v>
          </cell>
        </row>
        <row r="930">
          <cell r="D930">
            <v>927</v>
          </cell>
          <cell r="E930">
            <v>85479000</v>
          </cell>
          <cell r="F930">
            <v>5</v>
          </cell>
          <cell r="G930" t="str">
            <v xml:space="preserve">INSULATING BAR </v>
          </cell>
        </row>
        <row r="931">
          <cell r="D931">
            <v>928</v>
          </cell>
          <cell r="E931">
            <v>85365000</v>
          </cell>
          <cell r="F931">
            <v>5</v>
          </cell>
          <cell r="G931" t="str">
            <v xml:space="preserve">PROXIMITY SWITCH </v>
          </cell>
        </row>
        <row r="932">
          <cell r="D932">
            <v>929</v>
          </cell>
          <cell r="E932">
            <v>40169300</v>
          </cell>
          <cell r="F932">
            <v>5</v>
          </cell>
          <cell r="G932" t="str">
            <v xml:space="preserve">RUBBER DISK </v>
          </cell>
        </row>
        <row r="933">
          <cell r="D933">
            <v>930</v>
          </cell>
          <cell r="E933">
            <v>40081900</v>
          </cell>
          <cell r="F933">
            <v>5</v>
          </cell>
          <cell r="G933" t="str">
            <v xml:space="preserve">SILICONE CORD </v>
          </cell>
        </row>
        <row r="934">
          <cell r="D934">
            <v>931</v>
          </cell>
          <cell r="E934">
            <v>82059010</v>
          </cell>
          <cell r="F934">
            <v>5</v>
          </cell>
          <cell r="G934" t="str">
            <v>TOOL KIT</v>
          </cell>
        </row>
        <row r="935">
          <cell r="D935">
            <v>932</v>
          </cell>
          <cell r="E935">
            <v>70194000</v>
          </cell>
          <cell r="F935">
            <v>5</v>
          </cell>
          <cell r="G935" t="str">
            <v xml:space="preserve">TEFLON GLASS FABRIC </v>
          </cell>
        </row>
        <row r="936">
          <cell r="D936">
            <v>933</v>
          </cell>
          <cell r="E936">
            <v>84818090</v>
          </cell>
          <cell r="F936">
            <v>5</v>
          </cell>
          <cell r="G936" t="str">
            <v xml:space="preserve">VALVE </v>
          </cell>
        </row>
        <row r="937">
          <cell r="D937">
            <v>934</v>
          </cell>
          <cell r="E937">
            <v>84819000</v>
          </cell>
          <cell r="F937">
            <v>5</v>
          </cell>
          <cell r="G937" t="str">
            <v xml:space="preserve">VALVE BLOCK </v>
          </cell>
        </row>
        <row r="938">
          <cell r="D938">
            <v>935</v>
          </cell>
          <cell r="E938">
            <v>82041200</v>
          </cell>
          <cell r="F938">
            <v>5</v>
          </cell>
          <cell r="G938" t="str">
            <v xml:space="preserve">WRENCH </v>
          </cell>
        </row>
        <row r="939">
          <cell r="D939">
            <v>936</v>
          </cell>
          <cell r="E939">
            <v>84282000</v>
          </cell>
          <cell r="F939">
            <v>5</v>
          </cell>
          <cell r="G939" t="str">
            <v>PNEUMATIC CONVEYING SYSTEM</v>
          </cell>
        </row>
        <row r="940">
          <cell r="D940">
            <v>937</v>
          </cell>
          <cell r="E940">
            <v>84313900</v>
          </cell>
          <cell r="F940">
            <v>5</v>
          </cell>
          <cell r="G940" t="str">
            <v>PNEUMATIC CONVEYING SYSTEM PACKAGE</v>
          </cell>
        </row>
        <row r="941">
          <cell r="D941">
            <v>938</v>
          </cell>
          <cell r="E941">
            <v>84238900</v>
          </cell>
          <cell r="F941">
            <v>5</v>
          </cell>
          <cell r="G941" t="str">
            <v>SCALE</v>
          </cell>
        </row>
        <row r="942">
          <cell r="D942">
            <v>939</v>
          </cell>
          <cell r="E942">
            <v>84798999</v>
          </cell>
          <cell r="F942">
            <v>5</v>
          </cell>
          <cell r="G942" t="str">
            <v>MAITENANCE EQUIPMENT</v>
          </cell>
        </row>
        <row r="943">
          <cell r="D943">
            <v>940</v>
          </cell>
          <cell r="E943">
            <v>87168090</v>
          </cell>
          <cell r="F943">
            <v>5</v>
          </cell>
          <cell r="G943" t="str">
            <v>ADDITIVE HAND TRUCK</v>
          </cell>
        </row>
        <row r="944">
          <cell r="D944">
            <v>941</v>
          </cell>
          <cell r="E944">
            <v>84261900</v>
          </cell>
          <cell r="F944">
            <v>5</v>
          </cell>
          <cell r="G944" t="str">
            <v>DOCK LOADER</v>
          </cell>
        </row>
        <row r="945">
          <cell r="D945">
            <v>942</v>
          </cell>
          <cell r="E945">
            <v>84279000</v>
          </cell>
          <cell r="F945">
            <v>5</v>
          </cell>
          <cell r="G945" t="str">
            <v>FORK LIFT</v>
          </cell>
        </row>
        <row r="946">
          <cell r="D946">
            <v>943</v>
          </cell>
          <cell r="E946">
            <v>82059010</v>
          </cell>
          <cell r="F946">
            <v>5</v>
          </cell>
          <cell r="G946" t="str">
            <v>TOOL KIT</v>
          </cell>
        </row>
        <row r="947">
          <cell r="D947">
            <v>944</v>
          </cell>
          <cell r="E947">
            <v>86090000</v>
          </cell>
          <cell r="F947">
            <v>5</v>
          </cell>
          <cell r="G947" t="str">
            <v>SHIPPING CONTAINER</v>
          </cell>
        </row>
        <row r="948">
          <cell r="D948">
            <v>945</v>
          </cell>
          <cell r="E948">
            <v>84261900</v>
          </cell>
          <cell r="F948">
            <v>5</v>
          </cell>
          <cell r="G948" t="str">
            <v>MOTOR OPERATED HYDRAULIC PLATFORM</v>
          </cell>
        </row>
        <row r="949">
          <cell r="D949">
            <v>946</v>
          </cell>
          <cell r="E949">
            <v>84279000</v>
          </cell>
          <cell r="F949">
            <v>5</v>
          </cell>
          <cell r="G949" t="str">
            <v>DEISEL FORKLIFT</v>
          </cell>
        </row>
        <row r="950">
          <cell r="D950">
            <v>947</v>
          </cell>
          <cell r="E950">
            <v>87168090</v>
          </cell>
          <cell r="F950">
            <v>5</v>
          </cell>
          <cell r="G950" t="str">
            <v>PALLET HYDRAULIC HAND TRUCK</v>
          </cell>
        </row>
        <row r="951">
          <cell r="D951">
            <v>948</v>
          </cell>
          <cell r="E951">
            <v>84279000</v>
          </cell>
          <cell r="F951">
            <v>5</v>
          </cell>
          <cell r="G951" t="str">
            <v>PLATFORM HAND TRUCK</v>
          </cell>
        </row>
        <row r="952">
          <cell r="D952">
            <v>949</v>
          </cell>
          <cell r="E952">
            <v>84254200</v>
          </cell>
          <cell r="F952">
            <v>5</v>
          </cell>
          <cell r="G952" t="str">
            <v>FLOOR HYDRAULIC LIFTER</v>
          </cell>
        </row>
        <row r="953">
          <cell r="D953">
            <v>950</v>
          </cell>
          <cell r="E953">
            <v>84671910</v>
          </cell>
          <cell r="F953">
            <v>5</v>
          </cell>
          <cell r="G953" t="str">
            <v>BENCH DRILLING MACHINE</v>
          </cell>
        </row>
        <row r="954">
          <cell r="D954">
            <v>951</v>
          </cell>
          <cell r="E954">
            <v>84671930</v>
          </cell>
          <cell r="F954">
            <v>5</v>
          </cell>
          <cell r="G954" t="str">
            <v>PEDESTAL GRINDING MACHINE</v>
          </cell>
        </row>
        <row r="955">
          <cell r="D955">
            <v>952</v>
          </cell>
          <cell r="E955">
            <v>84671910</v>
          </cell>
          <cell r="F955">
            <v>5</v>
          </cell>
          <cell r="G955" t="str">
            <v>PORTABLE DRILLING MACHINE</v>
          </cell>
        </row>
        <row r="956">
          <cell r="D956">
            <v>953</v>
          </cell>
          <cell r="E956">
            <v>84629100</v>
          </cell>
          <cell r="F956">
            <v>5</v>
          </cell>
          <cell r="G956" t="str">
            <v>HYDRAULIC PRESS</v>
          </cell>
        </row>
        <row r="957">
          <cell r="D957">
            <v>954</v>
          </cell>
          <cell r="E957">
            <v>84661000</v>
          </cell>
          <cell r="F957">
            <v>5</v>
          </cell>
          <cell r="G957" t="str">
            <v>MOTOR TEST BENCH</v>
          </cell>
        </row>
        <row r="958">
          <cell r="D958">
            <v>955</v>
          </cell>
          <cell r="E958">
            <v>84661000</v>
          </cell>
          <cell r="F958">
            <v>5</v>
          </cell>
          <cell r="G958" t="str">
            <v>ELECTRICAL TEST BENCH</v>
          </cell>
        </row>
        <row r="959">
          <cell r="D959">
            <v>956</v>
          </cell>
          <cell r="E959">
            <v>85143000</v>
          </cell>
          <cell r="F959">
            <v>5</v>
          </cell>
          <cell r="G959" t="str">
            <v>EXTRUDER SCREEN PACK CLEANER OVEN</v>
          </cell>
        </row>
        <row r="960">
          <cell r="D960">
            <v>957</v>
          </cell>
          <cell r="E960">
            <v>85323000</v>
          </cell>
          <cell r="F960">
            <v>5</v>
          </cell>
          <cell r="G960" t="str">
            <v>EJECTOR CONDENSER</v>
          </cell>
        </row>
        <row r="961">
          <cell r="D961">
            <v>958</v>
          </cell>
          <cell r="E961">
            <v>84186910</v>
          </cell>
          <cell r="F961">
            <v>5</v>
          </cell>
          <cell r="G961" t="str">
            <v>CHILLED WATER SYSTEM</v>
          </cell>
        </row>
        <row r="962">
          <cell r="D962">
            <v>959</v>
          </cell>
          <cell r="E962">
            <v>8419900</v>
          </cell>
          <cell r="F962">
            <v>5</v>
          </cell>
          <cell r="G962" t="str">
            <v>CHILLED WATER SYSTEM PACKAGE</v>
          </cell>
        </row>
        <row r="963">
          <cell r="D963">
            <v>960</v>
          </cell>
          <cell r="E963">
            <v>84849000</v>
          </cell>
          <cell r="F963">
            <v>5</v>
          </cell>
          <cell r="G963" t="str">
            <v>MECHANICAL SEAL</v>
          </cell>
        </row>
        <row r="964">
          <cell r="D964">
            <v>961</v>
          </cell>
          <cell r="E964">
            <v>84818090</v>
          </cell>
          <cell r="F964">
            <v>5</v>
          </cell>
          <cell r="G964" t="str">
            <v>DIVERTER VALVE</v>
          </cell>
        </row>
        <row r="965">
          <cell r="D965">
            <v>962</v>
          </cell>
          <cell r="E965">
            <v>84819000</v>
          </cell>
          <cell r="F965">
            <v>5</v>
          </cell>
          <cell r="G965" t="str">
            <v>STEM</v>
          </cell>
        </row>
        <row r="966">
          <cell r="D966">
            <v>963</v>
          </cell>
          <cell r="E966">
            <v>73182400</v>
          </cell>
          <cell r="F966">
            <v>5</v>
          </cell>
          <cell r="G966" t="str">
            <v>WEDGE</v>
          </cell>
        </row>
        <row r="967">
          <cell r="D967">
            <v>964</v>
          </cell>
          <cell r="E967">
            <v>84859000</v>
          </cell>
          <cell r="F967">
            <v>5</v>
          </cell>
          <cell r="G967" t="str">
            <v>MECHANICAL SEAT</v>
          </cell>
        </row>
        <row r="968">
          <cell r="D968">
            <v>965</v>
          </cell>
          <cell r="E968">
            <v>73071900</v>
          </cell>
          <cell r="F968">
            <v>5</v>
          </cell>
          <cell r="G968" t="str">
            <v>BUSH</v>
          </cell>
        </row>
        <row r="969">
          <cell r="D969">
            <v>966</v>
          </cell>
          <cell r="E969">
            <v>84849000</v>
          </cell>
          <cell r="F969">
            <v>5</v>
          </cell>
          <cell r="G969" t="str">
            <v>DIAPHRAGM</v>
          </cell>
        </row>
        <row r="970">
          <cell r="D970">
            <v>967</v>
          </cell>
          <cell r="E970">
            <v>84849000</v>
          </cell>
          <cell r="F970">
            <v>5</v>
          </cell>
          <cell r="G970" t="str">
            <v>DIAPHRAGM ADAPTOR</v>
          </cell>
        </row>
        <row r="971">
          <cell r="D971">
            <v>968</v>
          </cell>
          <cell r="E971">
            <v>84819000</v>
          </cell>
          <cell r="F971">
            <v>5</v>
          </cell>
          <cell r="G971" t="str">
            <v>SETEAM(S)</v>
          </cell>
        </row>
        <row r="972">
          <cell r="D972">
            <v>969</v>
          </cell>
          <cell r="E972">
            <v>84829100</v>
          </cell>
          <cell r="F972">
            <v>5</v>
          </cell>
          <cell r="G972" t="str">
            <v>BALL</v>
          </cell>
        </row>
        <row r="973">
          <cell r="D973">
            <v>970</v>
          </cell>
          <cell r="E973">
            <v>84859000</v>
          </cell>
          <cell r="F973">
            <v>5</v>
          </cell>
          <cell r="G973" t="str">
            <v>DISC</v>
          </cell>
        </row>
        <row r="974">
          <cell r="D974">
            <v>971</v>
          </cell>
          <cell r="E974">
            <v>40169300</v>
          </cell>
          <cell r="F974">
            <v>5</v>
          </cell>
          <cell r="G974" t="str">
            <v>SEALS-BALL VALVE</v>
          </cell>
        </row>
        <row r="975">
          <cell r="D975">
            <v>972</v>
          </cell>
          <cell r="E975">
            <v>40169300</v>
          </cell>
          <cell r="F975">
            <v>5</v>
          </cell>
          <cell r="G975" t="str">
            <v>SEAL BUTTERFLY VALVE</v>
          </cell>
        </row>
        <row r="976">
          <cell r="D976">
            <v>973</v>
          </cell>
          <cell r="E976">
            <v>84849000</v>
          </cell>
          <cell r="F976">
            <v>5</v>
          </cell>
          <cell r="G976" t="str">
            <v>LINER BUTTERFLY VALVE</v>
          </cell>
        </row>
        <row r="977">
          <cell r="D977">
            <v>974</v>
          </cell>
          <cell r="E977">
            <v>84834000</v>
          </cell>
          <cell r="F977">
            <v>5</v>
          </cell>
          <cell r="G977" t="str">
            <v>GEAR SET</v>
          </cell>
        </row>
        <row r="978">
          <cell r="D978">
            <v>975</v>
          </cell>
          <cell r="E978">
            <v>84818090</v>
          </cell>
          <cell r="F978">
            <v>5</v>
          </cell>
          <cell r="G978" t="str">
            <v>BUTTERFLY VALVE</v>
          </cell>
        </row>
        <row r="979">
          <cell r="D979">
            <v>976</v>
          </cell>
          <cell r="E979">
            <v>73182400</v>
          </cell>
          <cell r="F979">
            <v>5</v>
          </cell>
          <cell r="G979" t="str">
            <v>WEDGE</v>
          </cell>
        </row>
        <row r="980">
          <cell r="D980">
            <v>977</v>
          </cell>
          <cell r="E980">
            <v>84859000</v>
          </cell>
          <cell r="F980">
            <v>5</v>
          </cell>
          <cell r="G980" t="str">
            <v>MECHANICAL SEAT</v>
          </cell>
        </row>
        <row r="981">
          <cell r="D981">
            <v>978</v>
          </cell>
          <cell r="E981">
            <v>84849000</v>
          </cell>
          <cell r="F981">
            <v>5</v>
          </cell>
          <cell r="G981" t="str">
            <v>DIAPHRAGM</v>
          </cell>
        </row>
        <row r="982">
          <cell r="D982">
            <v>979</v>
          </cell>
          <cell r="E982">
            <v>90329000</v>
          </cell>
          <cell r="F982">
            <v>5</v>
          </cell>
          <cell r="G982" t="str">
            <v>DIAPHRAGM ADAPTOR</v>
          </cell>
        </row>
        <row r="983">
          <cell r="D983">
            <v>980</v>
          </cell>
          <cell r="E983">
            <v>84819000</v>
          </cell>
          <cell r="F983">
            <v>5</v>
          </cell>
          <cell r="G983" t="str">
            <v>SETEAM(S)</v>
          </cell>
        </row>
        <row r="984">
          <cell r="D984">
            <v>981</v>
          </cell>
          <cell r="E984">
            <v>84829100</v>
          </cell>
          <cell r="F984">
            <v>5</v>
          </cell>
          <cell r="G984" t="str">
            <v>BALL</v>
          </cell>
        </row>
        <row r="985">
          <cell r="D985">
            <v>982</v>
          </cell>
          <cell r="E985">
            <v>84859000</v>
          </cell>
          <cell r="F985">
            <v>5</v>
          </cell>
          <cell r="G985" t="str">
            <v>DISC</v>
          </cell>
        </row>
        <row r="986">
          <cell r="D986">
            <v>983</v>
          </cell>
          <cell r="E986">
            <v>40169300</v>
          </cell>
          <cell r="F986">
            <v>5</v>
          </cell>
          <cell r="G986" t="str">
            <v>SEALS-BALL VALVE</v>
          </cell>
        </row>
        <row r="987">
          <cell r="D987">
            <v>984</v>
          </cell>
          <cell r="E987">
            <v>40169300</v>
          </cell>
          <cell r="F987">
            <v>5</v>
          </cell>
          <cell r="G987" t="str">
            <v>SEAL BUTTERFLY VALVE</v>
          </cell>
        </row>
        <row r="988">
          <cell r="D988">
            <v>985</v>
          </cell>
          <cell r="E988">
            <v>84849000</v>
          </cell>
          <cell r="F988">
            <v>5</v>
          </cell>
          <cell r="G988" t="str">
            <v>LINER BUTTERFLY VALVE</v>
          </cell>
        </row>
        <row r="989">
          <cell r="D989">
            <v>986</v>
          </cell>
          <cell r="E989">
            <v>84834000</v>
          </cell>
          <cell r="F989">
            <v>5</v>
          </cell>
          <cell r="G989" t="str">
            <v>GEAR SET</v>
          </cell>
        </row>
        <row r="990">
          <cell r="D990">
            <v>987</v>
          </cell>
          <cell r="E990">
            <v>84818090</v>
          </cell>
          <cell r="F990">
            <v>5</v>
          </cell>
          <cell r="G990" t="str">
            <v>SLIDE GATE VALVE</v>
          </cell>
        </row>
        <row r="991">
          <cell r="D991">
            <v>988</v>
          </cell>
          <cell r="E991">
            <v>73182400</v>
          </cell>
          <cell r="F991">
            <v>5</v>
          </cell>
          <cell r="G991" t="str">
            <v>WEDGE</v>
          </cell>
        </row>
        <row r="992">
          <cell r="D992">
            <v>989</v>
          </cell>
          <cell r="E992">
            <v>84859000</v>
          </cell>
          <cell r="F992">
            <v>5</v>
          </cell>
          <cell r="G992" t="str">
            <v>MECHANICAL SEATS</v>
          </cell>
        </row>
        <row r="993">
          <cell r="D993">
            <v>990</v>
          </cell>
          <cell r="E993">
            <v>84849000</v>
          </cell>
          <cell r="F993">
            <v>5</v>
          </cell>
          <cell r="G993" t="str">
            <v>DIAPHRAGM</v>
          </cell>
        </row>
        <row r="994">
          <cell r="D994">
            <v>991</v>
          </cell>
          <cell r="E994">
            <v>90329000</v>
          </cell>
          <cell r="F994">
            <v>5</v>
          </cell>
          <cell r="G994" t="str">
            <v>DIAPHRAGM ADAPTOR</v>
          </cell>
        </row>
        <row r="995">
          <cell r="D995">
            <v>992</v>
          </cell>
          <cell r="E995">
            <v>84819000</v>
          </cell>
          <cell r="F995">
            <v>5</v>
          </cell>
          <cell r="G995" t="str">
            <v>SETEAM(S)</v>
          </cell>
        </row>
        <row r="996">
          <cell r="D996">
            <v>993</v>
          </cell>
          <cell r="E996">
            <v>84829100</v>
          </cell>
          <cell r="F996">
            <v>5</v>
          </cell>
          <cell r="G996" t="str">
            <v>BALL</v>
          </cell>
        </row>
        <row r="997">
          <cell r="D997">
            <v>994</v>
          </cell>
          <cell r="E997">
            <v>84859000</v>
          </cell>
          <cell r="F997">
            <v>5</v>
          </cell>
          <cell r="G997" t="str">
            <v>DISC</v>
          </cell>
        </row>
        <row r="998">
          <cell r="D998">
            <v>995</v>
          </cell>
          <cell r="E998">
            <v>40169300</v>
          </cell>
          <cell r="F998">
            <v>5</v>
          </cell>
          <cell r="G998" t="str">
            <v>SEALS-BALL VALVE</v>
          </cell>
        </row>
        <row r="999">
          <cell r="D999">
            <v>996</v>
          </cell>
          <cell r="E999">
            <v>40169300</v>
          </cell>
          <cell r="F999">
            <v>5</v>
          </cell>
          <cell r="G999" t="str">
            <v>SEAL BUTTERFLY VALVE</v>
          </cell>
        </row>
        <row r="1000">
          <cell r="D1000">
            <v>997</v>
          </cell>
          <cell r="E1000">
            <v>84849000</v>
          </cell>
          <cell r="F1000">
            <v>5</v>
          </cell>
          <cell r="G1000" t="str">
            <v>LINER BUTTERFLY VALVE</v>
          </cell>
        </row>
        <row r="1001">
          <cell r="D1001">
            <v>998</v>
          </cell>
          <cell r="E1001">
            <v>84834000</v>
          </cell>
          <cell r="F1001">
            <v>5</v>
          </cell>
          <cell r="G1001" t="str">
            <v>GEAR SET</v>
          </cell>
        </row>
        <row r="1002">
          <cell r="D1002">
            <v>999</v>
          </cell>
          <cell r="E1002">
            <v>84818090</v>
          </cell>
          <cell r="F1002">
            <v>5</v>
          </cell>
          <cell r="G1002" t="str">
            <v>ROTARY VALVE</v>
          </cell>
        </row>
        <row r="1003">
          <cell r="D1003">
            <v>1000</v>
          </cell>
          <cell r="E1003">
            <v>73182400</v>
          </cell>
          <cell r="F1003">
            <v>5</v>
          </cell>
          <cell r="G1003" t="str">
            <v>WEDGE</v>
          </cell>
        </row>
        <row r="1004">
          <cell r="D1004">
            <v>1001</v>
          </cell>
          <cell r="E1004">
            <v>84859000</v>
          </cell>
          <cell r="F1004">
            <v>5</v>
          </cell>
          <cell r="G1004" t="str">
            <v>MECHANICAL SEATS</v>
          </cell>
        </row>
        <row r="1005">
          <cell r="D1005">
            <v>1002</v>
          </cell>
          <cell r="E1005">
            <v>84849000</v>
          </cell>
          <cell r="F1005">
            <v>5</v>
          </cell>
          <cell r="G1005" t="str">
            <v>DIAPHRAGM</v>
          </cell>
        </row>
        <row r="1006">
          <cell r="D1006">
            <v>1003</v>
          </cell>
          <cell r="E1006">
            <v>90329000</v>
          </cell>
          <cell r="F1006">
            <v>5</v>
          </cell>
          <cell r="G1006" t="str">
            <v>DIAPHRAGM ADAPTOR</v>
          </cell>
        </row>
        <row r="1007">
          <cell r="D1007">
            <v>1004</v>
          </cell>
          <cell r="E1007">
            <v>84819000</v>
          </cell>
          <cell r="F1007">
            <v>5</v>
          </cell>
          <cell r="G1007" t="str">
            <v>SETEAM(S)</v>
          </cell>
        </row>
        <row r="1008">
          <cell r="D1008">
            <v>1005</v>
          </cell>
          <cell r="E1008">
            <v>84829100</v>
          </cell>
          <cell r="F1008">
            <v>5</v>
          </cell>
          <cell r="G1008" t="str">
            <v>BALL</v>
          </cell>
        </row>
        <row r="1009">
          <cell r="D1009">
            <v>1006</v>
          </cell>
          <cell r="E1009">
            <v>73071900</v>
          </cell>
          <cell r="F1009">
            <v>5</v>
          </cell>
          <cell r="G1009" t="str">
            <v>PLUG</v>
          </cell>
        </row>
        <row r="1010">
          <cell r="D1010">
            <v>1007</v>
          </cell>
          <cell r="E1010">
            <v>84859000</v>
          </cell>
          <cell r="F1010">
            <v>5</v>
          </cell>
          <cell r="G1010" t="str">
            <v>DISC</v>
          </cell>
        </row>
        <row r="1011">
          <cell r="D1011">
            <v>1008</v>
          </cell>
          <cell r="E1011">
            <v>40169300</v>
          </cell>
          <cell r="F1011">
            <v>5</v>
          </cell>
          <cell r="G1011" t="str">
            <v>SEALS-BALL VALVE</v>
          </cell>
        </row>
        <row r="1012">
          <cell r="D1012">
            <v>1009</v>
          </cell>
          <cell r="E1012">
            <v>40169300</v>
          </cell>
          <cell r="F1012">
            <v>5</v>
          </cell>
          <cell r="G1012" t="str">
            <v>SEAL BUTTERFLY VALVE</v>
          </cell>
        </row>
        <row r="1013">
          <cell r="D1013">
            <v>1010</v>
          </cell>
          <cell r="E1013">
            <v>84849000</v>
          </cell>
          <cell r="F1013">
            <v>5</v>
          </cell>
          <cell r="G1013" t="str">
            <v>LINER BUTTERFLY VALVE</v>
          </cell>
        </row>
        <row r="1014">
          <cell r="D1014">
            <v>1011</v>
          </cell>
          <cell r="E1014">
            <v>40169300</v>
          </cell>
          <cell r="F1014">
            <v>5</v>
          </cell>
          <cell r="G1014" t="str">
            <v>O'RINGS</v>
          </cell>
        </row>
        <row r="1015">
          <cell r="D1015">
            <v>1012</v>
          </cell>
          <cell r="E1015">
            <v>84834000</v>
          </cell>
          <cell r="F1015">
            <v>5</v>
          </cell>
          <cell r="G1015" t="str">
            <v>GEAR SET</v>
          </cell>
        </row>
        <row r="1016">
          <cell r="D1016">
            <v>1013</v>
          </cell>
          <cell r="E1016">
            <v>84029000</v>
          </cell>
          <cell r="F1016">
            <v>5</v>
          </cell>
          <cell r="G1016" t="str">
            <v>STEEL PLATE FOR REACTOR</v>
          </cell>
        </row>
        <row r="1017">
          <cell r="D1017">
            <v>1014</v>
          </cell>
          <cell r="E1017">
            <v>84219900</v>
          </cell>
          <cell r="F1017">
            <v>5</v>
          </cell>
          <cell r="G1017" t="str">
            <v>STEEL PLATE FOR PRODUCT PURGE BIN</v>
          </cell>
        </row>
        <row r="1018">
          <cell r="D1018">
            <v>1015</v>
          </cell>
          <cell r="E1018">
            <v>90269000</v>
          </cell>
          <cell r="F1018">
            <v>5</v>
          </cell>
          <cell r="G1018" t="str">
            <v>TEMPLATES</v>
          </cell>
        </row>
        <row r="1019">
          <cell r="D1019">
            <v>1016</v>
          </cell>
          <cell r="E1019">
            <v>73182400</v>
          </cell>
          <cell r="F1019">
            <v>5</v>
          </cell>
          <cell r="G1019" t="str">
            <v>ANCHOR BOLTS</v>
          </cell>
        </row>
        <row r="1020">
          <cell r="D1020">
            <v>1017</v>
          </cell>
          <cell r="E1020">
            <v>84213900</v>
          </cell>
          <cell r="F1020">
            <v>5</v>
          </cell>
          <cell r="G1020" t="str">
            <v>MAGNETIC SCREENER</v>
          </cell>
        </row>
        <row r="1021">
          <cell r="D1021">
            <v>1018</v>
          </cell>
          <cell r="E1021">
            <v>85115000</v>
          </cell>
          <cell r="F1021">
            <v>5</v>
          </cell>
          <cell r="G1021" t="str">
            <v>FEEDER</v>
          </cell>
        </row>
        <row r="1022">
          <cell r="D1022">
            <v>1019</v>
          </cell>
          <cell r="E1022">
            <v>84741000</v>
          </cell>
          <cell r="F1022">
            <v>5</v>
          </cell>
          <cell r="G1022" t="str">
            <v>CONVEYING BLENDER</v>
          </cell>
        </row>
        <row r="1023">
          <cell r="D1023">
            <v>1020</v>
          </cell>
          <cell r="E1023">
            <v>85318090</v>
          </cell>
          <cell r="F1023">
            <v>5</v>
          </cell>
          <cell r="G1023" t="str">
            <v>METAL DETECTOR</v>
          </cell>
        </row>
        <row r="1024">
          <cell r="D1024">
            <v>1021</v>
          </cell>
          <cell r="E1024">
            <v>84798999</v>
          </cell>
          <cell r="F1024">
            <v>5</v>
          </cell>
          <cell r="G1024" t="str">
            <v>PELLETIZER</v>
          </cell>
        </row>
        <row r="1025">
          <cell r="D1025">
            <v>1022</v>
          </cell>
          <cell r="E1025">
            <v>40169590</v>
          </cell>
          <cell r="F1025">
            <v>5</v>
          </cell>
          <cell r="G1025" t="str">
            <v>DIE PLATE</v>
          </cell>
        </row>
        <row r="1026">
          <cell r="D1026">
            <v>1023</v>
          </cell>
          <cell r="E1026">
            <v>84219900</v>
          </cell>
          <cell r="F1026">
            <v>5</v>
          </cell>
          <cell r="G1026" t="str">
            <v>SCREEN CHANGER</v>
          </cell>
        </row>
        <row r="1027">
          <cell r="D1027">
            <v>1024</v>
          </cell>
          <cell r="E1027">
            <v>84798200</v>
          </cell>
          <cell r="F1027">
            <v>5</v>
          </cell>
          <cell r="G1027" t="str">
            <v>MIXER</v>
          </cell>
        </row>
        <row r="1028">
          <cell r="D1028">
            <v>1025</v>
          </cell>
          <cell r="E1028">
            <v>84819000</v>
          </cell>
          <cell r="F1028">
            <v>5</v>
          </cell>
          <cell r="G1028" t="str">
            <v>VALVE STAND</v>
          </cell>
        </row>
        <row r="1029">
          <cell r="D1029">
            <v>1026</v>
          </cell>
          <cell r="E1029">
            <v>84741000</v>
          </cell>
          <cell r="F1029">
            <v>5</v>
          </cell>
          <cell r="G1029" t="str">
            <v>REMOVER</v>
          </cell>
        </row>
        <row r="1030">
          <cell r="D1030">
            <v>1027</v>
          </cell>
          <cell r="E1030">
            <v>84222000</v>
          </cell>
          <cell r="F1030">
            <v>5</v>
          </cell>
          <cell r="G1030" t="str">
            <v>SCRUBBER</v>
          </cell>
        </row>
        <row r="1031">
          <cell r="D1031">
            <v>1028</v>
          </cell>
          <cell r="E1031">
            <v>90328900</v>
          </cell>
          <cell r="F1031">
            <v>5</v>
          </cell>
          <cell r="G1031" t="str">
            <v>N2 MAKE UP UNIT</v>
          </cell>
        </row>
        <row r="1032">
          <cell r="D1032">
            <v>1029</v>
          </cell>
          <cell r="E1032">
            <v>84261900</v>
          </cell>
          <cell r="F1032">
            <v>5</v>
          </cell>
          <cell r="G1032" t="str">
            <v>JUMBO BAG LOADER</v>
          </cell>
        </row>
        <row r="1033">
          <cell r="D1033">
            <v>1030</v>
          </cell>
          <cell r="E1033">
            <v>84314900</v>
          </cell>
          <cell r="F1033">
            <v>5</v>
          </cell>
          <cell r="G1033" t="str">
            <v>EMPTY PALLET MAGAZINE</v>
          </cell>
        </row>
        <row r="1034">
          <cell r="D1034">
            <v>1031</v>
          </cell>
          <cell r="E1034">
            <v>84818090</v>
          </cell>
          <cell r="F1034">
            <v>5</v>
          </cell>
          <cell r="G1034" t="str">
            <v>MAGNETIC METAL TRAP</v>
          </cell>
        </row>
        <row r="1035">
          <cell r="D1035">
            <v>1032</v>
          </cell>
          <cell r="E1035">
            <v>84223010</v>
          </cell>
          <cell r="F1035">
            <v>5</v>
          </cell>
          <cell r="G1035" t="str">
            <v>BAG FILLING MACHINE</v>
          </cell>
        </row>
        <row r="1036">
          <cell r="D1036">
            <v>1033</v>
          </cell>
          <cell r="E1036">
            <v>84435900</v>
          </cell>
          <cell r="F1036">
            <v>5</v>
          </cell>
          <cell r="G1036" t="str">
            <v>INJECT PRINTER</v>
          </cell>
        </row>
        <row r="1037">
          <cell r="D1037">
            <v>1034</v>
          </cell>
          <cell r="E1037">
            <v>85318090</v>
          </cell>
          <cell r="F1037">
            <v>5</v>
          </cell>
          <cell r="G1037" t="str">
            <v>METAL DETECTOR</v>
          </cell>
        </row>
        <row r="1038">
          <cell r="D1038">
            <v>1035</v>
          </cell>
          <cell r="E1038">
            <v>84224000</v>
          </cell>
          <cell r="F1038">
            <v>5</v>
          </cell>
          <cell r="G1038" t="str">
            <v>REJECT DEVICE</v>
          </cell>
        </row>
        <row r="1039">
          <cell r="D1039">
            <v>1036</v>
          </cell>
          <cell r="E1039">
            <v>84224000</v>
          </cell>
          <cell r="F1039">
            <v>5</v>
          </cell>
          <cell r="G1039" t="str">
            <v>BAG FLATTENER</v>
          </cell>
        </row>
        <row r="1040">
          <cell r="D1040">
            <v>1037</v>
          </cell>
          <cell r="E1040">
            <v>84282000</v>
          </cell>
          <cell r="F1040">
            <v>5</v>
          </cell>
          <cell r="G1040" t="str">
            <v>CONVEYOR</v>
          </cell>
        </row>
        <row r="1041">
          <cell r="D1041">
            <v>1038</v>
          </cell>
          <cell r="E1041">
            <v>84261900</v>
          </cell>
          <cell r="F1041">
            <v>5</v>
          </cell>
          <cell r="G1041" t="str">
            <v>PALLETIZER</v>
          </cell>
        </row>
        <row r="1042">
          <cell r="D1042">
            <v>1039</v>
          </cell>
          <cell r="E1042">
            <v>84314900</v>
          </cell>
          <cell r="F1042">
            <v>5</v>
          </cell>
          <cell r="G1042" t="str">
            <v>EMPTY PALLET MAGAZINE RACK</v>
          </cell>
        </row>
        <row r="1043">
          <cell r="D1043">
            <v>1040</v>
          </cell>
          <cell r="E1043">
            <v>84224000</v>
          </cell>
          <cell r="F1043">
            <v>5</v>
          </cell>
          <cell r="G1043" t="str">
            <v>SLIPSHEET DISPENSER</v>
          </cell>
        </row>
        <row r="1044">
          <cell r="D1044">
            <v>1041</v>
          </cell>
          <cell r="E1044">
            <v>84224000</v>
          </cell>
          <cell r="F1044">
            <v>5</v>
          </cell>
          <cell r="G1044" t="str">
            <v>PALLET WRAP MACHINE</v>
          </cell>
        </row>
        <row r="1045">
          <cell r="D1045">
            <v>1042</v>
          </cell>
          <cell r="E1045">
            <v>84224000</v>
          </cell>
          <cell r="F1045">
            <v>5</v>
          </cell>
          <cell r="G1045" t="str">
            <v>ADDITIVE BAG COMPACTOR</v>
          </cell>
        </row>
        <row r="1046">
          <cell r="D1046">
            <v>1043</v>
          </cell>
          <cell r="E1046">
            <v>84834000</v>
          </cell>
          <cell r="F1046">
            <v>5</v>
          </cell>
          <cell r="G1046" t="str">
            <v>GEAR REDUCER</v>
          </cell>
        </row>
        <row r="1047">
          <cell r="D1047">
            <v>1044</v>
          </cell>
          <cell r="E1047">
            <v>73090090</v>
          </cell>
          <cell r="F1047">
            <v>5</v>
          </cell>
          <cell r="G1047" t="str">
            <v>STORAGE CABINET</v>
          </cell>
        </row>
        <row r="1048">
          <cell r="D1048">
            <v>1045</v>
          </cell>
          <cell r="E1048">
            <v>85015300</v>
          </cell>
          <cell r="F1048">
            <v>5</v>
          </cell>
          <cell r="G1048" t="str">
            <v>ELECTRIC AC MOTOR FOR PUMP, 150 KW AND OVER</v>
          </cell>
        </row>
        <row r="1049">
          <cell r="D1049">
            <v>1046</v>
          </cell>
          <cell r="E1049">
            <v>84821000</v>
          </cell>
          <cell r="F1049">
            <v>5</v>
          </cell>
          <cell r="G1049" t="str">
            <v>BEARING IB/OB</v>
          </cell>
        </row>
        <row r="1050">
          <cell r="D1050">
            <v>1047</v>
          </cell>
          <cell r="E1050">
            <v>84841000</v>
          </cell>
          <cell r="F1050">
            <v>5</v>
          </cell>
          <cell r="G1050" t="str">
            <v>GASKETS</v>
          </cell>
        </row>
        <row r="1051">
          <cell r="D1051">
            <v>1048</v>
          </cell>
          <cell r="E1051">
            <v>40169300</v>
          </cell>
          <cell r="F1051">
            <v>5</v>
          </cell>
          <cell r="G1051" t="str">
            <v>O'RINGS</v>
          </cell>
        </row>
        <row r="1052">
          <cell r="D1052">
            <v>1049</v>
          </cell>
          <cell r="E1052">
            <v>40169300</v>
          </cell>
          <cell r="F1052">
            <v>5</v>
          </cell>
          <cell r="G1052" t="str">
            <v>SEALS OIL</v>
          </cell>
        </row>
        <row r="1053">
          <cell r="D1053">
            <v>1050</v>
          </cell>
          <cell r="E1053">
            <v>27100098</v>
          </cell>
          <cell r="F1053">
            <v>20</v>
          </cell>
          <cell r="G1053" t="str">
            <v>GREASE</v>
          </cell>
        </row>
        <row r="1054">
          <cell r="D1054">
            <v>1051</v>
          </cell>
          <cell r="E1054">
            <v>73181600</v>
          </cell>
          <cell r="F1054">
            <v>5</v>
          </cell>
          <cell r="G1054" t="str">
            <v>BEARING LOCK NUT</v>
          </cell>
        </row>
        <row r="1055">
          <cell r="D1055">
            <v>1052</v>
          </cell>
          <cell r="E1055">
            <v>73182100</v>
          </cell>
          <cell r="F1055">
            <v>5</v>
          </cell>
          <cell r="G1055" t="str">
            <v>WASHER ASSEMBLY</v>
          </cell>
        </row>
        <row r="1056">
          <cell r="D1056">
            <v>1053</v>
          </cell>
          <cell r="E1056">
            <v>70179000</v>
          </cell>
          <cell r="F1056">
            <v>5</v>
          </cell>
          <cell r="G1056" t="str">
            <v>OIL SIGHT GLASS</v>
          </cell>
        </row>
        <row r="1057">
          <cell r="D1057">
            <v>1054</v>
          </cell>
          <cell r="E1057">
            <v>84798950</v>
          </cell>
          <cell r="F1057">
            <v>5</v>
          </cell>
          <cell r="G1057" t="str">
            <v>CONSTANT LEVEL OILER</v>
          </cell>
        </row>
        <row r="1058">
          <cell r="D1058">
            <v>1055</v>
          </cell>
          <cell r="E1058">
            <v>84145900</v>
          </cell>
          <cell r="F1058">
            <v>5</v>
          </cell>
          <cell r="G1058" t="str">
            <v>FAN</v>
          </cell>
        </row>
        <row r="1059">
          <cell r="D1059">
            <v>1056</v>
          </cell>
          <cell r="E1059">
            <v>85016200</v>
          </cell>
          <cell r="F1059">
            <v>5</v>
          </cell>
          <cell r="G1059" t="str">
            <v>ELECTRIC AC MOTOR FOR PUMP, 15 KW TO 150 KW</v>
          </cell>
        </row>
        <row r="1060">
          <cell r="D1060">
            <v>1057</v>
          </cell>
          <cell r="E1060">
            <v>8482100</v>
          </cell>
          <cell r="F1060">
            <v>5</v>
          </cell>
          <cell r="G1060" t="str">
            <v>BEARING</v>
          </cell>
        </row>
        <row r="1061">
          <cell r="D1061">
            <v>1058</v>
          </cell>
          <cell r="E1061">
            <v>40169300</v>
          </cell>
          <cell r="F1061">
            <v>5</v>
          </cell>
          <cell r="G1061" t="str">
            <v>SEALS OIL</v>
          </cell>
        </row>
        <row r="1062">
          <cell r="D1062">
            <v>1059</v>
          </cell>
          <cell r="E1062">
            <v>27100098</v>
          </cell>
          <cell r="F1062">
            <v>20</v>
          </cell>
          <cell r="G1062" t="str">
            <v>GREASE</v>
          </cell>
        </row>
        <row r="1063">
          <cell r="D1063">
            <v>1060</v>
          </cell>
          <cell r="E1063">
            <v>73181600</v>
          </cell>
          <cell r="F1063">
            <v>5</v>
          </cell>
          <cell r="G1063" t="str">
            <v>BEARING LOCK NUT/WASHER ASSEMBLY</v>
          </cell>
        </row>
        <row r="1064">
          <cell r="D1064">
            <v>1061</v>
          </cell>
          <cell r="E1064">
            <v>70179000</v>
          </cell>
          <cell r="F1064">
            <v>5</v>
          </cell>
          <cell r="G1064" t="str">
            <v>OIL SIGHT GLASS</v>
          </cell>
        </row>
        <row r="1065">
          <cell r="D1065">
            <v>1062</v>
          </cell>
          <cell r="E1065">
            <v>84798950</v>
          </cell>
          <cell r="F1065">
            <v>5</v>
          </cell>
          <cell r="G1065" t="str">
            <v>CONSTANT LEVEL OILER</v>
          </cell>
        </row>
        <row r="1066">
          <cell r="D1066">
            <v>1063</v>
          </cell>
          <cell r="E1066">
            <v>84145900</v>
          </cell>
          <cell r="F1066">
            <v>5</v>
          </cell>
          <cell r="G1066" t="str">
            <v>FAN</v>
          </cell>
        </row>
        <row r="1067">
          <cell r="D1067">
            <v>1064</v>
          </cell>
          <cell r="E1067">
            <v>85043400</v>
          </cell>
          <cell r="F1067">
            <v>5</v>
          </cell>
          <cell r="G1067" t="str">
            <v>LIGHTING TRANSFORMER</v>
          </cell>
        </row>
        <row r="1068">
          <cell r="D1068">
            <v>1065</v>
          </cell>
          <cell r="E1068">
            <v>85323000</v>
          </cell>
          <cell r="F1068">
            <v>5</v>
          </cell>
          <cell r="G1068" t="str">
            <v>CAPACITORS</v>
          </cell>
        </row>
        <row r="1069">
          <cell r="D1069">
            <v>1066</v>
          </cell>
          <cell r="E1069">
            <v>85114000</v>
          </cell>
          <cell r="F1069">
            <v>5</v>
          </cell>
          <cell r="G1069" t="str">
            <v>STARTERS</v>
          </cell>
        </row>
        <row r="1070">
          <cell r="D1070">
            <v>1067</v>
          </cell>
          <cell r="E1070">
            <v>85365000</v>
          </cell>
          <cell r="F1070">
            <v>5</v>
          </cell>
          <cell r="G1070" t="str">
            <v>CONTROL SWITCH</v>
          </cell>
        </row>
        <row r="1071">
          <cell r="D1071">
            <v>1068</v>
          </cell>
          <cell r="E1071">
            <v>85043400</v>
          </cell>
          <cell r="F1071">
            <v>5</v>
          </cell>
          <cell r="G1071" t="str">
            <v>TRANSFORMER</v>
          </cell>
        </row>
        <row r="1072">
          <cell r="D1072">
            <v>1069</v>
          </cell>
          <cell r="E1072">
            <v>90269000</v>
          </cell>
          <cell r="F1072">
            <v>5</v>
          </cell>
          <cell r="G1072" t="str">
            <v>OIL LEVEL INDICATOR</v>
          </cell>
        </row>
        <row r="1073">
          <cell r="D1073">
            <v>1070</v>
          </cell>
          <cell r="E1073">
            <v>90251900</v>
          </cell>
          <cell r="F1073">
            <v>5</v>
          </cell>
          <cell r="G1073" t="str">
            <v>OIL TEMP. INDICATOR</v>
          </cell>
        </row>
        <row r="1074">
          <cell r="D1074">
            <v>1071</v>
          </cell>
          <cell r="E1074">
            <v>90251900</v>
          </cell>
          <cell r="F1074">
            <v>5</v>
          </cell>
          <cell r="G1074" t="str">
            <v>WINDING TEMP. INDICATOR</v>
          </cell>
        </row>
        <row r="1075">
          <cell r="D1075">
            <v>1072</v>
          </cell>
          <cell r="E1075">
            <v>85364900</v>
          </cell>
          <cell r="F1075">
            <v>5</v>
          </cell>
          <cell r="G1075" t="str">
            <v>BUCHOLZ RELAY</v>
          </cell>
        </row>
        <row r="1076">
          <cell r="D1076">
            <v>1073</v>
          </cell>
          <cell r="E1076">
            <v>85365000</v>
          </cell>
          <cell r="F1076">
            <v>5</v>
          </cell>
          <cell r="G1076" t="str">
            <v>13.8 KV SWITCHGEAR</v>
          </cell>
        </row>
        <row r="1077">
          <cell r="D1077">
            <v>1074</v>
          </cell>
          <cell r="E1077">
            <v>85366900</v>
          </cell>
          <cell r="F1077">
            <v>5</v>
          </cell>
          <cell r="G1077" t="str">
            <v>MAGNETIC CONTACTOR</v>
          </cell>
        </row>
        <row r="1078">
          <cell r="D1078">
            <v>1075</v>
          </cell>
          <cell r="E1078">
            <v>85364900</v>
          </cell>
          <cell r="F1078">
            <v>5</v>
          </cell>
          <cell r="G1078" t="str">
            <v>THERMAL OVERLOAD RELAY</v>
          </cell>
        </row>
        <row r="1079">
          <cell r="D1079">
            <v>1076</v>
          </cell>
          <cell r="E1079">
            <v>85362000</v>
          </cell>
          <cell r="F1079">
            <v>5</v>
          </cell>
          <cell r="G1079" t="str">
            <v>CIRCUIT BREAKERS</v>
          </cell>
        </row>
        <row r="1080">
          <cell r="D1080">
            <v>1077</v>
          </cell>
          <cell r="E1080">
            <v>85364900</v>
          </cell>
          <cell r="F1080">
            <v>5</v>
          </cell>
          <cell r="G1080" t="str">
            <v>PROTECTION RELAYS</v>
          </cell>
        </row>
        <row r="1081">
          <cell r="D1081">
            <v>1078</v>
          </cell>
          <cell r="E1081">
            <v>85365000</v>
          </cell>
          <cell r="F1081">
            <v>5</v>
          </cell>
          <cell r="G1081" t="str">
            <v>SWITCHES</v>
          </cell>
        </row>
        <row r="1082">
          <cell r="D1082">
            <v>1079</v>
          </cell>
          <cell r="E1082">
            <v>85353000</v>
          </cell>
          <cell r="F1082">
            <v>5</v>
          </cell>
          <cell r="G1082" t="str">
            <v>PUSH-BUTTONS</v>
          </cell>
        </row>
        <row r="1083">
          <cell r="D1083">
            <v>1080</v>
          </cell>
          <cell r="E1083">
            <v>90303900</v>
          </cell>
          <cell r="F1083">
            <v>5</v>
          </cell>
          <cell r="G1083" t="str">
            <v>AMMETERS</v>
          </cell>
        </row>
        <row r="1084">
          <cell r="D1084">
            <v>1081</v>
          </cell>
          <cell r="E1084">
            <v>90303900</v>
          </cell>
          <cell r="F1084">
            <v>5</v>
          </cell>
          <cell r="G1084" t="str">
            <v>VOLTMETERS</v>
          </cell>
        </row>
        <row r="1085">
          <cell r="D1085">
            <v>1082</v>
          </cell>
          <cell r="E1085">
            <v>85043400</v>
          </cell>
          <cell r="F1085">
            <v>5</v>
          </cell>
          <cell r="G1085" t="str">
            <v>CURRENT TRANSFORMERS</v>
          </cell>
        </row>
        <row r="1086">
          <cell r="D1086">
            <v>1083</v>
          </cell>
          <cell r="E1086">
            <v>850434000</v>
          </cell>
          <cell r="F1086">
            <v>5</v>
          </cell>
          <cell r="G1086" t="str">
            <v>VOLTAGE TRANSFORMERS</v>
          </cell>
        </row>
        <row r="1087">
          <cell r="D1087">
            <v>1084</v>
          </cell>
          <cell r="E1087">
            <v>85365000</v>
          </cell>
          <cell r="F1087">
            <v>5</v>
          </cell>
          <cell r="G1087" t="str">
            <v>4.16 KV SWITCHGEAR</v>
          </cell>
        </row>
        <row r="1088">
          <cell r="D1088">
            <v>1085</v>
          </cell>
          <cell r="E1088">
            <v>85366900</v>
          </cell>
          <cell r="F1088">
            <v>5</v>
          </cell>
          <cell r="G1088" t="str">
            <v>MAGNETIC CONTACTOR</v>
          </cell>
        </row>
        <row r="1089">
          <cell r="D1089">
            <v>1086</v>
          </cell>
          <cell r="E1089">
            <v>85364900</v>
          </cell>
          <cell r="F1089">
            <v>5</v>
          </cell>
          <cell r="G1089" t="str">
            <v>THERMAL OVERLOAD RELAY</v>
          </cell>
        </row>
        <row r="1090">
          <cell r="D1090">
            <v>1087</v>
          </cell>
          <cell r="E1090">
            <v>85362000</v>
          </cell>
          <cell r="F1090">
            <v>5</v>
          </cell>
          <cell r="G1090" t="str">
            <v>CIRCUIT BREAKERS</v>
          </cell>
        </row>
        <row r="1091">
          <cell r="D1091">
            <v>1088</v>
          </cell>
          <cell r="E1091">
            <v>85362000</v>
          </cell>
          <cell r="F1091">
            <v>5</v>
          </cell>
          <cell r="G1091" t="str">
            <v>PROTECTION RELAYS</v>
          </cell>
        </row>
        <row r="1092">
          <cell r="D1092">
            <v>1089</v>
          </cell>
          <cell r="E1092">
            <v>85365000</v>
          </cell>
          <cell r="F1092">
            <v>5</v>
          </cell>
          <cell r="G1092" t="str">
            <v>SWITCHES</v>
          </cell>
        </row>
        <row r="1093">
          <cell r="D1093">
            <v>1090</v>
          </cell>
          <cell r="E1093">
            <v>85353000</v>
          </cell>
          <cell r="F1093">
            <v>5</v>
          </cell>
          <cell r="G1093" t="str">
            <v>PUSH-BUTTONS</v>
          </cell>
        </row>
        <row r="1094">
          <cell r="D1094">
            <v>1091</v>
          </cell>
          <cell r="E1094">
            <v>90303900</v>
          </cell>
          <cell r="F1094">
            <v>5</v>
          </cell>
          <cell r="G1094" t="str">
            <v>AMMETERS</v>
          </cell>
        </row>
        <row r="1095">
          <cell r="D1095">
            <v>1092</v>
          </cell>
          <cell r="E1095">
            <v>90303900</v>
          </cell>
          <cell r="F1095">
            <v>5</v>
          </cell>
          <cell r="G1095" t="str">
            <v>VOLTMETERS</v>
          </cell>
        </row>
        <row r="1096">
          <cell r="D1096">
            <v>1093</v>
          </cell>
          <cell r="E1096">
            <v>85043400</v>
          </cell>
          <cell r="F1096">
            <v>5</v>
          </cell>
          <cell r="G1096" t="str">
            <v>CURRENT TRANSFORMERS</v>
          </cell>
        </row>
        <row r="1097">
          <cell r="D1097">
            <v>1094</v>
          </cell>
          <cell r="E1097">
            <v>85043400</v>
          </cell>
          <cell r="F1097">
            <v>5</v>
          </cell>
          <cell r="G1097" t="str">
            <v>VOLTAGE TRANSFORMERS</v>
          </cell>
        </row>
        <row r="1098">
          <cell r="D1098">
            <v>1095</v>
          </cell>
          <cell r="E1098">
            <v>90328900</v>
          </cell>
          <cell r="F1098">
            <v>5</v>
          </cell>
          <cell r="G1098" t="str">
            <v>4.16 KV MOTOR CONTROL CENTER</v>
          </cell>
        </row>
        <row r="1099">
          <cell r="D1099">
            <v>1096</v>
          </cell>
          <cell r="E1099">
            <v>85366900</v>
          </cell>
          <cell r="F1099">
            <v>5</v>
          </cell>
          <cell r="G1099" t="str">
            <v>MAGNETIC CONTACTOR</v>
          </cell>
        </row>
        <row r="1100">
          <cell r="D1100">
            <v>1097</v>
          </cell>
          <cell r="E1100">
            <v>85364900</v>
          </cell>
          <cell r="F1100">
            <v>5</v>
          </cell>
          <cell r="G1100" t="str">
            <v>THERMAL OVERLOAD RELAY</v>
          </cell>
        </row>
        <row r="1101">
          <cell r="D1101">
            <v>1098</v>
          </cell>
          <cell r="E1101">
            <v>85362000</v>
          </cell>
          <cell r="F1101">
            <v>5</v>
          </cell>
          <cell r="G1101" t="str">
            <v>CIRCUIT BREAKERS</v>
          </cell>
        </row>
        <row r="1102">
          <cell r="D1102">
            <v>1099</v>
          </cell>
          <cell r="E1102">
            <v>85364900</v>
          </cell>
          <cell r="F1102">
            <v>5</v>
          </cell>
          <cell r="G1102" t="str">
            <v>PROTECTION RELAYS</v>
          </cell>
        </row>
        <row r="1103">
          <cell r="D1103">
            <v>1100</v>
          </cell>
          <cell r="E1103">
            <v>85365000</v>
          </cell>
          <cell r="F1103">
            <v>5</v>
          </cell>
          <cell r="G1103" t="str">
            <v>SWITCHES</v>
          </cell>
        </row>
        <row r="1104">
          <cell r="D1104">
            <v>1101</v>
          </cell>
          <cell r="E1104">
            <v>85353000</v>
          </cell>
          <cell r="F1104">
            <v>5</v>
          </cell>
          <cell r="G1104" t="str">
            <v>PUSH-BUTTONS</v>
          </cell>
        </row>
        <row r="1105">
          <cell r="D1105">
            <v>1102</v>
          </cell>
          <cell r="E1105">
            <v>90303900</v>
          </cell>
          <cell r="F1105">
            <v>5</v>
          </cell>
          <cell r="G1105" t="str">
            <v>AMMETERS</v>
          </cell>
        </row>
        <row r="1106">
          <cell r="D1106">
            <v>1103</v>
          </cell>
          <cell r="E1106">
            <v>90303900</v>
          </cell>
          <cell r="F1106">
            <v>5</v>
          </cell>
          <cell r="G1106" t="str">
            <v>VOLTMETERS</v>
          </cell>
        </row>
        <row r="1107">
          <cell r="D1107">
            <v>1104</v>
          </cell>
          <cell r="E1107">
            <v>85043400</v>
          </cell>
          <cell r="F1107">
            <v>5</v>
          </cell>
          <cell r="G1107" t="str">
            <v>CURRENT TRANSFORMERS</v>
          </cell>
        </row>
        <row r="1108">
          <cell r="D1108">
            <v>1105</v>
          </cell>
          <cell r="E1108">
            <v>85043400</v>
          </cell>
          <cell r="F1108">
            <v>5</v>
          </cell>
          <cell r="G1108" t="str">
            <v>VOLTAGE TRANSFORMERS</v>
          </cell>
        </row>
        <row r="1109">
          <cell r="D1109">
            <v>1106</v>
          </cell>
          <cell r="E1109">
            <v>85353000</v>
          </cell>
          <cell r="F1109">
            <v>5</v>
          </cell>
          <cell r="G1109" t="str">
            <v>480 V SWITCHGEAR</v>
          </cell>
        </row>
        <row r="1110">
          <cell r="D1110">
            <v>1107</v>
          </cell>
          <cell r="E1110">
            <v>85366900</v>
          </cell>
          <cell r="F1110">
            <v>5</v>
          </cell>
          <cell r="G1110" t="str">
            <v>MAGNETIC CONTACTOR</v>
          </cell>
        </row>
        <row r="1111">
          <cell r="D1111">
            <v>1108</v>
          </cell>
          <cell r="E1111">
            <v>85364900</v>
          </cell>
          <cell r="F1111">
            <v>5</v>
          </cell>
          <cell r="G1111" t="str">
            <v>THERMAL OVERLOAD RELAY</v>
          </cell>
        </row>
        <row r="1112">
          <cell r="D1112">
            <v>1109</v>
          </cell>
          <cell r="E1112">
            <v>85362000</v>
          </cell>
          <cell r="F1112">
            <v>5</v>
          </cell>
          <cell r="G1112" t="str">
            <v>CIRCUIT BREAKERS</v>
          </cell>
        </row>
        <row r="1113">
          <cell r="D1113">
            <v>1110</v>
          </cell>
          <cell r="E1113">
            <v>85364900</v>
          </cell>
          <cell r="F1113">
            <v>5</v>
          </cell>
          <cell r="G1113" t="str">
            <v>PROTECTION RELAYS</v>
          </cell>
        </row>
        <row r="1114">
          <cell r="D1114">
            <v>1111</v>
          </cell>
          <cell r="E1114">
            <v>85365000</v>
          </cell>
          <cell r="F1114">
            <v>5</v>
          </cell>
          <cell r="G1114" t="str">
            <v>SWITCHES</v>
          </cell>
        </row>
        <row r="1115">
          <cell r="D1115">
            <v>1112</v>
          </cell>
          <cell r="E1115">
            <v>85353000</v>
          </cell>
          <cell r="F1115">
            <v>5</v>
          </cell>
          <cell r="G1115" t="str">
            <v>PUSH-BUTTONS</v>
          </cell>
        </row>
        <row r="1116">
          <cell r="D1116">
            <v>1113</v>
          </cell>
          <cell r="E1116">
            <v>90303900</v>
          </cell>
          <cell r="F1116">
            <v>5</v>
          </cell>
          <cell r="G1116" t="str">
            <v>AMMETERS</v>
          </cell>
        </row>
        <row r="1117">
          <cell r="D1117">
            <v>1114</v>
          </cell>
          <cell r="E1117">
            <v>90303900</v>
          </cell>
          <cell r="F1117">
            <v>5</v>
          </cell>
          <cell r="G1117" t="str">
            <v>VOLTMETERS</v>
          </cell>
        </row>
        <row r="1118">
          <cell r="D1118">
            <v>1115</v>
          </cell>
          <cell r="E1118">
            <v>85043400</v>
          </cell>
          <cell r="F1118">
            <v>5</v>
          </cell>
          <cell r="G1118" t="str">
            <v>CURRENT TRANSFORMERS</v>
          </cell>
        </row>
        <row r="1119">
          <cell r="D1119">
            <v>1116</v>
          </cell>
          <cell r="E1119">
            <v>85043400</v>
          </cell>
          <cell r="F1119">
            <v>5</v>
          </cell>
          <cell r="G1119" t="str">
            <v>VOLTAGE TRANSFORMERS</v>
          </cell>
        </row>
        <row r="1120">
          <cell r="D1120">
            <v>1117</v>
          </cell>
          <cell r="E1120">
            <v>90328900</v>
          </cell>
          <cell r="F1120">
            <v>5</v>
          </cell>
          <cell r="G1120" t="str">
            <v>480 V MOTOR CONTROL CENTER</v>
          </cell>
        </row>
        <row r="1121">
          <cell r="D1121">
            <v>1118</v>
          </cell>
          <cell r="E1121">
            <v>85393900</v>
          </cell>
          <cell r="F1121">
            <v>5</v>
          </cell>
          <cell r="G1121" t="str">
            <v>LAMPS &amp; LAMP COVERS</v>
          </cell>
        </row>
        <row r="1122">
          <cell r="D1122">
            <v>1119</v>
          </cell>
          <cell r="E1122">
            <v>85366900</v>
          </cell>
          <cell r="F1122">
            <v>5</v>
          </cell>
          <cell r="G1122" t="str">
            <v>MAGNETIC CONTACTOR</v>
          </cell>
        </row>
        <row r="1123">
          <cell r="D1123">
            <v>1120</v>
          </cell>
          <cell r="E1123">
            <v>85364900</v>
          </cell>
          <cell r="F1123">
            <v>5</v>
          </cell>
          <cell r="G1123" t="str">
            <v>THERMAL OVERLOAD RELAY</v>
          </cell>
        </row>
        <row r="1124">
          <cell r="D1124">
            <v>1121</v>
          </cell>
          <cell r="E1124">
            <v>85362000</v>
          </cell>
          <cell r="F1124">
            <v>5</v>
          </cell>
          <cell r="G1124" t="str">
            <v>CIRCUIT BREAKERS</v>
          </cell>
        </row>
        <row r="1125">
          <cell r="D1125">
            <v>1122</v>
          </cell>
          <cell r="E1125">
            <v>85364900</v>
          </cell>
          <cell r="F1125">
            <v>5</v>
          </cell>
          <cell r="G1125" t="str">
            <v>PROTECTION RELAYS</v>
          </cell>
        </row>
        <row r="1126">
          <cell r="D1126">
            <v>1123</v>
          </cell>
          <cell r="E1126">
            <v>85365000</v>
          </cell>
          <cell r="F1126">
            <v>5</v>
          </cell>
          <cell r="G1126" t="str">
            <v>SWITCHES</v>
          </cell>
        </row>
        <row r="1127">
          <cell r="D1127">
            <v>1124</v>
          </cell>
          <cell r="E1127">
            <v>85353000</v>
          </cell>
          <cell r="F1127">
            <v>5</v>
          </cell>
          <cell r="G1127" t="str">
            <v>PUSH-BUTTONS</v>
          </cell>
        </row>
        <row r="1128">
          <cell r="D1128">
            <v>1125</v>
          </cell>
          <cell r="E1128">
            <v>90303900</v>
          </cell>
          <cell r="F1128">
            <v>5</v>
          </cell>
          <cell r="G1128" t="str">
            <v>AMMETERS</v>
          </cell>
        </row>
        <row r="1129">
          <cell r="D1129">
            <v>1126</v>
          </cell>
          <cell r="E1129">
            <v>90303900</v>
          </cell>
          <cell r="F1129">
            <v>5</v>
          </cell>
          <cell r="G1129" t="str">
            <v>VOLTMETERS</v>
          </cell>
        </row>
        <row r="1130">
          <cell r="D1130">
            <v>1127</v>
          </cell>
          <cell r="E1130">
            <v>85043400</v>
          </cell>
          <cell r="F1130">
            <v>5</v>
          </cell>
          <cell r="G1130" t="str">
            <v>CURRENT TRANSFORMERS</v>
          </cell>
        </row>
        <row r="1131">
          <cell r="D1131">
            <v>1128</v>
          </cell>
          <cell r="E1131">
            <v>85043400</v>
          </cell>
          <cell r="F1131">
            <v>5</v>
          </cell>
          <cell r="G1131" t="str">
            <v>VOLTAGE TRANSFORMERS</v>
          </cell>
        </row>
        <row r="1132">
          <cell r="D1132">
            <v>1129</v>
          </cell>
          <cell r="E1132">
            <v>85372000</v>
          </cell>
          <cell r="F1132">
            <v>5</v>
          </cell>
          <cell r="G1132" t="str">
            <v>SUBSTATION BOX</v>
          </cell>
        </row>
        <row r="1133">
          <cell r="D1133">
            <v>1130</v>
          </cell>
          <cell r="E1133">
            <v>7306900</v>
          </cell>
          <cell r="F1133">
            <v>20</v>
          </cell>
          <cell r="G1133" t="str">
            <v>BUS DUCT</v>
          </cell>
        </row>
        <row r="1134">
          <cell r="D1134">
            <v>1131</v>
          </cell>
          <cell r="E1134">
            <v>90303900</v>
          </cell>
          <cell r="F1134">
            <v>5</v>
          </cell>
          <cell r="G1134" t="str">
            <v>AMMETER</v>
          </cell>
        </row>
        <row r="1135">
          <cell r="D1135">
            <v>1132</v>
          </cell>
          <cell r="E1135">
            <v>90303900</v>
          </cell>
          <cell r="F1135">
            <v>5</v>
          </cell>
          <cell r="G1135" t="str">
            <v>VOLTMETERS</v>
          </cell>
        </row>
        <row r="1136">
          <cell r="D1136">
            <v>1133</v>
          </cell>
          <cell r="E1136">
            <v>85364900</v>
          </cell>
          <cell r="F1136">
            <v>5</v>
          </cell>
          <cell r="G1136" t="str">
            <v>AUXILIARY RELAY</v>
          </cell>
        </row>
        <row r="1137">
          <cell r="D1137">
            <v>1134</v>
          </cell>
          <cell r="E1137">
            <v>85372000</v>
          </cell>
          <cell r="F1137">
            <v>5</v>
          </cell>
          <cell r="G1137" t="str">
            <v>PRINTED CIRCUIT CARDS</v>
          </cell>
        </row>
        <row r="1138">
          <cell r="D1138">
            <v>1135</v>
          </cell>
          <cell r="E1138">
            <v>85115000</v>
          </cell>
          <cell r="F1138">
            <v>5</v>
          </cell>
          <cell r="G1138" t="str">
            <v>DC CHARGER AND DISTRIBUTION PANEL</v>
          </cell>
        </row>
        <row r="1139">
          <cell r="D1139">
            <v>1136</v>
          </cell>
          <cell r="E1139">
            <v>85078000</v>
          </cell>
          <cell r="F1139">
            <v>5</v>
          </cell>
          <cell r="G1139" t="str">
            <v>BATTERY</v>
          </cell>
        </row>
        <row r="1140">
          <cell r="D1140">
            <v>1137</v>
          </cell>
          <cell r="E1140">
            <v>73269099</v>
          </cell>
          <cell r="F1140">
            <v>20</v>
          </cell>
          <cell r="G1140" t="str">
            <v>BATTERY RACK</v>
          </cell>
        </row>
        <row r="1141">
          <cell r="D1141">
            <v>1138</v>
          </cell>
          <cell r="E1141">
            <v>90303900</v>
          </cell>
          <cell r="F1141">
            <v>5</v>
          </cell>
          <cell r="G1141" t="str">
            <v>AMMETER</v>
          </cell>
        </row>
        <row r="1142">
          <cell r="D1142">
            <v>1139</v>
          </cell>
          <cell r="E1142">
            <v>90303900</v>
          </cell>
          <cell r="F1142">
            <v>5</v>
          </cell>
          <cell r="G1142" t="str">
            <v>VOLTMETERS</v>
          </cell>
        </row>
        <row r="1143">
          <cell r="D1143">
            <v>1140</v>
          </cell>
          <cell r="E1143">
            <v>85372000</v>
          </cell>
          <cell r="F1143">
            <v>5</v>
          </cell>
          <cell r="G1143" t="str">
            <v>CONTROL CARD</v>
          </cell>
        </row>
        <row r="1144">
          <cell r="D1144">
            <v>1141</v>
          </cell>
          <cell r="E1144">
            <v>85340000</v>
          </cell>
          <cell r="F1144">
            <v>5</v>
          </cell>
          <cell r="G1144" t="str">
            <v>PRINTED CIRCUIT CARDS</v>
          </cell>
        </row>
        <row r="1145">
          <cell r="D1145">
            <v>1142</v>
          </cell>
          <cell r="E1145">
            <v>85353000</v>
          </cell>
          <cell r="F1145">
            <v>5</v>
          </cell>
          <cell r="G1145" t="str">
            <v>34.5 KV DISCONNECTING SWITCH</v>
          </cell>
        </row>
        <row r="1146">
          <cell r="D1146">
            <v>1143</v>
          </cell>
          <cell r="E1146">
            <v>85366900</v>
          </cell>
          <cell r="F1146">
            <v>5</v>
          </cell>
          <cell r="G1146" t="str">
            <v>START CONTACTS</v>
          </cell>
        </row>
        <row r="1147">
          <cell r="D1147">
            <v>1144</v>
          </cell>
          <cell r="E1147">
            <v>85366900</v>
          </cell>
          <cell r="F1147">
            <v>5</v>
          </cell>
          <cell r="G1147" t="str">
            <v>STOP CONTACTS</v>
          </cell>
        </row>
        <row r="1148">
          <cell r="D1148">
            <v>1145</v>
          </cell>
          <cell r="E1148">
            <v>84849000</v>
          </cell>
          <cell r="F1148">
            <v>5</v>
          </cell>
          <cell r="G1148" t="str">
            <v>GASKETS/O'RINGS</v>
          </cell>
        </row>
        <row r="1149">
          <cell r="D1149">
            <v>1146</v>
          </cell>
          <cell r="E1149">
            <v>85353000</v>
          </cell>
          <cell r="F1149">
            <v>5</v>
          </cell>
          <cell r="G1149" t="str">
            <v>SELECTOR SWITCH</v>
          </cell>
        </row>
        <row r="1150">
          <cell r="D1150">
            <v>1147</v>
          </cell>
          <cell r="E1150">
            <v>85442010</v>
          </cell>
          <cell r="F1150">
            <v>20</v>
          </cell>
          <cell r="G1150" t="str">
            <v>POWER  CABLE /WIRE WITH CONNECTORS (34.5 KV)</v>
          </cell>
        </row>
        <row r="1151">
          <cell r="D1151">
            <v>1148</v>
          </cell>
          <cell r="E1151">
            <v>85442010</v>
          </cell>
          <cell r="F1151">
            <v>20</v>
          </cell>
          <cell r="G1151" t="str">
            <v>POWER  CABLE /WIRE  (34.5 KV)</v>
          </cell>
        </row>
        <row r="1152">
          <cell r="D1152">
            <v>1149</v>
          </cell>
          <cell r="E1152">
            <v>85442010</v>
          </cell>
          <cell r="F1152">
            <v>20</v>
          </cell>
          <cell r="G1152" t="str">
            <v>POWER  CABLE /WIRE WITH CONNECTORS (5 &amp;15 KV)</v>
          </cell>
        </row>
        <row r="1153">
          <cell r="D1153">
            <v>1150</v>
          </cell>
          <cell r="E1153">
            <v>85442010</v>
          </cell>
          <cell r="F1153">
            <v>20</v>
          </cell>
          <cell r="G1153" t="str">
            <v>POWER  CABLE /WIRE (5 &amp;15 KV)</v>
          </cell>
        </row>
        <row r="1154">
          <cell r="D1154">
            <v>1151</v>
          </cell>
          <cell r="E1154">
            <v>85442010</v>
          </cell>
          <cell r="F1154">
            <v>20</v>
          </cell>
          <cell r="G1154" t="str">
            <v>POWER  CABLE /WIRE WITH CONNECTORS ( 600V)</v>
          </cell>
        </row>
        <row r="1155">
          <cell r="D1155">
            <v>1152</v>
          </cell>
          <cell r="E1155">
            <v>85442010</v>
          </cell>
          <cell r="F1155">
            <v>20</v>
          </cell>
          <cell r="G1155" t="str">
            <v>POWER  CABLE /WIRE  ( 600V)</v>
          </cell>
        </row>
        <row r="1156">
          <cell r="D1156">
            <v>1153</v>
          </cell>
          <cell r="E1156">
            <v>85442010</v>
          </cell>
          <cell r="F1156">
            <v>20</v>
          </cell>
          <cell r="G1156" t="str">
            <v>CONTROL  CABLE /WIRE WITH CONNECTORS ( 600V)</v>
          </cell>
        </row>
        <row r="1157">
          <cell r="D1157">
            <v>1154</v>
          </cell>
          <cell r="E1157">
            <v>85442010</v>
          </cell>
          <cell r="F1157">
            <v>20</v>
          </cell>
          <cell r="G1157" t="str">
            <v>CONTROL  CABLE /WIRE ( 600V)</v>
          </cell>
        </row>
        <row r="1158">
          <cell r="D1158">
            <v>1155</v>
          </cell>
          <cell r="E1158">
            <v>85442010</v>
          </cell>
          <cell r="F1158">
            <v>20</v>
          </cell>
          <cell r="G1158" t="str">
            <v>CABLE /WIRE WITH CONNECTORS FOR GROUDING</v>
          </cell>
        </row>
        <row r="1159">
          <cell r="D1159">
            <v>1156</v>
          </cell>
          <cell r="E1159">
            <v>85442010</v>
          </cell>
          <cell r="F1159">
            <v>20</v>
          </cell>
          <cell r="G1159" t="str">
            <v>CABLE /WIRE FOR GROUDING</v>
          </cell>
        </row>
        <row r="1160">
          <cell r="D1160">
            <v>1157</v>
          </cell>
          <cell r="E1160">
            <v>85442010</v>
          </cell>
          <cell r="F1160">
            <v>20</v>
          </cell>
          <cell r="G1160" t="str">
            <v>CABLE /WIRE WITH CONNECTORS FOR LIGHTING</v>
          </cell>
        </row>
        <row r="1161">
          <cell r="D1161">
            <v>1158</v>
          </cell>
          <cell r="E1161">
            <v>85442010</v>
          </cell>
          <cell r="F1161">
            <v>20</v>
          </cell>
          <cell r="G1161" t="str">
            <v>CABLE /WIRE  FOR LIGHTING</v>
          </cell>
        </row>
        <row r="1162">
          <cell r="D1162">
            <v>1159</v>
          </cell>
          <cell r="E1162">
            <v>85442010</v>
          </cell>
          <cell r="F1162">
            <v>20</v>
          </cell>
          <cell r="G1162" t="str">
            <v>CABLE /WIRE WITH CONNECTORS FOR TELEPHONE  6PAIR * 0.9MM</v>
          </cell>
        </row>
        <row r="1163">
          <cell r="D1163">
            <v>1160</v>
          </cell>
          <cell r="E1163">
            <v>85442010</v>
          </cell>
          <cell r="F1163">
            <v>20</v>
          </cell>
          <cell r="G1163" t="str">
            <v>CABLE /WIRE FOR TELEPHONE   6PAIR * 0.9MM</v>
          </cell>
        </row>
        <row r="1164">
          <cell r="D1164">
            <v>1161</v>
          </cell>
          <cell r="E1164">
            <v>85442010</v>
          </cell>
          <cell r="F1164">
            <v>20</v>
          </cell>
          <cell r="G1164" t="str">
            <v>CABLE /WIRE WITH CONNECTORS FOR TELEPHONE  20PAIR * 0.9MM</v>
          </cell>
        </row>
        <row r="1165">
          <cell r="D1165">
            <v>1162</v>
          </cell>
          <cell r="E1165">
            <v>85442010</v>
          </cell>
          <cell r="F1165">
            <v>20</v>
          </cell>
          <cell r="G1165" t="str">
            <v>CABLE /WIRE FOR TELEPHONE   20PAIR * 0.9MM</v>
          </cell>
        </row>
        <row r="1166">
          <cell r="D1166">
            <v>1163</v>
          </cell>
          <cell r="E1166">
            <v>85442010</v>
          </cell>
          <cell r="F1166">
            <v>20</v>
          </cell>
          <cell r="G1166" t="str">
            <v>CABLE /WIRE WITH CONNECTORS FOR TELEPHONE  50PAIR * 0.9MM</v>
          </cell>
        </row>
        <row r="1167">
          <cell r="D1167">
            <v>1164</v>
          </cell>
          <cell r="E1167">
            <v>85442010</v>
          </cell>
          <cell r="F1167">
            <v>20</v>
          </cell>
          <cell r="G1167" t="str">
            <v>CABLE /WIRE FOR TELEPHONE   50PAIR * 0.9MM</v>
          </cell>
        </row>
        <row r="1168">
          <cell r="D1168">
            <v>1165</v>
          </cell>
          <cell r="E1168">
            <v>85442010</v>
          </cell>
          <cell r="F1168">
            <v>20</v>
          </cell>
          <cell r="G1168" t="str">
            <v>CABLE /WIRE WITH CONNECTORS FOR TELEPHONE   2PAIR * 0.9MM</v>
          </cell>
        </row>
        <row r="1169">
          <cell r="D1169">
            <v>1166</v>
          </cell>
          <cell r="E1169">
            <v>85442010</v>
          </cell>
          <cell r="F1169">
            <v>20</v>
          </cell>
          <cell r="G1169" t="str">
            <v>CABLE /WIRE FOR TELEPHONE   2PAIR * 0.9MM</v>
          </cell>
        </row>
        <row r="1170">
          <cell r="D1170">
            <v>1167</v>
          </cell>
          <cell r="E1170">
            <v>85442010</v>
          </cell>
          <cell r="F1170">
            <v>20</v>
          </cell>
          <cell r="G1170" t="str">
            <v>CABLE /WIRE WITH CONNECTORS FOR PAGING 2PAIR * 0.9MM2</v>
          </cell>
        </row>
        <row r="1171">
          <cell r="D1171">
            <v>1168</v>
          </cell>
          <cell r="E1171">
            <v>85442010</v>
          </cell>
          <cell r="F1171">
            <v>20</v>
          </cell>
          <cell r="G1171" t="str">
            <v>CABLE /WIRE FOR PAGING  2PAIR * 0.9MM2</v>
          </cell>
        </row>
        <row r="1172">
          <cell r="D1172">
            <v>1169</v>
          </cell>
          <cell r="E1172">
            <v>85442010</v>
          </cell>
          <cell r="F1172">
            <v>20</v>
          </cell>
          <cell r="G1172" t="str">
            <v>CABLE /WIRE WITH CONNECTORS FOR PAGING 6PAIR * 0.9MM2</v>
          </cell>
        </row>
        <row r="1173">
          <cell r="D1173">
            <v>1170</v>
          </cell>
          <cell r="E1173">
            <v>85442010</v>
          </cell>
          <cell r="F1173">
            <v>20</v>
          </cell>
          <cell r="G1173" t="str">
            <v>CABLE /WIRE FOR PAGING  6PAIR * 0.9MM2</v>
          </cell>
        </row>
        <row r="1174">
          <cell r="D1174">
            <v>1171</v>
          </cell>
          <cell r="E1174">
            <v>85442010</v>
          </cell>
          <cell r="F1174">
            <v>20</v>
          </cell>
          <cell r="G1174" t="str">
            <v>CABLE /WIRE WITH CONNECTORS FOR PAGING 2PAIR * 0.9MM2</v>
          </cell>
        </row>
        <row r="1175">
          <cell r="D1175">
            <v>1172</v>
          </cell>
          <cell r="E1175">
            <v>85442010</v>
          </cell>
          <cell r="F1175">
            <v>20</v>
          </cell>
          <cell r="G1175" t="str">
            <v>CABLE /WIRE FOR PAGING  2PAIR * 0.9MM2</v>
          </cell>
        </row>
        <row r="1176">
          <cell r="D1176">
            <v>1173</v>
          </cell>
          <cell r="E1176">
            <v>85442010</v>
          </cell>
          <cell r="F1176">
            <v>20</v>
          </cell>
          <cell r="G1176" t="str">
            <v>CABLE /WIRE WITH CONNECTORS FOR FIRE ALARM  2C *2.5 SQ MM</v>
          </cell>
        </row>
        <row r="1177">
          <cell r="D1177">
            <v>1174</v>
          </cell>
          <cell r="E1177">
            <v>85442010</v>
          </cell>
          <cell r="F1177">
            <v>20</v>
          </cell>
          <cell r="G1177" t="str">
            <v>CABLE /WIRE FOR FIRE ALARM  2C * 2.5 SQ MM</v>
          </cell>
        </row>
        <row r="1178">
          <cell r="D1178">
            <v>1175</v>
          </cell>
          <cell r="E1178">
            <v>85442010</v>
          </cell>
          <cell r="F1178">
            <v>20</v>
          </cell>
          <cell r="G1178" t="str">
            <v>CABLE /WIRE WITH CONNECTORS FOR FIRE ALARM  7C *2.5 SQ MM</v>
          </cell>
        </row>
        <row r="1179">
          <cell r="D1179">
            <v>1176</v>
          </cell>
          <cell r="E1179">
            <v>85442010</v>
          </cell>
          <cell r="F1179">
            <v>20</v>
          </cell>
          <cell r="G1179" t="str">
            <v>CABLE /WIRE FOR FIRE ALARM  7C * 2.5 SQ MM</v>
          </cell>
        </row>
        <row r="1180">
          <cell r="D1180">
            <v>1177</v>
          </cell>
          <cell r="E1180">
            <v>85447000</v>
          </cell>
          <cell r="F1180">
            <v>5</v>
          </cell>
          <cell r="G1180" t="str">
            <v>FIBER OPTIC. CABLE 4 STRAND</v>
          </cell>
        </row>
        <row r="1181">
          <cell r="D1181">
            <v>1178</v>
          </cell>
          <cell r="E1181">
            <v>85447000</v>
          </cell>
          <cell r="F1181">
            <v>5</v>
          </cell>
          <cell r="G1181" t="str">
            <v>FIBER OPTIC. CABLE 12 STRAND</v>
          </cell>
        </row>
        <row r="1182">
          <cell r="D1182">
            <v>1179</v>
          </cell>
          <cell r="E1182">
            <v>85442010</v>
          </cell>
          <cell r="F1182">
            <v>20</v>
          </cell>
          <cell r="G1182" t="str">
            <v>FIRE ALARM ELECTRICAL INSTRUMENTATION CONTROL CABLE</v>
          </cell>
        </row>
        <row r="1183">
          <cell r="D1183">
            <v>1180</v>
          </cell>
          <cell r="E1183">
            <v>85340000</v>
          </cell>
          <cell r="F1183">
            <v>5</v>
          </cell>
          <cell r="G1183" t="str">
            <v>PRINTED CIRCUIT BOARD FOR RECEIVING PANEL</v>
          </cell>
        </row>
        <row r="1184">
          <cell r="D1184">
            <v>1181</v>
          </cell>
          <cell r="E1184">
            <v>85364900</v>
          </cell>
          <cell r="F1184">
            <v>5</v>
          </cell>
          <cell r="G1184" t="str">
            <v>RELAY</v>
          </cell>
        </row>
        <row r="1185">
          <cell r="D1185">
            <v>1182</v>
          </cell>
          <cell r="E1185">
            <v>8507800</v>
          </cell>
          <cell r="F1185">
            <v>5</v>
          </cell>
          <cell r="G1185" t="str">
            <v>BATTERY</v>
          </cell>
        </row>
        <row r="1186">
          <cell r="D1186">
            <v>1183</v>
          </cell>
          <cell r="E1186">
            <v>85318090</v>
          </cell>
          <cell r="F1186">
            <v>5</v>
          </cell>
          <cell r="G1186" t="str">
            <v>BELL AND BUZZER</v>
          </cell>
        </row>
        <row r="1187">
          <cell r="D1187">
            <v>1184</v>
          </cell>
          <cell r="E1187">
            <v>85372000</v>
          </cell>
          <cell r="F1187">
            <v>5</v>
          </cell>
          <cell r="G1187" t="str">
            <v>PUSH BUTTON SWITCH STATION</v>
          </cell>
        </row>
        <row r="1188">
          <cell r="D1188">
            <v>1185</v>
          </cell>
          <cell r="E1188">
            <v>85318090</v>
          </cell>
          <cell r="F1188">
            <v>5</v>
          </cell>
          <cell r="G1188" t="str">
            <v>SPOT TYPE DETECTOR</v>
          </cell>
        </row>
        <row r="1189">
          <cell r="D1189">
            <v>1186</v>
          </cell>
          <cell r="E1189">
            <v>8513100</v>
          </cell>
          <cell r="F1189">
            <v>5</v>
          </cell>
          <cell r="G1189" t="str">
            <v>BULB FOR SIGNAL LAMP</v>
          </cell>
        </row>
        <row r="1190">
          <cell r="D1190">
            <v>1187</v>
          </cell>
          <cell r="E1190">
            <v>85139000</v>
          </cell>
          <cell r="F1190">
            <v>5</v>
          </cell>
          <cell r="G1190" t="str">
            <v>GLOBE FOR SIGNAL LAMP</v>
          </cell>
        </row>
        <row r="1191">
          <cell r="D1191">
            <v>1188</v>
          </cell>
          <cell r="E1191">
            <v>85372000</v>
          </cell>
          <cell r="F1191">
            <v>5</v>
          </cell>
          <cell r="G1191" t="str">
            <v>SUB RECEIVING PANEL FOR FIRE ALARM SYSTEM</v>
          </cell>
        </row>
        <row r="1192">
          <cell r="D1192">
            <v>1189</v>
          </cell>
          <cell r="E1192">
            <v>85372000</v>
          </cell>
          <cell r="F1192">
            <v>5</v>
          </cell>
          <cell r="G1192" t="str">
            <v>PUSH BOTTON/ALARM BELL FOR FIRE ALARM SYSTEM</v>
          </cell>
        </row>
        <row r="1193">
          <cell r="D1193">
            <v>1190</v>
          </cell>
          <cell r="E1193">
            <v>85312000</v>
          </cell>
          <cell r="F1193">
            <v>5</v>
          </cell>
          <cell r="G1193" t="str">
            <v>FIRE AND GAS CONTROL PANEL</v>
          </cell>
        </row>
        <row r="1194">
          <cell r="D1194">
            <v>1191</v>
          </cell>
          <cell r="E1194">
            <v>85318090</v>
          </cell>
          <cell r="F1194">
            <v>5</v>
          </cell>
          <cell r="G1194" t="str">
            <v>HEAT DETECTOR</v>
          </cell>
        </row>
        <row r="1195">
          <cell r="D1195">
            <v>1192</v>
          </cell>
          <cell r="E1195">
            <v>85312000</v>
          </cell>
          <cell r="F1195">
            <v>5</v>
          </cell>
          <cell r="G1195" t="str">
            <v>HEAT DETECTOR CONTROL PANEL</v>
          </cell>
        </row>
        <row r="1196">
          <cell r="D1196">
            <v>1193</v>
          </cell>
          <cell r="E1196">
            <v>85318090</v>
          </cell>
          <cell r="F1196">
            <v>5</v>
          </cell>
          <cell r="G1196" t="str">
            <v>GAS DETECTOR</v>
          </cell>
        </row>
        <row r="1197">
          <cell r="D1197">
            <v>1194</v>
          </cell>
          <cell r="E1197">
            <v>85182900</v>
          </cell>
          <cell r="F1197">
            <v>5</v>
          </cell>
          <cell r="G1197" t="str">
            <v>LOUD SPEAKER</v>
          </cell>
        </row>
        <row r="1198">
          <cell r="D1198">
            <v>1195</v>
          </cell>
          <cell r="E1198">
            <v>85312000</v>
          </cell>
          <cell r="F1198">
            <v>5</v>
          </cell>
          <cell r="G1198" t="str">
            <v>XENON FLASHER</v>
          </cell>
        </row>
        <row r="1199">
          <cell r="D1199">
            <v>1196</v>
          </cell>
          <cell r="E1199">
            <v>85202000</v>
          </cell>
          <cell r="F1199">
            <v>5</v>
          </cell>
          <cell r="G1199" t="str">
            <v>MANUAL CALL POINT</v>
          </cell>
        </row>
        <row r="1200">
          <cell r="D1200">
            <v>1197</v>
          </cell>
          <cell r="E1200">
            <v>85311000</v>
          </cell>
          <cell r="F1200">
            <v>5</v>
          </cell>
          <cell r="G1200" t="str">
            <v>ALARM HORN</v>
          </cell>
        </row>
        <row r="1201">
          <cell r="D1201">
            <v>1198</v>
          </cell>
          <cell r="E1201">
            <v>85393900</v>
          </cell>
          <cell r="F1201">
            <v>5</v>
          </cell>
          <cell r="G1201" t="str">
            <v>INDICATION LAMP</v>
          </cell>
        </row>
        <row r="1202">
          <cell r="D1202">
            <v>1199</v>
          </cell>
          <cell r="E1202">
            <v>85319000</v>
          </cell>
          <cell r="F1202">
            <v>5</v>
          </cell>
          <cell r="G1202" t="str">
            <v>COMBINATION BOX</v>
          </cell>
        </row>
        <row r="1203">
          <cell r="D1203">
            <v>1200</v>
          </cell>
          <cell r="E1203">
            <v>85319000</v>
          </cell>
          <cell r="F1203">
            <v>5</v>
          </cell>
          <cell r="G1203" t="str">
            <v>FIRE ALARM TERMINAL BOX</v>
          </cell>
        </row>
        <row r="1204">
          <cell r="D1204">
            <v>1201</v>
          </cell>
          <cell r="E1204">
            <v>85311000</v>
          </cell>
          <cell r="F1204">
            <v>5</v>
          </cell>
          <cell r="G1204" t="str">
            <v>FIRE AND GAS ALARM SYSTEM</v>
          </cell>
        </row>
        <row r="1205">
          <cell r="D1205">
            <v>1202</v>
          </cell>
          <cell r="E1205">
            <v>85179010</v>
          </cell>
          <cell r="F1205">
            <v>5</v>
          </cell>
          <cell r="G1205" t="str">
            <v>RADIO COMMUNICATION EQUIPMENT COMPONENTS</v>
          </cell>
        </row>
        <row r="1206">
          <cell r="D1206">
            <v>1203</v>
          </cell>
          <cell r="E1206">
            <v>85340000</v>
          </cell>
          <cell r="F1206">
            <v>5</v>
          </cell>
          <cell r="G1206" t="str">
            <v>PRINTED CIRCUIT BOARD FOR MAIN AMPLIFIER</v>
          </cell>
        </row>
        <row r="1207">
          <cell r="D1207">
            <v>1204</v>
          </cell>
          <cell r="E1207">
            <v>85364900</v>
          </cell>
          <cell r="F1207">
            <v>5</v>
          </cell>
          <cell r="G1207" t="str">
            <v>RELAY</v>
          </cell>
        </row>
        <row r="1208">
          <cell r="D1208">
            <v>1205</v>
          </cell>
          <cell r="E1208">
            <v>85365000</v>
          </cell>
          <cell r="F1208">
            <v>5</v>
          </cell>
          <cell r="G1208" t="str">
            <v>CONTROL SWITCH</v>
          </cell>
        </row>
        <row r="1209">
          <cell r="D1209">
            <v>1206</v>
          </cell>
          <cell r="E1209">
            <v>85171900</v>
          </cell>
          <cell r="F1209">
            <v>5</v>
          </cell>
          <cell r="G1209" t="str">
            <v>HAND SET STATION</v>
          </cell>
        </row>
        <row r="1210">
          <cell r="D1210">
            <v>1207</v>
          </cell>
          <cell r="E1210">
            <v>85252030</v>
          </cell>
          <cell r="F1210">
            <v>5</v>
          </cell>
          <cell r="G1210" t="str">
            <v>TRANSMITTER AND RECEIVING UNIT</v>
          </cell>
        </row>
        <row r="1211">
          <cell r="D1211">
            <v>1208</v>
          </cell>
          <cell r="E1211">
            <v>85340000</v>
          </cell>
          <cell r="F1211">
            <v>5</v>
          </cell>
          <cell r="G1211" t="str">
            <v>PRINTED CIRCUIT BOARD FOR HEAD SET STATION</v>
          </cell>
        </row>
        <row r="1212">
          <cell r="D1212">
            <v>1209</v>
          </cell>
          <cell r="E1212">
            <v>85189000</v>
          </cell>
          <cell r="F1212">
            <v>5</v>
          </cell>
          <cell r="G1212" t="str">
            <v>DRIVER UNIT FOR HORN SPEAKER</v>
          </cell>
        </row>
        <row r="1213">
          <cell r="D1213">
            <v>1210</v>
          </cell>
          <cell r="E1213">
            <v>85139000</v>
          </cell>
          <cell r="F1213">
            <v>5</v>
          </cell>
          <cell r="G1213" t="str">
            <v>BULB FOR PILOT LAMP</v>
          </cell>
        </row>
        <row r="1214">
          <cell r="D1214">
            <v>1211</v>
          </cell>
          <cell r="E1214">
            <v>85139000</v>
          </cell>
          <cell r="F1214">
            <v>5</v>
          </cell>
          <cell r="G1214" t="str">
            <v>GLOBE FOR PILOT LAMP</v>
          </cell>
        </row>
        <row r="1215">
          <cell r="D1215">
            <v>1212</v>
          </cell>
          <cell r="E1215">
            <v>85318090</v>
          </cell>
          <cell r="F1215">
            <v>5</v>
          </cell>
          <cell r="G1215" t="str">
            <v>ELECTRICAL HEAT TRACE SYSTEM</v>
          </cell>
        </row>
        <row r="1216">
          <cell r="D1216">
            <v>1213</v>
          </cell>
          <cell r="E1216">
            <v>94051000</v>
          </cell>
          <cell r="F1216">
            <v>5</v>
          </cell>
          <cell r="G1216" t="str">
            <v>CEILING LIGHT( EXPROOF)</v>
          </cell>
        </row>
        <row r="1217">
          <cell r="D1217">
            <v>1214</v>
          </cell>
          <cell r="E1217">
            <v>85323000</v>
          </cell>
          <cell r="F1217">
            <v>5</v>
          </cell>
          <cell r="G1217" t="str">
            <v>CAPACITORS</v>
          </cell>
        </row>
        <row r="1218">
          <cell r="D1218">
            <v>1215</v>
          </cell>
          <cell r="E1218">
            <v>85114000</v>
          </cell>
          <cell r="F1218">
            <v>5</v>
          </cell>
          <cell r="G1218" t="str">
            <v>STARTERS</v>
          </cell>
        </row>
        <row r="1219">
          <cell r="D1219">
            <v>1216</v>
          </cell>
          <cell r="E1219">
            <v>85365000</v>
          </cell>
          <cell r="F1219">
            <v>5</v>
          </cell>
          <cell r="G1219" t="str">
            <v>CONTROL SWITCH (IF ANY)</v>
          </cell>
        </row>
        <row r="1220">
          <cell r="D1220">
            <v>1217</v>
          </cell>
          <cell r="E1220">
            <v>94051000</v>
          </cell>
          <cell r="F1220">
            <v>5</v>
          </cell>
          <cell r="G1220" t="str">
            <v>CEILING LIGHT WITH BRAKET</v>
          </cell>
        </row>
        <row r="1221">
          <cell r="D1221">
            <v>1218</v>
          </cell>
          <cell r="E1221">
            <v>94051000</v>
          </cell>
          <cell r="F1221">
            <v>5</v>
          </cell>
          <cell r="G1221" t="str">
            <v>POLE LIGHT</v>
          </cell>
        </row>
        <row r="1222">
          <cell r="D1222">
            <v>1219</v>
          </cell>
          <cell r="E1222">
            <v>94051000</v>
          </cell>
          <cell r="F1222">
            <v>5</v>
          </cell>
          <cell r="G1222" t="str">
            <v>FLOOD LIGHT</v>
          </cell>
        </row>
        <row r="1223">
          <cell r="D1223">
            <v>1220</v>
          </cell>
          <cell r="E1223">
            <v>94051000</v>
          </cell>
          <cell r="F1223">
            <v>5</v>
          </cell>
          <cell r="G1223" t="str">
            <v>CEILING LIGHT( NON-EXPROOF)</v>
          </cell>
        </row>
        <row r="1224">
          <cell r="D1224">
            <v>1221</v>
          </cell>
          <cell r="E1224">
            <v>38249099</v>
          </cell>
          <cell r="F1224">
            <v>5</v>
          </cell>
          <cell r="G1224" t="str">
            <v>BATTERY LIQUID</v>
          </cell>
        </row>
        <row r="1225">
          <cell r="D1225">
            <v>1222</v>
          </cell>
          <cell r="E1225">
            <v>73269060</v>
          </cell>
          <cell r="F1225">
            <v>20</v>
          </cell>
          <cell r="G1225" t="str">
            <v>CABLE RACK,TRAY,DUCT</v>
          </cell>
        </row>
        <row r="1226">
          <cell r="D1226">
            <v>1223</v>
          </cell>
          <cell r="E1226">
            <v>73269060</v>
          </cell>
          <cell r="F1226">
            <v>20</v>
          </cell>
          <cell r="G1226" t="str">
            <v>CABLE TRAY COVER</v>
          </cell>
        </row>
        <row r="1227">
          <cell r="D1227">
            <v>1224</v>
          </cell>
          <cell r="E1227">
            <v>73069000</v>
          </cell>
          <cell r="F1227">
            <v>20</v>
          </cell>
          <cell r="G1227" t="str">
            <v>CONDUIT PIPING  FOR POWER AND CONTROL CABLE</v>
          </cell>
        </row>
        <row r="1228">
          <cell r="D1228">
            <v>1225</v>
          </cell>
          <cell r="E1228">
            <v>73069000</v>
          </cell>
          <cell r="F1228">
            <v>20</v>
          </cell>
          <cell r="G1228" t="str">
            <v>CORGATED HARD PE PIPE   FOR POWER AND CONTROL CABLE</v>
          </cell>
        </row>
        <row r="1229">
          <cell r="D1229">
            <v>1226</v>
          </cell>
          <cell r="E1229">
            <v>39173300</v>
          </cell>
          <cell r="F1229">
            <v>5</v>
          </cell>
          <cell r="G1229" t="str">
            <v>CONDUIT PIPING (PVC) FOR GROUDING CABLE</v>
          </cell>
        </row>
        <row r="1230">
          <cell r="D1230">
            <v>1227</v>
          </cell>
          <cell r="E1230">
            <v>73069000</v>
          </cell>
          <cell r="F1230">
            <v>20</v>
          </cell>
          <cell r="G1230" t="str">
            <v>CORGATED HARD PE PIPE   FOR GROUNDING CABLE</v>
          </cell>
        </row>
        <row r="1231">
          <cell r="D1231">
            <v>1228</v>
          </cell>
          <cell r="E1231">
            <v>73069000</v>
          </cell>
          <cell r="F1231">
            <v>20</v>
          </cell>
          <cell r="G1231" t="str">
            <v>CONDUIT PIPING (RGS) FOR LIGHTING</v>
          </cell>
        </row>
        <row r="1232">
          <cell r="D1232">
            <v>1229</v>
          </cell>
          <cell r="E1232">
            <v>73069000</v>
          </cell>
          <cell r="F1232">
            <v>20</v>
          </cell>
          <cell r="G1232" t="str">
            <v>CORGATED HARD PE PIPE   FOR LIGHTING</v>
          </cell>
        </row>
        <row r="1233">
          <cell r="D1233">
            <v>1230</v>
          </cell>
          <cell r="E1233">
            <v>73069000</v>
          </cell>
          <cell r="F1233">
            <v>20</v>
          </cell>
          <cell r="G1233" t="str">
            <v>CONDUIT PIPING (RGS) FOR COMUNICATION CABLE</v>
          </cell>
        </row>
        <row r="1234">
          <cell r="D1234">
            <v>1231</v>
          </cell>
          <cell r="E1234">
            <v>73069000</v>
          </cell>
          <cell r="F1234">
            <v>20</v>
          </cell>
          <cell r="G1234" t="str">
            <v>CORGATED HARD PE PIPE   FOR COMUNICATION CABLE</v>
          </cell>
        </row>
        <row r="1235">
          <cell r="D1235">
            <v>1232</v>
          </cell>
          <cell r="E1235">
            <v>85179010</v>
          </cell>
          <cell r="F1235">
            <v>5</v>
          </cell>
          <cell r="G1235" t="str">
            <v>TERMINAL BOX FOR TELEPHONE SYSTEM</v>
          </cell>
        </row>
        <row r="1236">
          <cell r="D1236">
            <v>1233</v>
          </cell>
          <cell r="E1236">
            <v>85171900</v>
          </cell>
          <cell r="F1236">
            <v>5</v>
          </cell>
          <cell r="G1236" t="str">
            <v>TELEPHONE HAND SET</v>
          </cell>
        </row>
        <row r="1237">
          <cell r="D1237">
            <v>1234</v>
          </cell>
          <cell r="E1237">
            <v>85340000</v>
          </cell>
          <cell r="F1237">
            <v>5</v>
          </cell>
          <cell r="G1237" t="str">
            <v>PRINTED CIRCUIT BOARD FOR MAIN AMPLIFIER</v>
          </cell>
        </row>
        <row r="1238">
          <cell r="D1238">
            <v>1235</v>
          </cell>
          <cell r="E1238">
            <v>85364900</v>
          </cell>
          <cell r="F1238">
            <v>5</v>
          </cell>
          <cell r="G1238" t="str">
            <v>RELAY</v>
          </cell>
        </row>
        <row r="1239">
          <cell r="D1239">
            <v>1236</v>
          </cell>
          <cell r="E1239">
            <v>85365000</v>
          </cell>
          <cell r="F1239">
            <v>5</v>
          </cell>
          <cell r="G1239" t="str">
            <v>CONTROL SWITCH</v>
          </cell>
        </row>
        <row r="1240">
          <cell r="D1240">
            <v>1237</v>
          </cell>
          <cell r="E1240">
            <v>85171900</v>
          </cell>
          <cell r="F1240">
            <v>5</v>
          </cell>
          <cell r="G1240" t="str">
            <v>HAND SET STATION</v>
          </cell>
        </row>
        <row r="1241">
          <cell r="D1241">
            <v>1238</v>
          </cell>
          <cell r="E1241">
            <v>85252030</v>
          </cell>
          <cell r="F1241">
            <v>5</v>
          </cell>
          <cell r="G1241" t="str">
            <v>TRANSMITTER AND RECEIVING UNIT</v>
          </cell>
        </row>
        <row r="1242">
          <cell r="D1242">
            <v>1239</v>
          </cell>
          <cell r="E1242">
            <v>85340000</v>
          </cell>
          <cell r="F1242">
            <v>5</v>
          </cell>
          <cell r="G1242" t="str">
            <v>PRINTED CIRCUIT BOARD FOR HAND SET STATION</v>
          </cell>
        </row>
        <row r="1243">
          <cell r="D1243">
            <v>1240</v>
          </cell>
          <cell r="E1243">
            <v>85183000</v>
          </cell>
          <cell r="F1243">
            <v>5</v>
          </cell>
          <cell r="G1243" t="str">
            <v>DRIVER UNIT FOR HORN SPEAKER</v>
          </cell>
        </row>
        <row r="1244">
          <cell r="D1244">
            <v>1241</v>
          </cell>
          <cell r="E1244">
            <v>85139000</v>
          </cell>
          <cell r="F1244">
            <v>5</v>
          </cell>
          <cell r="G1244" t="str">
            <v>BULB FOR PILOT LAMP</v>
          </cell>
        </row>
        <row r="1245">
          <cell r="D1245">
            <v>1242</v>
          </cell>
          <cell r="E1245">
            <v>85139000</v>
          </cell>
          <cell r="F1245">
            <v>5</v>
          </cell>
          <cell r="G1245" t="str">
            <v>GLOBE FOR PILOT LAMP</v>
          </cell>
        </row>
        <row r="1246">
          <cell r="D1246">
            <v>1243</v>
          </cell>
          <cell r="E1246">
            <v>85171100</v>
          </cell>
          <cell r="F1246">
            <v>5</v>
          </cell>
          <cell r="G1246" t="str">
            <v>TELEPHONE SET</v>
          </cell>
        </row>
        <row r="1247">
          <cell r="D1247">
            <v>1244</v>
          </cell>
          <cell r="E1247">
            <v>85171900</v>
          </cell>
          <cell r="F1247">
            <v>5</v>
          </cell>
          <cell r="G1247" t="str">
            <v>TELEPHONE SYSTEM</v>
          </cell>
        </row>
        <row r="1248">
          <cell r="D1248">
            <v>1245</v>
          </cell>
          <cell r="E1248">
            <v>85279090</v>
          </cell>
          <cell r="F1248">
            <v>5</v>
          </cell>
          <cell r="G1248" t="str">
            <v>MAIN STATION FOR PAGING SYSTEM</v>
          </cell>
        </row>
        <row r="1249">
          <cell r="D1249">
            <v>1246</v>
          </cell>
          <cell r="E1249">
            <v>85299000</v>
          </cell>
          <cell r="F1249">
            <v>5</v>
          </cell>
          <cell r="G1249" t="str">
            <v>OPERATOR'S CONTROL PANEL FOR PAGING SYSTEM</v>
          </cell>
        </row>
        <row r="1250">
          <cell r="D1250">
            <v>1247</v>
          </cell>
          <cell r="E1250">
            <v>85171900</v>
          </cell>
          <cell r="F1250">
            <v>5</v>
          </cell>
          <cell r="G1250" t="str">
            <v>PAGING HAND SET</v>
          </cell>
        </row>
        <row r="1251">
          <cell r="D1251">
            <v>1248</v>
          </cell>
          <cell r="E1251">
            <v>85183000</v>
          </cell>
          <cell r="F1251">
            <v>5</v>
          </cell>
          <cell r="G1251" t="str">
            <v>PAGING SYSTEM SPEAKER</v>
          </cell>
        </row>
        <row r="1252">
          <cell r="D1252">
            <v>1249</v>
          </cell>
          <cell r="E1252">
            <v>85299000</v>
          </cell>
          <cell r="F1252">
            <v>5</v>
          </cell>
          <cell r="G1252" t="str">
            <v>PAGING SYSTEM TERMINAL BOX</v>
          </cell>
        </row>
        <row r="1253">
          <cell r="D1253">
            <v>1250</v>
          </cell>
          <cell r="E1253">
            <v>85015300</v>
          </cell>
          <cell r="F1253">
            <v>5</v>
          </cell>
          <cell r="G1253" t="str">
            <v>ELECTRIC AC MOTOR FOR PUMP, 15 KV AND UNDER</v>
          </cell>
        </row>
        <row r="1254">
          <cell r="D1254">
            <v>1251</v>
          </cell>
          <cell r="E1254">
            <v>85372000</v>
          </cell>
          <cell r="F1254">
            <v>5</v>
          </cell>
          <cell r="G1254" t="str">
            <v>TERMINAL BOARD</v>
          </cell>
        </row>
        <row r="1255">
          <cell r="D1255">
            <v>1252</v>
          </cell>
          <cell r="E1255">
            <v>85372000</v>
          </cell>
          <cell r="F1255">
            <v>5</v>
          </cell>
          <cell r="G1255" t="str">
            <v>JUNCTION BOX</v>
          </cell>
        </row>
        <row r="1256">
          <cell r="D1256">
            <v>1253</v>
          </cell>
          <cell r="E1256">
            <v>85372000</v>
          </cell>
          <cell r="F1256">
            <v>5</v>
          </cell>
          <cell r="G1256" t="str">
            <v>INSTRUMENT/ELECTRICAL INTERFACE PANEL</v>
          </cell>
        </row>
        <row r="1257">
          <cell r="D1257">
            <v>1254</v>
          </cell>
          <cell r="E1257">
            <v>85372000</v>
          </cell>
          <cell r="F1257">
            <v>5</v>
          </cell>
          <cell r="G1257" t="str">
            <v>RELAYS CONTROL PANEL</v>
          </cell>
        </row>
        <row r="1258">
          <cell r="D1258">
            <v>1255</v>
          </cell>
          <cell r="E1258">
            <v>85389000</v>
          </cell>
          <cell r="F1258">
            <v>5</v>
          </cell>
          <cell r="G1258" t="str">
            <v>MAIN DISTRIBUTION FRAME</v>
          </cell>
        </row>
        <row r="1259">
          <cell r="D1259">
            <v>1256</v>
          </cell>
          <cell r="E1259">
            <v>85366900</v>
          </cell>
          <cell r="F1259">
            <v>5</v>
          </cell>
          <cell r="G1259" t="str">
            <v>WELDING OUTLET</v>
          </cell>
        </row>
        <row r="1260">
          <cell r="D1260">
            <v>1257</v>
          </cell>
          <cell r="E1260">
            <v>85442010</v>
          </cell>
          <cell r="F1260">
            <v>20</v>
          </cell>
          <cell r="G1260" t="str">
            <v>EPR INSULATION POWER CABLE, 20 SQ. MM AND UNDER</v>
          </cell>
        </row>
        <row r="1261">
          <cell r="D1261">
            <v>1258</v>
          </cell>
          <cell r="E1261">
            <v>85442010</v>
          </cell>
          <cell r="F1261">
            <v>20</v>
          </cell>
          <cell r="G1261" t="str">
            <v>EPR INSULATION POWER CABLE, 20 SQ. MM - 120 SQ. MM</v>
          </cell>
        </row>
        <row r="1262">
          <cell r="D1262">
            <v>1259</v>
          </cell>
          <cell r="E1262">
            <v>85442010</v>
          </cell>
          <cell r="F1262">
            <v>20</v>
          </cell>
          <cell r="G1262" t="str">
            <v>EPR INSULATION POWER CABLE, 120 SQ. MM AND OVER</v>
          </cell>
        </row>
        <row r="1263">
          <cell r="D1263">
            <v>1260</v>
          </cell>
          <cell r="E1263">
            <v>85442010</v>
          </cell>
          <cell r="F1263">
            <v>20</v>
          </cell>
          <cell r="G1263" t="str">
            <v>PVC INSULATION POWER CABLE, 20 SQ. MM AND UNDER</v>
          </cell>
        </row>
        <row r="1264">
          <cell r="D1264">
            <v>1261</v>
          </cell>
          <cell r="E1264">
            <v>85442010</v>
          </cell>
          <cell r="F1264">
            <v>20</v>
          </cell>
          <cell r="G1264" t="str">
            <v>PVC INSULATION POWER CABLE, 20 SQ. MM - 120 SQ. MM</v>
          </cell>
        </row>
        <row r="1265">
          <cell r="D1265">
            <v>1262</v>
          </cell>
          <cell r="E1265">
            <v>85442010</v>
          </cell>
          <cell r="F1265">
            <v>20</v>
          </cell>
          <cell r="G1265" t="str">
            <v>PVC INSULATION POWER CABLE, 120 SQ. MM AND OVER</v>
          </cell>
        </row>
        <row r="1266">
          <cell r="D1266">
            <v>1263</v>
          </cell>
          <cell r="E1266">
            <v>85442010</v>
          </cell>
          <cell r="F1266">
            <v>20</v>
          </cell>
          <cell r="G1266" t="str">
            <v>XLPE INSULATION POWER CABLE, 20 SQ. MM AND UNDER</v>
          </cell>
        </row>
        <row r="1267">
          <cell r="D1267">
            <v>1264</v>
          </cell>
          <cell r="E1267">
            <v>85442010</v>
          </cell>
          <cell r="F1267">
            <v>20</v>
          </cell>
          <cell r="G1267" t="str">
            <v>XLPE INSULATION POWER CABLE, 20 SQ. MM - 120 SQ. MM</v>
          </cell>
        </row>
        <row r="1268">
          <cell r="D1268">
            <v>1265</v>
          </cell>
          <cell r="E1268">
            <v>85442010</v>
          </cell>
          <cell r="F1268">
            <v>20</v>
          </cell>
          <cell r="G1268" t="str">
            <v>XLPE INSULATION POWER CABLE, 120 SQ. MM AND OVER</v>
          </cell>
        </row>
        <row r="1269">
          <cell r="D1269">
            <v>1266</v>
          </cell>
          <cell r="E1269">
            <v>85442010</v>
          </cell>
          <cell r="F1269">
            <v>20</v>
          </cell>
          <cell r="G1269" t="str">
            <v>XLPE INSULATION CONTROL CABLE, 20 SQ. MM AND UNDER</v>
          </cell>
        </row>
        <row r="1270">
          <cell r="D1270">
            <v>1267</v>
          </cell>
          <cell r="E1270">
            <v>85442010</v>
          </cell>
          <cell r="F1270">
            <v>20</v>
          </cell>
          <cell r="G1270" t="str">
            <v>MI CABLE, 40 SQ. MM AND UNDER</v>
          </cell>
        </row>
        <row r="1271">
          <cell r="D1271">
            <v>1268</v>
          </cell>
          <cell r="E1271">
            <v>85442010</v>
          </cell>
          <cell r="F1271">
            <v>20</v>
          </cell>
          <cell r="G1271" t="str">
            <v>SI CABLE, 40 SQ. MM AND UNDER</v>
          </cell>
        </row>
        <row r="1272">
          <cell r="D1272">
            <v>1269</v>
          </cell>
          <cell r="E1272">
            <v>85441900</v>
          </cell>
          <cell r="F1272">
            <v>5</v>
          </cell>
          <cell r="G1272" t="str">
            <v>THERMINAL LUG</v>
          </cell>
        </row>
        <row r="1273">
          <cell r="D1273">
            <v>1270</v>
          </cell>
          <cell r="E1273">
            <v>73069000</v>
          </cell>
          <cell r="F1273">
            <v>20</v>
          </cell>
          <cell r="G1273" t="str">
            <v>CONDUIT</v>
          </cell>
        </row>
        <row r="1274">
          <cell r="D1274">
            <v>1271</v>
          </cell>
          <cell r="E1274">
            <v>73269060</v>
          </cell>
          <cell r="F1274">
            <v>20</v>
          </cell>
          <cell r="G1274" t="str">
            <v>CABLE SUPPORT</v>
          </cell>
        </row>
        <row r="1275">
          <cell r="D1275">
            <v>1272</v>
          </cell>
          <cell r="E1275">
            <v>85372000</v>
          </cell>
          <cell r="F1275">
            <v>5</v>
          </cell>
          <cell r="G1275" t="str">
            <v>TERMINAL BOX</v>
          </cell>
        </row>
        <row r="1276">
          <cell r="D1276">
            <v>1273</v>
          </cell>
          <cell r="E1276">
            <v>84849000</v>
          </cell>
          <cell r="F1276">
            <v>5</v>
          </cell>
          <cell r="G1276" t="str">
            <v>NEO SEAL TYPE DUCT SEAL</v>
          </cell>
        </row>
        <row r="1277">
          <cell r="D1277">
            <v>1274</v>
          </cell>
          <cell r="E1277">
            <v>32149000</v>
          </cell>
          <cell r="F1277">
            <v>5</v>
          </cell>
          <cell r="G1277" t="str">
            <v>SEALING COMPOUND</v>
          </cell>
        </row>
        <row r="1278">
          <cell r="D1278">
            <v>1275</v>
          </cell>
          <cell r="E1278">
            <v>39209900</v>
          </cell>
          <cell r="F1278">
            <v>5</v>
          </cell>
          <cell r="G1278" t="str">
            <v>NYLON TIES</v>
          </cell>
        </row>
        <row r="1279">
          <cell r="D1279">
            <v>1276</v>
          </cell>
          <cell r="E1279">
            <v>39209900</v>
          </cell>
          <cell r="F1279">
            <v>5</v>
          </cell>
          <cell r="G1279" t="str">
            <v>INSULATION TAPE</v>
          </cell>
        </row>
        <row r="1280">
          <cell r="D1280">
            <v>1277</v>
          </cell>
          <cell r="E1280">
            <v>73121090</v>
          </cell>
          <cell r="F1280">
            <v>5</v>
          </cell>
          <cell r="G1280" t="str">
            <v>SPLICE KIT</v>
          </cell>
        </row>
        <row r="1281">
          <cell r="D1281">
            <v>1278</v>
          </cell>
          <cell r="E1281">
            <v>85365000</v>
          </cell>
          <cell r="F1281">
            <v>5</v>
          </cell>
          <cell r="G1281" t="str">
            <v>ELECTRIC SWITCH</v>
          </cell>
        </row>
        <row r="1282">
          <cell r="D1282">
            <v>1279</v>
          </cell>
          <cell r="E1282">
            <v>73043900</v>
          </cell>
          <cell r="F1282">
            <v>20</v>
          </cell>
          <cell r="G1282" t="str">
            <v>DUCTILE IRON PIPE PACKAGE</v>
          </cell>
        </row>
        <row r="1283">
          <cell r="D1283">
            <v>1280</v>
          </cell>
          <cell r="E1283">
            <v>68129090</v>
          </cell>
          <cell r="F1283">
            <v>5</v>
          </cell>
          <cell r="G1283" t="str">
            <v>HIGH DENSITY MINERAL WOOL</v>
          </cell>
        </row>
        <row r="1284">
          <cell r="D1284">
            <v>1281</v>
          </cell>
          <cell r="E1284">
            <v>73181500</v>
          </cell>
          <cell r="F1284">
            <v>5</v>
          </cell>
          <cell r="G1284" t="str">
            <v>SCREW FOR ELECTRICAL FIXING</v>
          </cell>
        </row>
        <row r="1285">
          <cell r="D1285">
            <v>1282</v>
          </cell>
          <cell r="E1285">
            <v>76061100</v>
          </cell>
          <cell r="F1285">
            <v>5</v>
          </cell>
          <cell r="G1285" t="str">
            <v>ALUMINUM SHEET</v>
          </cell>
        </row>
        <row r="1286">
          <cell r="D1286">
            <v>1283</v>
          </cell>
          <cell r="E1286">
            <v>73049000</v>
          </cell>
          <cell r="F1286">
            <v>20</v>
          </cell>
          <cell r="G1286" t="str">
            <v>CARBON STEEL PROCESS PIPE</v>
          </cell>
        </row>
        <row r="1287">
          <cell r="D1287">
            <v>1284</v>
          </cell>
          <cell r="E1287">
            <v>73049000</v>
          </cell>
          <cell r="F1287">
            <v>20</v>
          </cell>
          <cell r="G1287" t="str">
            <v>LOW ALLOY STEEL PROCESS PIPE</v>
          </cell>
        </row>
        <row r="1288">
          <cell r="D1288">
            <v>1285</v>
          </cell>
          <cell r="E1288">
            <v>73069000</v>
          </cell>
          <cell r="F1288">
            <v>20</v>
          </cell>
          <cell r="G1288" t="str">
            <v>STAINLESS STEEL PROCESS PIPE</v>
          </cell>
        </row>
        <row r="1289">
          <cell r="D1289">
            <v>1286</v>
          </cell>
          <cell r="E1289">
            <v>39173300</v>
          </cell>
          <cell r="F1289">
            <v>5</v>
          </cell>
          <cell r="G1289" t="str">
            <v>REINFORCED THERMOSETTING RESIN PIPE</v>
          </cell>
        </row>
        <row r="1290">
          <cell r="D1290">
            <v>1287</v>
          </cell>
          <cell r="E1290">
            <v>73069000</v>
          </cell>
          <cell r="F1290">
            <v>20</v>
          </cell>
          <cell r="G1290" t="str">
            <v>ANNUBAR TUBE</v>
          </cell>
        </row>
        <row r="1291">
          <cell r="D1291">
            <v>1288</v>
          </cell>
          <cell r="E1291">
            <v>73049000</v>
          </cell>
          <cell r="F1291">
            <v>20</v>
          </cell>
          <cell r="G1291" t="str">
            <v>CARBON STEEL CONDUIT TUBE</v>
          </cell>
        </row>
        <row r="1292">
          <cell r="D1292">
            <v>1289</v>
          </cell>
          <cell r="E1292">
            <v>73069000</v>
          </cell>
          <cell r="F1292">
            <v>5</v>
          </cell>
          <cell r="G1292" t="str">
            <v>STAINLESS STEEL PROCESS TUBE</v>
          </cell>
        </row>
        <row r="1293">
          <cell r="D1293">
            <v>1290</v>
          </cell>
          <cell r="E1293">
            <v>73069000</v>
          </cell>
          <cell r="F1293">
            <v>20</v>
          </cell>
          <cell r="G1293" t="str">
            <v>IRON PROCESS PIPE</v>
          </cell>
        </row>
        <row r="1294">
          <cell r="D1294">
            <v>1291</v>
          </cell>
          <cell r="E1294">
            <v>73069000</v>
          </cell>
          <cell r="F1294">
            <v>20</v>
          </cell>
          <cell r="G1294" t="str">
            <v>HYDROGEN PURIFICATION PIPE</v>
          </cell>
        </row>
        <row r="1295">
          <cell r="D1295">
            <v>1292</v>
          </cell>
          <cell r="E1295">
            <v>73069000</v>
          </cell>
          <cell r="F1295">
            <v>20</v>
          </cell>
          <cell r="G1295" t="str">
            <v>AIR DRYER PROCESS PIPE</v>
          </cell>
        </row>
        <row r="1296">
          <cell r="D1296">
            <v>1293</v>
          </cell>
          <cell r="E1296">
            <v>85441900</v>
          </cell>
          <cell r="F1296">
            <v>5</v>
          </cell>
          <cell r="G1296" t="str">
            <v>HV/LV CABLE TERMINATION KIT</v>
          </cell>
        </row>
        <row r="1297">
          <cell r="D1297">
            <v>1294</v>
          </cell>
          <cell r="E1297">
            <v>90291090</v>
          </cell>
          <cell r="F1297">
            <v>5</v>
          </cell>
          <cell r="G1297" t="str">
            <v>UNIVERSAL COUNTER</v>
          </cell>
        </row>
        <row r="1298">
          <cell r="D1298">
            <v>1295</v>
          </cell>
          <cell r="E1298">
            <v>73145000</v>
          </cell>
          <cell r="F1298">
            <v>20</v>
          </cell>
          <cell r="G1298" t="str">
            <v>STEEL GRATING KIT</v>
          </cell>
        </row>
        <row r="1299">
          <cell r="D1299">
            <v>1296</v>
          </cell>
          <cell r="E1299">
            <v>73262090</v>
          </cell>
          <cell r="F1299">
            <v>20</v>
          </cell>
          <cell r="G1299" t="str">
            <v>METAL BAND</v>
          </cell>
        </row>
        <row r="1300">
          <cell r="D1300">
            <v>1297</v>
          </cell>
          <cell r="E1300">
            <v>73121090</v>
          </cell>
          <cell r="F1300">
            <v>5</v>
          </cell>
          <cell r="G1300" t="str">
            <v>STEEL WIRE</v>
          </cell>
        </row>
        <row r="1301">
          <cell r="D1301">
            <v>1298</v>
          </cell>
          <cell r="E1301">
            <v>73182900</v>
          </cell>
          <cell r="F1301">
            <v>5</v>
          </cell>
          <cell r="G1301" t="str">
            <v>EXPANSION BOLT, NUT AND WASHER</v>
          </cell>
        </row>
        <row r="1302">
          <cell r="D1302">
            <v>1299</v>
          </cell>
          <cell r="E1302">
            <v>73182900</v>
          </cell>
          <cell r="F1302">
            <v>5</v>
          </cell>
          <cell r="G1302" t="str">
            <v>ANCHOR BOLT, NUT AND WASHER</v>
          </cell>
        </row>
        <row r="1303">
          <cell r="D1303">
            <v>1300</v>
          </cell>
          <cell r="E1303">
            <v>39173900</v>
          </cell>
          <cell r="F1303">
            <v>5</v>
          </cell>
          <cell r="G1303" t="str">
            <v>PVC PIPE</v>
          </cell>
        </row>
        <row r="1304">
          <cell r="D1304">
            <v>1301</v>
          </cell>
          <cell r="E1304">
            <v>73262090</v>
          </cell>
          <cell r="F1304">
            <v>20</v>
          </cell>
          <cell r="G1304" t="str">
            <v>STAINLESS STEEL TIE</v>
          </cell>
        </row>
        <row r="1305">
          <cell r="D1305">
            <v>1302</v>
          </cell>
          <cell r="E1305">
            <v>73182900</v>
          </cell>
          <cell r="F1305">
            <v>5</v>
          </cell>
          <cell r="G1305" t="str">
            <v>NUT, BOLT AND WASHER</v>
          </cell>
        </row>
        <row r="1306">
          <cell r="D1306">
            <v>1303</v>
          </cell>
          <cell r="E1306">
            <v>85441900</v>
          </cell>
          <cell r="F1306">
            <v>5</v>
          </cell>
          <cell r="G1306" t="str">
            <v>EARTH MATERIALS</v>
          </cell>
        </row>
        <row r="1307">
          <cell r="D1307">
            <v>1304</v>
          </cell>
          <cell r="E1307">
            <v>85451900</v>
          </cell>
          <cell r="F1307">
            <v>5</v>
          </cell>
          <cell r="G1307" t="str">
            <v>GROUNDING ELECTRODE</v>
          </cell>
        </row>
        <row r="1308">
          <cell r="D1308">
            <v>1305</v>
          </cell>
          <cell r="E1308">
            <v>85354000</v>
          </cell>
          <cell r="F1308">
            <v>5</v>
          </cell>
          <cell r="G1308" t="str">
            <v>LIGHTNING PROTECTION</v>
          </cell>
        </row>
        <row r="1309">
          <cell r="D1309">
            <v>1306</v>
          </cell>
          <cell r="E1309">
            <v>84213900</v>
          </cell>
          <cell r="F1309">
            <v>5</v>
          </cell>
          <cell r="G1309" t="str">
            <v>SAND TRAP FILTER</v>
          </cell>
        </row>
        <row r="1310">
          <cell r="D1310">
            <v>1307</v>
          </cell>
          <cell r="E1310">
            <v>85372000</v>
          </cell>
          <cell r="F1310">
            <v>5</v>
          </cell>
          <cell r="G1310" t="str">
            <v>LIGHT AND POWER DISTRIBUTION PANEL</v>
          </cell>
        </row>
        <row r="1311">
          <cell r="D1311">
            <v>1308</v>
          </cell>
          <cell r="E1311">
            <v>73069000</v>
          </cell>
          <cell r="F1311">
            <v>20</v>
          </cell>
          <cell r="G1311" t="str">
            <v>CONDUIT PIPING  22MM</v>
          </cell>
        </row>
        <row r="1312">
          <cell r="D1312">
            <v>1309</v>
          </cell>
          <cell r="E1312">
            <v>73069000</v>
          </cell>
          <cell r="F1312">
            <v>20</v>
          </cell>
          <cell r="G1312" t="str">
            <v>CONDUIT PIPING  42MM</v>
          </cell>
        </row>
        <row r="1313">
          <cell r="D1313">
            <v>1310</v>
          </cell>
          <cell r="E1313">
            <v>90328900</v>
          </cell>
          <cell r="F1313">
            <v>5</v>
          </cell>
          <cell r="G1313" t="str">
            <v>STATION</v>
          </cell>
        </row>
        <row r="1314">
          <cell r="D1314">
            <v>1311</v>
          </cell>
          <cell r="E1314">
            <v>72166900</v>
          </cell>
          <cell r="F1314">
            <v>5</v>
          </cell>
          <cell r="G1314" t="str">
            <v>STEEL ANGLE</v>
          </cell>
        </row>
        <row r="1315">
          <cell r="D1315">
            <v>1312</v>
          </cell>
          <cell r="E1315">
            <v>73043900</v>
          </cell>
          <cell r="F1315">
            <v>20</v>
          </cell>
          <cell r="G1315" t="str">
            <v>STEEL CHANNEL</v>
          </cell>
        </row>
        <row r="1316">
          <cell r="D1316">
            <v>1313</v>
          </cell>
          <cell r="E1316">
            <v>72089000</v>
          </cell>
          <cell r="F1316">
            <v>5</v>
          </cell>
          <cell r="G1316" t="str">
            <v>STEEL PLATE</v>
          </cell>
        </row>
        <row r="1317">
          <cell r="D1317">
            <v>1314</v>
          </cell>
          <cell r="E1317">
            <v>90268000</v>
          </cell>
          <cell r="F1317">
            <v>5</v>
          </cell>
          <cell r="G1317" t="str">
            <v>PNEUMATIC TRANSMITTER &amp; CONTROLLER</v>
          </cell>
        </row>
        <row r="1318">
          <cell r="D1318">
            <v>1315</v>
          </cell>
          <cell r="E1318">
            <v>70179000</v>
          </cell>
          <cell r="F1318">
            <v>5</v>
          </cell>
          <cell r="G1318" t="str">
            <v>DIAL GLASS</v>
          </cell>
        </row>
        <row r="1319">
          <cell r="D1319">
            <v>1316</v>
          </cell>
          <cell r="E1319">
            <v>90268000</v>
          </cell>
          <cell r="F1319">
            <v>5</v>
          </cell>
          <cell r="G1319" t="str">
            <v>POINTER NEEDLE</v>
          </cell>
        </row>
        <row r="1320">
          <cell r="D1320">
            <v>1317</v>
          </cell>
          <cell r="E1320">
            <v>90269000</v>
          </cell>
          <cell r="F1320">
            <v>5</v>
          </cell>
          <cell r="G1320" t="str">
            <v>BOURDEN TUBE</v>
          </cell>
        </row>
        <row r="1321">
          <cell r="D1321">
            <v>1318</v>
          </cell>
          <cell r="E1321">
            <v>84839000</v>
          </cell>
          <cell r="F1321">
            <v>5</v>
          </cell>
          <cell r="G1321" t="str">
            <v>LINK</v>
          </cell>
        </row>
        <row r="1322">
          <cell r="D1322">
            <v>1319</v>
          </cell>
          <cell r="E1322">
            <v>84834000</v>
          </cell>
          <cell r="F1322">
            <v>5</v>
          </cell>
          <cell r="G1322" t="str">
            <v>GEARED SECTOR AND PINION</v>
          </cell>
        </row>
        <row r="1323">
          <cell r="D1323">
            <v>1320</v>
          </cell>
          <cell r="E1323">
            <v>90262000</v>
          </cell>
          <cell r="F1323">
            <v>5</v>
          </cell>
          <cell r="G1323" t="str">
            <v>DIFFERENTIAL PRESSURE TRANSMITTER</v>
          </cell>
        </row>
        <row r="1324">
          <cell r="D1324">
            <v>1321</v>
          </cell>
          <cell r="E1324">
            <v>70179000</v>
          </cell>
          <cell r="F1324">
            <v>5</v>
          </cell>
          <cell r="G1324" t="str">
            <v>DIAL GLASS</v>
          </cell>
        </row>
        <row r="1325">
          <cell r="D1325">
            <v>1322</v>
          </cell>
          <cell r="E1325">
            <v>90268000</v>
          </cell>
          <cell r="F1325">
            <v>5</v>
          </cell>
          <cell r="G1325" t="str">
            <v>POINTER NEEDLE</v>
          </cell>
        </row>
        <row r="1326">
          <cell r="D1326">
            <v>1323</v>
          </cell>
          <cell r="E1326">
            <v>90269000</v>
          </cell>
          <cell r="F1326">
            <v>5</v>
          </cell>
          <cell r="G1326" t="str">
            <v>BOURDEN TUBE</v>
          </cell>
        </row>
        <row r="1327">
          <cell r="D1327">
            <v>1324</v>
          </cell>
          <cell r="E1327">
            <v>84839000</v>
          </cell>
          <cell r="F1327">
            <v>5</v>
          </cell>
          <cell r="G1327" t="str">
            <v>LINK</v>
          </cell>
        </row>
        <row r="1328">
          <cell r="D1328">
            <v>1325</v>
          </cell>
          <cell r="E1328">
            <v>84834000</v>
          </cell>
          <cell r="F1328">
            <v>5</v>
          </cell>
          <cell r="G1328" t="str">
            <v>GEARED SECTOR AND PINION</v>
          </cell>
        </row>
        <row r="1329">
          <cell r="D1329">
            <v>1326</v>
          </cell>
          <cell r="E1329">
            <v>90251900</v>
          </cell>
          <cell r="F1329">
            <v>5</v>
          </cell>
          <cell r="G1329" t="str">
            <v>TEMPERATURE  TRANSMITTER</v>
          </cell>
        </row>
        <row r="1330">
          <cell r="D1330">
            <v>1327</v>
          </cell>
          <cell r="E1330">
            <v>85372000</v>
          </cell>
          <cell r="F1330">
            <v>5</v>
          </cell>
          <cell r="G1330" t="str">
            <v>CIRCUIT BOARD</v>
          </cell>
        </row>
        <row r="1331">
          <cell r="D1331">
            <v>1328</v>
          </cell>
          <cell r="E1331">
            <v>40169300</v>
          </cell>
          <cell r="F1331">
            <v>5</v>
          </cell>
          <cell r="G1331" t="str">
            <v>O'RINGS</v>
          </cell>
        </row>
        <row r="1332">
          <cell r="D1332">
            <v>1329</v>
          </cell>
          <cell r="E1332">
            <v>90268000</v>
          </cell>
          <cell r="F1332">
            <v>5</v>
          </cell>
          <cell r="G1332" t="str">
            <v xml:space="preserve">DISPLACEMENT LEVEL METER </v>
          </cell>
        </row>
        <row r="1333">
          <cell r="D1333">
            <v>1330</v>
          </cell>
          <cell r="E1333">
            <v>85365000</v>
          </cell>
          <cell r="F1333">
            <v>5</v>
          </cell>
          <cell r="G1333" t="str">
            <v>MICROSWITCH</v>
          </cell>
        </row>
        <row r="1334">
          <cell r="D1334">
            <v>1331</v>
          </cell>
          <cell r="E1334">
            <v>90328900</v>
          </cell>
          <cell r="F1334">
            <v>5</v>
          </cell>
          <cell r="G1334" t="str">
            <v>ELECTRONIC UNIT</v>
          </cell>
        </row>
        <row r="1335">
          <cell r="D1335">
            <v>1332</v>
          </cell>
          <cell r="E1335">
            <v>85365000</v>
          </cell>
          <cell r="F1335">
            <v>5</v>
          </cell>
          <cell r="G1335" t="str">
            <v>LEVEL SWITCH</v>
          </cell>
        </row>
        <row r="1336">
          <cell r="D1336">
            <v>1333</v>
          </cell>
          <cell r="E1336">
            <v>85365000</v>
          </cell>
          <cell r="F1336">
            <v>5</v>
          </cell>
          <cell r="G1336" t="str">
            <v>MICROSWITCH</v>
          </cell>
        </row>
        <row r="1337">
          <cell r="D1337">
            <v>1334</v>
          </cell>
          <cell r="E1337">
            <v>90328900</v>
          </cell>
          <cell r="F1337">
            <v>5</v>
          </cell>
          <cell r="G1337" t="str">
            <v>ELECTRONIC UNIT</v>
          </cell>
        </row>
        <row r="1338">
          <cell r="D1338">
            <v>1335</v>
          </cell>
          <cell r="E1338">
            <v>85365000</v>
          </cell>
          <cell r="F1338">
            <v>5</v>
          </cell>
          <cell r="G1338" t="str">
            <v xml:space="preserve">CAPACITANCE LEVEL SWITCH </v>
          </cell>
        </row>
        <row r="1339">
          <cell r="D1339">
            <v>1336</v>
          </cell>
          <cell r="E1339">
            <v>85365000</v>
          </cell>
          <cell r="F1339">
            <v>5</v>
          </cell>
          <cell r="G1339" t="str">
            <v>MICROSWITCH</v>
          </cell>
        </row>
        <row r="1340">
          <cell r="D1340">
            <v>1337</v>
          </cell>
          <cell r="E1340">
            <v>90328900</v>
          </cell>
          <cell r="F1340">
            <v>5</v>
          </cell>
          <cell r="G1340" t="str">
            <v>ELECTRONIC UNIT</v>
          </cell>
        </row>
        <row r="1341">
          <cell r="D1341">
            <v>1338</v>
          </cell>
          <cell r="E1341">
            <v>90268000</v>
          </cell>
          <cell r="F1341">
            <v>5</v>
          </cell>
          <cell r="G1341" t="str">
            <v>RADER TYPE LEVEL INST.</v>
          </cell>
        </row>
        <row r="1342">
          <cell r="D1342">
            <v>1339</v>
          </cell>
          <cell r="E1342">
            <v>90268000</v>
          </cell>
          <cell r="F1342">
            <v>5</v>
          </cell>
          <cell r="G1342" t="str">
            <v>γ(GANMA)-RAY LEVEL INSTRUMENT</v>
          </cell>
        </row>
        <row r="1343">
          <cell r="D1343">
            <v>1340</v>
          </cell>
          <cell r="E1343">
            <v>90268000</v>
          </cell>
          <cell r="F1343">
            <v>5</v>
          </cell>
          <cell r="G1343" t="str">
            <v xml:space="preserve">LEVEL GAUGE </v>
          </cell>
        </row>
        <row r="1344">
          <cell r="D1344">
            <v>1341</v>
          </cell>
          <cell r="E1344">
            <v>85365000</v>
          </cell>
          <cell r="F1344">
            <v>5</v>
          </cell>
          <cell r="G1344" t="str">
            <v>PRESSURE SWITCH</v>
          </cell>
        </row>
        <row r="1345">
          <cell r="D1345">
            <v>1342</v>
          </cell>
          <cell r="E1345">
            <v>90262000</v>
          </cell>
          <cell r="F1345">
            <v>5</v>
          </cell>
          <cell r="G1345" t="str">
            <v xml:space="preserve">PRESSURE GAUGE </v>
          </cell>
        </row>
        <row r="1346">
          <cell r="D1346">
            <v>1343</v>
          </cell>
          <cell r="E1346">
            <v>90259000</v>
          </cell>
          <cell r="F1346">
            <v>5</v>
          </cell>
          <cell r="G1346" t="str">
            <v>TEMPERATURE ELEMENT/THERMO WELL</v>
          </cell>
        </row>
        <row r="1347">
          <cell r="D1347">
            <v>1344</v>
          </cell>
          <cell r="E1347">
            <v>85365000</v>
          </cell>
          <cell r="F1347">
            <v>5</v>
          </cell>
          <cell r="G1347" t="str">
            <v>TEMPERATURE GAUGE/TEMPERATURE SWITCH</v>
          </cell>
        </row>
        <row r="1348">
          <cell r="D1348">
            <v>1345</v>
          </cell>
          <cell r="E1348">
            <v>90269000</v>
          </cell>
          <cell r="F1348">
            <v>5</v>
          </cell>
          <cell r="G1348" t="str">
            <v>ORIFICE PLATE AND FLANGE</v>
          </cell>
        </row>
        <row r="1349">
          <cell r="D1349">
            <v>1346</v>
          </cell>
          <cell r="E1349">
            <v>90269000</v>
          </cell>
          <cell r="F1349">
            <v>5</v>
          </cell>
          <cell r="G1349" t="str">
            <v xml:space="preserve">VENTURI TUBE/ FLOW NOZZLE </v>
          </cell>
        </row>
        <row r="1350">
          <cell r="D1350">
            <v>1347</v>
          </cell>
          <cell r="E1350">
            <v>90269000</v>
          </cell>
          <cell r="F1350">
            <v>5</v>
          </cell>
          <cell r="G1350" t="str">
            <v xml:space="preserve">ANNUBAR METER/ PITOT TUBE </v>
          </cell>
        </row>
        <row r="1351">
          <cell r="D1351">
            <v>1348</v>
          </cell>
          <cell r="E1351">
            <v>90269000</v>
          </cell>
          <cell r="F1351">
            <v>5</v>
          </cell>
          <cell r="G1351" t="str">
            <v xml:space="preserve">FLOW NOZZLE </v>
          </cell>
        </row>
        <row r="1352">
          <cell r="D1352">
            <v>1349</v>
          </cell>
          <cell r="E1352">
            <v>90269000</v>
          </cell>
          <cell r="F1352">
            <v>5</v>
          </cell>
          <cell r="G1352" t="str">
            <v>RESTRICTION ORIFICE AND FLANGE</v>
          </cell>
        </row>
        <row r="1353">
          <cell r="D1353">
            <v>1350</v>
          </cell>
          <cell r="E1353">
            <v>90261000</v>
          </cell>
          <cell r="F1353">
            <v>5</v>
          </cell>
          <cell r="G1353" t="str">
            <v>VARIABLE AREA FLOWMETER</v>
          </cell>
        </row>
        <row r="1354">
          <cell r="D1354">
            <v>1351</v>
          </cell>
          <cell r="E1354">
            <v>90261000</v>
          </cell>
          <cell r="F1354">
            <v>5</v>
          </cell>
          <cell r="G1354" t="str">
            <v>ELECTRIC MAGNETIC FLOW METER</v>
          </cell>
        </row>
        <row r="1355">
          <cell r="D1355">
            <v>1352</v>
          </cell>
          <cell r="E1355">
            <v>90261000</v>
          </cell>
          <cell r="F1355">
            <v>5</v>
          </cell>
          <cell r="G1355" t="str">
            <v>MASS FLOW METER</v>
          </cell>
        </row>
        <row r="1356">
          <cell r="D1356">
            <v>1353</v>
          </cell>
          <cell r="E1356">
            <v>90328900</v>
          </cell>
          <cell r="F1356">
            <v>5</v>
          </cell>
          <cell r="G1356" t="str">
            <v>DCS SYSTEM</v>
          </cell>
        </row>
        <row r="1357">
          <cell r="D1357">
            <v>1354</v>
          </cell>
          <cell r="E1357">
            <v>90329000</v>
          </cell>
          <cell r="F1357">
            <v>5</v>
          </cell>
          <cell r="G1357" t="str">
            <v>PROCESSOR CARD</v>
          </cell>
        </row>
        <row r="1358">
          <cell r="D1358">
            <v>1355</v>
          </cell>
          <cell r="E1358">
            <v>90329000</v>
          </cell>
          <cell r="F1358">
            <v>5</v>
          </cell>
          <cell r="G1358" t="str">
            <v>HF-BUS CONTROL CARD</v>
          </cell>
        </row>
        <row r="1359">
          <cell r="D1359">
            <v>1356</v>
          </cell>
          <cell r="E1359">
            <v>90329000</v>
          </cell>
          <cell r="F1359">
            <v>5</v>
          </cell>
          <cell r="G1359" t="str">
            <v>I/O PROCESSOR CARD</v>
          </cell>
        </row>
        <row r="1360">
          <cell r="D1360">
            <v>1357</v>
          </cell>
          <cell r="E1360">
            <v>90329000</v>
          </cell>
          <cell r="F1360">
            <v>5</v>
          </cell>
          <cell r="G1360" t="str">
            <v>STATION INTERNAL COMMUNICATION CARD</v>
          </cell>
        </row>
        <row r="1361">
          <cell r="D1361">
            <v>1358</v>
          </cell>
          <cell r="E1361">
            <v>90329000</v>
          </cell>
          <cell r="F1361">
            <v>5</v>
          </cell>
          <cell r="G1361" t="str">
            <v>DISPLAY PROCESSOR CARD</v>
          </cell>
        </row>
        <row r="1362">
          <cell r="D1362">
            <v>1359</v>
          </cell>
          <cell r="E1362">
            <v>8511500</v>
          </cell>
          <cell r="F1362">
            <v>5</v>
          </cell>
          <cell r="G1362" t="str">
            <v>POWER SUPPLY UNIT</v>
          </cell>
        </row>
        <row r="1363">
          <cell r="D1363">
            <v>1360</v>
          </cell>
          <cell r="E1363">
            <v>90329000</v>
          </cell>
          <cell r="F1363">
            <v>5</v>
          </cell>
          <cell r="G1363" t="str">
            <v>HF-BUS COMMUNICATION CARD</v>
          </cell>
        </row>
        <row r="1364">
          <cell r="D1364">
            <v>1361</v>
          </cell>
          <cell r="E1364">
            <v>90329000</v>
          </cell>
          <cell r="F1364">
            <v>5</v>
          </cell>
          <cell r="G1364" t="str">
            <v>A/D CONVERTER CARD</v>
          </cell>
        </row>
        <row r="1365">
          <cell r="D1365">
            <v>1362</v>
          </cell>
          <cell r="E1365">
            <v>90329000</v>
          </cell>
          <cell r="F1365">
            <v>5</v>
          </cell>
          <cell r="G1365" t="str">
            <v>MULTIPOINT ANALOG CONTROL I/O CARD</v>
          </cell>
        </row>
        <row r="1366">
          <cell r="D1366">
            <v>1363</v>
          </cell>
          <cell r="E1366">
            <v>90329000</v>
          </cell>
          <cell r="F1366">
            <v>5</v>
          </cell>
          <cell r="G1366" t="str">
            <v>MULTIPOINT ANALOG INPUT CARD</v>
          </cell>
        </row>
        <row r="1367">
          <cell r="D1367">
            <v>1364</v>
          </cell>
          <cell r="E1367">
            <v>90329000</v>
          </cell>
          <cell r="F1367">
            <v>5</v>
          </cell>
          <cell r="G1367" t="str">
            <v>MULTIPOINT PULSE TRAIN INPUT CARD</v>
          </cell>
        </row>
        <row r="1368">
          <cell r="D1368">
            <v>1365</v>
          </cell>
          <cell r="E1368">
            <v>90329000</v>
          </cell>
          <cell r="F1368">
            <v>5</v>
          </cell>
          <cell r="G1368" t="str">
            <v>MULTIPOINT STATUS INPUT CARD</v>
          </cell>
        </row>
        <row r="1369">
          <cell r="D1369">
            <v>1366</v>
          </cell>
          <cell r="E1369">
            <v>90329000</v>
          </cell>
          <cell r="F1369">
            <v>5</v>
          </cell>
          <cell r="G1369" t="str">
            <v>MULTIPOINT STATUS OUTPUT CARD</v>
          </cell>
        </row>
        <row r="1370">
          <cell r="D1370">
            <v>1367</v>
          </cell>
          <cell r="E1370">
            <v>90329000</v>
          </cell>
          <cell r="F1370">
            <v>5</v>
          </cell>
          <cell r="G1370" t="str">
            <v>MULTIPOINT CARD</v>
          </cell>
        </row>
        <row r="1371">
          <cell r="D1371">
            <v>1368</v>
          </cell>
          <cell r="E1371">
            <v>90329000</v>
          </cell>
          <cell r="F1371">
            <v>5</v>
          </cell>
          <cell r="G1371" t="str">
            <v>THEMOCOUPLE INPUT CARD</v>
          </cell>
        </row>
        <row r="1372">
          <cell r="D1372">
            <v>1369</v>
          </cell>
          <cell r="E1372">
            <v>90329000</v>
          </cell>
          <cell r="F1372">
            <v>5</v>
          </cell>
          <cell r="G1372" t="str">
            <v>INPUT ISOLATION CARD</v>
          </cell>
        </row>
        <row r="1373">
          <cell r="D1373">
            <v>1370</v>
          </cell>
          <cell r="E1373">
            <v>90259000</v>
          </cell>
          <cell r="F1373">
            <v>5</v>
          </cell>
          <cell r="G1373" t="str">
            <v>RESISTANS THEMOMETER SENDOR INPUT CARD</v>
          </cell>
        </row>
        <row r="1374">
          <cell r="D1374">
            <v>1371</v>
          </cell>
          <cell r="E1374">
            <v>90329000</v>
          </cell>
          <cell r="F1374">
            <v>5</v>
          </cell>
          <cell r="G1374" t="str">
            <v>INPUT FROM 2-WIRE TRANSMITTER CARD</v>
          </cell>
        </row>
        <row r="1375">
          <cell r="D1375">
            <v>1372</v>
          </cell>
          <cell r="E1375">
            <v>90329000</v>
          </cell>
          <cell r="F1375">
            <v>5</v>
          </cell>
          <cell r="G1375" t="str">
            <v>PULUS TRAIN INPUT CARD</v>
          </cell>
        </row>
        <row r="1376">
          <cell r="D1376">
            <v>1373</v>
          </cell>
          <cell r="E1376">
            <v>90329000</v>
          </cell>
          <cell r="F1376">
            <v>5</v>
          </cell>
          <cell r="G1376" t="str">
            <v>CONTROL OUTPUT ISOLATOR CARD</v>
          </cell>
        </row>
        <row r="1377">
          <cell r="D1377">
            <v>1374</v>
          </cell>
          <cell r="E1377">
            <v>90329000</v>
          </cell>
          <cell r="F1377">
            <v>5</v>
          </cell>
          <cell r="G1377" t="str">
            <v>NEST COMMON CARD</v>
          </cell>
        </row>
        <row r="1378">
          <cell r="D1378">
            <v>1375</v>
          </cell>
          <cell r="E1378">
            <v>90329000</v>
          </cell>
          <cell r="F1378">
            <v>5</v>
          </cell>
          <cell r="G1378" t="str">
            <v>MEMORU CARD</v>
          </cell>
        </row>
        <row r="1379">
          <cell r="D1379">
            <v>1376</v>
          </cell>
          <cell r="E1379">
            <v>90329000</v>
          </cell>
          <cell r="F1379">
            <v>5</v>
          </cell>
          <cell r="G1379" t="str">
            <v>PROCESSCARD</v>
          </cell>
        </row>
        <row r="1380">
          <cell r="D1380">
            <v>1377</v>
          </cell>
          <cell r="E1380">
            <v>90329000</v>
          </cell>
          <cell r="F1380">
            <v>5</v>
          </cell>
          <cell r="G1380" t="str">
            <v>COMMUNICATION CARD</v>
          </cell>
        </row>
        <row r="1381">
          <cell r="D1381">
            <v>1378</v>
          </cell>
          <cell r="E1381">
            <v>90329000</v>
          </cell>
          <cell r="F1381">
            <v>5</v>
          </cell>
          <cell r="G1381" t="str">
            <v>KEY BOARD</v>
          </cell>
        </row>
        <row r="1382">
          <cell r="D1382">
            <v>1379</v>
          </cell>
          <cell r="E1382">
            <v>90329000</v>
          </cell>
          <cell r="F1382">
            <v>5</v>
          </cell>
          <cell r="G1382" t="str">
            <v>KEY BOARD UNIT</v>
          </cell>
        </row>
        <row r="1383">
          <cell r="D1383">
            <v>1380</v>
          </cell>
          <cell r="E1383">
            <v>85406000</v>
          </cell>
          <cell r="F1383">
            <v>5</v>
          </cell>
          <cell r="G1383" t="str">
            <v>CATHODE-RAY TUBE ASSMBLY</v>
          </cell>
        </row>
        <row r="1384">
          <cell r="D1384">
            <v>1381</v>
          </cell>
          <cell r="E1384">
            <v>90329000</v>
          </cell>
          <cell r="F1384">
            <v>5</v>
          </cell>
          <cell r="G1384" t="str">
            <v>SERAIL PRINTER</v>
          </cell>
        </row>
        <row r="1385">
          <cell r="D1385">
            <v>1382</v>
          </cell>
          <cell r="E1385">
            <v>90329000</v>
          </cell>
          <cell r="F1385">
            <v>5</v>
          </cell>
          <cell r="G1385" t="str">
            <v>LASER PRINTER</v>
          </cell>
        </row>
        <row r="1386">
          <cell r="D1386">
            <v>1383</v>
          </cell>
          <cell r="E1386">
            <v>90329000</v>
          </cell>
          <cell r="F1386">
            <v>5</v>
          </cell>
          <cell r="G1386" t="str">
            <v>COLOR HARD COPY UNIT</v>
          </cell>
        </row>
        <row r="1387">
          <cell r="D1387">
            <v>1384</v>
          </cell>
          <cell r="E1387">
            <v>90329000</v>
          </cell>
          <cell r="F1387">
            <v>5</v>
          </cell>
          <cell r="G1387" t="str">
            <v>FLOPPY DISC DRIVE</v>
          </cell>
        </row>
        <row r="1388">
          <cell r="D1388">
            <v>1385</v>
          </cell>
          <cell r="E1388">
            <v>90329000</v>
          </cell>
          <cell r="F1388">
            <v>5</v>
          </cell>
          <cell r="G1388" t="str">
            <v>HARD DISK DRIVE UNIT</v>
          </cell>
        </row>
        <row r="1389">
          <cell r="D1389">
            <v>1386</v>
          </cell>
          <cell r="E1389">
            <v>90329000</v>
          </cell>
          <cell r="F1389">
            <v>5</v>
          </cell>
          <cell r="G1389" t="str">
            <v>CARTRIDGE TAPE UNIT</v>
          </cell>
        </row>
        <row r="1390">
          <cell r="D1390">
            <v>1387</v>
          </cell>
          <cell r="E1390">
            <v>90329000</v>
          </cell>
          <cell r="F1390">
            <v>5</v>
          </cell>
          <cell r="G1390" t="str">
            <v>CONTROL U.OPK-CTL-3</v>
          </cell>
        </row>
        <row r="1391">
          <cell r="D1391">
            <v>1388</v>
          </cell>
          <cell r="E1391">
            <v>84145900</v>
          </cell>
          <cell r="F1391">
            <v>5</v>
          </cell>
          <cell r="G1391" t="str">
            <v>FAN UNIT</v>
          </cell>
        </row>
        <row r="1392">
          <cell r="D1392">
            <v>1389</v>
          </cell>
          <cell r="E1392">
            <v>90329000</v>
          </cell>
          <cell r="F1392">
            <v>5</v>
          </cell>
          <cell r="G1392" t="str">
            <v>DOULEX CONTROL CARD</v>
          </cell>
        </row>
        <row r="1393">
          <cell r="D1393">
            <v>1390</v>
          </cell>
          <cell r="E1393">
            <v>90329000</v>
          </cell>
          <cell r="F1393">
            <v>5</v>
          </cell>
          <cell r="G1393" t="str">
            <v>STOCKFORM</v>
          </cell>
        </row>
        <row r="1394">
          <cell r="D1394">
            <v>1391</v>
          </cell>
          <cell r="E1394">
            <v>96121000</v>
          </cell>
          <cell r="F1394">
            <v>5</v>
          </cell>
          <cell r="G1394" t="str">
            <v>INK RIBBON</v>
          </cell>
        </row>
        <row r="1395">
          <cell r="D1395">
            <v>1392</v>
          </cell>
          <cell r="E1395">
            <v>90329000</v>
          </cell>
          <cell r="F1395">
            <v>5</v>
          </cell>
          <cell r="G1395" t="str">
            <v>BLANK DISKETTE</v>
          </cell>
        </row>
        <row r="1396">
          <cell r="D1396">
            <v>1393</v>
          </cell>
          <cell r="E1396">
            <v>90329000</v>
          </cell>
          <cell r="G1396" t="str">
            <v>TAPE CARTRIDGE</v>
          </cell>
        </row>
        <row r="1397">
          <cell r="D1397">
            <v>1394</v>
          </cell>
          <cell r="E1397">
            <v>85372000</v>
          </cell>
          <cell r="F1397">
            <v>5</v>
          </cell>
          <cell r="G1397" t="str">
            <v>TERMINAL BOARD</v>
          </cell>
        </row>
        <row r="1398">
          <cell r="D1398">
            <v>1395</v>
          </cell>
          <cell r="E1398">
            <v>90329000</v>
          </cell>
          <cell r="F1398">
            <v>5</v>
          </cell>
          <cell r="G1398" t="str">
            <v>PROCESS CARD</v>
          </cell>
        </row>
        <row r="1399">
          <cell r="D1399">
            <v>1396</v>
          </cell>
          <cell r="E1399">
            <v>90329000</v>
          </cell>
          <cell r="F1399">
            <v>5</v>
          </cell>
          <cell r="G1399" t="str">
            <v>RS-232-C COMMUNICATION CARD</v>
          </cell>
        </row>
        <row r="1400">
          <cell r="D1400">
            <v>1397</v>
          </cell>
          <cell r="E1400">
            <v>90302000</v>
          </cell>
          <cell r="F1400">
            <v>5</v>
          </cell>
          <cell r="G1400" t="str">
            <v>4-PEN RECORDER</v>
          </cell>
        </row>
        <row r="1401">
          <cell r="D1401">
            <v>1398</v>
          </cell>
          <cell r="E1401">
            <v>90309000</v>
          </cell>
          <cell r="F1401">
            <v>5</v>
          </cell>
          <cell r="G1401" t="str">
            <v>PEN CARTRIDGE</v>
          </cell>
        </row>
        <row r="1402">
          <cell r="D1402">
            <v>1399</v>
          </cell>
          <cell r="E1402">
            <v>48234000</v>
          </cell>
          <cell r="F1402">
            <v>5</v>
          </cell>
          <cell r="G1402" t="str">
            <v>Z-FOLD CHART</v>
          </cell>
        </row>
        <row r="1403">
          <cell r="D1403">
            <v>1400</v>
          </cell>
          <cell r="E1403">
            <v>48234000</v>
          </cell>
          <cell r="F1403">
            <v>5</v>
          </cell>
          <cell r="G1403" t="str">
            <v>CHART</v>
          </cell>
        </row>
        <row r="1404">
          <cell r="D1404">
            <v>1401</v>
          </cell>
          <cell r="E1404">
            <v>96121000</v>
          </cell>
          <cell r="F1404">
            <v>5</v>
          </cell>
          <cell r="G1404" t="str">
            <v>CASSET RIBON</v>
          </cell>
        </row>
        <row r="1405">
          <cell r="D1405">
            <v>1402</v>
          </cell>
          <cell r="E1405">
            <v>85369000</v>
          </cell>
          <cell r="F1405">
            <v>5</v>
          </cell>
          <cell r="G1405" t="str">
            <v>EMERGENCY SHUT DOWN SYSTEM</v>
          </cell>
        </row>
        <row r="1406">
          <cell r="D1406">
            <v>1403</v>
          </cell>
          <cell r="E1406">
            <v>90328900</v>
          </cell>
          <cell r="F1406">
            <v>5</v>
          </cell>
          <cell r="G1406" t="str">
            <v>ANN UNIT</v>
          </cell>
        </row>
        <row r="1407">
          <cell r="D1407">
            <v>1404</v>
          </cell>
          <cell r="E1407">
            <v>85364900</v>
          </cell>
          <cell r="F1407">
            <v>5</v>
          </cell>
          <cell r="G1407" t="str">
            <v>RELAY</v>
          </cell>
        </row>
        <row r="1408">
          <cell r="D1408">
            <v>1405</v>
          </cell>
          <cell r="E1408">
            <v>85372000</v>
          </cell>
          <cell r="F1408">
            <v>5</v>
          </cell>
          <cell r="G1408" t="str">
            <v>ELCO BOARD</v>
          </cell>
        </row>
        <row r="1409">
          <cell r="D1409">
            <v>1406</v>
          </cell>
          <cell r="E1409">
            <v>85362000</v>
          </cell>
          <cell r="F1409">
            <v>5</v>
          </cell>
          <cell r="G1409" t="str">
            <v>CIRCUIT BREAKER</v>
          </cell>
        </row>
        <row r="1410">
          <cell r="D1410">
            <v>1407</v>
          </cell>
          <cell r="E1410">
            <v>85365000</v>
          </cell>
          <cell r="F1410">
            <v>5</v>
          </cell>
          <cell r="G1410" t="str">
            <v>SWITCH</v>
          </cell>
        </row>
        <row r="1411">
          <cell r="D1411">
            <v>1408</v>
          </cell>
          <cell r="E1411">
            <v>85365000</v>
          </cell>
          <cell r="F1411">
            <v>5</v>
          </cell>
          <cell r="G1411" t="str">
            <v>SELLECTOR SWITCH</v>
          </cell>
        </row>
        <row r="1412">
          <cell r="D1412">
            <v>1409</v>
          </cell>
          <cell r="E1412">
            <v>85365000</v>
          </cell>
          <cell r="F1412">
            <v>5</v>
          </cell>
          <cell r="G1412" t="str">
            <v>LEVER LOCK TOGGLE SWITCH</v>
          </cell>
        </row>
        <row r="1413">
          <cell r="D1413">
            <v>1410</v>
          </cell>
          <cell r="E1413">
            <v>85365000</v>
          </cell>
          <cell r="F1413">
            <v>5</v>
          </cell>
          <cell r="G1413" t="str">
            <v>CMC SWITCH</v>
          </cell>
        </row>
        <row r="1414">
          <cell r="D1414">
            <v>1411</v>
          </cell>
          <cell r="E1414">
            <v>85365000</v>
          </cell>
          <cell r="F1414">
            <v>5</v>
          </cell>
          <cell r="G1414" t="str">
            <v>CAM SWITCH</v>
          </cell>
        </row>
        <row r="1415">
          <cell r="D1415">
            <v>1412</v>
          </cell>
          <cell r="E1415">
            <v>85366900</v>
          </cell>
          <cell r="F1415">
            <v>5</v>
          </cell>
          <cell r="G1415" t="str">
            <v>TERMINAL</v>
          </cell>
        </row>
        <row r="1416">
          <cell r="D1416">
            <v>1413</v>
          </cell>
          <cell r="E1416">
            <v>85353000</v>
          </cell>
          <cell r="F1416">
            <v>5</v>
          </cell>
          <cell r="G1416" t="str">
            <v>PUSH BUTTON SW</v>
          </cell>
        </row>
        <row r="1417">
          <cell r="D1417">
            <v>1414</v>
          </cell>
          <cell r="E1417">
            <v>85353000</v>
          </cell>
          <cell r="F1417">
            <v>5</v>
          </cell>
          <cell r="G1417" t="str">
            <v>FLOURESCENT LAMP</v>
          </cell>
        </row>
        <row r="1418">
          <cell r="D1418">
            <v>1415</v>
          </cell>
          <cell r="E1418">
            <v>85139000</v>
          </cell>
          <cell r="F1418">
            <v>5</v>
          </cell>
          <cell r="G1418" t="str">
            <v>BULB</v>
          </cell>
        </row>
        <row r="1419">
          <cell r="D1419">
            <v>1416</v>
          </cell>
          <cell r="E1419">
            <v>90329000</v>
          </cell>
          <cell r="F1419">
            <v>5</v>
          </cell>
          <cell r="G1419" t="str">
            <v>BACKUP COMMUNICATION MODULE</v>
          </cell>
        </row>
        <row r="1420">
          <cell r="D1420">
            <v>1417</v>
          </cell>
          <cell r="E1420">
            <v>85115000</v>
          </cell>
          <cell r="F1420">
            <v>5</v>
          </cell>
          <cell r="G1420" t="str">
            <v>POWER SUPPLY</v>
          </cell>
        </row>
        <row r="1421">
          <cell r="D1421">
            <v>1418</v>
          </cell>
          <cell r="E1421">
            <v>90329000</v>
          </cell>
          <cell r="F1421">
            <v>5</v>
          </cell>
          <cell r="G1421" t="str">
            <v>REMOTE I/O ADAPTER</v>
          </cell>
        </row>
        <row r="1422">
          <cell r="D1422">
            <v>1419</v>
          </cell>
          <cell r="E1422">
            <v>90329000</v>
          </cell>
          <cell r="F1422">
            <v>5</v>
          </cell>
          <cell r="G1422" t="str">
            <v>INPUT MODULE</v>
          </cell>
        </row>
        <row r="1423">
          <cell r="D1423">
            <v>1420</v>
          </cell>
          <cell r="E1423">
            <v>90329000</v>
          </cell>
          <cell r="F1423">
            <v>5</v>
          </cell>
          <cell r="G1423" t="str">
            <v>DC OUTPUT MODULE</v>
          </cell>
        </row>
        <row r="1424">
          <cell r="D1424">
            <v>1421</v>
          </cell>
          <cell r="E1424">
            <v>90329000</v>
          </cell>
          <cell r="F1424">
            <v>5</v>
          </cell>
          <cell r="G1424" t="str">
            <v>INTERFACE</v>
          </cell>
        </row>
        <row r="1425">
          <cell r="D1425">
            <v>1422</v>
          </cell>
          <cell r="E1425">
            <v>85311000</v>
          </cell>
          <cell r="F1425">
            <v>5</v>
          </cell>
          <cell r="G1425" t="str">
            <v>FIRE PROTECTION AND GAS DETECTION SYSTEM</v>
          </cell>
        </row>
        <row r="1426">
          <cell r="D1426">
            <v>1423</v>
          </cell>
          <cell r="E1426">
            <v>85281290</v>
          </cell>
          <cell r="F1426">
            <v>5</v>
          </cell>
          <cell r="G1426" t="str">
            <v>CLOSED CIRCUIT TELEVISION SYSTEM</v>
          </cell>
        </row>
        <row r="1427">
          <cell r="D1427">
            <v>1424</v>
          </cell>
          <cell r="E1427">
            <v>90328900</v>
          </cell>
          <cell r="F1427">
            <v>5</v>
          </cell>
          <cell r="G1427" t="str">
            <v>MACHINE MONITORING SYSTEM</v>
          </cell>
        </row>
        <row r="1428">
          <cell r="D1428">
            <v>1425</v>
          </cell>
          <cell r="E1428">
            <v>90268000</v>
          </cell>
          <cell r="F1428">
            <v>5</v>
          </cell>
          <cell r="G1428" t="str">
            <v>METERING SYSTEM</v>
          </cell>
        </row>
        <row r="1429">
          <cell r="D1429">
            <v>1426</v>
          </cell>
          <cell r="E1429">
            <v>90268000</v>
          </cell>
          <cell r="F1429">
            <v>5</v>
          </cell>
          <cell r="G1429" t="str">
            <v>WEATHER MONITORING SYSTEM</v>
          </cell>
        </row>
        <row r="1430">
          <cell r="D1430">
            <v>1427</v>
          </cell>
          <cell r="E1430">
            <v>90258090</v>
          </cell>
          <cell r="F1430">
            <v>5</v>
          </cell>
          <cell r="G1430" t="str">
            <v>PLANT MIS SYSTEM</v>
          </cell>
        </row>
        <row r="1431">
          <cell r="D1431">
            <v>1428</v>
          </cell>
          <cell r="E1431">
            <v>84814000</v>
          </cell>
          <cell r="F1431">
            <v>5</v>
          </cell>
          <cell r="G1431" t="str">
            <v>CARBON STEEL SAFETY VALVE</v>
          </cell>
        </row>
        <row r="1432">
          <cell r="D1432">
            <v>1429</v>
          </cell>
          <cell r="E1432">
            <v>84814000</v>
          </cell>
          <cell r="F1432">
            <v>5</v>
          </cell>
          <cell r="G1432" t="str">
            <v>STAINLESS STEEL SAFETY VALVE</v>
          </cell>
        </row>
        <row r="1433">
          <cell r="D1433">
            <v>1430</v>
          </cell>
          <cell r="E1433">
            <v>84818090</v>
          </cell>
          <cell r="F1433">
            <v>5</v>
          </cell>
          <cell r="G1433" t="str">
            <v>SOLENOID VALVE</v>
          </cell>
        </row>
        <row r="1434">
          <cell r="D1434">
            <v>1431</v>
          </cell>
          <cell r="E1434">
            <v>85030000</v>
          </cell>
          <cell r="F1434">
            <v>5</v>
          </cell>
          <cell r="G1434" t="str">
            <v>COILS</v>
          </cell>
        </row>
        <row r="1435">
          <cell r="D1435">
            <v>1432</v>
          </cell>
          <cell r="E1435">
            <v>84818090</v>
          </cell>
          <cell r="F1435">
            <v>5</v>
          </cell>
          <cell r="G1435" t="str">
            <v>COMPLETE VALVES</v>
          </cell>
        </row>
        <row r="1436">
          <cell r="D1436">
            <v>1433</v>
          </cell>
          <cell r="E1436">
            <v>84818090</v>
          </cell>
          <cell r="F1436">
            <v>5</v>
          </cell>
          <cell r="G1436" t="str">
            <v>CARBON STEEL GLOBE TYPE CONTROL VALVE</v>
          </cell>
        </row>
        <row r="1437">
          <cell r="D1437">
            <v>1434</v>
          </cell>
          <cell r="E1437">
            <v>84819000</v>
          </cell>
          <cell r="F1437">
            <v>5</v>
          </cell>
          <cell r="G1437" t="str">
            <v>STEM</v>
          </cell>
        </row>
        <row r="1438">
          <cell r="D1438">
            <v>1435</v>
          </cell>
          <cell r="E1438">
            <v>73071900</v>
          </cell>
          <cell r="F1438">
            <v>5</v>
          </cell>
          <cell r="G1438" t="str">
            <v>PLUG</v>
          </cell>
        </row>
        <row r="1439">
          <cell r="D1439">
            <v>1436</v>
          </cell>
          <cell r="E1439">
            <v>84859000</v>
          </cell>
          <cell r="F1439">
            <v>5</v>
          </cell>
          <cell r="G1439" t="str">
            <v>MECHANICAL SEATS RINGS/ MECHANICAL SEATS</v>
          </cell>
        </row>
        <row r="1440">
          <cell r="D1440">
            <v>1437</v>
          </cell>
          <cell r="E1440">
            <v>84884900</v>
          </cell>
          <cell r="F1440">
            <v>5</v>
          </cell>
          <cell r="G1440" t="str">
            <v>GASKET/O'RINGS</v>
          </cell>
        </row>
        <row r="1441">
          <cell r="D1441">
            <v>1438</v>
          </cell>
          <cell r="E1441">
            <v>84849000</v>
          </cell>
          <cell r="F1441">
            <v>5</v>
          </cell>
          <cell r="G1441" t="str">
            <v>DIAPHRAGM-ACTUATOR</v>
          </cell>
        </row>
        <row r="1442">
          <cell r="D1442">
            <v>1439</v>
          </cell>
          <cell r="E1442">
            <v>84819000</v>
          </cell>
          <cell r="F1442">
            <v>5</v>
          </cell>
          <cell r="G1442" t="str">
            <v>ACTUATOR SPRING</v>
          </cell>
        </row>
        <row r="1443">
          <cell r="D1443">
            <v>1440</v>
          </cell>
          <cell r="E1443">
            <v>84849000</v>
          </cell>
          <cell r="F1443">
            <v>5</v>
          </cell>
          <cell r="G1443" t="str">
            <v>GLAND PACKING</v>
          </cell>
        </row>
        <row r="1444">
          <cell r="D1444">
            <v>1441</v>
          </cell>
          <cell r="E1444">
            <v>84819000</v>
          </cell>
          <cell r="F1444">
            <v>5</v>
          </cell>
          <cell r="G1444" t="str">
            <v>TRIM</v>
          </cell>
        </row>
        <row r="1445">
          <cell r="D1445">
            <v>1442</v>
          </cell>
          <cell r="E1445">
            <v>85365000</v>
          </cell>
          <cell r="F1445">
            <v>5</v>
          </cell>
          <cell r="G1445" t="str">
            <v>LIMIT SWITCHES</v>
          </cell>
        </row>
        <row r="1446">
          <cell r="D1446">
            <v>1443</v>
          </cell>
          <cell r="E1446">
            <v>90328900</v>
          </cell>
          <cell r="F1446">
            <v>5</v>
          </cell>
          <cell r="G1446" t="str">
            <v>AIR REGULATOR</v>
          </cell>
        </row>
        <row r="1447">
          <cell r="D1447">
            <v>1444</v>
          </cell>
          <cell r="E1447">
            <v>84818090</v>
          </cell>
          <cell r="F1447">
            <v>5</v>
          </cell>
          <cell r="G1447" t="str">
            <v>STAINLESS STEEL GLOBE TYPE CONTROL VALVE</v>
          </cell>
        </row>
        <row r="1448">
          <cell r="D1448">
            <v>1445</v>
          </cell>
          <cell r="E1448">
            <v>84818090</v>
          </cell>
          <cell r="F1448">
            <v>5</v>
          </cell>
          <cell r="G1448" t="str">
            <v>CARBON STEEL BUTTERFLY CONTROL VALVE</v>
          </cell>
        </row>
        <row r="1449">
          <cell r="D1449">
            <v>1446</v>
          </cell>
          <cell r="E1449">
            <v>84818090</v>
          </cell>
          <cell r="F1449">
            <v>5</v>
          </cell>
          <cell r="G1449" t="str">
            <v>STAINLESS STEEL BUTTERFLY CONTROL VALVE</v>
          </cell>
        </row>
        <row r="1450">
          <cell r="D1450">
            <v>1447</v>
          </cell>
          <cell r="E1450">
            <v>84818090</v>
          </cell>
          <cell r="F1450">
            <v>5</v>
          </cell>
          <cell r="G1450" t="str">
            <v>CARBON STEEL ON-OFF BALL VALVE</v>
          </cell>
        </row>
        <row r="1451">
          <cell r="D1451">
            <v>1448</v>
          </cell>
          <cell r="E1451">
            <v>84818090</v>
          </cell>
          <cell r="F1451">
            <v>5</v>
          </cell>
          <cell r="G1451" t="str">
            <v>STAINLESS STEEL ON-OFF BALL VALVE</v>
          </cell>
        </row>
        <row r="1452">
          <cell r="D1452">
            <v>1449</v>
          </cell>
          <cell r="E1452">
            <v>84818090</v>
          </cell>
          <cell r="F1452">
            <v>5</v>
          </cell>
          <cell r="G1452" t="str">
            <v>CARBON STEEL VEE BALL VALVE</v>
          </cell>
        </row>
        <row r="1453">
          <cell r="D1453">
            <v>1450</v>
          </cell>
          <cell r="E1453">
            <v>84818090</v>
          </cell>
          <cell r="F1453">
            <v>5</v>
          </cell>
          <cell r="G1453" t="str">
            <v>STAINLESS STEEL VEE BALL VALVE</v>
          </cell>
        </row>
        <row r="1454">
          <cell r="D1454">
            <v>1451</v>
          </cell>
          <cell r="E1454">
            <v>90322000</v>
          </cell>
          <cell r="F1454">
            <v>5</v>
          </cell>
          <cell r="G1454" t="str">
            <v>CARBON STEEL PRESSURE REGULATOR</v>
          </cell>
        </row>
        <row r="1455">
          <cell r="D1455">
            <v>1452</v>
          </cell>
          <cell r="E1455">
            <v>90322000</v>
          </cell>
          <cell r="F1455">
            <v>5</v>
          </cell>
          <cell r="G1455" t="str">
            <v>STAINLESS STEEL PRESSURE REGULATOR</v>
          </cell>
        </row>
        <row r="1456">
          <cell r="D1456">
            <v>1453</v>
          </cell>
          <cell r="E1456">
            <v>84818090</v>
          </cell>
          <cell r="F1456">
            <v>5</v>
          </cell>
          <cell r="G1456" t="str">
            <v>SPECIAL SELF ACTUATED CONTROL  VALVE</v>
          </cell>
        </row>
        <row r="1457">
          <cell r="D1457">
            <v>1454</v>
          </cell>
          <cell r="E1457">
            <v>84818090</v>
          </cell>
          <cell r="F1457">
            <v>5</v>
          </cell>
          <cell r="G1457" t="str">
            <v>KNIFE GATE CONTROL VALVE</v>
          </cell>
        </row>
        <row r="1458">
          <cell r="D1458">
            <v>1455</v>
          </cell>
          <cell r="E1458">
            <v>84818090</v>
          </cell>
          <cell r="F1458">
            <v>5</v>
          </cell>
          <cell r="G1458" t="str">
            <v>CARBON STEEL THREE-WAY CONTROL VALVE</v>
          </cell>
        </row>
        <row r="1459">
          <cell r="D1459">
            <v>1456</v>
          </cell>
          <cell r="E1459">
            <v>84818090</v>
          </cell>
          <cell r="F1459">
            <v>5</v>
          </cell>
          <cell r="G1459" t="str">
            <v>STAINLESS STEEL THREE-WAY CONTROL VALVE</v>
          </cell>
        </row>
        <row r="1460">
          <cell r="D1460">
            <v>1457</v>
          </cell>
          <cell r="E1460">
            <v>84198900</v>
          </cell>
          <cell r="F1460">
            <v>5</v>
          </cell>
          <cell r="G1460" t="str">
            <v>DESUPERHEATER</v>
          </cell>
        </row>
        <row r="1461">
          <cell r="D1461">
            <v>1458</v>
          </cell>
          <cell r="E1461">
            <v>85078000</v>
          </cell>
          <cell r="F1461">
            <v>5</v>
          </cell>
          <cell r="G1461" t="str">
            <v>LOAD CELL</v>
          </cell>
        </row>
        <row r="1462">
          <cell r="D1462">
            <v>1459</v>
          </cell>
          <cell r="E1462">
            <v>85311000</v>
          </cell>
          <cell r="F1462">
            <v>5</v>
          </cell>
          <cell r="G1462" t="str">
            <v>ANNUNCIATOR UNIT</v>
          </cell>
        </row>
        <row r="1463">
          <cell r="D1463">
            <v>1460</v>
          </cell>
          <cell r="E1463">
            <v>85353000</v>
          </cell>
          <cell r="F1463">
            <v>5</v>
          </cell>
          <cell r="G1463" t="str">
            <v>MANUAL SWITCH AND LAMP</v>
          </cell>
        </row>
        <row r="1464">
          <cell r="D1464">
            <v>1461</v>
          </cell>
          <cell r="E1464">
            <v>90279000</v>
          </cell>
          <cell r="F1464">
            <v>5</v>
          </cell>
          <cell r="G1464" t="str">
            <v>ANALYZER HOUSE</v>
          </cell>
        </row>
        <row r="1465">
          <cell r="D1465">
            <v>1462</v>
          </cell>
          <cell r="E1465">
            <v>90278090</v>
          </cell>
          <cell r="F1465">
            <v>5</v>
          </cell>
          <cell r="G1465" t="str">
            <v>PH METER</v>
          </cell>
        </row>
        <row r="1466">
          <cell r="D1466">
            <v>1463</v>
          </cell>
          <cell r="E1466">
            <v>9027900</v>
          </cell>
          <cell r="F1466">
            <v>5</v>
          </cell>
          <cell r="G1466" t="str">
            <v>ELECTRODES</v>
          </cell>
        </row>
        <row r="1467">
          <cell r="D1467">
            <v>1464</v>
          </cell>
          <cell r="E1467">
            <v>90278090</v>
          </cell>
          <cell r="F1467">
            <v>5</v>
          </cell>
          <cell r="G1467" t="str">
            <v>PH TRANSMITTERS</v>
          </cell>
        </row>
        <row r="1468">
          <cell r="D1468">
            <v>1465</v>
          </cell>
          <cell r="E1468">
            <v>90279000</v>
          </cell>
          <cell r="F1468">
            <v>5</v>
          </cell>
          <cell r="G1468" t="str">
            <v>REFERENCE ELECTRODES</v>
          </cell>
        </row>
        <row r="1469">
          <cell r="D1469">
            <v>1466</v>
          </cell>
          <cell r="E1469">
            <v>90251900</v>
          </cell>
          <cell r="F1469">
            <v>5</v>
          </cell>
          <cell r="G1469" t="str">
            <v>THERMO COMPENSATOR</v>
          </cell>
        </row>
        <row r="1470">
          <cell r="D1470">
            <v>1467</v>
          </cell>
          <cell r="E1470">
            <v>90303900</v>
          </cell>
          <cell r="F1470">
            <v>5</v>
          </cell>
          <cell r="G1470" t="str">
            <v>CONDUCTIVITY TRANSMITTERS</v>
          </cell>
        </row>
        <row r="1471">
          <cell r="D1471">
            <v>1468</v>
          </cell>
          <cell r="E1471">
            <v>90278090</v>
          </cell>
          <cell r="F1471">
            <v>5</v>
          </cell>
          <cell r="G1471" t="str">
            <v>THC ANALYZER</v>
          </cell>
        </row>
        <row r="1472">
          <cell r="D1472">
            <v>1469</v>
          </cell>
          <cell r="E1472">
            <v>90278090</v>
          </cell>
          <cell r="F1472">
            <v>5</v>
          </cell>
          <cell r="G1472" t="str">
            <v>TOC ANALYZER</v>
          </cell>
        </row>
        <row r="1473">
          <cell r="D1473">
            <v>1470</v>
          </cell>
          <cell r="E1473">
            <v>90278090</v>
          </cell>
          <cell r="F1473">
            <v>5</v>
          </cell>
          <cell r="G1473" t="str">
            <v>H2O ANALYZER</v>
          </cell>
        </row>
        <row r="1474">
          <cell r="D1474">
            <v>1471</v>
          </cell>
          <cell r="E1474">
            <v>90272000</v>
          </cell>
          <cell r="F1474">
            <v>5</v>
          </cell>
          <cell r="G1474" t="str">
            <v>GASCROMATOGRPH</v>
          </cell>
        </row>
        <row r="1475">
          <cell r="D1475">
            <v>1472</v>
          </cell>
          <cell r="E1475">
            <v>90278090</v>
          </cell>
          <cell r="F1475">
            <v>5</v>
          </cell>
          <cell r="G1475" t="str">
            <v>O2 ANALYZER</v>
          </cell>
        </row>
        <row r="1476">
          <cell r="D1476">
            <v>1473</v>
          </cell>
          <cell r="E1476">
            <v>90303900</v>
          </cell>
          <cell r="F1476">
            <v>5</v>
          </cell>
          <cell r="G1476" t="str">
            <v>CONDUCTIVITY METER</v>
          </cell>
        </row>
        <row r="1477">
          <cell r="D1477">
            <v>1474</v>
          </cell>
          <cell r="E1477">
            <v>28042990</v>
          </cell>
          <cell r="F1477">
            <v>5</v>
          </cell>
          <cell r="G1477" t="str">
            <v>CALIBRATION GAS</v>
          </cell>
        </row>
        <row r="1478">
          <cell r="D1478">
            <v>1475</v>
          </cell>
          <cell r="E1478">
            <v>85318090</v>
          </cell>
          <cell r="F1478">
            <v>5</v>
          </cell>
          <cell r="G1478" t="str">
            <v>GAS DETECTOR</v>
          </cell>
        </row>
        <row r="1479">
          <cell r="D1479">
            <v>1476</v>
          </cell>
          <cell r="E1479">
            <v>90268000</v>
          </cell>
          <cell r="F1479">
            <v>5</v>
          </cell>
          <cell r="G1479" t="str">
            <v>SENSORS</v>
          </cell>
        </row>
        <row r="1480">
          <cell r="D1480">
            <v>1477</v>
          </cell>
          <cell r="E1480">
            <v>85372000</v>
          </cell>
          <cell r="F1480">
            <v>5</v>
          </cell>
          <cell r="G1480" t="str">
            <v>ELECTRONIC BOARD</v>
          </cell>
        </row>
        <row r="1481">
          <cell r="D1481">
            <v>1478</v>
          </cell>
          <cell r="E1481">
            <v>85372000</v>
          </cell>
          <cell r="F1481">
            <v>5</v>
          </cell>
          <cell r="G1481" t="str">
            <v>LOCAL INSTRUMENT PANEL</v>
          </cell>
        </row>
        <row r="1482">
          <cell r="D1482">
            <v>1479</v>
          </cell>
          <cell r="E1482">
            <v>85442010</v>
          </cell>
          <cell r="F1482">
            <v>20</v>
          </cell>
          <cell r="G1482" t="str">
            <v>MAIN CABLE /WIRE 2.0SQ 20C</v>
          </cell>
        </row>
        <row r="1483">
          <cell r="D1483">
            <v>1480</v>
          </cell>
          <cell r="E1483">
            <v>85442010</v>
          </cell>
          <cell r="F1483">
            <v>20</v>
          </cell>
          <cell r="G1483" t="str">
            <v>MAIN CABLE /WIRE 22.0SQ 3C</v>
          </cell>
        </row>
        <row r="1484">
          <cell r="D1484">
            <v>1481</v>
          </cell>
          <cell r="E1484">
            <v>85442010</v>
          </cell>
          <cell r="F1484">
            <v>20</v>
          </cell>
          <cell r="G1484" t="str">
            <v>LOCAL CABLE /WIRE 2.0SQ *1P</v>
          </cell>
        </row>
        <row r="1485">
          <cell r="D1485">
            <v>1482</v>
          </cell>
          <cell r="E1485">
            <v>85442010</v>
          </cell>
          <cell r="F1485">
            <v>20</v>
          </cell>
          <cell r="G1485" t="str">
            <v>LOCAL CABLE /WIRE 1.25 SQ*1P</v>
          </cell>
        </row>
        <row r="1486">
          <cell r="D1486">
            <v>1483</v>
          </cell>
          <cell r="E1486">
            <v>85442010</v>
          </cell>
          <cell r="F1486">
            <v>20</v>
          </cell>
          <cell r="G1486" t="str">
            <v>CABLE /WIRE FOR CCR  2.0SQ 30C</v>
          </cell>
        </row>
        <row r="1487">
          <cell r="D1487">
            <v>1484</v>
          </cell>
          <cell r="E1487">
            <v>73069000</v>
          </cell>
          <cell r="F1487">
            <v>20</v>
          </cell>
          <cell r="G1487" t="str">
            <v>LOCAL SIGNAL TUBE 6/4D 1C</v>
          </cell>
        </row>
        <row r="1488">
          <cell r="D1488">
            <v>1485</v>
          </cell>
          <cell r="E1488">
            <v>85447000</v>
          </cell>
          <cell r="F1488">
            <v>5</v>
          </cell>
          <cell r="G1488" t="str">
            <v>FIBER OPTIC CABLE</v>
          </cell>
        </row>
        <row r="1489">
          <cell r="D1489">
            <v>1486</v>
          </cell>
          <cell r="E1489">
            <v>73079900</v>
          </cell>
          <cell r="F1489">
            <v>5</v>
          </cell>
          <cell r="G1489" t="str">
            <v>TUBE FITTING</v>
          </cell>
        </row>
        <row r="1490">
          <cell r="D1490">
            <v>1487</v>
          </cell>
          <cell r="E1490">
            <v>85442010</v>
          </cell>
          <cell r="F1490">
            <v>20</v>
          </cell>
          <cell r="G1490" t="str">
            <v>INSTRUMENT CABLE, 18 AWG (1 PAIR)</v>
          </cell>
        </row>
        <row r="1491">
          <cell r="D1491">
            <v>1488</v>
          </cell>
          <cell r="E1491">
            <v>85442010</v>
          </cell>
          <cell r="F1491">
            <v>20</v>
          </cell>
          <cell r="G1491" t="str">
            <v>INSTRUMENT CABLE WITH CONNECTOR, 18 AWG (1 PAIR)</v>
          </cell>
        </row>
        <row r="1492">
          <cell r="D1492">
            <v>1489</v>
          </cell>
          <cell r="E1492">
            <v>85442010</v>
          </cell>
          <cell r="F1492">
            <v>20</v>
          </cell>
          <cell r="G1492" t="str">
            <v>INSTRUMENT CABLE, 18 AWG (1 TRIAD)</v>
          </cell>
        </row>
        <row r="1493">
          <cell r="D1493">
            <v>1490</v>
          </cell>
          <cell r="E1493">
            <v>85442010</v>
          </cell>
          <cell r="F1493">
            <v>20</v>
          </cell>
          <cell r="G1493" t="str">
            <v>INSTRUMENT CABLE WITH CONNECTOR, 18 AWG (1 TRIAD)</v>
          </cell>
        </row>
        <row r="1494">
          <cell r="D1494">
            <v>1491</v>
          </cell>
          <cell r="E1494">
            <v>85442010</v>
          </cell>
          <cell r="F1494">
            <v>20</v>
          </cell>
          <cell r="G1494" t="str">
            <v>INSTRUMENT CABLE, 16 AWG (1 PAIR)</v>
          </cell>
        </row>
        <row r="1495">
          <cell r="D1495">
            <v>1492</v>
          </cell>
          <cell r="E1495">
            <v>85442010</v>
          </cell>
          <cell r="F1495">
            <v>20</v>
          </cell>
          <cell r="G1495" t="str">
            <v>INSTRUMENT CABLE WITH CONNECTOR, 16 AWG (1 PAIR)</v>
          </cell>
        </row>
        <row r="1496">
          <cell r="D1496">
            <v>1493</v>
          </cell>
          <cell r="E1496">
            <v>85442010</v>
          </cell>
          <cell r="F1496">
            <v>20</v>
          </cell>
          <cell r="G1496" t="str">
            <v>INSTRUMENT CABLE, 18 AWG (12 PAIRS)</v>
          </cell>
        </row>
        <row r="1497">
          <cell r="D1497">
            <v>1494</v>
          </cell>
          <cell r="E1497">
            <v>85442010</v>
          </cell>
          <cell r="F1497">
            <v>20</v>
          </cell>
          <cell r="G1497" t="str">
            <v>INSTRUMENT CABLE WITH CONNECTOR, 18 AWG (12 PAIRS)</v>
          </cell>
        </row>
        <row r="1498">
          <cell r="D1498">
            <v>1495</v>
          </cell>
          <cell r="E1498">
            <v>85442010</v>
          </cell>
          <cell r="F1498">
            <v>20</v>
          </cell>
          <cell r="G1498" t="str">
            <v>INSTRUMENT CABLE, 18 AWG (12 TRIADS)</v>
          </cell>
        </row>
        <row r="1499">
          <cell r="D1499">
            <v>1496</v>
          </cell>
          <cell r="E1499">
            <v>85442010</v>
          </cell>
          <cell r="F1499">
            <v>20</v>
          </cell>
          <cell r="G1499" t="str">
            <v>INSTRUMENT CABLE WITH CONNECTOR, 18 AWG (12 TRIADS)</v>
          </cell>
        </row>
        <row r="1500">
          <cell r="D1500">
            <v>1497</v>
          </cell>
          <cell r="E1500">
            <v>85442010</v>
          </cell>
          <cell r="F1500">
            <v>20</v>
          </cell>
          <cell r="G1500" t="str">
            <v>INSTRUMENT CABLE, 16 AWG (12 TRIADS)</v>
          </cell>
        </row>
        <row r="1501">
          <cell r="D1501">
            <v>1498</v>
          </cell>
          <cell r="E1501">
            <v>85442010</v>
          </cell>
          <cell r="F1501">
            <v>20</v>
          </cell>
          <cell r="G1501" t="str">
            <v>INSTRUMENT CABLE WITH CONNECTOR, 16 AWG (12 TRIADS)</v>
          </cell>
        </row>
        <row r="1502">
          <cell r="D1502">
            <v>1499</v>
          </cell>
          <cell r="E1502">
            <v>85442010</v>
          </cell>
          <cell r="F1502">
            <v>20</v>
          </cell>
          <cell r="G1502" t="str">
            <v>INSTRUMENT CABLE, 18 AWG (24 PAIRS)</v>
          </cell>
        </row>
        <row r="1503">
          <cell r="D1503">
            <v>1500</v>
          </cell>
          <cell r="E1503">
            <v>85442010</v>
          </cell>
          <cell r="F1503">
            <v>20</v>
          </cell>
          <cell r="G1503" t="str">
            <v>INSTRUMENT CABLE WITH CONNECTOR, 18 AWG (24 PAIRS)</v>
          </cell>
        </row>
        <row r="1504">
          <cell r="D1504">
            <v>1501</v>
          </cell>
          <cell r="E1504">
            <v>85442010</v>
          </cell>
          <cell r="F1504">
            <v>20</v>
          </cell>
          <cell r="G1504" t="str">
            <v>INSTRUMENT CABLE, 18 AWG (24 TRIADS)</v>
          </cell>
        </row>
        <row r="1505">
          <cell r="D1505">
            <v>1502</v>
          </cell>
          <cell r="E1505">
            <v>85442010</v>
          </cell>
          <cell r="F1505">
            <v>20</v>
          </cell>
          <cell r="G1505" t="str">
            <v>INSTRUMENT CABLE WITH CONNECTOR, 18 AWG (24 TRIADS)</v>
          </cell>
        </row>
        <row r="1506">
          <cell r="D1506">
            <v>1503</v>
          </cell>
          <cell r="E1506">
            <v>85442010</v>
          </cell>
          <cell r="F1506">
            <v>20</v>
          </cell>
          <cell r="G1506" t="str">
            <v>INSTRUMENT CABLE, 16 AWG (24 PAIRS)</v>
          </cell>
        </row>
        <row r="1507">
          <cell r="D1507">
            <v>1504</v>
          </cell>
          <cell r="E1507">
            <v>85442010</v>
          </cell>
          <cell r="F1507">
            <v>20</v>
          </cell>
          <cell r="G1507" t="str">
            <v>INSTRUMENT CABLE WITH CONNECTOR, 16 AWG (24 PAIRS)</v>
          </cell>
        </row>
        <row r="1508">
          <cell r="D1508">
            <v>1505</v>
          </cell>
          <cell r="E1508">
            <v>85442010</v>
          </cell>
          <cell r="F1508">
            <v>20</v>
          </cell>
          <cell r="G1508" t="str">
            <v>TYPE T EXTENSION CABLE, 18 AWG (1 PAIR)</v>
          </cell>
        </row>
        <row r="1509">
          <cell r="D1509">
            <v>1506</v>
          </cell>
          <cell r="E1509">
            <v>85442010</v>
          </cell>
          <cell r="F1509">
            <v>20</v>
          </cell>
          <cell r="G1509" t="str">
            <v>TYPE K EXTENSION CABLE, 18 AWG (1 PAIR)</v>
          </cell>
        </row>
        <row r="1510">
          <cell r="D1510">
            <v>1507</v>
          </cell>
          <cell r="E1510">
            <v>85442010</v>
          </cell>
          <cell r="F1510">
            <v>20</v>
          </cell>
          <cell r="G1510" t="str">
            <v>TYPE T EXTENSION CABLE, 18 AWG (12 PAIRS)</v>
          </cell>
        </row>
        <row r="1511">
          <cell r="D1511">
            <v>1508</v>
          </cell>
          <cell r="E1511">
            <v>85442010</v>
          </cell>
          <cell r="F1511">
            <v>20</v>
          </cell>
          <cell r="G1511" t="str">
            <v>TYPE K EXTENSION CABLE, 18 AWG (12 PAIRS)</v>
          </cell>
        </row>
        <row r="1512">
          <cell r="D1512">
            <v>1509</v>
          </cell>
          <cell r="E1512">
            <v>85442010</v>
          </cell>
          <cell r="F1512">
            <v>20</v>
          </cell>
          <cell r="G1512" t="str">
            <v>TYPE T EXTENSION CABLE, 18 AWG (24 PAIRS)</v>
          </cell>
        </row>
        <row r="1513">
          <cell r="D1513">
            <v>1510</v>
          </cell>
          <cell r="E1513">
            <v>85442010</v>
          </cell>
          <cell r="F1513">
            <v>20</v>
          </cell>
          <cell r="G1513" t="str">
            <v>TYPE K EXTENSION CABLE, 18 AWG (24 PAIRS)</v>
          </cell>
        </row>
        <row r="1514">
          <cell r="D1514">
            <v>1511</v>
          </cell>
          <cell r="E1514">
            <v>85442010</v>
          </cell>
          <cell r="F1514">
            <v>20</v>
          </cell>
          <cell r="G1514" t="str">
            <v>GROUNDING WIRE</v>
          </cell>
        </row>
        <row r="1515">
          <cell r="D1515">
            <v>1512</v>
          </cell>
          <cell r="E1515">
            <v>39269069</v>
          </cell>
          <cell r="F1515">
            <v>5</v>
          </cell>
          <cell r="G1515" t="str">
            <v>SUN SHADE</v>
          </cell>
        </row>
        <row r="1516">
          <cell r="D1516">
            <v>1513</v>
          </cell>
          <cell r="E1516">
            <v>85441900</v>
          </cell>
          <cell r="F1516">
            <v>5</v>
          </cell>
          <cell r="G1516" t="str">
            <v>CABLE FITTING</v>
          </cell>
        </row>
        <row r="1517">
          <cell r="D1517">
            <v>1514</v>
          </cell>
          <cell r="E1517">
            <v>73269060</v>
          </cell>
          <cell r="F1517">
            <v>20</v>
          </cell>
          <cell r="G1517" t="str">
            <v>CABLE RACK</v>
          </cell>
        </row>
        <row r="1518">
          <cell r="D1518">
            <v>1515</v>
          </cell>
          <cell r="E1518">
            <v>73269060</v>
          </cell>
          <cell r="F1518">
            <v>20</v>
          </cell>
          <cell r="G1518" t="str">
            <v>CABLE TRAY</v>
          </cell>
        </row>
        <row r="1519">
          <cell r="D1519">
            <v>1516</v>
          </cell>
          <cell r="E1519">
            <v>85372000</v>
          </cell>
          <cell r="F1519">
            <v>5</v>
          </cell>
          <cell r="G1519" t="str">
            <v>INSTRUMENT FIELD JUNCTION BOX</v>
          </cell>
        </row>
        <row r="1520">
          <cell r="D1520">
            <v>1517</v>
          </cell>
          <cell r="E1520">
            <v>73069000</v>
          </cell>
          <cell r="F1520">
            <v>20</v>
          </cell>
          <cell r="G1520" t="str">
            <v>PRESSURE PIPING /TUBING - 3/8B</v>
          </cell>
        </row>
        <row r="1521">
          <cell r="D1521">
            <v>1518</v>
          </cell>
          <cell r="E1521">
            <v>73069000</v>
          </cell>
          <cell r="F1521">
            <v>20</v>
          </cell>
          <cell r="G1521" t="str">
            <v>PRESSURE PIPING /TUBING - 1/2B</v>
          </cell>
        </row>
        <row r="1522">
          <cell r="D1522">
            <v>1519</v>
          </cell>
          <cell r="E1522">
            <v>73069000</v>
          </cell>
          <cell r="F1522">
            <v>20</v>
          </cell>
          <cell r="G1522" t="str">
            <v>PRESSURE PIPING /TUBING - 3/4B</v>
          </cell>
        </row>
        <row r="1523">
          <cell r="D1523">
            <v>1520</v>
          </cell>
          <cell r="E1523">
            <v>73069000</v>
          </cell>
          <cell r="F1523">
            <v>20</v>
          </cell>
          <cell r="G1523" t="str">
            <v>PRESSURE PIPING /TUBING - 2B</v>
          </cell>
        </row>
        <row r="1524">
          <cell r="D1524">
            <v>1521</v>
          </cell>
          <cell r="E1524">
            <v>73069000</v>
          </cell>
          <cell r="F1524">
            <v>20</v>
          </cell>
          <cell r="G1524" t="str">
            <v>INSTRUMENT AIR SUPPLY PIPE - 1/2B</v>
          </cell>
        </row>
        <row r="1525">
          <cell r="D1525">
            <v>1522</v>
          </cell>
          <cell r="E1525">
            <v>73069000</v>
          </cell>
          <cell r="F1525">
            <v>20</v>
          </cell>
          <cell r="G1525" t="str">
            <v>INSTRUMENT AIR SUPPLY PIPE - 3/4B</v>
          </cell>
        </row>
        <row r="1526">
          <cell r="D1526">
            <v>1523</v>
          </cell>
          <cell r="E1526">
            <v>7306900</v>
          </cell>
          <cell r="F1526">
            <v>20</v>
          </cell>
          <cell r="G1526" t="str">
            <v>INSTRUMENT AIR SUPPLY PIPE - 1B</v>
          </cell>
        </row>
        <row r="1527">
          <cell r="D1527">
            <v>1524</v>
          </cell>
          <cell r="E1527">
            <v>73079900</v>
          </cell>
          <cell r="F1527">
            <v>5</v>
          </cell>
          <cell r="G1527" t="str">
            <v>INSTRUMENT AIR SUPPLY PIPE FITTING</v>
          </cell>
        </row>
        <row r="1528">
          <cell r="D1528">
            <v>1525</v>
          </cell>
          <cell r="E1528">
            <v>73069000</v>
          </cell>
          <cell r="F1528">
            <v>20</v>
          </cell>
          <cell r="G1528" t="str">
            <v>INSTRUMENT AIR SUPPLY TUBE</v>
          </cell>
        </row>
        <row r="1529">
          <cell r="D1529">
            <v>1526</v>
          </cell>
          <cell r="E1529">
            <v>73079900</v>
          </cell>
          <cell r="F1529">
            <v>5</v>
          </cell>
          <cell r="G1529" t="str">
            <v>INSTRUMENT AIR SUPPLY TUBE FITTING</v>
          </cell>
        </row>
        <row r="1530">
          <cell r="D1530">
            <v>1527</v>
          </cell>
          <cell r="E1530">
            <v>73069000</v>
          </cell>
          <cell r="F1530">
            <v>20</v>
          </cell>
          <cell r="G1530" t="str">
            <v>INSTRUMENT HEAT TRACING TUBE</v>
          </cell>
        </row>
        <row r="1531">
          <cell r="D1531">
            <v>1528</v>
          </cell>
          <cell r="E1531">
            <v>73079900</v>
          </cell>
          <cell r="F1531">
            <v>5</v>
          </cell>
          <cell r="G1531" t="str">
            <v>INSTRUMENT HEAT TRACING TUBE FITTING</v>
          </cell>
        </row>
        <row r="1532">
          <cell r="D1532">
            <v>1529</v>
          </cell>
          <cell r="E1532">
            <v>73069000</v>
          </cell>
          <cell r="F1532">
            <v>20</v>
          </cell>
          <cell r="G1532" t="str">
            <v>STEAM TRACE PIPING /TUBING - 1/4B-3/8B</v>
          </cell>
        </row>
        <row r="1533">
          <cell r="D1533">
            <v>1530</v>
          </cell>
          <cell r="E1533">
            <v>73069000</v>
          </cell>
          <cell r="F1533">
            <v>20</v>
          </cell>
          <cell r="G1533" t="str">
            <v>STEAM TRACE PIPING /TUBING - 1/2B</v>
          </cell>
        </row>
        <row r="1534">
          <cell r="D1534">
            <v>1531</v>
          </cell>
          <cell r="E1534">
            <v>73069000</v>
          </cell>
          <cell r="F1534">
            <v>20</v>
          </cell>
          <cell r="G1534" t="str">
            <v>STEAM TRACE PIPING /TUBING - 1B</v>
          </cell>
        </row>
        <row r="1535">
          <cell r="D1535">
            <v>1532</v>
          </cell>
          <cell r="E1535">
            <v>90268000</v>
          </cell>
          <cell r="F1535">
            <v>5</v>
          </cell>
          <cell r="G1535" t="str">
            <v>LOCAL ELECTRIC INDICATOR</v>
          </cell>
        </row>
        <row r="1536">
          <cell r="D1536">
            <v>1533</v>
          </cell>
          <cell r="E1536">
            <v>90268000</v>
          </cell>
          <cell r="F1536">
            <v>5</v>
          </cell>
          <cell r="G1536" t="str">
            <v>LOCAL PNEUMATIC INDICATOR</v>
          </cell>
        </row>
        <row r="1537">
          <cell r="D1537">
            <v>1534</v>
          </cell>
          <cell r="E1537">
            <v>73069000</v>
          </cell>
          <cell r="F1537">
            <v>20</v>
          </cell>
          <cell r="G1537" t="str">
            <v>STAINLESS INSTRUMENT PRESSURE LEAD TUBE - 1/4B</v>
          </cell>
        </row>
        <row r="1538">
          <cell r="D1538">
            <v>1535</v>
          </cell>
          <cell r="E1538">
            <v>73079900</v>
          </cell>
          <cell r="F1538">
            <v>5</v>
          </cell>
          <cell r="G1538" t="str">
            <v>STAINLESS INSTRUMENT PRESSURE LEAD TUBE FITTING</v>
          </cell>
        </row>
        <row r="1539">
          <cell r="D1539">
            <v>1536</v>
          </cell>
          <cell r="E1539">
            <v>84849000</v>
          </cell>
          <cell r="F1539">
            <v>5</v>
          </cell>
          <cell r="G1539" t="str">
            <v>GASKET FOR INSTRUMENT PIPING</v>
          </cell>
        </row>
        <row r="1540">
          <cell r="D1540">
            <v>1537</v>
          </cell>
          <cell r="E1540">
            <v>73069000</v>
          </cell>
          <cell r="F1540">
            <v>20</v>
          </cell>
          <cell r="G1540" t="str">
            <v>STAINLESS INSTRUMENT PRESSURE LEAD TUBE - 1/2B</v>
          </cell>
        </row>
        <row r="1541">
          <cell r="D1541">
            <v>1538</v>
          </cell>
          <cell r="E1541">
            <v>73069000</v>
          </cell>
          <cell r="F1541">
            <v>20</v>
          </cell>
          <cell r="G1541" t="str">
            <v>STAINLESS INSTRUMENT PRESSURE LEAD TUBE - 3/8B</v>
          </cell>
        </row>
        <row r="1542">
          <cell r="D1542">
            <v>1539</v>
          </cell>
          <cell r="E1542">
            <v>73069000</v>
          </cell>
          <cell r="F1542">
            <v>20</v>
          </cell>
          <cell r="G1542" t="str">
            <v>CARBON STEEL PIPE - 1/2 IN NS THROUGH 50 IN NS</v>
          </cell>
        </row>
        <row r="1543">
          <cell r="D1543">
            <v>1540</v>
          </cell>
          <cell r="E1543">
            <v>73069000</v>
          </cell>
          <cell r="F1543">
            <v>20</v>
          </cell>
          <cell r="G1543" t="str">
            <v>STAINLESS STEEL PIPE - 1/2 IN NS THROUGH 30 IN NS</v>
          </cell>
        </row>
        <row r="1544">
          <cell r="D1544">
            <v>1541</v>
          </cell>
          <cell r="E1544">
            <v>84818090</v>
          </cell>
          <cell r="F1544">
            <v>5</v>
          </cell>
          <cell r="G1544" t="str">
            <v>CARBON STEEL GATE VALVE</v>
          </cell>
        </row>
        <row r="1545">
          <cell r="D1545">
            <v>1542</v>
          </cell>
          <cell r="E1545">
            <v>84841000</v>
          </cell>
          <cell r="F1545">
            <v>5</v>
          </cell>
          <cell r="G1545" t="str">
            <v>GASKETS</v>
          </cell>
        </row>
        <row r="1546">
          <cell r="D1546">
            <v>1543</v>
          </cell>
          <cell r="E1546">
            <v>84819000</v>
          </cell>
          <cell r="F1546">
            <v>5</v>
          </cell>
          <cell r="G1546" t="str">
            <v>STEM</v>
          </cell>
        </row>
        <row r="1547">
          <cell r="D1547">
            <v>1544</v>
          </cell>
          <cell r="E1547">
            <v>73182400</v>
          </cell>
          <cell r="F1547">
            <v>5</v>
          </cell>
          <cell r="G1547" t="str">
            <v>WEDGE</v>
          </cell>
        </row>
        <row r="1548">
          <cell r="D1548">
            <v>1545</v>
          </cell>
          <cell r="E1548">
            <v>84859000</v>
          </cell>
          <cell r="F1548">
            <v>5</v>
          </cell>
          <cell r="G1548" t="str">
            <v>MECHANICAL SEAT</v>
          </cell>
        </row>
        <row r="1549">
          <cell r="D1549">
            <v>1546</v>
          </cell>
          <cell r="E1549">
            <v>84821000</v>
          </cell>
          <cell r="F1549">
            <v>5</v>
          </cell>
          <cell r="G1549" t="str">
            <v>BEARING</v>
          </cell>
        </row>
        <row r="1550">
          <cell r="D1550">
            <v>1547</v>
          </cell>
          <cell r="E1550">
            <v>73071900</v>
          </cell>
          <cell r="F1550">
            <v>5</v>
          </cell>
          <cell r="G1550" t="str">
            <v>BUSH</v>
          </cell>
        </row>
        <row r="1551">
          <cell r="D1551">
            <v>1548</v>
          </cell>
          <cell r="E1551">
            <v>84849000</v>
          </cell>
          <cell r="F1551">
            <v>5</v>
          </cell>
          <cell r="G1551" t="str">
            <v>DIAPHRAGM</v>
          </cell>
        </row>
        <row r="1552">
          <cell r="D1552">
            <v>1549</v>
          </cell>
          <cell r="E1552">
            <v>84859000</v>
          </cell>
          <cell r="F1552">
            <v>5</v>
          </cell>
          <cell r="G1552" t="str">
            <v>DIAPHRAGM ADAPTOR</v>
          </cell>
        </row>
        <row r="1553">
          <cell r="D1553">
            <v>1550</v>
          </cell>
          <cell r="E1553">
            <v>84849000</v>
          </cell>
          <cell r="F1553">
            <v>5</v>
          </cell>
          <cell r="G1553" t="str">
            <v>PACKING SETSTEM(S)</v>
          </cell>
        </row>
        <row r="1554">
          <cell r="D1554">
            <v>1551</v>
          </cell>
          <cell r="E1554">
            <v>84829100</v>
          </cell>
          <cell r="F1554">
            <v>5</v>
          </cell>
          <cell r="G1554" t="str">
            <v>BALL</v>
          </cell>
        </row>
        <row r="1555">
          <cell r="D1555">
            <v>1552</v>
          </cell>
          <cell r="E1555">
            <v>84859000</v>
          </cell>
          <cell r="F1555">
            <v>5</v>
          </cell>
          <cell r="G1555" t="str">
            <v>DISC</v>
          </cell>
        </row>
        <row r="1556">
          <cell r="D1556">
            <v>1553</v>
          </cell>
          <cell r="E1556">
            <v>40169300</v>
          </cell>
          <cell r="F1556">
            <v>5</v>
          </cell>
          <cell r="G1556" t="str">
            <v>SEALS-BALL VALVE</v>
          </cell>
        </row>
        <row r="1557">
          <cell r="D1557">
            <v>1554</v>
          </cell>
          <cell r="E1557">
            <v>84818090</v>
          </cell>
          <cell r="F1557">
            <v>5</v>
          </cell>
          <cell r="G1557" t="str">
            <v>BUTTERFLY VALVE</v>
          </cell>
        </row>
        <row r="1558">
          <cell r="D1558">
            <v>1555</v>
          </cell>
          <cell r="E1558">
            <v>73071900</v>
          </cell>
          <cell r="F1558">
            <v>5</v>
          </cell>
          <cell r="G1558" t="str">
            <v>BUSHS</v>
          </cell>
        </row>
        <row r="1559">
          <cell r="D1559">
            <v>1556</v>
          </cell>
          <cell r="E1559">
            <v>84834000</v>
          </cell>
          <cell r="F1559">
            <v>5</v>
          </cell>
          <cell r="G1559" t="str">
            <v>GEAR SET</v>
          </cell>
        </row>
        <row r="1560">
          <cell r="D1560">
            <v>1557</v>
          </cell>
          <cell r="E1560">
            <v>84818090</v>
          </cell>
          <cell r="F1560">
            <v>5</v>
          </cell>
          <cell r="G1560" t="str">
            <v>CARBON STEEL GLOBE VALVE</v>
          </cell>
        </row>
        <row r="1561">
          <cell r="D1561">
            <v>1558</v>
          </cell>
          <cell r="E1561">
            <v>73182400</v>
          </cell>
          <cell r="F1561">
            <v>5</v>
          </cell>
          <cell r="G1561" t="str">
            <v>WEDGE</v>
          </cell>
        </row>
        <row r="1562">
          <cell r="D1562">
            <v>1559</v>
          </cell>
          <cell r="E1562">
            <v>84859000</v>
          </cell>
          <cell r="F1562">
            <v>5</v>
          </cell>
          <cell r="G1562" t="str">
            <v>MECHANICAL SEATS</v>
          </cell>
        </row>
        <row r="1563">
          <cell r="D1563">
            <v>1560</v>
          </cell>
          <cell r="E1563">
            <v>84849000</v>
          </cell>
          <cell r="F1563">
            <v>5</v>
          </cell>
          <cell r="G1563" t="str">
            <v>DIAPHRAGM</v>
          </cell>
        </row>
        <row r="1564">
          <cell r="D1564">
            <v>1561</v>
          </cell>
          <cell r="E1564">
            <v>84859000</v>
          </cell>
          <cell r="F1564">
            <v>5</v>
          </cell>
          <cell r="G1564" t="str">
            <v>DIAPHRAGM ADAPTOR</v>
          </cell>
        </row>
        <row r="1565">
          <cell r="D1565">
            <v>1562</v>
          </cell>
          <cell r="E1565">
            <v>84829100</v>
          </cell>
          <cell r="F1565">
            <v>5</v>
          </cell>
          <cell r="G1565" t="str">
            <v>BALL/PLUG/DISC</v>
          </cell>
        </row>
        <row r="1566">
          <cell r="D1566">
            <v>1563</v>
          </cell>
          <cell r="E1566">
            <v>40169300</v>
          </cell>
          <cell r="F1566">
            <v>5</v>
          </cell>
          <cell r="G1566" t="str">
            <v>SEALS-BALL VALVE</v>
          </cell>
        </row>
        <row r="1567">
          <cell r="D1567">
            <v>1564</v>
          </cell>
          <cell r="E1567">
            <v>40169300</v>
          </cell>
          <cell r="F1567">
            <v>5</v>
          </cell>
          <cell r="G1567" t="str">
            <v>SEAL BUTTERFLY VALVE</v>
          </cell>
        </row>
        <row r="1568">
          <cell r="D1568">
            <v>1565</v>
          </cell>
          <cell r="E1568">
            <v>84849000</v>
          </cell>
          <cell r="F1568">
            <v>5</v>
          </cell>
          <cell r="G1568" t="str">
            <v>LINER-BUTTERFLY VALVE</v>
          </cell>
        </row>
        <row r="1569">
          <cell r="D1569">
            <v>1566</v>
          </cell>
          <cell r="E1569">
            <v>73071900</v>
          </cell>
          <cell r="F1569">
            <v>5</v>
          </cell>
          <cell r="G1569" t="str">
            <v>BUSHS</v>
          </cell>
        </row>
        <row r="1570">
          <cell r="D1570">
            <v>1567</v>
          </cell>
          <cell r="E1570">
            <v>84834000</v>
          </cell>
          <cell r="F1570">
            <v>5</v>
          </cell>
          <cell r="G1570" t="str">
            <v>GEAR SET</v>
          </cell>
        </row>
        <row r="1571">
          <cell r="D1571">
            <v>1568</v>
          </cell>
          <cell r="E1571">
            <v>84818090</v>
          </cell>
          <cell r="F1571">
            <v>5</v>
          </cell>
          <cell r="G1571" t="str">
            <v>CARBON STEEL CHECK VALVE</v>
          </cell>
        </row>
        <row r="1572">
          <cell r="D1572">
            <v>1569</v>
          </cell>
          <cell r="E1572">
            <v>84819000</v>
          </cell>
          <cell r="F1572">
            <v>5</v>
          </cell>
          <cell r="G1572" t="str">
            <v>FLAPPER</v>
          </cell>
        </row>
        <row r="1573">
          <cell r="D1573">
            <v>1570</v>
          </cell>
          <cell r="E1573">
            <v>84859000</v>
          </cell>
          <cell r="F1573">
            <v>5</v>
          </cell>
          <cell r="G1573" t="str">
            <v>MECHANICAL SEATS</v>
          </cell>
        </row>
        <row r="1574">
          <cell r="D1574">
            <v>1571</v>
          </cell>
          <cell r="E1574">
            <v>73181500</v>
          </cell>
          <cell r="F1574">
            <v>5</v>
          </cell>
          <cell r="G1574" t="str">
            <v>PIN</v>
          </cell>
        </row>
        <row r="1575">
          <cell r="D1575">
            <v>1572</v>
          </cell>
          <cell r="E1575">
            <v>84818090</v>
          </cell>
          <cell r="F1575">
            <v>5</v>
          </cell>
          <cell r="G1575" t="str">
            <v>CARBON STEEL BALL VALVE</v>
          </cell>
        </row>
        <row r="1576">
          <cell r="D1576">
            <v>1573</v>
          </cell>
          <cell r="E1576">
            <v>73182400</v>
          </cell>
          <cell r="F1576">
            <v>5</v>
          </cell>
          <cell r="G1576" t="str">
            <v>WEDGE</v>
          </cell>
        </row>
        <row r="1577">
          <cell r="D1577">
            <v>1574</v>
          </cell>
          <cell r="E1577">
            <v>84859000</v>
          </cell>
          <cell r="F1577">
            <v>5</v>
          </cell>
          <cell r="G1577" t="str">
            <v>MECHANICAL SEATS</v>
          </cell>
        </row>
        <row r="1578">
          <cell r="D1578">
            <v>1575</v>
          </cell>
          <cell r="E1578">
            <v>84849000</v>
          </cell>
          <cell r="F1578">
            <v>5</v>
          </cell>
          <cell r="G1578" t="str">
            <v>DIAPHRAGM</v>
          </cell>
        </row>
        <row r="1579">
          <cell r="D1579">
            <v>1576</v>
          </cell>
          <cell r="E1579">
            <v>84859000</v>
          </cell>
          <cell r="F1579">
            <v>5</v>
          </cell>
          <cell r="G1579" t="str">
            <v>DIAPHRAGM ADAPTOR</v>
          </cell>
        </row>
        <row r="1580">
          <cell r="D1580">
            <v>1577</v>
          </cell>
          <cell r="E1580">
            <v>84829100</v>
          </cell>
          <cell r="F1580">
            <v>5</v>
          </cell>
          <cell r="G1580" t="str">
            <v>BALL</v>
          </cell>
        </row>
        <row r="1581">
          <cell r="D1581">
            <v>1578</v>
          </cell>
          <cell r="E1581">
            <v>84859000</v>
          </cell>
          <cell r="F1581">
            <v>5</v>
          </cell>
          <cell r="G1581" t="str">
            <v>DISC</v>
          </cell>
        </row>
        <row r="1582">
          <cell r="D1582">
            <v>1579</v>
          </cell>
          <cell r="E1582">
            <v>40169300</v>
          </cell>
          <cell r="F1582">
            <v>5</v>
          </cell>
          <cell r="G1582" t="str">
            <v>SEALS-BALL VALVE</v>
          </cell>
        </row>
        <row r="1583">
          <cell r="D1583">
            <v>1580</v>
          </cell>
          <cell r="E1583">
            <v>84818090</v>
          </cell>
          <cell r="F1583">
            <v>5</v>
          </cell>
          <cell r="G1583" t="str">
            <v>SEALS/LINER-BUTTERFLY VALVE</v>
          </cell>
        </row>
        <row r="1584">
          <cell r="D1584">
            <v>1581</v>
          </cell>
          <cell r="E1584">
            <v>73071900</v>
          </cell>
          <cell r="F1584">
            <v>5</v>
          </cell>
          <cell r="G1584" t="str">
            <v>BUSHS</v>
          </cell>
        </row>
        <row r="1585">
          <cell r="D1585">
            <v>1582</v>
          </cell>
          <cell r="E1585">
            <v>84834000</v>
          </cell>
          <cell r="F1585">
            <v>5</v>
          </cell>
          <cell r="G1585" t="str">
            <v>GEAR SET</v>
          </cell>
        </row>
        <row r="1586">
          <cell r="D1586">
            <v>1583</v>
          </cell>
          <cell r="E1586">
            <v>84818090</v>
          </cell>
          <cell r="F1586">
            <v>5</v>
          </cell>
          <cell r="G1586" t="str">
            <v>CARBON STEEL BUTTERFLY VALVE</v>
          </cell>
        </row>
        <row r="1587">
          <cell r="D1587">
            <v>1584</v>
          </cell>
          <cell r="E1587">
            <v>73182400</v>
          </cell>
          <cell r="F1587">
            <v>5</v>
          </cell>
          <cell r="G1587" t="str">
            <v>WEDGE</v>
          </cell>
        </row>
        <row r="1588">
          <cell r="D1588">
            <v>1585</v>
          </cell>
          <cell r="E1588">
            <v>84859000</v>
          </cell>
          <cell r="F1588">
            <v>5</v>
          </cell>
          <cell r="G1588" t="str">
            <v>MECHANICAL SEATS</v>
          </cell>
        </row>
        <row r="1589">
          <cell r="D1589">
            <v>1586</v>
          </cell>
          <cell r="E1589">
            <v>84849000</v>
          </cell>
          <cell r="F1589">
            <v>5</v>
          </cell>
          <cell r="G1589" t="str">
            <v>DIAPHRAGM</v>
          </cell>
        </row>
        <row r="1590">
          <cell r="D1590">
            <v>1587</v>
          </cell>
          <cell r="E1590">
            <v>84859000</v>
          </cell>
          <cell r="F1590">
            <v>5</v>
          </cell>
          <cell r="G1590" t="str">
            <v>DIAPHRAGM ADAPTOR</v>
          </cell>
        </row>
        <row r="1591">
          <cell r="D1591">
            <v>1588</v>
          </cell>
          <cell r="E1591">
            <v>84829100</v>
          </cell>
          <cell r="F1591">
            <v>5</v>
          </cell>
          <cell r="G1591" t="str">
            <v>BALL</v>
          </cell>
        </row>
        <row r="1592">
          <cell r="D1592">
            <v>1589</v>
          </cell>
          <cell r="E1592">
            <v>84859000</v>
          </cell>
          <cell r="F1592">
            <v>5</v>
          </cell>
          <cell r="G1592" t="str">
            <v>DISC</v>
          </cell>
        </row>
        <row r="1593">
          <cell r="D1593">
            <v>1590</v>
          </cell>
          <cell r="E1593">
            <v>40169300</v>
          </cell>
          <cell r="F1593">
            <v>5</v>
          </cell>
          <cell r="G1593" t="str">
            <v>SEALS-BALL VALVE</v>
          </cell>
        </row>
        <row r="1594">
          <cell r="D1594">
            <v>1591</v>
          </cell>
          <cell r="E1594">
            <v>40169300</v>
          </cell>
          <cell r="F1594">
            <v>5</v>
          </cell>
          <cell r="G1594" t="str">
            <v>SEAL BUTTERFLY VALVE</v>
          </cell>
        </row>
        <row r="1595">
          <cell r="D1595">
            <v>1592</v>
          </cell>
          <cell r="E1595">
            <v>84849000</v>
          </cell>
          <cell r="F1595">
            <v>5</v>
          </cell>
          <cell r="G1595" t="str">
            <v>LINER-BUTTERFLY VALVE</v>
          </cell>
        </row>
        <row r="1596">
          <cell r="D1596">
            <v>1593</v>
          </cell>
          <cell r="E1596">
            <v>84829900</v>
          </cell>
          <cell r="F1596">
            <v>5</v>
          </cell>
          <cell r="G1596" t="str">
            <v>BEARING/BUSH</v>
          </cell>
        </row>
        <row r="1597">
          <cell r="D1597">
            <v>1594</v>
          </cell>
          <cell r="E1597">
            <v>73071900</v>
          </cell>
          <cell r="F1597">
            <v>5</v>
          </cell>
          <cell r="G1597" t="str">
            <v>BUSHS</v>
          </cell>
        </row>
        <row r="1598">
          <cell r="D1598">
            <v>1595</v>
          </cell>
          <cell r="E1598">
            <v>84834000</v>
          </cell>
          <cell r="F1598">
            <v>5</v>
          </cell>
          <cell r="G1598" t="str">
            <v>GEAR SET</v>
          </cell>
        </row>
        <row r="1599">
          <cell r="D1599">
            <v>1596</v>
          </cell>
          <cell r="E1599">
            <v>84818090</v>
          </cell>
          <cell r="F1599">
            <v>5</v>
          </cell>
          <cell r="G1599" t="str">
            <v>CARBON STEEL PLUG VALVE</v>
          </cell>
        </row>
        <row r="1600">
          <cell r="D1600">
            <v>1597</v>
          </cell>
          <cell r="E1600">
            <v>73182400</v>
          </cell>
          <cell r="F1600">
            <v>5</v>
          </cell>
          <cell r="G1600" t="str">
            <v>WEDGE</v>
          </cell>
        </row>
        <row r="1601">
          <cell r="D1601">
            <v>1598</v>
          </cell>
          <cell r="E1601">
            <v>84859000</v>
          </cell>
          <cell r="F1601">
            <v>5</v>
          </cell>
          <cell r="G1601" t="str">
            <v>MECHANICAL SEATS</v>
          </cell>
        </row>
        <row r="1602">
          <cell r="D1602">
            <v>1599</v>
          </cell>
          <cell r="E1602">
            <v>84849000</v>
          </cell>
          <cell r="F1602">
            <v>5</v>
          </cell>
          <cell r="G1602" t="str">
            <v>DIAPHRAGM</v>
          </cell>
        </row>
        <row r="1603">
          <cell r="D1603">
            <v>1600</v>
          </cell>
          <cell r="E1603">
            <v>84859000</v>
          </cell>
          <cell r="F1603">
            <v>5</v>
          </cell>
          <cell r="G1603" t="str">
            <v>DIAPHRAGM ADAPTOR</v>
          </cell>
        </row>
        <row r="1604">
          <cell r="D1604">
            <v>1601</v>
          </cell>
          <cell r="E1604">
            <v>84819000</v>
          </cell>
          <cell r="F1604">
            <v>5</v>
          </cell>
          <cell r="G1604" t="str">
            <v>BALL</v>
          </cell>
        </row>
        <row r="1605">
          <cell r="D1605">
            <v>1602</v>
          </cell>
          <cell r="E1605">
            <v>84859000</v>
          </cell>
          <cell r="F1605">
            <v>5</v>
          </cell>
          <cell r="G1605" t="str">
            <v>DISC</v>
          </cell>
        </row>
        <row r="1606">
          <cell r="D1606">
            <v>1603</v>
          </cell>
          <cell r="E1606">
            <v>40169300</v>
          </cell>
          <cell r="F1606">
            <v>5</v>
          </cell>
          <cell r="G1606" t="str">
            <v>SEALS-BALL VALVE</v>
          </cell>
        </row>
        <row r="1607">
          <cell r="D1607">
            <v>1604</v>
          </cell>
          <cell r="E1607">
            <v>40169300</v>
          </cell>
          <cell r="F1607">
            <v>5</v>
          </cell>
          <cell r="G1607" t="str">
            <v>SEALS BUTTERFLY VALVE</v>
          </cell>
        </row>
        <row r="1608">
          <cell r="D1608">
            <v>1605</v>
          </cell>
          <cell r="E1608">
            <v>84849000</v>
          </cell>
          <cell r="F1608">
            <v>5</v>
          </cell>
          <cell r="G1608" t="str">
            <v>LINER-BUTTERFLY VALVE</v>
          </cell>
        </row>
        <row r="1609">
          <cell r="D1609">
            <v>1606</v>
          </cell>
          <cell r="E1609">
            <v>73071900</v>
          </cell>
          <cell r="F1609">
            <v>5</v>
          </cell>
          <cell r="G1609" t="str">
            <v>BUSHS</v>
          </cell>
        </row>
        <row r="1610">
          <cell r="D1610">
            <v>1607</v>
          </cell>
          <cell r="E1610">
            <v>84834000</v>
          </cell>
          <cell r="F1610">
            <v>5</v>
          </cell>
          <cell r="G1610" t="str">
            <v>GEAR SET</v>
          </cell>
        </row>
        <row r="1611">
          <cell r="D1611">
            <v>1608</v>
          </cell>
          <cell r="E1611">
            <v>84818090</v>
          </cell>
          <cell r="F1611">
            <v>5</v>
          </cell>
          <cell r="G1611" t="str">
            <v>CARBON STEEL MOTOR OPERATED VALVE</v>
          </cell>
        </row>
        <row r="1612">
          <cell r="D1612">
            <v>1609</v>
          </cell>
          <cell r="E1612">
            <v>84818090</v>
          </cell>
          <cell r="F1612">
            <v>5</v>
          </cell>
          <cell r="G1612" t="str">
            <v>STAINLESS STEEL GATE VALVE</v>
          </cell>
        </row>
        <row r="1613">
          <cell r="D1613">
            <v>1610</v>
          </cell>
          <cell r="E1613">
            <v>73182400</v>
          </cell>
          <cell r="F1613">
            <v>5</v>
          </cell>
          <cell r="G1613" t="str">
            <v>WEDGE</v>
          </cell>
        </row>
        <row r="1614">
          <cell r="D1614">
            <v>1611</v>
          </cell>
          <cell r="E1614">
            <v>84859000</v>
          </cell>
          <cell r="F1614">
            <v>5</v>
          </cell>
          <cell r="G1614" t="str">
            <v>MECHANICAL SEATS</v>
          </cell>
        </row>
        <row r="1615">
          <cell r="D1615">
            <v>1612</v>
          </cell>
          <cell r="E1615">
            <v>84849000</v>
          </cell>
          <cell r="F1615">
            <v>5</v>
          </cell>
          <cell r="G1615" t="str">
            <v>DIAPHRAGM</v>
          </cell>
        </row>
        <row r="1616">
          <cell r="D1616">
            <v>1613</v>
          </cell>
          <cell r="E1616">
            <v>84859000</v>
          </cell>
          <cell r="F1616">
            <v>5</v>
          </cell>
          <cell r="G1616" t="str">
            <v>DIAPHRAGM ADAPTOR</v>
          </cell>
        </row>
        <row r="1617">
          <cell r="D1617">
            <v>1614</v>
          </cell>
          <cell r="E1617">
            <v>84829100</v>
          </cell>
          <cell r="F1617">
            <v>5</v>
          </cell>
          <cell r="G1617" t="str">
            <v>BALL</v>
          </cell>
        </row>
        <row r="1618">
          <cell r="D1618">
            <v>1615</v>
          </cell>
          <cell r="E1618">
            <v>84859000</v>
          </cell>
          <cell r="F1618">
            <v>5</v>
          </cell>
          <cell r="G1618" t="str">
            <v>DISC</v>
          </cell>
        </row>
        <row r="1619">
          <cell r="D1619">
            <v>1616</v>
          </cell>
          <cell r="E1619">
            <v>40169300</v>
          </cell>
          <cell r="F1619">
            <v>5</v>
          </cell>
          <cell r="G1619" t="str">
            <v>SEALS-BALL VALVE</v>
          </cell>
        </row>
        <row r="1620">
          <cell r="D1620">
            <v>1617</v>
          </cell>
          <cell r="E1620">
            <v>40169300</v>
          </cell>
          <cell r="F1620">
            <v>5</v>
          </cell>
          <cell r="G1620" t="str">
            <v>SEAL BUTTERFLY VALVE</v>
          </cell>
        </row>
        <row r="1621">
          <cell r="D1621">
            <v>1618</v>
          </cell>
          <cell r="E1621">
            <v>84849000</v>
          </cell>
          <cell r="F1621">
            <v>5</v>
          </cell>
          <cell r="G1621" t="str">
            <v>LINER-BUTTERFLY VALVE</v>
          </cell>
        </row>
        <row r="1622">
          <cell r="D1622">
            <v>1619</v>
          </cell>
          <cell r="E1622">
            <v>73071900</v>
          </cell>
          <cell r="F1622">
            <v>5</v>
          </cell>
          <cell r="G1622" t="str">
            <v>BUSHS</v>
          </cell>
        </row>
        <row r="1623">
          <cell r="D1623">
            <v>1620</v>
          </cell>
          <cell r="E1623">
            <v>84834000</v>
          </cell>
          <cell r="F1623">
            <v>5</v>
          </cell>
          <cell r="G1623" t="str">
            <v>GEAR SET</v>
          </cell>
        </row>
        <row r="1624">
          <cell r="D1624">
            <v>1621</v>
          </cell>
          <cell r="E1624">
            <v>84818090</v>
          </cell>
          <cell r="F1624">
            <v>5</v>
          </cell>
          <cell r="G1624" t="str">
            <v>STAINLESS STEEL GLOBE VALVE</v>
          </cell>
        </row>
        <row r="1625">
          <cell r="D1625">
            <v>1622</v>
          </cell>
          <cell r="E1625">
            <v>73182400</v>
          </cell>
          <cell r="F1625">
            <v>5</v>
          </cell>
          <cell r="G1625" t="str">
            <v>WEDGE</v>
          </cell>
        </row>
        <row r="1626">
          <cell r="D1626">
            <v>1623</v>
          </cell>
          <cell r="E1626">
            <v>84859000</v>
          </cell>
          <cell r="F1626">
            <v>5</v>
          </cell>
          <cell r="G1626" t="str">
            <v>MECHANICAL SEATS</v>
          </cell>
        </row>
        <row r="1627">
          <cell r="D1627">
            <v>1624</v>
          </cell>
          <cell r="E1627">
            <v>84849000</v>
          </cell>
          <cell r="F1627">
            <v>5</v>
          </cell>
          <cell r="G1627" t="str">
            <v>DIAPHRAGM</v>
          </cell>
        </row>
        <row r="1628">
          <cell r="D1628">
            <v>1625</v>
          </cell>
          <cell r="E1628">
            <v>84859000</v>
          </cell>
          <cell r="F1628">
            <v>5</v>
          </cell>
          <cell r="G1628" t="str">
            <v>DIAPHRAGM ADAPTOR</v>
          </cell>
        </row>
        <row r="1629">
          <cell r="D1629">
            <v>1626</v>
          </cell>
          <cell r="E1629">
            <v>84829100</v>
          </cell>
          <cell r="F1629">
            <v>5</v>
          </cell>
          <cell r="G1629" t="str">
            <v>BALL</v>
          </cell>
        </row>
        <row r="1630">
          <cell r="D1630">
            <v>1627</v>
          </cell>
          <cell r="E1630">
            <v>84859000</v>
          </cell>
          <cell r="F1630">
            <v>5</v>
          </cell>
          <cell r="G1630" t="str">
            <v>DISC</v>
          </cell>
        </row>
        <row r="1631">
          <cell r="D1631">
            <v>1628</v>
          </cell>
          <cell r="E1631">
            <v>40169300</v>
          </cell>
          <cell r="F1631">
            <v>5</v>
          </cell>
          <cell r="G1631" t="str">
            <v>SEALS-BALL VALVE</v>
          </cell>
        </row>
        <row r="1632">
          <cell r="D1632">
            <v>1629</v>
          </cell>
          <cell r="E1632">
            <v>84818090</v>
          </cell>
          <cell r="F1632">
            <v>5</v>
          </cell>
          <cell r="G1632" t="str">
            <v>SEALS/LINER-BUTTERFLY VALVE</v>
          </cell>
        </row>
        <row r="1633">
          <cell r="D1633">
            <v>1630</v>
          </cell>
          <cell r="E1633">
            <v>73071900</v>
          </cell>
          <cell r="F1633">
            <v>5</v>
          </cell>
          <cell r="G1633" t="str">
            <v>BUSHS</v>
          </cell>
        </row>
        <row r="1634">
          <cell r="D1634">
            <v>1631</v>
          </cell>
          <cell r="E1634">
            <v>84834000</v>
          </cell>
          <cell r="F1634">
            <v>5</v>
          </cell>
          <cell r="G1634" t="str">
            <v>GEAR SET</v>
          </cell>
        </row>
        <row r="1635">
          <cell r="D1635">
            <v>1632</v>
          </cell>
          <cell r="E1635">
            <v>84818090</v>
          </cell>
          <cell r="F1635">
            <v>5</v>
          </cell>
          <cell r="G1635" t="str">
            <v>STAINLESS STEEL CHECK VALVE</v>
          </cell>
        </row>
        <row r="1636">
          <cell r="D1636">
            <v>1633</v>
          </cell>
          <cell r="E1636">
            <v>73182400</v>
          </cell>
          <cell r="F1636">
            <v>5</v>
          </cell>
          <cell r="G1636" t="str">
            <v>WEDGE</v>
          </cell>
        </row>
        <row r="1637">
          <cell r="D1637">
            <v>1634</v>
          </cell>
          <cell r="E1637">
            <v>84859000</v>
          </cell>
          <cell r="F1637">
            <v>5</v>
          </cell>
          <cell r="G1637" t="str">
            <v>MECHANICAL SEATS</v>
          </cell>
        </row>
        <row r="1638">
          <cell r="D1638">
            <v>1635</v>
          </cell>
          <cell r="E1638">
            <v>84849000</v>
          </cell>
          <cell r="F1638">
            <v>5</v>
          </cell>
          <cell r="G1638" t="str">
            <v>DIAPHRAGM</v>
          </cell>
        </row>
        <row r="1639">
          <cell r="D1639">
            <v>1636</v>
          </cell>
          <cell r="E1639">
            <v>84859000</v>
          </cell>
          <cell r="F1639">
            <v>5</v>
          </cell>
          <cell r="G1639" t="str">
            <v>DIAPHRAGM ADAPTOR</v>
          </cell>
        </row>
        <row r="1640">
          <cell r="D1640">
            <v>1637</v>
          </cell>
          <cell r="E1640">
            <v>84829100</v>
          </cell>
          <cell r="F1640">
            <v>5</v>
          </cell>
          <cell r="G1640" t="str">
            <v>BALL</v>
          </cell>
        </row>
        <row r="1641">
          <cell r="D1641">
            <v>1638</v>
          </cell>
          <cell r="E1641">
            <v>8485900</v>
          </cell>
          <cell r="F1641">
            <v>5</v>
          </cell>
          <cell r="G1641" t="str">
            <v>DISC</v>
          </cell>
        </row>
        <row r="1642">
          <cell r="D1642">
            <v>1639</v>
          </cell>
          <cell r="E1642">
            <v>40169300</v>
          </cell>
          <cell r="F1642">
            <v>5</v>
          </cell>
          <cell r="G1642" t="str">
            <v>SEALS-BALL VALVE</v>
          </cell>
        </row>
        <row r="1643">
          <cell r="D1643">
            <v>1640</v>
          </cell>
          <cell r="E1643">
            <v>84818090</v>
          </cell>
          <cell r="F1643">
            <v>5</v>
          </cell>
          <cell r="G1643" t="str">
            <v>BUTTERFLY VALVE</v>
          </cell>
        </row>
        <row r="1644">
          <cell r="D1644">
            <v>1641</v>
          </cell>
          <cell r="E1644">
            <v>73071900</v>
          </cell>
          <cell r="F1644">
            <v>5</v>
          </cell>
          <cell r="G1644" t="str">
            <v>BUSHS</v>
          </cell>
        </row>
        <row r="1645">
          <cell r="D1645">
            <v>1642</v>
          </cell>
          <cell r="E1645">
            <v>84834000</v>
          </cell>
          <cell r="F1645">
            <v>5</v>
          </cell>
          <cell r="G1645" t="str">
            <v>GEAR SET</v>
          </cell>
        </row>
        <row r="1646">
          <cell r="D1646">
            <v>1643</v>
          </cell>
          <cell r="E1646">
            <v>84818090</v>
          </cell>
          <cell r="F1646">
            <v>5</v>
          </cell>
          <cell r="G1646" t="str">
            <v>STAINLESS STEEL BALL VALVE</v>
          </cell>
        </row>
        <row r="1647">
          <cell r="D1647">
            <v>1644</v>
          </cell>
          <cell r="E1647">
            <v>73182400</v>
          </cell>
          <cell r="F1647">
            <v>5</v>
          </cell>
          <cell r="G1647" t="str">
            <v>WEDGE</v>
          </cell>
        </row>
        <row r="1648">
          <cell r="D1648">
            <v>1645</v>
          </cell>
          <cell r="E1648">
            <v>84859000</v>
          </cell>
          <cell r="F1648">
            <v>5</v>
          </cell>
          <cell r="G1648" t="str">
            <v>MECHANICAL SEATS</v>
          </cell>
        </row>
        <row r="1649">
          <cell r="D1649">
            <v>1646</v>
          </cell>
          <cell r="E1649">
            <v>84849000</v>
          </cell>
          <cell r="F1649">
            <v>5</v>
          </cell>
          <cell r="G1649" t="str">
            <v>DIAPHRAGM</v>
          </cell>
        </row>
        <row r="1650">
          <cell r="D1650">
            <v>1647</v>
          </cell>
          <cell r="E1650">
            <v>84859000</v>
          </cell>
          <cell r="F1650">
            <v>5</v>
          </cell>
          <cell r="G1650" t="str">
            <v>DIAPHRAGM ADAPTOR</v>
          </cell>
        </row>
        <row r="1651">
          <cell r="D1651">
            <v>1648</v>
          </cell>
          <cell r="E1651">
            <v>84829100</v>
          </cell>
          <cell r="F1651">
            <v>5</v>
          </cell>
          <cell r="G1651" t="str">
            <v>BALL</v>
          </cell>
        </row>
        <row r="1652">
          <cell r="D1652">
            <v>1649</v>
          </cell>
          <cell r="E1652">
            <v>84859000</v>
          </cell>
          <cell r="F1652">
            <v>5</v>
          </cell>
          <cell r="G1652" t="str">
            <v>DISC</v>
          </cell>
        </row>
        <row r="1653">
          <cell r="D1653">
            <v>1650</v>
          </cell>
          <cell r="E1653">
            <v>40169300</v>
          </cell>
          <cell r="F1653">
            <v>5</v>
          </cell>
          <cell r="G1653" t="str">
            <v>SEALS-BALL VALVE</v>
          </cell>
        </row>
        <row r="1654">
          <cell r="D1654">
            <v>1651</v>
          </cell>
          <cell r="E1654">
            <v>40169300</v>
          </cell>
          <cell r="F1654">
            <v>5</v>
          </cell>
          <cell r="G1654" t="str">
            <v>SEAL BUTTERFLY VALVE</v>
          </cell>
        </row>
        <row r="1655">
          <cell r="D1655">
            <v>1652</v>
          </cell>
          <cell r="E1655">
            <v>84849000</v>
          </cell>
          <cell r="F1655">
            <v>5</v>
          </cell>
          <cell r="G1655" t="str">
            <v>LINER-BUTTERFLY VALVE</v>
          </cell>
        </row>
        <row r="1656">
          <cell r="D1656">
            <v>1653</v>
          </cell>
          <cell r="E1656">
            <v>73071900</v>
          </cell>
          <cell r="F1656">
            <v>5</v>
          </cell>
          <cell r="G1656" t="str">
            <v>BUSHS</v>
          </cell>
        </row>
        <row r="1657">
          <cell r="D1657">
            <v>1654</v>
          </cell>
          <cell r="E1657">
            <v>84834000</v>
          </cell>
          <cell r="F1657">
            <v>5</v>
          </cell>
          <cell r="G1657" t="str">
            <v>GEAR SET</v>
          </cell>
        </row>
        <row r="1658">
          <cell r="D1658">
            <v>1655</v>
          </cell>
          <cell r="E1658">
            <v>84818090</v>
          </cell>
          <cell r="F1658">
            <v>5</v>
          </cell>
          <cell r="G1658" t="str">
            <v>CARBON STEEL NIFE GATE  VALVE</v>
          </cell>
        </row>
        <row r="1659">
          <cell r="D1659">
            <v>1656</v>
          </cell>
          <cell r="E1659">
            <v>73182400</v>
          </cell>
          <cell r="F1659">
            <v>5</v>
          </cell>
          <cell r="G1659" t="str">
            <v>WEDGE</v>
          </cell>
        </row>
        <row r="1660">
          <cell r="D1660">
            <v>1657</v>
          </cell>
          <cell r="E1660">
            <v>84859000</v>
          </cell>
          <cell r="F1660">
            <v>5</v>
          </cell>
          <cell r="G1660" t="str">
            <v>MECHANICAL SEATS</v>
          </cell>
        </row>
        <row r="1661">
          <cell r="D1661">
            <v>1658</v>
          </cell>
          <cell r="E1661">
            <v>84849000</v>
          </cell>
          <cell r="F1661">
            <v>5</v>
          </cell>
          <cell r="G1661" t="str">
            <v>DIAPHRAGM</v>
          </cell>
        </row>
        <row r="1662">
          <cell r="D1662">
            <v>1659</v>
          </cell>
          <cell r="E1662">
            <v>84859000</v>
          </cell>
          <cell r="F1662">
            <v>5</v>
          </cell>
          <cell r="G1662" t="str">
            <v>DIAPHRAGM ADAPTOR</v>
          </cell>
        </row>
        <row r="1663">
          <cell r="D1663">
            <v>1660</v>
          </cell>
          <cell r="E1663">
            <v>84819000</v>
          </cell>
          <cell r="F1663">
            <v>5</v>
          </cell>
          <cell r="G1663" t="str">
            <v>BALL</v>
          </cell>
        </row>
        <row r="1664">
          <cell r="D1664">
            <v>1661</v>
          </cell>
          <cell r="E1664">
            <v>84859000</v>
          </cell>
          <cell r="F1664">
            <v>5</v>
          </cell>
          <cell r="G1664" t="str">
            <v>DISC</v>
          </cell>
        </row>
        <row r="1665">
          <cell r="D1665">
            <v>1662</v>
          </cell>
          <cell r="E1665">
            <v>40169300</v>
          </cell>
          <cell r="F1665">
            <v>5</v>
          </cell>
          <cell r="G1665" t="str">
            <v>SEALS-BALL VALVE</v>
          </cell>
        </row>
        <row r="1666">
          <cell r="D1666">
            <v>1663</v>
          </cell>
          <cell r="E1666">
            <v>40169300</v>
          </cell>
          <cell r="F1666">
            <v>5</v>
          </cell>
          <cell r="G1666" t="str">
            <v>SEAL BUTTERFLY VALVE</v>
          </cell>
        </row>
        <row r="1667">
          <cell r="D1667">
            <v>1664</v>
          </cell>
          <cell r="E1667">
            <v>84849000</v>
          </cell>
          <cell r="F1667">
            <v>5</v>
          </cell>
          <cell r="G1667" t="str">
            <v>LINER-BUTTERFLY VALVE</v>
          </cell>
        </row>
        <row r="1668">
          <cell r="D1668">
            <v>1665</v>
          </cell>
          <cell r="E1668">
            <v>73071900</v>
          </cell>
          <cell r="F1668">
            <v>5</v>
          </cell>
          <cell r="G1668" t="str">
            <v>BUSHS</v>
          </cell>
        </row>
        <row r="1669">
          <cell r="D1669">
            <v>1666</v>
          </cell>
          <cell r="E1669">
            <v>84834000</v>
          </cell>
          <cell r="F1669">
            <v>5</v>
          </cell>
          <cell r="G1669" t="str">
            <v>GEAR SET</v>
          </cell>
        </row>
        <row r="1670">
          <cell r="D1670">
            <v>1667</v>
          </cell>
          <cell r="E1670">
            <v>73072100</v>
          </cell>
          <cell r="F1670">
            <v>5</v>
          </cell>
          <cell r="G1670" t="str">
            <v>FLANGE</v>
          </cell>
        </row>
        <row r="1671">
          <cell r="D1671">
            <v>1668</v>
          </cell>
          <cell r="E1671">
            <v>73079900</v>
          </cell>
          <cell r="F1671">
            <v>5</v>
          </cell>
          <cell r="G1671" t="str">
            <v xml:space="preserve">FITTING-FORGED </v>
          </cell>
        </row>
        <row r="1672">
          <cell r="D1672">
            <v>1669</v>
          </cell>
          <cell r="E1672">
            <v>73079900</v>
          </cell>
          <cell r="F1672">
            <v>5</v>
          </cell>
          <cell r="G1672" t="str">
            <v>FITTING-BW</v>
          </cell>
        </row>
        <row r="1673">
          <cell r="D1673">
            <v>1670</v>
          </cell>
          <cell r="E1673">
            <v>73181500</v>
          </cell>
          <cell r="F1673">
            <v>5</v>
          </cell>
          <cell r="G1673" t="str">
            <v>BOLT AND NUT</v>
          </cell>
        </row>
        <row r="1674">
          <cell r="D1674">
            <v>1671</v>
          </cell>
          <cell r="E1674">
            <v>84841000</v>
          </cell>
          <cell r="F1674">
            <v>5</v>
          </cell>
          <cell r="G1674" t="str">
            <v>GASKET</v>
          </cell>
        </row>
        <row r="1675">
          <cell r="D1675">
            <v>1672</v>
          </cell>
          <cell r="E1675">
            <v>73181600</v>
          </cell>
          <cell r="F1675">
            <v>5</v>
          </cell>
          <cell r="G1675" t="str">
            <v xml:space="preserve">EYE WASHER </v>
          </cell>
        </row>
        <row r="1676">
          <cell r="D1676">
            <v>1673</v>
          </cell>
          <cell r="E1676">
            <v>84849000</v>
          </cell>
          <cell r="F1676">
            <v>5</v>
          </cell>
          <cell r="G1676" t="str">
            <v>SPACER &amp; BLANK</v>
          </cell>
        </row>
        <row r="1677">
          <cell r="D1677">
            <v>1674</v>
          </cell>
          <cell r="E1677">
            <v>73079900</v>
          </cell>
          <cell r="F1677">
            <v>5</v>
          </cell>
          <cell r="G1677" t="str">
            <v>HOSE CONNECTION</v>
          </cell>
        </row>
        <row r="1678">
          <cell r="D1678">
            <v>1675</v>
          </cell>
          <cell r="E1678">
            <v>87089200</v>
          </cell>
          <cell r="F1678">
            <v>5</v>
          </cell>
          <cell r="G1678" t="str">
            <v>EXHAUST SILENCER</v>
          </cell>
        </row>
        <row r="1679">
          <cell r="D1679">
            <v>1676</v>
          </cell>
          <cell r="E1679">
            <v>84818090</v>
          </cell>
          <cell r="F1679">
            <v>5</v>
          </cell>
          <cell r="G1679" t="str">
            <v>SPRAY NOZZLE</v>
          </cell>
        </row>
        <row r="1680">
          <cell r="D1680">
            <v>1677</v>
          </cell>
          <cell r="E1680">
            <v>84859000</v>
          </cell>
          <cell r="F1680">
            <v>5</v>
          </cell>
          <cell r="G1680" t="str">
            <v>RUPTURE DISC</v>
          </cell>
        </row>
        <row r="1681">
          <cell r="D1681">
            <v>1678</v>
          </cell>
          <cell r="E1681">
            <v>70179000</v>
          </cell>
          <cell r="F1681">
            <v>5</v>
          </cell>
          <cell r="G1681" t="str">
            <v>SIGHT GLASS</v>
          </cell>
        </row>
        <row r="1682">
          <cell r="D1682">
            <v>1679</v>
          </cell>
          <cell r="E1682">
            <v>70072900</v>
          </cell>
          <cell r="F1682">
            <v>5</v>
          </cell>
          <cell r="G1682" t="str">
            <v>GLASS</v>
          </cell>
        </row>
        <row r="1683">
          <cell r="D1683">
            <v>1680</v>
          </cell>
          <cell r="E1683">
            <v>84841000</v>
          </cell>
          <cell r="F1683">
            <v>5</v>
          </cell>
          <cell r="G1683" t="str">
            <v>GASKET</v>
          </cell>
        </row>
        <row r="1684">
          <cell r="D1684">
            <v>1681</v>
          </cell>
          <cell r="E1684">
            <v>40169590</v>
          </cell>
          <cell r="F1684">
            <v>5</v>
          </cell>
          <cell r="G1684" t="str">
            <v>CUSHION</v>
          </cell>
        </row>
        <row r="1685">
          <cell r="D1685">
            <v>1682</v>
          </cell>
          <cell r="E1685">
            <v>68141000</v>
          </cell>
          <cell r="F1685">
            <v>5</v>
          </cell>
          <cell r="G1685" t="str">
            <v>MICA</v>
          </cell>
        </row>
        <row r="1686">
          <cell r="D1686">
            <v>1683</v>
          </cell>
          <cell r="E1686">
            <v>90268000</v>
          </cell>
          <cell r="F1686">
            <v>5</v>
          </cell>
          <cell r="G1686" t="str">
            <v>BALL-INDICATOR</v>
          </cell>
        </row>
        <row r="1687">
          <cell r="D1687">
            <v>1684</v>
          </cell>
          <cell r="E1687">
            <v>84849000</v>
          </cell>
          <cell r="F1687">
            <v>5</v>
          </cell>
          <cell r="G1687" t="str">
            <v>PACKING</v>
          </cell>
        </row>
        <row r="1688">
          <cell r="D1688">
            <v>1685</v>
          </cell>
          <cell r="E1688">
            <v>73071900</v>
          </cell>
          <cell r="F1688">
            <v>5</v>
          </cell>
          <cell r="G1688" t="str">
            <v>PLUG</v>
          </cell>
        </row>
        <row r="1689">
          <cell r="D1689">
            <v>1686</v>
          </cell>
          <cell r="E1689">
            <v>73182400</v>
          </cell>
          <cell r="F1689">
            <v>5</v>
          </cell>
          <cell r="G1689" t="str">
            <v>WEDGE</v>
          </cell>
        </row>
        <row r="1690">
          <cell r="D1690">
            <v>1687</v>
          </cell>
          <cell r="E1690">
            <v>84859000</v>
          </cell>
          <cell r="F1690">
            <v>5</v>
          </cell>
          <cell r="G1690" t="str">
            <v>MECHANICAL SEATS</v>
          </cell>
        </row>
        <row r="1691">
          <cell r="D1691">
            <v>1688</v>
          </cell>
          <cell r="E1691">
            <v>84814000</v>
          </cell>
          <cell r="F1691">
            <v>5</v>
          </cell>
          <cell r="G1691" t="str">
            <v>BALL-SAFETY</v>
          </cell>
        </row>
        <row r="1692">
          <cell r="D1692">
            <v>1689</v>
          </cell>
          <cell r="E1692">
            <v>84818090</v>
          </cell>
          <cell r="F1692">
            <v>5</v>
          </cell>
          <cell r="G1692" t="str">
            <v>STEAM TRAP</v>
          </cell>
        </row>
        <row r="1693">
          <cell r="D1693">
            <v>1690</v>
          </cell>
          <cell r="E1693">
            <v>40169300</v>
          </cell>
          <cell r="F1693">
            <v>5</v>
          </cell>
          <cell r="G1693" t="str">
            <v>O'RINGS</v>
          </cell>
        </row>
        <row r="1694">
          <cell r="D1694">
            <v>1691</v>
          </cell>
          <cell r="E1694">
            <v>84859000</v>
          </cell>
          <cell r="F1694">
            <v>5</v>
          </cell>
          <cell r="G1694" t="str">
            <v>MECHANICAL SEATS</v>
          </cell>
        </row>
        <row r="1695">
          <cell r="D1695">
            <v>1692</v>
          </cell>
          <cell r="E1695">
            <v>84859000</v>
          </cell>
          <cell r="F1695">
            <v>5</v>
          </cell>
          <cell r="G1695" t="str">
            <v>DISC</v>
          </cell>
        </row>
        <row r="1696">
          <cell r="D1696">
            <v>1693</v>
          </cell>
          <cell r="E1696">
            <v>40170090</v>
          </cell>
          <cell r="F1696">
            <v>5</v>
          </cell>
          <cell r="G1696" t="str">
            <v>FLOAT</v>
          </cell>
        </row>
        <row r="1697">
          <cell r="D1697">
            <v>1694</v>
          </cell>
          <cell r="E1697">
            <v>73262090</v>
          </cell>
          <cell r="F1697">
            <v>20</v>
          </cell>
          <cell r="G1697" t="str">
            <v>BUCKET</v>
          </cell>
        </row>
        <row r="1698">
          <cell r="D1698">
            <v>1695</v>
          </cell>
          <cell r="E1698">
            <v>73202000</v>
          </cell>
          <cell r="F1698">
            <v>5</v>
          </cell>
          <cell r="G1698" t="str">
            <v>SPRING</v>
          </cell>
        </row>
        <row r="1699">
          <cell r="D1699">
            <v>1696</v>
          </cell>
          <cell r="E1699">
            <v>84219900</v>
          </cell>
          <cell r="F1699">
            <v>5</v>
          </cell>
          <cell r="G1699" t="str">
            <v>ELEMENTS</v>
          </cell>
        </row>
        <row r="1700">
          <cell r="D1700">
            <v>1697</v>
          </cell>
          <cell r="E1700">
            <v>84212190</v>
          </cell>
          <cell r="F1700">
            <v>5</v>
          </cell>
          <cell r="G1700" t="str">
            <v>PERMANENT STRAINER</v>
          </cell>
        </row>
        <row r="1701">
          <cell r="D1701">
            <v>1698</v>
          </cell>
          <cell r="E1701">
            <v>84219900</v>
          </cell>
          <cell r="F1701">
            <v>5</v>
          </cell>
          <cell r="G1701" t="str">
            <v>ELEMENTS STRAINER</v>
          </cell>
        </row>
        <row r="1702">
          <cell r="D1702">
            <v>1699</v>
          </cell>
          <cell r="E1702">
            <v>84818090</v>
          </cell>
          <cell r="F1702">
            <v>5</v>
          </cell>
          <cell r="G1702" t="str">
            <v>BREATHER VALVE</v>
          </cell>
        </row>
        <row r="1703">
          <cell r="D1703">
            <v>1700</v>
          </cell>
          <cell r="E1703">
            <v>73071900</v>
          </cell>
          <cell r="F1703">
            <v>5</v>
          </cell>
          <cell r="G1703" t="str">
            <v>PLUG(S)</v>
          </cell>
        </row>
        <row r="1704">
          <cell r="D1704">
            <v>1701</v>
          </cell>
          <cell r="E1704">
            <v>84859000</v>
          </cell>
          <cell r="F1704">
            <v>5</v>
          </cell>
          <cell r="G1704" t="str">
            <v>DISC(S)</v>
          </cell>
        </row>
        <row r="1705">
          <cell r="D1705">
            <v>1702</v>
          </cell>
          <cell r="E1705">
            <v>84859000</v>
          </cell>
          <cell r="F1705">
            <v>5</v>
          </cell>
          <cell r="G1705" t="str">
            <v>MECHANICAL SEATS</v>
          </cell>
        </row>
        <row r="1706">
          <cell r="D1706">
            <v>1703</v>
          </cell>
          <cell r="E1706">
            <v>84818090</v>
          </cell>
          <cell r="F1706">
            <v>5</v>
          </cell>
          <cell r="G1706" t="str">
            <v>NOZZLE(S)</v>
          </cell>
        </row>
        <row r="1707">
          <cell r="D1707">
            <v>1704</v>
          </cell>
          <cell r="E1707">
            <v>84819000</v>
          </cell>
          <cell r="F1707">
            <v>5</v>
          </cell>
          <cell r="G1707" t="str">
            <v>STEM(S)</v>
          </cell>
        </row>
        <row r="1708">
          <cell r="D1708">
            <v>1705</v>
          </cell>
          <cell r="E1708">
            <v>73202000</v>
          </cell>
          <cell r="F1708">
            <v>5</v>
          </cell>
          <cell r="G1708" t="str">
            <v>SPRING(S)</v>
          </cell>
        </row>
        <row r="1709">
          <cell r="D1709">
            <v>1706</v>
          </cell>
          <cell r="E1709">
            <v>84849000</v>
          </cell>
          <cell r="F1709">
            <v>5</v>
          </cell>
          <cell r="G1709" t="str">
            <v>GASKET/O'RINGS</v>
          </cell>
        </row>
        <row r="1710">
          <cell r="D1710">
            <v>1707</v>
          </cell>
          <cell r="E1710">
            <v>84849000</v>
          </cell>
          <cell r="F1710">
            <v>5</v>
          </cell>
          <cell r="G1710" t="str">
            <v>DIAPHRAGM</v>
          </cell>
        </row>
        <row r="1711">
          <cell r="D1711">
            <v>1708</v>
          </cell>
          <cell r="E1711">
            <v>84818090</v>
          </cell>
          <cell r="F1711">
            <v>5</v>
          </cell>
          <cell r="G1711" t="str">
            <v>PILOT VALVE ASSEMBLY</v>
          </cell>
        </row>
        <row r="1712">
          <cell r="D1712">
            <v>1709</v>
          </cell>
          <cell r="E1712">
            <v>40170090</v>
          </cell>
          <cell r="F1712">
            <v>5</v>
          </cell>
          <cell r="G1712" t="str">
            <v>BELLOWS</v>
          </cell>
        </row>
        <row r="1713">
          <cell r="D1713">
            <v>1710</v>
          </cell>
          <cell r="E1713">
            <v>84149000</v>
          </cell>
          <cell r="F1713">
            <v>5</v>
          </cell>
          <cell r="G1713" t="str">
            <v>EXPANSION BELLOW</v>
          </cell>
        </row>
        <row r="1714">
          <cell r="D1714">
            <v>1711</v>
          </cell>
          <cell r="E1714">
            <v>83079000</v>
          </cell>
          <cell r="F1714">
            <v>5</v>
          </cell>
          <cell r="G1714" t="str">
            <v>FLEXIBLE TUBE</v>
          </cell>
        </row>
        <row r="1715">
          <cell r="D1715">
            <v>1712</v>
          </cell>
          <cell r="E1715">
            <v>73069000</v>
          </cell>
          <cell r="F1715">
            <v>20</v>
          </cell>
          <cell r="G1715" t="str">
            <v>CARBON STEEL EXTERNAL-COATED PIPE - 1/2 IN NS THROUGH 50 IN NS</v>
          </cell>
        </row>
        <row r="1716">
          <cell r="D1716">
            <v>1713</v>
          </cell>
          <cell r="E1716">
            <v>73069000</v>
          </cell>
          <cell r="F1716">
            <v>20</v>
          </cell>
          <cell r="G1716" t="str">
            <v>CARBON STEEL GALVANIZED PIPE - 1/2 IN NS THROUGH 10 NS IN</v>
          </cell>
        </row>
        <row r="1717">
          <cell r="D1717">
            <v>1714</v>
          </cell>
          <cell r="E1717">
            <v>84193900</v>
          </cell>
          <cell r="F1717">
            <v>5</v>
          </cell>
          <cell r="G1717" t="str">
            <v>AIR TRAP DRAINER</v>
          </cell>
        </row>
        <row r="1718">
          <cell r="D1718">
            <v>1715</v>
          </cell>
          <cell r="E1718">
            <v>84193900</v>
          </cell>
          <cell r="F1718">
            <v>5</v>
          </cell>
          <cell r="G1718" t="str">
            <v>LIQUID DRAINER</v>
          </cell>
        </row>
        <row r="1719">
          <cell r="D1719">
            <v>1716</v>
          </cell>
          <cell r="E1719">
            <v>84169000</v>
          </cell>
          <cell r="F1719">
            <v>5</v>
          </cell>
          <cell r="G1719" t="str">
            <v>FLAME ARRESTOR</v>
          </cell>
        </row>
        <row r="1720">
          <cell r="D1720">
            <v>1717</v>
          </cell>
          <cell r="E1720">
            <v>84798200</v>
          </cell>
          <cell r="F1720">
            <v>5</v>
          </cell>
          <cell r="G1720" t="str">
            <v>LINE MIXER</v>
          </cell>
        </row>
        <row r="1721">
          <cell r="D1721">
            <v>1718</v>
          </cell>
          <cell r="E1721">
            <v>73079900</v>
          </cell>
          <cell r="F1721">
            <v>5</v>
          </cell>
          <cell r="G1721" t="str">
            <v>PIPE COUPLING</v>
          </cell>
        </row>
        <row r="1722">
          <cell r="D1722">
            <v>1719</v>
          </cell>
          <cell r="E1722">
            <v>84213900</v>
          </cell>
          <cell r="F1722">
            <v>5</v>
          </cell>
          <cell r="G1722" t="str">
            <v>GAS FILTER</v>
          </cell>
        </row>
        <row r="1723">
          <cell r="D1723">
            <v>1720</v>
          </cell>
          <cell r="E1723">
            <v>73079900</v>
          </cell>
          <cell r="F1723">
            <v>5</v>
          </cell>
          <cell r="G1723" t="str">
            <v>SPECIAL CONNECTION PIPE</v>
          </cell>
        </row>
        <row r="1724">
          <cell r="D1724">
            <v>1721</v>
          </cell>
          <cell r="E1724">
            <v>40095090</v>
          </cell>
          <cell r="F1724">
            <v>5</v>
          </cell>
          <cell r="G1724" t="str">
            <v>RUBBER HOSE</v>
          </cell>
        </row>
        <row r="1725">
          <cell r="D1725">
            <v>1722</v>
          </cell>
          <cell r="E1725">
            <v>84249090</v>
          </cell>
          <cell r="F1725">
            <v>5</v>
          </cell>
          <cell r="G1725" t="str">
            <v>EXHAUST HEAD</v>
          </cell>
        </row>
        <row r="1726">
          <cell r="D1726">
            <v>1723</v>
          </cell>
          <cell r="E1726">
            <v>72089000</v>
          </cell>
          <cell r="F1726">
            <v>5</v>
          </cell>
          <cell r="G1726" t="str">
            <v>PIPING PLATE</v>
          </cell>
        </row>
        <row r="1727">
          <cell r="D1727">
            <v>1724</v>
          </cell>
          <cell r="E1727">
            <v>7301100</v>
          </cell>
          <cell r="F1727">
            <v>5</v>
          </cell>
          <cell r="G1727" t="str">
            <v>PIPING SUPPORT ATTACHMENT</v>
          </cell>
        </row>
        <row r="1728">
          <cell r="D1728">
            <v>1725</v>
          </cell>
          <cell r="E1728">
            <v>84818090</v>
          </cell>
          <cell r="F1728">
            <v>5</v>
          </cell>
          <cell r="G1728" t="str">
            <v>CARBON STEEL DIAPHRAGM VALVE</v>
          </cell>
        </row>
        <row r="1729">
          <cell r="D1729">
            <v>1726</v>
          </cell>
          <cell r="E1729">
            <v>84818090</v>
          </cell>
          <cell r="F1729">
            <v>5</v>
          </cell>
          <cell r="G1729" t="str">
            <v>CARBON STEEL ANGLE VALVE</v>
          </cell>
        </row>
        <row r="1730">
          <cell r="D1730">
            <v>1727</v>
          </cell>
          <cell r="E1730">
            <v>84818090</v>
          </cell>
          <cell r="F1730">
            <v>5</v>
          </cell>
          <cell r="G1730" t="str">
            <v>CARBON STEEL NEEDLE VALVE</v>
          </cell>
        </row>
        <row r="1731">
          <cell r="D1731">
            <v>1728</v>
          </cell>
          <cell r="E1731">
            <v>84818090</v>
          </cell>
          <cell r="F1731">
            <v>5</v>
          </cell>
          <cell r="G1731" t="str">
            <v>CARBON STEEL BLOWDOWN VALVE</v>
          </cell>
        </row>
        <row r="1732">
          <cell r="D1732">
            <v>1729</v>
          </cell>
          <cell r="E1732">
            <v>84818090</v>
          </cell>
          <cell r="F1732">
            <v>5</v>
          </cell>
          <cell r="G1732" t="str">
            <v>CARBON STEEL AUTO RECIRCULATION VALVE</v>
          </cell>
        </row>
        <row r="1733">
          <cell r="D1733">
            <v>1730</v>
          </cell>
          <cell r="E1733">
            <v>84818090</v>
          </cell>
          <cell r="F1733">
            <v>5</v>
          </cell>
          <cell r="G1733" t="str">
            <v>CARBON STEEL AIR OPERATED VALVE</v>
          </cell>
        </row>
        <row r="1734">
          <cell r="D1734">
            <v>1731</v>
          </cell>
          <cell r="E1734">
            <v>84818090</v>
          </cell>
          <cell r="F1734">
            <v>5</v>
          </cell>
          <cell r="G1734" t="str">
            <v>STAINLESS STEEL BUTTERFLY VALVE</v>
          </cell>
        </row>
        <row r="1735">
          <cell r="D1735">
            <v>1732</v>
          </cell>
          <cell r="E1735">
            <v>84818090</v>
          </cell>
          <cell r="F1735">
            <v>5</v>
          </cell>
          <cell r="G1735" t="str">
            <v xml:space="preserve">STAINLESS STEEL PLUG VALVE </v>
          </cell>
        </row>
        <row r="1736">
          <cell r="D1736">
            <v>1733</v>
          </cell>
          <cell r="E1736">
            <v>84818090</v>
          </cell>
          <cell r="F1736">
            <v>5</v>
          </cell>
          <cell r="G1736" t="str">
            <v>STAINLESS STEEL NEEDLE VALVE</v>
          </cell>
        </row>
        <row r="1737">
          <cell r="D1737">
            <v>1734</v>
          </cell>
          <cell r="E1737">
            <v>85479000</v>
          </cell>
          <cell r="F1737">
            <v>5</v>
          </cell>
          <cell r="G1737" t="str">
            <v xml:space="preserve">CATHODIC PROTECTION </v>
          </cell>
        </row>
        <row r="1738">
          <cell r="D1738">
            <v>1735</v>
          </cell>
          <cell r="E1738">
            <v>73262090</v>
          </cell>
          <cell r="F1738">
            <v>20</v>
          </cell>
          <cell r="G1738" t="str">
            <v>CORROSION PROTECTION TAPE</v>
          </cell>
        </row>
        <row r="1739">
          <cell r="D1739">
            <v>1736</v>
          </cell>
          <cell r="E1739">
            <v>73043900</v>
          </cell>
          <cell r="F1739">
            <v>20</v>
          </cell>
          <cell r="G1739" t="str">
            <v>FRP PIPING</v>
          </cell>
        </row>
        <row r="1740">
          <cell r="D1740">
            <v>1737</v>
          </cell>
          <cell r="E1740">
            <v>73043900</v>
          </cell>
          <cell r="F1740">
            <v>20</v>
          </cell>
          <cell r="G1740" t="str">
            <v>PTFE PIPING</v>
          </cell>
        </row>
        <row r="1741">
          <cell r="D1741">
            <v>1738</v>
          </cell>
          <cell r="E1741">
            <v>73072200</v>
          </cell>
          <cell r="F1741">
            <v>5</v>
          </cell>
          <cell r="G1741" t="str">
            <v>BEND</v>
          </cell>
        </row>
        <row r="1742">
          <cell r="D1742">
            <v>1739</v>
          </cell>
          <cell r="E1742">
            <v>84193900</v>
          </cell>
          <cell r="F1742">
            <v>5</v>
          </cell>
          <cell r="G1742" t="str">
            <v>HVAC EQUIPMENT</v>
          </cell>
        </row>
        <row r="1743">
          <cell r="D1743">
            <v>1740</v>
          </cell>
          <cell r="E1743">
            <v>84199000</v>
          </cell>
          <cell r="F1743">
            <v>5</v>
          </cell>
          <cell r="G1743" t="str">
            <v>HVAC EQUIPMENT PACKAGE</v>
          </cell>
        </row>
        <row r="1744">
          <cell r="D1744">
            <v>1741</v>
          </cell>
          <cell r="E1744">
            <v>84138190</v>
          </cell>
          <cell r="F1744">
            <v>5</v>
          </cell>
          <cell r="G1744" t="str">
            <v>PUMP FOR HVAC EQUIPMENT</v>
          </cell>
        </row>
        <row r="1745">
          <cell r="D1745">
            <v>1742</v>
          </cell>
          <cell r="E1745">
            <v>84158390</v>
          </cell>
          <cell r="F1745">
            <v>5</v>
          </cell>
          <cell r="G1745" t="str">
            <v>HUMIDIFIER FOR HVAC EQUIPMENT</v>
          </cell>
        </row>
        <row r="1746">
          <cell r="D1746">
            <v>1743</v>
          </cell>
          <cell r="E1746">
            <v>84262000</v>
          </cell>
          <cell r="F1746">
            <v>5</v>
          </cell>
          <cell r="G1746" t="str">
            <v>ELEVATOR</v>
          </cell>
        </row>
        <row r="1747">
          <cell r="D1747">
            <v>1744</v>
          </cell>
          <cell r="E1747">
            <v>84263000</v>
          </cell>
          <cell r="F1747">
            <v>5</v>
          </cell>
          <cell r="G1747" t="str">
            <v>OVERHEAD CRANE</v>
          </cell>
        </row>
        <row r="1748">
          <cell r="D1748">
            <v>1745</v>
          </cell>
          <cell r="E1748">
            <v>84262000</v>
          </cell>
          <cell r="F1748">
            <v>5</v>
          </cell>
          <cell r="G1748" t="str">
            <v>HOIST</v>
          </cell>
        </row>
        <row r="1749">
          <cell r="D1749">
            <v>1746</v>
          </cell>
          <cell r="E1749">
            <v>84849000</v>
          </cell>
          <cell r="F1749">
            <v>5</v>
          </cell>
          <cell r="G1749" t="str">
            <v>MAGNET BRAKE LINING</v>
          </cell>
        </row>
        <row r="1750">
          <cell r="D1750">
            <v>1747</v>
          </cell>
          <cell r="E1750">
            <v>85365000</v>
          </cell>
          <cell r="F1750">
            <v>5</v>
          </cell>
          <cell r="G1750" t="str">
            <v>CONTRACTOR MAGNET SWITCH</v>
          </cell>
        </row>
        <row r="1751">
          <cell r="D1751">
            <v>1748</v>
          </cell>
          <cell r="E1751">
            <v>85353000</v>
          </cell>
          <cell r="F1751">
            <v>5</v>
          </cell>
          <cell r="G1751" t="str">
            <v>LIMIT SWITCH</v>
          </cell>
        </row>
        <row r="1752">
          <cell r="D1752">
            <v>1749</v>
          </cell>
          <cell r="E1752">
            <v>85353000</v>
          </cell>
          <cell r="F1752">
            <v>5</v>
          </cell>
          <cell r="G1752" t="str">
            <v>PUSH BOTTON</v>
          </cell>
        </row>
        <row r="1753">
          <cell r="D1753">
            <v>1750</v>
          </cell>
          <cell r="E1753">
            <v>84821000</v>
          </cell>
          <cell r="F1753">
            <v>5</v>
          </cell>
          <cell r="G1753" t="str">
            <v>BEARING</v>
          </cell>
        </row>
        <row r="1754">
          <cell r="D1754">
            <v>1751</v>
          </cell>
          <cell r="E1754">
            <v>84262000</v>
          </cell>
          <cell r="F1754">
            <v>5</v>
          </cell>
          <cell r="G1754" t="str">
            <v>AIR HOIST</v>
          </cell>
        </row>
        <row r="1755">
          <cell r="D1755">
            <v>1752</v>
          </cell>
          <cell r="E1755">
            <v>84835000</v>
          </cell>
          <cell r="F1755">
            <v>5</v>
          </cell>
          <cell r="G1755" t="str">
            <v>CHAIN BLOCK</v>
          </cell>
        </row>
        <row r="1756">
          <cell r="D1756">
            <v>1753</v>
          </cell>
          <cell r="E1756">
            <v>84261900</v>
          </cell>
          <cell r="F1756">
            <v>5</v>
          </cell>
          <cell r="G1756" t="str">
            <v>WINCH</v>
          </cell>
        </row>
        <row r="1757">
          <cell r="D1757">
            <v>1754</v>
          </cell>
          <cell r="E1757">
            <v>84186910</v>
          </cell>
          <cell r="F1757">
            <v>5</v>
          </cell>
          <cell r="G1757" t="str">
            <v>WATER CHILLER</v>
          </cell>
        </row>
        <row r="1758">
          <cell r="D1758">
            <v>1755</v>
          </cell>
          <cell r="E1758">
            <v>73090090</v>
          </cell>
          <cell r="F1758">
            <v>5</v>
          </cell>
          <cell r="G1758" t="str">
            <v>EXPANSION TANK</v>
          </cell>
        </row>
        <row r="1759">
          <cell r="D1759">
            <v>1756</v>
          </cell>
          <cell r="E1759">
            <v>84145900</v>
          </cell>
          <cell r="F1759">
            <v>5</v>
          </cell>
          <cell r="G1759" t="str">
            <v>CENTRIFUGAL FAN</v>
          </cell>
        </row>
        <row r="1760">
          <cell r="D1760">
            <v>1757</v>
          </cell>
          <cell r="E1760">
            <v>84145900</v>
          </cell>
          <cell r="F1760">
            <v>5</v>
          </cell>
          <cell r="G1760" t="str">
            <v>ROOF MOUNTED FAN</v>
          </cell>
        </row>
        <row r="1761">
          <cell r="D1761">
            <v>1758</v>
          </cell>
          <cell r="E1761">
            <v>84145900</v>
          </cell>
          <cell r="F1761">
            <v>5</v>
          </cell>
          <cell r="G1761" t="str">
            <v>AXIAL FAN</v>
          </cell>
        </row>
        <row r="1762">
          <cell r="D1762">
            <v>1759</v>
          </cell>
          <cell r="E1762">
            <v>84212190</v>
          </cell>
          <cell r="F1762">
            <v>5</v>
          </cell>
          <cell r="G1762" t="str">
            <v>FILTER UNIT</v>
          </cell>
        </row>
        <row r="1763">
          <cell r="D1763">
            <v>1760</v>
          </cell>
          <cell r="E1763">
            <v>85162990</v>
          </cell>
          <cell r="F1763">
            <v>5</v>
          </cell>
          <cell r="G1763" t="str">
            <v>ELECTRIC HEATER</v>
          </cell>
        </row>
        <row r="1764">
          <cell r="D1764">
            <v>1761</v>
          </cell>
          <cell r="E1764">
            <v>84158390</v>
          </cell>
          <cell r="F1764">
            <v>5</v>
          </cell>
          <cell r="G1764" t="str">
            <v>STEAM HUMIDIFIER</v>
          </cell>
        </row>
        <row r="1765">
          <cell r="D1765">
            <v>1762</v>
          </cell>
          <cell r="E1765">
            <v>85372000</v>
          </cell>
          <cell r="F1765">
            <v>5</v>
          </cell>
          <cell r="G1765" t="str">
            <v>AUTOMATIC CONTROL PANEL</v>
          </cell>
        </row>
        <row r="1766">
          <cell r="D1766">
            <v>1763</v>
          </cell>
          <cell r="E1766">
            <v>90321000</v>
          </cell>
          <cell r="F1766">
            <v>5</v>
          </cell>
          <cell r="G1766" t="str">
            <v>ROOM THERMOSTAT</v>
          </cell>
        </row>
        <row r="1767">
          <cell r="D1767">
            <v>1764</v>
          </cell>
          <cell r="E1767">
            <v>90251900</v>
          </cell>
          <cell r="F1767">
            <v>5</v>
          </cell>
          <cell r="G1767" t="str">
            <v>ROOM TEMPERATURE SENSOR</v>
          </cell>
        </row>
        <row r="1768">
          <cell r="D1768">
            <v>1765</v>
          </cell>
          <cell r="E1768">
            <v>90258020</v>
          </cell>
          <cell r="F1768">
            <v>5</v>
          </cell>
          <cell r="G1768" t="str">
            <v>ROOM HUMIDITY SENSOR</v>
          </cell>
        </row>
        <row r="1769">
          <cell r="D1769">
            <v>1766</v>
          </cell>
          <cell r="E1769">
            <v>90262000</v>
          </cell>
          <cell r="F1769">
            <v>5</v>
          </cell>
          <cell r="G1769" t="str">
            <v>DIFFERENTIAL PRESSURE INDICATOR</v>
          </cell>
        </row>
        <row r="1770">
          <cell r="D1770">
            <v>1767</v>
          </cell>
          <cell r="E1770">
            <v>85365000</v>
          </cell>
          <cell r="F1770">
            <v>5</v>
          </cell>
          <cell r="G1770" t="str">
            <v>DIFFERENTIAL PRESSURE SWITCH</v>
          </cell>
        </row>
        <row r="1771">
          <cell r="D1771">
            <v>1768</v>
          </cell>
          <cell r="E1771">
            <v>85115000</v>
          </cell>
          <cell r="F1771">
            <v>5</v>
          </cell>
          <cell r="G1771" t="str">
            <v>DAMPER ACTUATOR</v>
          </cell>
        </row>
        <row r="1772">
          <cell r="D1772">
            <v>1769</v>
          </cell>
          <cell r="E1772">
            <v>84818090</v>
          </cell>
          <cell r="F1772">
            <v>5</v>
          </cell>
          <cell r="G1772" t="str">
            <v>CONTROL VALVE</v>
          </cell>
        </row>
        <row r="1773">
          <cell r="D1773">
            <v>1770</v>
          </cell>
          <cell r="E1773">
            <v>85115000</v>
          </cell>
          <cell r="F1773">
            <v>5</v>
          </cell>
          <cell r="G1773" t="str">
            <v>VALVE ACTUATOR</v>
          </cell>
        </row>
        <row r="1774">
          <cell r="D1774">
            <v>1771</v>
          </cell>
          <cell r="E1774">
            <v>85372000</v>
          </cell>
          <cell r="F1774">
            <v>5</v>
          </cell>
          <cell r="G1774" t="str">
            <v>HVAC CONTROL PANEL</v>
          </cell>
        </row>
        <row r="1775">
          <cell r="D1775">
            <v>1772</v>
          </cell>
          <cell r="E1775">
            <v>84158190</v>
          </cell>
          <cell r="F1775">
            <v>5</v>
          </cell>
          <cell r="G1775" t="str">
            <v>AIR CONDITIONING UNIT</v>
          </cell>
        </row>
        <row r="1776">
          <cell r="D1776">
            <v>1773</v>
          </cell>
          <cell r="E1776">
            <v>73229000</v>
          </cell>
          <cell r="F1776">
            <v>20</v>
          </cell>
          <cell r="G1776" t="str">
            <v>AIR DUCT</v>
          </cell>
        </row>
        <row r="1777">
          <cell r="D1777">
            <v>1774</v>
          </cell>
          <cell r="E1777">
            <v>85372000</v>
          </cell>
          <cell r="F1777">
            <v>5</v>
          </cell>
          <cell r="G1777" t="str">
            <v>CONTROL SWITCH STATION</v>
          </cell>
        </row>
        <row r="1778">
          <cell r="D1778">
            <v>1775</v>
          </cell>
          <cell r="E1778">
            <v>76061100</v>
          </cell>
          <cell r="F1778">
            <v>5</v>
          </cell>
          <cell r="G1778" t="str">
            <v>ALUMINIUM SHEET</v>
          </cell>
        </row>
        <row r="1779">
          <cell r="D1779">
            <v>1776</v>
          </cell>
          <cell r="E1779">
            <v>68127000</v>
          </cell>
          <cell r="F1779">
            <v>5</v>
          </cell>
          <cell r="G1779" t="str">
            <v>ROCK WOOL</v>
          </cell>
        </row>
        <row r="1780">
          <cell r="D1780">
            <v>1777</v>
          </cell>
          <cell r="E1780">
            <v>72089000</v>
          </cell>
          <cell r="F1780">
            <v>5</v>
          </cell>
          <cell r="G1780" t="str">
            <v>ROOLED H-SHAPED STEEL</v>
          </cell>
        </row>
        <row r="1781">
          <cell r="D1781">
            <v>1778</v>
          </cell>
          <cell r="E1781">
            <v>72089000</v>
          </cell>
          <cell r="F1781">
            <v>5</v>
          </cell>
          <cell r="G1781" t="str">
            <v>ROLLED CHANNEL SHAPED STEEL</v>
          </cell>
        </row>
        <row r="1782">
          <cell r="D1782">
            <v>1779</v>
          </cell>
          <cell r="E1782">
            <v>72089000</v>
          </cell>
          <cell r="F1782">
            <v>5</v>
          </cell>
          <cell r="G1782" t="str">
            <v>ROLLED ANGLE AND T-SHAPED STEEL</v>
          </cell>
        </row>
        <row r="1783">
          <cell r="D1783">
            <v>1780</v>
          </cell>
          <cell r="E1783">
            <v>72089000</v>
          </cell>
          <cell r="F1783">
            <v>5</v>
          </cell>
          <cell r="G1783" t="str">
            <v>CHECKER PLATE</v>
          </cell>
        </row>
        <row r="1784">
          <cell r="D1784">
            <v>1781</v>
          </cell>
          <cell r="E1784">
            <v>73089090</v>
          </cell>
          <cell r="F1784">
            <v>5</v>
          </cell>
          <cell r="G1784" t="str">
            <v>STEEL HANDRAIL</v>
          </cell>
        </row>
        <row r="1785">
          <cell r="D1785">
            <v>1782</v>
          </cell>
          <cell r="E1785">
            <v>73299094</v>
          </cell>
          <cell r="F1785">
            <v>20</v>
          </cell>
          <cell r="G1785" t="str">
            <v>STEEL LADDER</v>
          </cell>
        </row>
        <row r="1786">
          <cell r="D1786">
            <v>1783</v>
          </cell>
          <cell r="E1786">
            <v>73269094</v>
          </cell>
          <cell r="F1786">
            <v>20</v>
          </cell>
          <cell r="G1786" t="str">
            <v>STEEL STAIR-CASE</v>
          </cell>
        </row>
        <row r="1787">
          <cell r="D1787">
            <v>1784</v>
          </cell>
          <cell r="E1787">
            <v>84314900</v>
          </cell>
          <cell r="F1787">
            <v>5</v>
          </cell>
          <cell r="G1787" t="str">
            <v>CRANE RAIL</v>
          </cell>
        </row>
        <row r="1788">
          <cell r="D1788">
            <v>1785</v>
          </cell>
          <cell r="E1788">
            <v>72089000</v>
          </cell>
          <cell r="F1788">
            <v>5</v>
          </cell>
          <cell r="G1788" t="str">
            <v>IRON SHEET</v>
          </cell>
        </row>
        <row r="1789">
          <cell r="D1789">
            <v>1786</v>
          </cell>
          <cell r="E1789">
            <v>72089000</v>
          </cell>
          <cell r="F1789">
            <v>5</v>
          </cell>
          <cell r="G1789" t="str">
            <v>FRP SHEET</v>
          </cell>
        </row>
        <row r="1790">
          <cell r="D1790">
            <v>1787</v>
          </cell>
          <cell r="E1790">
            <v>84849000</v>
          </cell>
          <cell r="F1790">
            <v>5</v>
          </cell>
          <cell r="G1790" t="str">
            <v>INSERT PLATE</v>
          </cell>
        </row>
        <row r="1791">
          <cell r="D1791">
            <v>1788</v>
          </cell>
          <cell r="E1791">
            <v>84849000</v>
          </cell>
          <cell r="F1791">
            <v>5</v>
          </cell>
          <cell r="G1791" t="str">
            <v>CARBON STEEL INSERT PLATE</v>
          </cell>
        </row>
        <row r="1792">
          <cell r="D1792">
            <v>1789</v>
          </cell>
          <cell r="E1792">
            <v>84849000</v>
          </cell>
          <cell r="F1792">
            <v>5</v>
          </cell>
          <cell r="G1792" t="str">
            <v>STAINLESS STEEL INSERT PLATE</v>
          </cell>
        </row>
        <row r="1793">
          <cell r="D1793">
            <v>1790</v>
          </cell>
          <cell r="E1793">
            <v>84314900</v>
          </cell>
          <cell r="F1793">
            <v>5</v>
          </cell>
          <cell r="G1793" t="str">
            <v xml:space="preserve">PLATFORM BLANKET </v>
          </cell>
        </row>
        <row r="1794">
          <cell r="D1794">
            <v>1791</v>
          </cell>
          <cell r="E1794">
            <v>73089090</v>
          </cell>
          <cell r="F1794">
            <v>5</v>
          </cell>
          <cell r="G1794" t="str">
            <v>PLATFORM BEAM</v>
          </cell>
        </row>
        <row r="1795">
          <cell r="D1795">
            <v>1792</v>
          </cell>
          <cell r="E1795">
            <v>73084000</v>
          </cell>
          <cell r="F1795">
            <v>5</v>
          </cell>
          <cell r="G1795" t="str">
            <v>PLATFORM HANDRAIL</v>
          </cell>
        </row>
        <row r="1796">
          <cell r="D1796">
            <v>1793</v>
          </cell>
          <cell r="E1796">
            <v>73089090</v>
          </cell>
          <cell r="F1796">
            <v>5</v>
          </cell>
          <cell r="G1796" t="str">
            <v>PLATFORM FLOOR</v>
          </cell>
        </row>
        <row r="1797">
          <cell r="D1797">
            <v>1794</v>
          </cell>
          <cell r="E1797">
            <v>73269099</v>
          </cell>
          <cell r="F1797">
            <v>20</v>
          </cell>
          <cell r="G1797" t="str">
            <v>CAGE AND LADDER</v>
          </cell>
        </row>
        <row r="1798">
          <cell r="D1798">
            <v>1795</v>
          </cell>
          <cell r="E1798">
            <v>84311000</v>
          </cell>
          <cell r="F1798">
            <v>5</v>
          </cell>
          <cell r="G1798" t="str">
            <v>FIRE PROTECTION EQUIPMENT</v>
          </cell>
        </row>
        <row r="1799">
          <cell r="D1799">
            <v>1796</v>
          </cell>
          <cell r="E1799">
            <v>84248190</v>
          </cell>
          <cell r="F1799">
            <v>5</v>
          </cell>
          <cell r="G1799" t="str">
            <v>WATER SPRAY SYSTEM</v>
          </cell>
        </row>
        <row r="1800">
          <cell r="D1800">
            <v>1797</v>
          </cell>
          <cell r="E1800">
            <v>84248190</v>
          </cell>
          <cell r="F1800">
            <v>5</v>
          </cell>
          <cell r="G1800" t="str">
            <v>WATER MIST SYSTEM</v>
          </cell>
        </row>
        <row r="1801">
          <cell r="D1801">
            <v>1798</v>
          </cell>
          <cell r="E1801">
            <v>84248190</v>
          </cell>
          <cell r="F1801">
            <v>5</v>
          </cell>
          <cell r="G1801" t="str">
            <v>CO2 FIRE-FIGHTING SYSTEM</v>
          </cell>
        </row>
        <row r="1802">
          <cell r="D1802">
            <v>1799</v>
          </cell>
          <cell r="E1802">
            <v>84248190</v>
          </cell>
          <cell r="F1802">
            <v>5</v>
          </cell>
          <cell r="G1802" t="str">
            <v>SPRINKLER SYSTEM</v>
          </cell>
        </row>
        <row r="1803">
          <cell r="D1803">
            <v>1800</v>
          </cell>
          <cell r="E1803">
            <v>84241000</v>
          </cell>
          <cell r="F1803">
            <v>5</v>
          </cell>
          <cell r="G1803" t="str">
            <v>FIRE EXTINNGUSHERS</v>
          </cell>
        </row>
        <row r="1804">
          <cell r="D1804">
            <v>1801</v>
          </cell>
          <cell r="E1804">
            <v>73089090</v>
          </cell>
          <cell r="F1804">
            <v>5</v>
          </cell>
          <cell r="G1804" t="str">
            <v>FABRICATED STEEL STRUCTURE</v>
          </cell>
        </row>
        <row r="1805">
          <cell r="D1805">
            <v>1</v>
          </cell>
          <cell r="E1805">
            <v>90303900</v>
          </cell>
          <cell r="F1805">
            <v>5</v>
          </cell>
          <cell r="G1805" t="str">
            <v>REACTOR STATIC PROBE FOR MEASURING STATIC VOLTAGE</v>
          </cell>
        </row>
        <row r="1806">
          <cell r="D1806">
            <v>2</v>
          </cell>
          <cell r="E1806">
            <v>90269000</v>
          </cell>
          <cell r="F1806">
            <v>5</v>
          </cell>
          <cell r="G1806" t="str">
            <v>BLOW BACK PURGE BLOCK ASSEMBLY FOR TRANSMITTER</v>
          </cell>
        </row>
        <row r="1807">
          <cell r="D1807">
            <v>3</v>
          </cell>
          <cell r="E1807">
            <v>90269000</v>
          </cell>
          <cell r="F1807">
            <v>5</v>
          </cell>
          <cell r="G1807" t="str">
            <v>HEATED INSTRUMENT ENCLOSURE FOR MEASURING SYSTEM</v>
          </cell>
        </row>
        <row r="1808">
          <cell r="D1808">
            <v>4</v>
          </cell>
          <cell r="E1808">
            <v>90261000</v>
          </cell>
          <cell r="F1808">
            <v>5</v>
          </cell>
          <cell r="G1808" t="str">
            <v>V-CON TYPE FLOWMETER FOR MEASURING FLOW</v>
          </cell>
        </row>
        <row r="1809">
          <cell r="D1809">
            <v>5</v>
          </cell>
          <cell r="E1809">
            <v>84818090</v>
          </cell>
          <cell r="F1809">
            <v>5</v>
          </cell>
          <cell r="G1809" t="str">
            <v>CAMFLEX CONTROL VALVE</v>
          </cell>
        </row>
        <row r="1810">
          <cell r="D1810">
            <v>6</v>
          </cell>
          <cell r="E1810">
            <v>84818090</v>
          </cell>
          <cell r="F1810">
            <v>5</v>
          </cell>
          <cell r="G1810" t="str">
            <v>SWAGELOCK /WHITY TYPE CONTROL VALVE</v>
          </cell>
        </row>
        <row r="1811">
          <cell r="D1811">
            <v>7</v>
          </cell>
          <cell r="E1811">
            <v>84818090</v>
          </cell>
          <cell r="F1811">
            <v>5</v>
          </cell>
          <cell r="G1811" t="str">
            <v>SELF ACTUATED CONTROL VALVE FOR MEASURING PRESSURE</v>
          </cell>
        </row>
        <row r="1812">
          <cell r="D1812">
            <v>8</v>
          </cell>
          <cell r="E1812">
            <v>90329000</v>
          </cell>
          <cell r="F1812">
            <v>5</v>
          </cell>
          <cell r="G1812" t="str">
            <v>TANK BLANKET SYSTEM FOR PRESSURE CONTROL</v>
          </cell>
        </row>
        <row r="1813">
          <cell r="D1813">
            <v>9</v>
          </cell>
          <cell r="E1813">
            <v>84099140</v>
          </cell>
          <cell r="F1813">
            <v>5</v>
          </cell>
          <cell r="G1813" t="str">
            <v>SILENCER FOR REACTOR</v>
          </cell>
        </row>
        <row r="1814">
          <cell r="D1814">
            <v>10</v>
          </cell>
          <cell r="E1814">
            <v>84099140</v>
          </cell>
          <cell r="F1814">
            <v>5</v>
          </cell>
          <cell r="G1814" t="str">
            <v>SILENCER FOR SOUND PROTECTION</v>
          </cell>
        </row>
        <row r="1815">
          <cell r="D1815">
            <v>11</v>
          </cell>
          <cell r="E1815">
            <v>84158190</v>
          </cell>
          <cell r="F1815">
            <v>5</v>
          </cell>
          <cell r="G1815" t="str">
            <v>AIR COOLED CHILLER UNIT FOR CONTROL TEMPERATURE</v>
          </cell>
        </row>
        <row r="1816">
          <cell r="D1816">
            <v>12</v>
          </cell>
          <cell r="E1816">
            <v>84189990</v>
          </cell>
          <cell r="F1816">
            <v>5</v>
          </cell>
          <cell r="G1816" t="str">
            <v>CENTRIFUGAL LIQUID CHILLER FOR CONTROL TEMPERATURE</v>
          </cell>
        </row>
        <row r="1817">
          <cell r="D1817">
            <v>13</v>
          </cell>
          <cell r="E1817">
            <v>84178090</v>
          </cell>
          <cell r="F1817">
            <v>5</v>
          </cell>
          <cell r="G1817" t="str">
            <v>DEHYDRATOR FURNACE FOR HEAT EXCHANGER</v>
          </cell>
        </row>
        <row r="1818">
          <cell r="D1818">
            <v>14</v>
          </cell>
          <cell r="E1818">
            <v>84195000</v>
          </cell>
          <cell r="F1818">
            <v>5</v>
          </cell>
          <cell r="G1818" t="str">
            <v>CARBON STEEL HEAT EXCHANGER FOR HEAT EXCHANGE</v>
          </cell>
        </row>
        <row r="1819">
          <cell r="D1819">
            <v>15</v>
          </cell>
          <cell r="E1819">
            <v>84199000</v>
          </cell>
          <cell r="F1819">
            <v>5</v>
          </cell>
          <cell r="G1819" t="str">
            <v>DEHYDRATOR FOR HEAT EXCHANGER</v>
          </cell>
        </row>
        <row r="1820">
          <cell r="D1820">
            <v>16</v>
          </cell>
          <cell r="E1820">
            <v>84139100</v>
          </cell>
          <cell r="F1820">
            <v>5</v>
          </cell>
          <cell r="G1820" t="str">
            <v>GEAR PUMP FOR OIL RECOVERY</v>
          </cell>
        </row>
        <row r="1821">
          <cell r="D1821">
            <v>17</v>
          </cell>
          <cell r="E1821">
            <v>84141000</v>
          </cell>
          <cell r="F1821">
            <v>5</v>
          </cell>
          <cell r="G1821" t="str">
            <v>SCREW TYPE COMPRESSOR FOR CONDENSING PROPYLENE GAS</v>
          </cell>
        </row>
        <row r="1822">
          <cell r="D1822">
            <v>18</v>
          </cell>
          <cell r="E1822">
            <v>27100059</v>
          </cell>
          <cell r="F1822">
            <v>20</v>
          </cell>
          <cell r="G1822" t="str">
            <v>LUBE OIL PACKAGE FOR MIXER MOTOR INTEGRATED IN EXTRUDER</v>
          </cell>
        </row>
        <row r="1823">
          <cell r="D1823">
            <v>19</v>
          </cell>
          <cell r="E1823">
            <v>27100095</v>
          </cell>
          <cell r="F1823">
            <v>5</v>
          </cell>
          <cell r="G1823" t="str">
            <v>HYDRAULIC OIL PACKAGE INTEGRATED IN EXTRUDER</v>
          </cell>
        </row>
        <row r="1824">
          <cell r="D1824">
            <v>20</v>
          </cell>
          <cell r="E1824">
            <v>27100059</v>
          </cell>
          <cell r="F1824">
            <v>20</v>
          </cell>
          <cell r="G1824" t="str">
            <v>MELT PUMP COOLING OIL PACKAGE INTEGRATED IN EXTRUDER</v>
          </cell>
        </row>
        <row r="1825">
          <cell r="D1825">
            <v>21</v>
          </cell>
          <cell r="E1825">
            <v>84283900</v>
          </cell>
          <cell r="F1825">
            <v>5</v>
          </cell>
          <cell r="G1825" t="str">
            <v>ELECTRIC MOVING DEVICE FOR REACTOR STRUCTURE</v>
          </cell>
        </row>
        <row r="1826">
          <cell r="D1826">
            <v>22</v>
          </cell>
          <cell r="E1826">
            <v>84283900</v>
          </cell>
          <cell r="F1826">
            <v>5</v>
          </cell>
          <cell r="G1826" t="str">
            <v>ELECTRIC MOVING DEVICE FOR EXTRUDER BUILDING</v>
          </cell>
        </row>
        <row r="1827">
          <cell r="D1827">
            <v>23</v>
          </cell>
          <cell r="E1827">
            <v>84779000</v>
          </cell>
          <cell r="F1827">
            <v>5</v>
          </cell>
          <cell r="G1827" t="str">
            <v>STAINLESS STEEL HOPPER FOR EXTRUDER FEED PACKAGE</v>
          </cell>
        </row>
        <row r="1828">
          <cell r="D1828">
            <v>24</v>
          </cell>
          <cell r="E1828">
            <v>90268000</v>
          </cell>
          <cell r="F1828">
            <v>5</v>
          </cell>
          <cell r="G1828" t="str">
            <v>MEASURING DEVICE WITH EXPLOSION -PROOF INDICATOR</v>
          </cell>
        </row>
        <row r="1829">
          <cell r="D1829">
            <v>25</v>
          </cell>
          <cell r="E1829">
            <v>86090000</v>
          </cell>
          <cell r="F1829">
            <v>5</v>
          </cell>
          <cell r="G1829" t="str">
            <v>CATALYST /BASE DRUM TYPE CONTAINER</v>
          </cell>
        </row>
        <row r="1830">
          <cell r="D1830">
            <v>26</v>
          </cell>
          <cell r="E1830">
            <v>84313900</v>
          </cell>
          <cell r="F1830">
            <v>5</v>
          </cell>
          <cell r="G1830" t="str">
            <v>HOISTING YOKE FOR ROTATING DRUM</v>
          </cell>
        </row>
        <row r="1831">
          <cell r="D1831">
            <v>27</v>
          </cell>
          <cell r="E1831">
            <v>73269099</v>
          </cell>
          <cell r="F1831">
            <v>20</v>
          </cell>
          <cell r="G1831" t="str">
            <v>STAINLESS STEEL TOWER TRAY</v>
          </cell>
        </row>
        <row r="1832">
          <cell r="D1832">
            <v>28</v>
          </cell>
          <cell r="E1832">
            <v>84195000</v>
          </cell>
          <cell r="F1832">
            <v>5</v>
          </cell>
          <cell r="G1832" t="str">
            <v>STAINLESS HEAT EXCHANGER FOR HEAT EXCHANGE</v>
          </cell>
        </row>
        <row r="1833">
          <cell r="D1833">
            <v>29</v>
          </cell>
          <cell r="E1833">
            <v>85043400</v>
          </cell>
          <cell r="F1833">
            <v>12</v>
          </cell>
          <cell r="G1833" t="str">
            <v>ELECTRIC DISTRIBUTION TRANSFORMER</v>
          </cell>
        </row>
        <row r="1834">
          <cell r="D1834">
            <v>30</v>
          </cell>
          <cell r="E1834">
            <v>85445910</v>
          </cell>
          <cell r="F1834">
            <v>20</v>
          </cell>
          <cell r="G1834" t="str">
            <v>PLASTIC CABLE WITH CONNECTOR FOR DISTRIBUTED CONTROL SYSTEM</v>
          </cell>
        </row>
        <row r="1835">
          <cell r="D1835">
            <v>31</v>
          </cell>
          <cell r="E1835">
            <v>90269000</v>
          </cell>
          <cell r="F1835">
            <v>5</v>
          </cell>
          <cell r="G1835" t="str">
            <v>ELECTRIC TRANSMITTER FOR INSTRUMENT SYSTEM</v>
          </cell>
        </row>
        <row r="1836">
          <cell r="D1836">
            <v>32</v>
          </cell>
          <cell r="E1836">
            <v>90269000</v>
          </cell>
          <cell r="F1836">
            <v>5</v>
          </cell>
          <cell r="G1836" t="str">
            <v>FRP SUN SHADE FOR TRANSMITTER</v>
          </cell>
        </row>
        <row r="1837">
          <cell r="D1837">
            <v>33</v>
          </cell>
          <cell r="E1837">
            <v>94056000</v>
          </cell>
          <cell r="F1837">
            <v>5</v>
          </cell>
          <cell r="G1837" t="str">
            <v>AIR CRAFT WARNING LIGHT FOR HIGHEST STRUCTURE</v>
          </cell>
        </row>
        <row r="1838">
          <cell r="D1838">
            <v>34</v>
          </cell>
          <cell r="E1838">
            <v>84213900</v>
          </cell>
          <cell r="F1838">
            <v>5</v>
          </cell>
          <cell r="G1838" t="str">
            <v>STAINLESS STEEL FILTER FOR REMOVAL OF DUST</v>
          </cell>
        </row>
        <row r="1839">
          <cell r="D1839">
            <v>35</v>
          </cell>
          <cell r="E1839">
            <v>84213900</v>
          </cell>
          <cell r="F1839">
            <v>5</v>
          </cell>
          <cell r="G1839" t="str">
            <v>CARBON STEEL FILTER FOR REMOVAL OF DUST</v>
          </cell>
        </row>
        <row r="1840">
          <cell r="D1840">
            <v>36</v>
          </cell>
          <cell r="E1840">
            <v>84213900</v>
          </cell>
          <cell r="F1840">
            <v>5</v>
          </cell>
          <cell r="G1840" t="str">
            <v>ALUMINUM STEEL FILTER FOR REMOVAL OF DUST</v>
          </cell>
        </row>
        <row r="1841">
          <cell r="D1841">
            <v>37</v>
          </cell>
          <cell r="E1841">
            <v>84219900</v>
          </cell>
          <cell r="F1841">
            <v>5</v>
          </cell>
          <cell r="G1841" t="str">
            <v>CARTRIDGE FILTER FOR REMOVAL OF DUST</v>
          </cell>
        </row>
        <row r="1842">
          <cell r="D1842">
            <v>38</v>
          </cell>
          <cell r="E1842">
            <v>84213900</v>
          </cell>
          <cell r="F1842">
            <v>5</v>
          </cell>
          <cell r="G1842" t="str">
            <v>ELUTRIATOR FOR PNEUMATIC TRANSFER SYSTEM</v>
          </cell>
        </row>
        <row r="1843">
          <cell r="D1843">
            <v>39</v>
          </cell>
          <cell r="E1843">
            <v>84195000</v>
          </cell>
          <cell r="F1843">
            <v>5</v>
          </cell>
          <cell r="G1843" t="str">
            <v>STAINLESS STEEL HEAT EXCHANGER FOR HEAT EXCHANGE</v>
          </cell>
        </row>
        <row r="1844">
          <cell r="D1844">
            <v>40</v>
          </cell>
          <cell r="E1844">
            <v>85115000</v>
          </cell>
          <cell r="F1844">
            <v>5</v>
          </cell>
          <cell r="G1844" t="str">
            <v>UNINTERRUPTIBLE A-C POWER SUPPLY SYSTEM FOR POWER FAILURE</v>
          </cell>
        </row>
        <row r="1845">
          <cell r="D1845">
            <v>41</v>
          </cell>
          <cell r="E1845">
            <v>84141000</v>
          </cell>
          <cell r="F1845">
            <v>5</v>
          </cell>
          <cell r="G1845" t="str">
            <v>TRANSFER AIR COMPRESSOR</v>
          </cell>
        </row>
        <row r="1846">
          <cell r="D1846">
            <v>42</v>
          </cell>
          <cell r="E1846">
            <v>84141000</v>
          </cell>
          <cell r="F1846">
            <v>5</v>
          </cell>
          <cell r="G1846" t="str">
            <v>TRANSFER NITROGEN COMPRESSOR</v>
          </cell>
        </row>
        <row r="1847">
          <cell r="D1847">
            <v>43</v>
          </cell>
          <cell r="E1847">
            <v>84282000</v>
          </cell>
          <cell r="F1847">
            <v>5</v>
          </cell>
          <cell r="G1847" t="str">
            <v>PNEUMATIC TRANSFER SYSTEM</v>
          </cell>
        </row>
        <row r="1848">
          <cell r="D1848">
            <v>44</v>
          </cell>
          <cell r="E1848">
            <v>84283900</v>
          </cell>
          <cell r="F1848">
            <v>5</v>
          </cell>
          <cell r="G1848" t="str">
            <v>PALLETIZING DEVICE FOR PACKAGE SYSTEM</v>
          </cell>
        </row>
        <row r="1849">
          <cell r="D1849">
            <v>45</v>
          </cell>
          <cell r="E1849">
            <v>84283900</v>
          </cell>
          <cell r="F1849">
            <v>5</v>
          </cell>
          <cell r="G1849" t="str">
            <v xml:space="preserve">FLAT BELT CONVEYOR FOR PACKAGING SYSTEM </v>
          </cell>
        </row>
        <row r="1850">
          <cell r="D1850">
            <v>46</v>
          </cell>
          <cell r="E1850">
            <v>84232000</v>
          </cell>
          <cell r="F1850">
            <v>5</v>
          </cell>
          <cell r="G1850" t="str">
            <v>CHECK WEIGHER FOR PACKAGING SYSTEM</v>
          </cell>
        </row>
        <row r="1851">
          <cell r="D1851">
            <v>47</v>
          </cell>
          <cell r="E1851">
            <v>84283900</v>
          </cell>
          <cell r="F1851">
            <v>5</v>
          </cell>
          <cell r="G1851" t="str">
            <v>REJECT CONVEYOR FOR PACKAGING SYSTEM</v>
          </cell>
        </row>
        <row r="1852">
          <cell r="D1852">
            <v>48</v>
          </cell>
          <cell r="E1852">
            <v>84283900</v>
          </cell>
          <cell r="F1852">
            <v>5</v>
          </cell>
          <cell r="G1852" t="str">
            <v>NON DRIVEN ROLLER CONVEYOR FOR PACKAGING SYSTEM</v>
          </cell>
        </row>
        <row r="1853">
          <cell r="D1853">
            <v>49</v>
          </cell>
          <cell r="E1853">
            <v>84283900</v>
          </cell>
          <cell r="F1853">
            <v>5</v>
          </cell>
          <cell r="G1853" t="str">
            <v>INCLINED CONVEYOR FOR PACKAGING SYSTEM</v>
          </cell>
        </row>
        <row r="1854">
          <cell r="D1854">
            <v>50</v>
          </cell>
          <cell r="E1854">
            <v>84229000</v>
          </cell>
          <cell r="F1854">
            <v>5</v>
          </cell>
          <cell r="G1854" t="str">
            <v>LOWER BAG FLATTENER FOR PACKAGING SYSTEM</v>
          </cell>
        </row>
        <row r="1855">
          <cell r="D1855">
            <v>51</v>
          </cell>
          <cell r="E1855">
            <v>84229000</v>
          </cell>
          <cell r="F1855">
            <v>5</v>
          </cell>
          <cell r="G1855" t="str">
            <v>UPPER BAG FLATTENER FOR PACKAGING SYSTEM</v>
          </cell>
        </row>
        <row r="1856">
          <cell r="D1856">
            <v>52</v>
          </cell>
          <cell r="E1856">
            <v>84283900</v>
          </cell>
          <cell r="F1856">
            <v>5</v>
          </cell>
          <cell r="G1856" t="str">
            <v>SPACER CONVEYOR FOR PACKAGING SYSTEM</v>
          </cell>
        </row>
        <row r="1857">
          <cell r="D1857">
            <v>53</v>
          </cell>
          <cell r="E1857">
            <v>84283900</v>
          </cell>
          <cell r="F1857">
            <v>5</v>
          </cell>
          <cell r="G1857" t="str">
            <v>START-STOP CONVEYOR FOR PACKAGING SYSTEM</v>
          </cell>
        </row>
        <row r="1858">
          <cell r="D1858">
            <v>54</v>
          </cell>
          <cell r="E1858">
            <v>84283900</v>
          </cell>
          <cell r="F1858">
            <v>5</v>
          </cell>
          <cell r="G1858" t="str">
            <v>BAG TURNER CONVEYOR FOR PACKAGING SYSTEM</v>
          </cell>
        </row>
        <row r="1859">
          <cell r="D1859">
            <v>55</v>
          </cell>
          <cell r="E1859">
            <v>84229000</v>
          </cell>
          <cell r="F1859">
            <v>5</v>
          </cell>
          <cell r="G1859" t="str">
            <v>BAG TURNING DEVICE TURNING FOR PACKAGING SYSTEM</v>
          </cell>
        </row>
        <row r="1860">
          <cell r="D1860">
            <v>56</v>
          </cell>
          <cell r="E1860">
            <v>84229000</v>
          </cell>
          <cell r="F1860">
            <v>5</v>
          </cell>
          <cell r="G1860" t="str">
            <v>PALLETIZER FOR PACKAGING SYSTEM</v>
          </cell>
        </row>
        <row r="1861">
          <cell r="D1861">
            <v>57</v>
          </cell>
          <cell r="E1861">
            <v>84283900</v>
          </cell>
          <cell r="F1861">
            <v>5</v>
          </cell>
          <cell r="G1861" t="str">
            <v>INFEED CONVEYOR FOR PACKAGING SYSTEM</v>
          </cell>
        </row>
        <row r="1862">
          <cell r="D1862">
            <v>58</v>
          </cell>
          <cell r="E1862">
            <v>84229000</v>
          </cell>
          <cell r="F1862">
            <v>5</v>
          </cell>
          <cell r="G1862" t="str">
            <v>UPPER INFEEDER FOR PACKAGING SYSTEM</v>
          </cell>
        </row>
        <row r="1863">
          <cell r="D1863">
            <v>59</v>
          </cell>
          <cell r="E1863">
            <v>84283900</v>
          </cell>
          <cell r="F1863">
            <v>5</v>
          </cell>
          <cell r="G1863" t="str">
            <v>STOP PLATE INFEED CONVEYOR FOR PACKAGING SYSTEM</v>
          </cell>
        </row>
        <row r="1864">
          <cell r="D1864">
            <v>60</v>
          </cell>
          <cell r="E1864">
            <v>84229000</v>
          </cell>
          <cell r="F1864">
            <v>5</v>
          </cell>
          <cell r="G1864" t="str">
            <v>LAYER FORMING DEVICE FOR PACKAGING SYSTEM</v>
          </cell>
        </row>
        <row r="1865">
          <cell r="D1865">
            <v>61</v>
          </cell>
          <cell r="E1865">
            <v>84283900</v>
          </cell>
          <cell r="F1865">
            <v>5</v>
          </cell>
          <cell r="G1865" t="str">
            <v>LIFT FOR PACKAGING SYSTEM</v>
          </cell>
        </row>
        <row r="1866">
          <cell r="D1866">
            <v>62</v>
          </cell>
          <cell r="E1866">
            <v>8422900</v>
          </cell>
          <cell r="F1866">
            <v>5</v>
          </cell>
          <cell r="G1866" t="str">
            <v>SLIDING PLATE FOR PACKAGING SYSTEM</v>
          </cell>
        </row>
        <row r="1867">
          <cell r="D1867">
            <v>63</v>
          </cell>
          <cell r="E1867">
            <v>84283900</v>
          </cell>
          <cell r="F1867">
            <v>5</v>
          </cell>
          <cell r="G1867" t="str">
            <v>LOADING ROLLER CONVEYOR FOR PACKAGING SYSTEM</v>
          </cell>
        </row>
        <row r="1868">
          <cell r="D1868">
            <v>64</v>
          </cell>
          <cell r="E1868">
            <v>84229000</v>
          </cell>
          <cell r="F1868">
            <v>5</v>
          </cell>
          <cell r="G1868" t="str">
            <v>STOP PLATE SLIDING PLATE FOR PACKAGING SYSTEM</v>
          </cell>
        </row>
        <row r="1869">
          <cell r="D1869">
            <v>65</v>
          </cell>
          <cell r="E1869">
            <v>84229000</v>
          </cell>
          <cell r="F1869">
            <v>5</v>
          </cell>
          <cell r="G1869" t="str">
            <v>PRESSURE PLATE FOR PACKAGING SYSTEM</v>
          </cell>
        </row>
        <row r="1870">
          <cell r="D1870">
            <v>66</v>
          </cell>
          <cell r="E1870">
            <v>84283900</v>
          </cell>
          <cell r="F1870">
            <v>5</v>
          </cell>
          <cell r="G1870" t="str">
            <v>EMPTY PALLET MAGAZINE LIFT FOR PACKAGING SYSTEM</v>
          </cell>
        </row>
        <row r="1871">
          <cell r="D1871">
            <v>67</v>
          </cell>
          <cell r="E1871">
            <v>84283900</v>
          </cell>
          <cell r="F1871">
            <v>5</v>
          </cell>
          <cell r="G1871" t="str">
            <v>EMPTY PALLET MAGAZINE PUSH FOR PACKAGING SYSTEM</v>
          </cell>
        </row>
        <row r="1872">
          <cell r="D1872">
            <v>68</v>
          </cell>
          <cell r="E1872">
            <v>84283900</v>
          </cell>
          <cell r="F1872">
            <v>5</v>
          </cell>
          <cell r="G1872" t="str">
            <v>EMPTY PALLET CONVEYOR FOR PACKAGING SYSTEM</v>
          </cell>
        </row>
        <row r="1873">
          <cell r="D1873">
            <v>69</v>
          </cell>
          <cell r="E1873">
            <v>84283900</v>
          </cell>
          <cell r="F1873">
            <v>5</v>
          </cell>
          <cell r="G1873" t="str">
            <v>EMPTY PALLET FEEDING CONVEYOR FOR PACKAGING SYSTEM</v>
          </cell>
        </row>
        <row r="1874">
          <cell r="D1874">
            <v>70</v>
          </cell>
          <cell r="E1874">
            <v>84229000</v>
          </cell>
          <cell r="F1874">
            <v>5</v>
          </cell>
          <cell r="G1874" t="str">
            <v>INDUCTION LOOP AND LIGHT BARRIER FOR PACKAGING SYSTEM</v>
          </cell>
        </row>
        <row r="1875">
          <cell r="D1875">
            <v>71</v>
          </cell>
          <cell r="E1875">
            <v>84283900</v>
          </cell>
          <cell r="F1875">
            <v>5</v>
          </cell>
          <cell r="G1875" t="str">
            <v>FULL PALLET ROLLER CONVEYOR FOR PACKAGING SYSTEM</v>
          </cell>
        </row>
        <row r="1876">
          <cell r="D1876">
            <v>72</v>
          </cell>
          <cell r="E1876">
            <v>84283900</v>
          </cell>
          <cell r="F1876">
            <v>5</v>
          </cell>
          <cell r="G1876" t="str">
            <v>FULL PALLET DISCHARGE CONVEYOR FOR PACKAGING SYSTEM</v>
          </cell>
        </row>
        <row r="1877">
          <cell r="D1877">
            <v>73</v>
          </cell>
          <cell r="E1877">
            <v>85381000</v>
          </cell>
          <cell r="F1877">
            <v>5</v>
          </cell>
          <cell r="G1877" t="str">
            <v>CONTROL PANEL PALLETIZER FOR PACKAGING SYSTEM</v>
          </cell>
        </row>
        <row r="1878">
          <cell r="D1878">
            <v>74</v>
          </cell>
          <cell r="E1878">
            <v>85381000</v>
          </cell>
          <cell r="F1878">
            <v>5</v>
          </cell>
          <cell r="G1878" t="str">
            <v>OPERATION PANEL PALLETIZER FOR PACKAGING SYSTEM</v>
          </cell>
        </row>
        <row r="1879">
          <cell r="D1879">
            <v>75</v>
          </cell>
          <cell r="E1879">
            <v>85381000</v>
          </cell>
          <cell r="F1879">
            <v>5</v>
          </cell>
          <cell r="G1879" t="str">
            <v>POWER PANEL FOR PACKAGING SYSTEM</v>
          </cell>
        </row>
        <row r="1880">
          <cell r="D1880">
            <v>76</v>
          </cell>
          <cell r="E1880">
            <v>84283900</v>
          </cell>
          <cell r="F1880">
            <v>5</v>
          </cell>
          <cell r="G1880" t="str">
            <v>FULL PALLET SET ON ROLLER CONVEYOR FOR PACKAGING SYSTEM</v>
          </cell>
        </row>
        <row r="1881">
          <cell r="D1881">
            <v>77</v>
          </cell>
          <cell r="E1881">
            <v>84229000</v>
          </cell>
          <cell r="F1881">
            <v>5</v>
          </cell>
          <cell r="G1881" t="str">
            <v>HEIGHT SCANNING AND PROFILING DEVICE FOR PACKAGING SYSTEM</v>
          </cell>
        </row>
        <row r="1882">
          <cell r="D1882">
            <v>78</v>
          </cell>
          <cell r="E1882">
            <v>84224000</v>
          </cell>
          <cell r="F1882">
            <v>5</v>
          </cell>
          <cell r="G1882" t="str">
            <v>SHRINK FILM WRAPPING MACHINE FOR PACKAGING SYSTEM</v>
          </cell>
        </row>
        <row r="1883">
          <cell r="D1883">
            <v>79</v>
          </cell>
          <cell r="E1883">
            <v>84229000</v>
          </cell>
          <cell r="F1883">
            <v>5</v>
          </cell>
          <cell r="G1883" t="str">
            <v>FILM DRIVE FOR PACKAGING SYSTEM</v>
          </cell>
        </row>
        <row r="1884">
          <cell r="D1884">
            <v>80</v>
          </cell>
          <cell r="E1884">
            <v>84229000</v>
          </cell>
          <cell r="F1884">
            <v>5</v>
          </cell>
          <cell r="G1884" t="str">
            <v>EXPANDING BELT DRIVE FOR PACKAGING SYSTEM</v>
          </cell>
        </row>
        <row r="1885">
          <cell r="D1885">
            <v>81</v>
          </cell>
          <cell r="E1885">
            <v>84229000</v>
          </cell>
          <cell r="F1885">
            <v>5</v>
          </cell>
          <cell r="G1885" t="str">
            <v>LIFT FRAME DRIVE FOR PACKAGING SYSTEM</v>
          </cell>
        </row>
        <row r="1886">
          <cell r="D1886">
            <v>82</v>
          </cell>
          <cell r="E1886">
            <v>84229000</v>
          </cell>
          <cell r="F1886">
            <v>5</v>
          </cell>
          <cell r="G1886" t="str">
            <v>FILM BLOWING UP VENTILATING FAN FOR PACKAGING SYSTEM</v>
          </cell>
        </row>
        <row r="1887">
          <cell r="D1887">
            <v>83</v>
          </cell>
          <cell r="E1887">
            <v>84283900</v>
          </cell>
          <cell r="F1887">
            <v>5</v>
          </cell>
          <cell r="G1887" t="str">
            <v>CHAIN CONVEYOR FOR PACKAGING SYSTEM</v>
          </cell>
        </row>
        <row r="1888">
          <cell r="D1888">
            <v>84</v>
          </cell>
          <cell r="E1888">
            <v>84229000</v>
          </cell>
          <cell r="F1888">
            <v>5</v>
          </cell>
          <cell r="G1888" t="str">
            <v>SHRINK FRAME FOR PACKAGING SYSTEM</v>
          </cell>
        </row>
        <row r="1889">
          <cell r="D1889">
            <v>85</v>
          </cell>
          <cell r="E1889">
            <v>84229000</v>
          </cell>
          <cell r="F1889">
            <v>5</v>
          </cell>
          <cell r="G1889" t="str">
            <v>LIFT DRIVE FOR PACKAGING SYSTEM</v>
          </cell>
        </row>
        <row r="1890">
          <cell r="D1890">
            <v>86</v>
          </cell>
          <cell r="E1890">
            <v>84145900</v>
          </cell>
          <cell r="F1890">
            <v>5</v>
          </cell>
          <cell r="G1890" t="str">
            <v>BURNER VENTILATING FAN FOR PACKAGING SYSTEM</v>
          </cell>
        </row>
        <row r="1891">
          <cell r="D1891">
            <v>87</v>
          </cell>
          <cell r="E1891">
            <v>84229000</v>
          </cell>
          <cell r="F1891">
            <v>5</v>
          </cell>
          <cell r="G1891" t="str">
            <v>UNDERSHRINK SYSTEM FOR PACKAGING SYSTEM</v>
          </cell>
        </row>
        <row r="1892">
          <cell r="D1892">
            <v>88</v>
          </cell>
          <cell r="E1892">
            <v>84229000</v>
          </cell>
          <cell r="F1892">
            <v>5</v>
          </cell>
          <cell r="G1892" t="str">
            <v>HYDRAULIC DRIVE FOR PACKAGING SYSTEM</v>
          </cell>
        </row>
        <row r="1893">
          <cell r="D1893">
            <v>89</v>
          </cell>
          <cell r="E1893">
            <v>84229000</v>
          </cell>
          <cell r="F1893">
            <v>5</v>
          </cell>
          <cell r="G1893" t="str">
            <v>SUCTION VENTILATING FAN FOR PACKAGING SYSTEM</v>
          </cell>
        </row>
        <row r="1894">
          <cell r="D1894">
            <v>90</v>
          </cell>
          <cell r="E1894">
            <v>84283900</v>
          </cell>
          <cell r="F1894">
            <v>5</v>
          </cell>
          <cell r="G1894" t="str">
            <v>FULL PALLET ACCUMULATING CONVEYOR FOR PACKAGING SYSTEM</v>
          </cell>
        </row>
        <row r="1895">
          <cell r="D1895">
            <v>91</v>
          </cell>
          <cell r="E1895">
            <v>84283900</v>
          </cell>
          <cell r="F1895">
            <v>5</v>
          </cell>
          <cell r="G1895" t="str">
            <v>ROLLER CONVEYOR FOR PACKAGING SYSTEM</v>
          </cell>
        </row>
        <row r="1896">
          <cell r="D1896">
            <v>92</v>
          </cell>
          <cell r="E1896">
            <v>84283900</v>
          </cell>
          <cell r="F1896">
            <v>5</v>
          </cell>
          <cell r="G1896" t="str">
            <v>DISCHARGE ROLLER CONVEYOR FOR PACKAGING SYSTEM</v>
          </cell>
        </row>
        <row r="1897">
          <cell r="D1897">
            <v>93</v>
          </cell>
          <cell r="E1897">
            <v>85381000</v>
          </cell>
          <cell r="F1897">
            <v>5</v>
          </cell>
          <cell r="G1897" t="str">
            <v>CONTROL PANEL PALLET WRAP MACHINE FOR PACKAGING SYSTEM</v>
          </cell>
        </row>
        <row r="1898">
          <cell r="D1898">
            <v>94</v>
          </cell>
          <cell r="E1898">
            <v>85381000</v>
          </cell>
          <cell r="F1898">
            <v>5</v>
          </cell>
          <cell r="G1898" t="str">
            <v>OPERATION PANEL PALLET WRAP MACHINE FOR PACKAGING SYSTEM</v>
          </cell>
        </row>
        <row r="1899">
          <cell r="D1899">
            <v>95</v>
          </cell>
          <cell r="E1899">
            <v>85381000</v>
          </cell>
          <cell r="F1899">
            <v>5</v>
          </cell>
          <cell r="G1899" t="str">
            <v>POWER PANEL PALLET WRAP MACHINE FOR PACKAGING SYSTEM</v>
          </cell>
        </row>
        <row r="1900">
          <cell r="D1900">
            <v>96</v>
          </cell>
          <cell r="E1900">
            <v>84283900</v>
          </cell>
          <cell r="F1900">
            <v>5</v>
          </cell>
          <cell r="G1900" t="str">
            <v>LOADING SYSTEM FOR PACKAGING SYSTEM</v>
          </cell>
        </row>
        <row r="1901">
          <cell r="D1901">
            <v>97</v>
          </cell>
          <cell r="E1901">
            <v>85318090</v>
          </cell>
          <cell r="F1901">
            <v>5</v>
          </cell>
          <cell r="G1901" t="str">
            <v>METAL DETECTOR FOR PACKAGING SYSTEM</v>
          </cell>
        </row>
        <row r="1902">
          <cell r="D1902">
            <v>98</v>
          </cell>
          <cell r="E1902">
            <v>84229000</v>
          </cell>
          <cell r="F1902">
            <v>5</v>
          </cell>
          <cell r="G1902" t="str">
            <v>PREHOPPER FOR PACKAGING SYSTEM</v>
          </cell>
        </row>
        <row r="1903">
          <cell r="D1903">
            <v>99</v>
          </cell>
          <cell r="E1903">
            <v>84229000</v>
          </cell>
          <cell r="F1903">
            <v>5</v>
          </cell>
          <cell r="G1903" t="str">
            <v>SHUTTER DOSING SYSTEM FOR PACKAGING SYSTEM</v>
          </cell>
        </row>
        <row r="1904">
          <cell r="D1904">
            <v>100</v>
          </cell>
          <cell r="E1904">
            <v>84229000</v>
          </cell>
          <cell r="F1904">
            <v>5</v>
          </cell>
          <cell r="G1904" t="str">
            <v>FLEXIBLE CONNECTION FOR PACKAGING SYSTEM</v>
          </cell>
        </row>
        <row r="1905">
          <cell r="D1905">
            <v>101</v>
          </cell>
          <cell r="E1905">
            <v>84229000</v>
          </cell>
          <cell r="F1905">
            <v>5</v>
          </cell>
          <cell r="G1905" t="str">
            <v>WEIGHER HOPPER FOR PACKAGING SYSTEM</v>
          </cell>
        </row>
        <row r="1906">
          <cell r="D1906">
            <v>102</v>
          </cell>
          <cell r="E1906">
            <v>84238900</v>
          </cell>
          <cell r="F1906">
            <v>5</v>
          </cell>
          <cell r="G1906" t="str">
            <v>ELECTRONIC WEIGHING SYSTEM FOR PACKAGING SYSTEM</v>
          </cell>
        </row>
        <row r="1907">
          <cell r="D1907">
            <v>103</v>
          </cell>
          <cell r="E1907">
            <v>84283900</v>
          </cell>
          <cell r="F1907">
            <v>5</v>
          </cell>
          <cell r="G1907" t="str">
            <v>LIFITING AND LOWERING DEVICE FOR PACKAGING SYSTEM</v>
          </cell>
        </row>
        <row r="1908">
          <cell r="D1908">
            <v>104</v>
          </cell>
          <cell r="E1908">
            <v>84229000</v>
          </cell>
          <cell r="F1908">
            <v>5</v>
          </cell>
          <cell r="G1908" t="str">
            <v>EQUIPMENT SUPPORT FOR PACKAGING SYSTEM</v>
          </cell>
        </row>
        <row r="1909">
          <cell r="D1909">
            <v>105</v>
          </cell>
          <cell r="E1909">
            <v>84283900</v>
          </cell>
          <cell r="F1909">
            <v>5</v>
          </cell>
          <cell r="G1909" t="str">
            <v>EMPTY PALLET INFEED CONVEYOR FOR PACKAGING SYSTEM</v>
          </cell>
        </row>
        <row r="1910">
          <cell r="D1910">
            <v>106</v>
          </cell>
          <cell r="E1910">
            <v>85381000</v>
          </cell>
          <cell r="F1910">
            <v>5</v>
          </cell>
          <cell r="G1910" t="str">
            <v>CONTROL PANEL JUMBO BAG FOR PACKAGING SYSTEM</v>
          </cell>
        </row>
        <row r="1911">
          <cell r="D1911">
            <v>107</v>
          </cell>
          <cell r="E1911">
            <v>85381000</v>
          </cell>
          <cell r="F1911">
            <v>5</v>
          </cell>
          <cell r="G1911" t="str">
            <v>OPERATION PANEL JUMBO BAG FOR PACKAGING SYSTEM</v>
          </cell>
        </row>
        <row r="1912">
          <cell r="D1912">
            <v>108</v>
          </cell>
          <cell r="E1912">
            <v>84229000</v>
          </cell>
          <cell r="F1912">
            <v>5</v>
          </cell>
          <cell r="G1912" t="str">
            <v>SPILLAGE COLLECTION RECEIVER FOR PACKAGING SYSTEM</v>
          </cell>
        </row>
        <row r="1913">
          <cell r="D1913">
            <v>109</v>
          </cell>
          <cell r="E1913">
            <v>84229000</v>
          </cell>
          <cell r="F1913">
            <v>5</v>
          </cell>
          <cell r="G1913" t="str">
            <v>SILENCER FOR PACKAGING SYSTEM</v>
          </cell>
        </row>
        <row r="1914">
          <cell r="D1914">
            <v>110</v>
          </cell>
          <cell r="E1914">
            <v>84229000</v>
          </cell>
          <cell r="F1914">
            <v>5</v>
          </cell>
          <cell r="G1914" t="str">
            <v xml:space="preserve"> EXHAUST SILENCER FOR PACKAGING SYSTEM</v>
          </cell>
        </row>
        <row r="1915">
          <cell r="D1915">
            <v>111</v>
          </cell>
          <cell r="E1915">
            <v>84313900</v>
          </cell>
          <cell r="F1915">
            <v>5</v>
          </cell>
          <cell r="G1915" t="str">
            <v>ELUTRIATOR BLOWER SUCTION SILENCER FOR PNEUMATIC TRANSFER SYSTEM</v>
          </cell>
        </row>
        <row r="1916">
          <cell r="D1916">
            <v>112</v>
          </cell>
          <cell r="E1916">
            <v>84313900</v>
          </cell>
          <cell r="F1916">
            <v>5</v>
          </cell>
          <cell r="G1916" t="str">
            <v>ELUTRIATOR BLOWER DISCHARGE SILENCER FOR PNEUMATIC TRANSFER SYSTEM</v>
          </cell>
        </row>
        <row r="1917">
          <cell r="D1917">
            <v>113</v>
          </cell>
          <cell r="E1917">
            <v>84313900</v>
          </cell>
          <cell r="F1917">
            <v>5</v>
          </cell>
          <cell r="G1917" t="str">
            <v>VARIABLE FLOW DEVICE FOR BAGGING FEED FOR PNEUMATIC TRANSFER SYSTEM</v>
          </cell>
        </row>
        <row r="1918">
          <cell r="D1918">
            <v>114</v>
          </cell>
          <cell r="E1918">
            <v>84313900</v>
          </cell>
          <cell r="F1918">
            <v>5</v>
          </cell>
          <cell r="G1918" t="str">
            <v>MAGNETIC METAL TRAP FOR PNEUMATIC TRANSFER SYSTEM</v>
          </cell>
        </row>
        <row r="1919">
          <cell r="D1919">
            <v>115</v>
          </cell>
          <cell r="E1919">
            <v>84313900</v>
          </cell>
          <cell r="F1919">
            <v>5</v>
          </cell>
          <cell r="G1919" t="str">
            <v>DUST COLLECTOR FOR PNEUMATIC TRANSFER SYSTEM</v>
          </cell>
        </row>
        <row r="1920">
          <cell r="D1920">
            <v>116</v>
          </cell>
          <cell r="E1920">
            <v>84313900</v>
          </cell>
          <cell r="F1920">
            <v>5</v>
          </cell>
          <cell r="G1920" t="str">
            <v>N2 MAKE UP UNIT FOR PNEUMATIC TRANSFER SYSTEM</v>
          </cell>
        </row>
        <row r="1921">
          <cell r="D1921">
            <v>117</v>
          </cell>
          <cell r="E1921">
            <v>84313900</v>
          </cell>
          <cell r="F1921">
            <v>5</v>
          </cell>
          <cell r="G1921" t="str">
            <v>TRANSFER NITROGEN RECEIVER FOR PNEUMATIC TRANSFER SYSTEM</v>
          </cell>
        </row>
        <row r="1922">
          <cell r="D1922">
            <v>118</v>
          </cell>
          <cell r="E1922">
            <v>84313900</v>
          </cell>
          <cell r="F1922">
            <v>5</v>
          </cell>
          <cell r="G1922" t="str">
            <v>BLOW-OFF SILENCER FOR PNEUMATIC TRANSFER SYSTEM</v>
          </cell>
        </row>
        <row r="1923">
          <cell r="D1923">
            <v>119</v>
          </cell>
          <cell r="E1923">
            <v>84313900</v>
          </cell>
          <cell r="F1923">
            <v>5</v>
          </cell>
          <cell r="G1923" t="str">
            <v>TRANSFER AIR RECEIVER FOR PNEUMATIC TRANSFER SYSTEM</v>
          </cell>
        </row>
        <row r="1924">
          <cell r="D1924">
            <v>120</v>
          </cell>
          <cell r="E1924">
            <v>84313900</v>
          </cell>
          <cell r="F1924">
            <v>5</v>
          </cell>
          <cell r="G1924" t="str">
            <v>SUCTION SILENCER FOR PNEUMATIC TRANSFER SYSTEM</v>
          </cell>
        </row>
        <row r="1925">
          <cell r="D1925">
            <v>121</v>
          </cell>
          <cell r="E1925">
            <v>84313900</v>
          </cell>
          <cell r="F1925">
            <v>5</v>
          </cell>
          <cell r="G1925" t="str">
            <v>VARIABLE FLOW DEVICE FOR PNEUMATIC TRANSFER SYSTEM</v>
          </cell>
        </row>
        <row r="1926">
          <cell r="D1926">
            <v>122</v>
          </cell>
          <cell r="E1926">
            <v>84313900</v>
          </cell>
          <cell r="F1926">
            <v>5</v>
          </cell>
          <cell r="G1926" t="str">
            <v>REACTOR FEED DEVICE FOR PNEUMATIC TRANSFER SYSTEM</v>
          </cell>
        </row>
        <row r="1927">
          <cell r="D1927">
            <v>123</v>
          </cell>
          <cell r="E1927">
            <v>84313900</v>
          </cell>
          <cell r="F1927">
            <v>5</v>
          </cell>
          <cell r="G1927" t="str">
            <v>SAMPLER FOR PNEUMATIC TRANSFER SYSTEM</v>
          </cell>
        </row>
        <row r="1928">
          <cell r="D1928">
            <v>124</v>
          </cell>
          <cell r="E1928">
            <v>90268000</v>
          </cell>
          <cell r="F1928">
            <v>5</v>
          </cell>
          <cell r="G1928" t="str">
            <v>PROBE FOR MACHINE MONITORING SYSTEM FOR PNEUMATIC TRANSFER SYSTEM</v>
          </cell>
        </row>
        <row r="1929">
          <cell r="D1929">
            <v>125</v>
          </cell>
          <cell r="E1929">
            <v>73043900</v>
          </cell>
          <cell r="F1929">
            <v>20</v>
          </cell>
          <cell r="G1929" t="str">
            <v>PIPE ASTM A53GR. B-SMLS PE XS, GALVANIZED :  ASME  B36.10M  NPS 1</v>
          </cell>
        </row>
        <row r="1930">
          <cell r="D1930">
            <v>126</v>
          </cell>
          <cell r="E1930">
            <v>73043900</v>
          </cell>
          <cell r="F1930">
            <v>20</v>
          </cell>
          <cell r="G1930" t="str">
            <v>PIPE ASTM A53GR.B-SMLS PE XS, GALVANIZED :  ASME  B36.10M  NPS 1/2</v>
          </cell>
        </row>
        <row r="1931">
          <cell r="D1931">
            <v>127</v>
          </cell>
          <cell r="E1931">
            <v>73043900</v>
          </cell>
          <cell r="F1931">
            <v>20</v>
          </cell>
          <cell r="G1931" t="str">
            <v>PIPE ASTM A53GR.B-SMLS PE XS, GALVANIZED :  ASME  B36.10M  NPS 1/4</v>
          </cell>
        </row>
        <row r="1932">
          <cell r="D1932">
            <v>128</v>
          </cell>
          <cell r="E1932">
            <v>73043900</v>
          </cell>
          <cell r="F1932">
            <v>20</v>
          </cell>
          <cell r="G1932" t="str">
            <v>PIPE ASTM A53GR.B-SMLS PE XS, GALVANIZED :  ASME  B36.10M  NPS 1.1/2</v>
          </cell>
        </row>
        <row r="1933">
          <cell r="D1933">
            <v>129</v>
          </cell>
          <cell r="E1933">
            <v>73043900</v>
          </cell>
          <cell r="F1933">
            <v>20</v>
          </cell>
          <cell r="G1933" t="str">
            <v>PIPE ASTM A53GR.B-SMLS PE XS, GALVANIZED :  ASME  B36.10M  NPS 2</v>
          </cell>
        </row>
        <row r="1934">
          <cell r="D1934">
            <v>130</v>
          </cell>
          <cell r="E1934">
            <v>73043900</v>
          </cell>
          <cell r="F1934">
            <v>20</v>
          </cell>
          <cell r="G1934" t="str">
            <v>PIPE ASTM A53GR.B-SMLS PE XS, GALVANIZED :  ASME  B36.10M  NPS 3/4</v>
          </cell>
        </row>
        <row r="1935">
          <cell r="D1935">
            <v>131</v>
          </cell>
          <cell r="E1935">
            <v>73043900</v>
          </cell>
          <cell r="F1935">
            <v>20</v>
          </cell>
          <cell r="G1935" t="str">
            <v>PIPE ASTM A53GR.B-SMLS TE XS, GALVANIZED :  ASME  B36.10M  NPS 1</v>
          </cell>
        </row>
        <row r="1936">
          <cell r="D1936">
            <v>132</v>
          </cell>
          <cell r="E1936">
            <v>73043900</v>
          </cell>
          <cell r="F1936">
            <v>20</v>
          </cell>
          <cell r="G1936" t="str">
            <v>PIPE ASTM A53GR.B-SMLS TE XS, GALVANIZED :  ASME  B36.10M  NPS 1.1/2</v>
          </cell>
        </row>
        <row r="1937">
          <cell r="D1937">
            <v>133</v>
          </cell>
          <cell r="E1937">
            <v>73043900</v>
          </cell>
          <cell r="F1937">
            <v>20</v>
          </cell>
          <cell r="G1937" t="str">
            <v>PIPE ASTM A53GR.B-SMLS TE XS, GALVANIZED :  ASME B36.10M  NPS 2</v>
          </cell>
        </row>
        <row r="1938">
          <cell r="D1938">
            <v>134</v>
          </cell>
          <cell r="E1938">
            <v>73043900</v>
          </cell>
          <cell r="F1938">
            <v>20</v>
          </cell>
          <cell r="G1938" t="str">
            <v>PIPE ASTM A53GR.B-SMLS TE XS, GALVANIZED :  ASME B36.10M  NPS 3/4</v>
          </cell>
        </row>
        <row r="1939">
          <cell r="D1939">
            <v>135</v>
          </cell>
          <cell r="E1939">
            <v>73043900</v>
          </cell>
          <cell r="F1939">
            <v>20</v>
          </cell>
          <cell r="G1939" t="str">
            <v>PIPE ASTM A333GR.6- SMLS PE XS : ASME  B36.10M  NPS 1</v>
          </cell>
        </row>
        <row r="1940">
          <cell r="D1940">
            <v>136</v>
          </cell>
          <cell r="E1940">
            <v>73043900</v>
          </cell>
          <cell r="F1940">
            <v>20</v>
          </cell>
          <cell r="G1940" t="str">
            <v>PIPE ASTM A333GR.6- SMLS PE XS : ASME  B36.10M  NPS 1.1/2</v>
          </cell>
        </row>
        <row r="1941">
          <cell r="D1941">
            <v>137</v>
          </cell>
          <cell r="E1941">
            <v>73043900</v>
          </cell>
          <cell r="F1941">
            <v>20</v>
          </cell>
          <cell r="G1941" t="str">
            <v>PIPE ASTM A333GR.6- SMLS PE XS : ASME  B36.10M  NPS 2</v>
          </cell>
        </row>
        <row r="1942">
          <cell r="D1942">
            <v>138</v>
          </cell>
          <cell r="E1942">
            <v>73043900</v>
          </cell>
          <cell r="F1942">
            <v>20</v>
          </cell>
          <cell r="G1942" t="str">
            <v>PIPE ASTM A333GR.6- SMLS PE XS : ASME  B36.10M  NPS 3/4</v>
          </cell>
        </row>
        <row r="1943">
          <cell r="D1943">
            <v>139</v>
          </cell>
          <cell r="E1943">
            <v>73043900</v>
          </cell>
          <cell r="F1943">
            <v>20</v>
          </cell>
          <cell r="G1943" t="str">
            <v>PIPE ASTM A333GR.6- SMLS BE  STD  : ASME  B36.10M  NPS 3</v>
          </cell>
        </row>
        <row r="1944">
          <cell r="D1944">
            <v>140</v>
          </cell>
          <cell r="E1944">
            <v>73043900</v>
          </cell>
          <cell r="F1944">
            <v>20</v>
          </cell>
          <cell r="G1944" t="str">
            <v>PIPE ASTM A333GR.6- SMLS BE  STD  : ASME  B36.10M  NPS 4</v>
          </cell>
        </row>
        <row r="1945">
          <cell r="D1945">
            <v>141</v>
          </cell>
          <cell r="E1945">
            <v>73043900</v>
          </cell>
          <cell r="F1945">
            <v>20</v>
          </cell>
          <cell r="G1945" t="str">
            <v>PIPE ASTM A333GR.6- SMLS BE  STD  : ASME  B36.10M  NPS 6</v>
          </cell>
        </row>
        <row r="1946">
          <cell r="D1946">
            <v>142</v>
          </cell>
          <cell r="E1946">
            <v>73043900</v>
          </cell>
          <cell r="F1946">
            <v>20</v>
          </cell>
          <cell r="G1946" t="str">
            <v>PIPE ASTM A333GR.6- SMLS BE STD   : ASME  B36.10M  NPS 8</v>
          </cell>
        </row>
        <row r="1947">
          <cell r="D1947">
            <v>143</v>
          </cell>
          <cell r="E1947">
            <v>73043900</v>
          </cell>
          <cell r="F1947">
            <v>20</v>
          </cell>
          <cell r="G1947" t="str">
            <v>PIPE ASTM A106GR.B- SMLS PE XXS   : ASME  B36.10M  NPS 1/2</v>
          </cell>
        </row>
        <row r="1948">
          <cell r="D1948">
            <v>144</v>
          </cell>
          <cell r="E1948">
            <v>73043900</v>
          </cell>
          <cell r="F1948">
            <v>20</v>
          </cell>
          <cell r="G1948" t="str">
            <v>PIPE ASTM A106GR.B- SMLS PE XXS   : ASME  B36.10M  NPS 3/4</v>
          </cell>
        </row>
        <row r="1949">
          <cell r="D1949">
            <v>145</v>
          </cell>
          <cell r="E1949">
            <v>73043900</v>
          </cell>
          <cell r="F1949">
            <v>20</v>
          </cell>
          <cell r="G1949" t="str">
            <v>PIPE ASTM A106GR.B- SMLS PE XS  :  ASME B36.10M   NPS 1</v>
          </cell>
        </row>
        <row r="1950">
          <cell r="D1950">
            <v>146</v>
          </cell>
          <cell r="E1950">
            <v>73043900</v>
          </cell>
          <cell r="F1950">
            <v>20</v>
          </cell>
          <cell r="G1950" t="str">
            <v>PIPE ASTM A106GR.B- SMLS PE XS  :  ASME B36.10M   NPS 1/2</v>
          </cell>
        </row>
        <row r="1951">
          <cell r="D1951">
            <v>147</v>
          </cell>
          <cell r="E1951">
            <v>73043900</v>
          </cell>
          <cell r="F1951">
            <v>20</v>
          </cell>
          <cell r="G1951" t="str">
            <v>PIPE ASTM A106GR.B- SMLS PE XS  :  ASME B36.10M   NPS 1/4</v>
          </cell>
        </row>
        <row r="1952">
          <cell r="D1952">
            <v>148</v>
          </cell>
          <cell r="E1952">
            <v>73043900</v>
          </cell>
          <cell r="F1952">
            <v>20</v>
          </cell>
          <cell r="G1952" t="str">
            <v>PIPE ASTM A106GR.B- SMLS PE XS  :  ASME B36.10M   NPS  1.1/2</v>
          </cell>
        </row>
        <row r="1953">
          <cell r="D1953">
            <v>149</v>
          </cell>
          <cell r="E1953">
            <v>73043900</v>
          </cell>
          <cell r="F1953">
            <v>20</v>
          </cell>
          <cell r="G1953" t="str">
            <v>PIPE ASTM A106GR.B- SMLS PE XS  :  ASME B36.10M   NPS 2</v>
          </cell>
        </row>
        <row r="1954">
          <cell r="D1954">
            <v>150</v>
          </cell>
          <cell r="E1954">
            <v>73043900</v>
          </cell>
          <cell r="F1954">
            <v>20</v>
          </cell>
          <cell r="G1954" t="str">
            <v>PIPE ASTM A106GR.B- SMLS PE XS  :  ASME B36.10M   NPS 3/4</v>
          </cell>
        </row>
        <row r="1955">
          <cell r="D1955">
            <v>151</v>
          </cell>
          <cell r="E1955">
            <v>73043900</v>
          </cell>
          <cell r="F1955">
            <v>20</v>
          </cell>
          <cell r="G1955" t="str">
            <v>PIPE ASTM A106GR.B- SMLS PE XS  :  ASME B36.10M   NPS 3/8</v>
          </cell>
        </row>
        <row r="1956">
          <cell r="D1956">
            <v>152</v>
          </cell>
          <cell r="E1956">
            <v>73043900</v>
          </cell>
          <cell r="F1956">
            <v>20</v>
          </cell>
          <cell r="G1956" t="str">
            <v>PIPE ASTM A106GR.B- SMLS PE SCH 160 : ASME  B36.10M  NPS 1/2</v>
          </cell>
        </row>
        <row r="1957">
          <cell r="D1957">
            <v>153</v>
          </cell>
          <cell r="E1957">
            <v>73043900</v>
          </cell>
          <cell r="F1957">
            <v>20</v>
          </cell>
          <cell r="G1957" t="str">
            <v>PIPE ASTM A106GR.B- SMLS PE SCH 160 : ASME  B36.10M  NPS 3/4</v>
          </cell>
        </row>
        <row r="1958">
          <cell r="D1958">
            <v>154</v>
          </cell>
          <cell r="E1958">
            <v>73043900</v>
          </cell>
          <cell r="F1958">
            <v>20</v>
          </cell>
          <cell r="G1958" t="str">
            <v>PIPE ASTM A106GR.B- SMLS PE SCH  80 :  ASME  B36.10M  NPS 3/4</v>
          </cell>
        </row>
        <row r="1959">
          <cell r="D1959">
            <v>155</v>
          </cell>
          <cell r="E1959">
            <v>73043900</v>
          </cell>
          <cell r="F1959">
            <v>20</v>
          </cell>
          <cell r="G1959" t="str">
            <v>PIPE ASTM A106GR.B- SMLS BE XS :  ASME  B36.10M  NPS 3</v>
          </cell>
        </row>
        <row r="1960">
          <cell r="D1960">
            <v>156</v>
          </cell>
          <cell r="E1960">
            <v>73043900</v>
          </cell>
          <cell r="F1960">
            <v>20</v>
          </cell>
          <cell r="G1960" t="str">
            <v>PIPE ASTM A106GR.B- SMLS BE XS :  ASME  B36.10M  NPS 4</v>
          </cell>
        </row>
        <row r="1961">
          <cell r="D1961">
            <v>157</v>
          </cell>
          <cell r="E1961">
            <v>73043900</v>
          </cell>
          <cell r="F1961">
            <v>20</v>
          </cell>
          <cell r="G1961" t="str">
            <v>PIPE ASTM A106GR.B- SMLS BE XS :  ASME  B36.10M  NPS 6</v>
          </cell>
        </row>
        <row r="1962">
          <cell r="D1962">
            <v>158</v>
          </cell>
          <cell r="E1962">
            <v>73043900</v>
          </cell>
          <cell r="F1962">
            <v>20</v>
          </cell>
          <cell r="G1962" t="str">
            <v>PIPE ASTM A106GR.B- SMLS BE XS :  ASME  B36.10M  NPS 8</v>
          </cell>
        </row>
        <row r="1963">
          <cell r="D1963">
            <v>159</v>
          </cell>
          <cell r="E1963">
            <v>73043900</v>
          </cell>
          <cell r="F1963">
            <v>20</v>
          </cell>
          <cell r="G1963" t="str">
            <v>PIPE ASTM A106GR.B- SMLS BE SCH  160 :  ASME B36.10M NPS 1</v>
          </cell>
        </row>
        <row r="1964">
          <cell r="D1964">
            <v>160</v>
          </cell>
          <cell r="E1964">
            <v>73043900</v>
          </cell>
          <cell r="F1964">
            <v>20</v>
          </cell>
          <cell r="G1964" t="str">
            <v>PIPE ASTM A106GR.B- SMLS BE SCH  160 :  ASME B36.10M NPS 1/2</v>
          </cell>
        </row>
        <row r="1965">
          <cell r="D1965">
            <v>161</v>
          </cell>
          <cell r="E1965">
            <v>73043900</v>
          </cell>
          <cell r="F1965">
            <v>20</v>
          </cell>
          <cell r="G1965" t="str">
            <v>PIPE ASTM A106GR.B- SMLS BE SCH  80:  ASME  B36.10M  NPS10</v>
          </cell>
        </row>
        <row r="1966">
          <cell r="D1966">
            <v>162</v>
          </cell>
          <cell r="E1966">
            <v>73069000</v>
          </cell>
          <cell r="F1966">
            <v>20</v>
          </cell>
          <cell r="G1966" t="str">
            <v>PIPE ASTM A53GR.B- ERW  BE XS: ASME  B36.10M  NPS18</v>
          </cell>
        </row>
        <row r="1967">
          <cell r="D1967">
            <v>163</v>
          </cell>
          <cell r="E1967">
            <v>73069000</v>
          </cell>
          <cell r="F1967">
            <v>20</v>
          </cell>
          <cell r="G1967" t="str">
            <v>PIPE ASTM A53GR.B- ERW  BE XS: ASME  B36.10M  NPS 20</v>
          </cell>
        </row>
        <row r="1968">
          <cell r="D1968">
            <v>164</v>
          </cell>
          <cell r="E1968">
            <v>73069000</v>
          </cell>
          <cell r="F1968">
            <v>20</v>
          </cell>
          <cell r="G1968" t="str">
            <v>PIPE ASTM A53GR.B- ERW  BE STD  : ASME  B36.10M  NPS 10</v>
          </cell>
        </row>
        <row r="1969">
          <cell r="D1969">
            <v>165</v>
          </cell>
          <cell r="E1969">
            <v>73069000</v>
          </cell>
          <cell r="F1969">
            <v>20</v>
          </cell>
          <cell r="G1969" t="str">
            <v>PIPE ASTM A53GR.B- ERW  BE STD  : ASME  B36.10M  NPS 12</v>
          </cell>
        </row>
        <row r="1970">
          <cell r="D1970">
            <v>166</v>
          </cell>
          <cell r="E1970">
            <v>73069000</v>
          </cell>
          <cell r="F1970">
            <v>20</v>
          </cell>
          <cell r="G1970" t="str">
            <v>PIPE ASTM A53GR.B- ERW  BE STD  : ASME  B36.10M  NPS14</v>
          </cell>
        </row>
        <row r="1971">
          <cell r="D1971">
            <v>167</v>
          </cell>
          <cell r="E1971">
            <v>73069000</v>
          </cell>
          <cell r="F1971">
            <v>20</v>
          </cell>
          <cell r="G1971" t="str">
            <v>PIPE ASTM A53GR.B- ERW  BE STD  : ASME  B36.10M  NPS 16</v>
          </cell>
        </row>
        <row r="1972">
          <cell r="D1972">
            <v>168</v>
          </cell>
          <cell r="E1972">
            <v>73069000</v>
          </cell>
          <cell r="F1972">
            <v>20</v>
          </cell>
          <cell r="G1972" t="str">
            <v>PIPE ASTM A53GR.B- ERW  BE STD  : ASME  B36.10M  NPS  18</v>
          </cell>
        </row>
        <row r="1973">
          <cell r="D1973">
            <v>169</v>
          </cell>
          <cell r="E1973">
            <v>73069000</v>
          </cell>
          <cell r="F1973">
            <v>20</v>
          </cell>
          <cell r="G1973" t="str">
            <v>PIPE ASTM A53GR.B- ERW  BE STD  : ASME  B36.10M  NPS 20</v>
          </cell>
        </row>
        <row r="1974">
          <cell r="D1974">
            <v>170</v>
          </cell>
          <cell r="E1974">
            <v>73069000</v>
          </cell>
          <cell r="F1974">
            <v>20</v>
          </cell>
          <cell r="G1974" t="str">
            <v>PIPE ASTM A53GR.B- ERW  BE STD :  ASME  B36.10M  NPS 24</v>
          </cell>
        </row>
        <row r="1975">
          <cell r="D1975">
            <v>171</v>
          </cell>
          <cell r="E1975">
            <v>73069000</v>
          </cell>
          <cell r="F1975">
            <v>20</v>
          </cell>
          <cell r="G1975" t="str">
            <v>PIPE ASTM A53GR.B- ERW  BE STD :  ASME  B36.10M  NPS 3</v>
          </cell>
        </row>
        <row r="1976">
          <cell r="D1976">
            <v>172</v>
          </cell>
          <cell r="E1976">
            <v>73069000</v>
          </cell>
          <cell r="F1976">
            <v>20</v>
          </cell>
          <cell r="G1976" t="str">
            <v>PIPE ASTM A53GR.B- ERW  BE STD :  ASME  B36.10M  NPS 4</v>
          </cell>
        </row>
        <row r="1977">
          <cell r="D1977">
            <v>173</v>
          </cell>
          <cell r="E1977">
            <v>73069000</v>
          </cell>
          <cell r="F1977">
            <v>20</v>
          </cell>
          <cell r="G1977" t="str">
            <v>PIPE ASTM A53GR.B- ERW  BE STD :  ASME  B36.10M  NPS 6</v>
          </cell>
        </row>
        <row r="1978">
          <cell r="D1978">
            <v>174</v>
          </cell>
          <cell r="E1978">
            <v>73069000</v>
          </cell>
          <cell r="F1978">
            <v>20</v>
          </cell>
          <cell r="G1978" t="str">
            <v>PIPE ASTM A53GR.B- ERW  BE STD :  ASME  B36.10M  NPS 8</v>
          </cell>
        </row>
        <row r="1979">
          <cell r="D1979">
            <v>175</v>
          </cell>
          <cell r="E1979">
            <v>73069000</v>
          </cell>
          <cell r="F1979">
            <v>20</v>
          </cell>
          <cell r="G1979" t="str">
            <v>PIPE ASTM A53GR.B- ERW  BE STD , GALVANIZED :  ASME  B36.10M  NPS 10</v>
          </cell>
        </row>
        <row r="1980">
          <cell r="D1980">
            <v>176</v>
          </cell>
          <cell r="E1980">
            <v>73069000</v>
          </cell>
          <cell r="F1980">
            <v>20</v>
          </cell>
          <cell r="G1980" t="str">
            <v>PIPE ASTM A53GR B- ERW  BE STD , GALVANIZED :  ASME  B36.10M  NPS 12</v>
          </cell>
        </row>
        <row r="1981">
          <cell r="D1981">
            <v>177</v>
          </cell>
          <cell r="E1981">
            <v>73069000</v>
          </cell>
          <cell r="F1981">
            <v>20</v>
          </cell>
          <cell r="G1981" t="str">
            <v>PIPE ASTM A53GR.B- ERW  BE STD , GALVANIZED :  ASME  B36.10M  NPS 14</v>
          </cell>
        </row>
        <row r="1982">
          <cell r="D1982">
            <v>178</v>
          </cell>
          <cell r="E1982">
            <v>73069000</v>
          </cell>
          <cell r="F1982">
            <v>20</v>
          </cell>
          <cell r="G1982" t="str">
            <v>PIPE ASTM A53GR.B- ERW  BE STD , GALVANIZED :  ASME  B36.10M  NPS 3</v>
          </cell>
        </row>
        <row r="1983">
          <cell r="D1983">
            <v>179</v>
          </cell>
          <cell r="E1983">
            <v>73069000</v>
          </cell>
          <cell r="F1983">
            <v>20</v>
          </cell>
          <cell r="G1983" t="str">
            <v>PIPE ASTM A53GR.B- ERW  BE STD , GALVANIZED :  ASME  B36.10M  NPS 4</v>
          </cell>
        </row>
        <row r="1984">
          <cell r="D1984">
            <v>180</v>
          </cell>
          <cell r="E1984">
            <v>73069000</v>
          </cell>
          <cell r="F1984">
            <v>20</v>
          </cell>
          <cell r="G1984" t="str">
            <v>PIPE ASTM A53GR.B- ERW  BE STD , GALVANIZED :  ASME  B36.10M  NPS 6</v>
          </cell>
        </row>
        <row r="1985">
          <cell r="D1985">
            <v>181</v>
          </cell>
          <cell r="E1985">
            <v>73069000</v>
          </cell>
          <cell r="F1985">
            <v>20</v>
          </cell>
          <cell r="G1985" t="str">
            <v>PIPE ASTM A53GR.B- ERW  BE STD , GALVANIZED :  ASME  B36.10M  NPS 8</v>
          </cell>
        </row>
        <row r="1986">
          <cell r="D1986">
            <v>182</v>
          </cell>
          <cell r="E1986">
            <v>73069000</v>
          </cell>
          <cell r="F1986">
            <v>20</v>
          </cell>
          <cell r="G1986" t="str">
            <v>PIPE ASTM A53GR.B- ERW  BE SCH 40 : ASME  B36.10M  NPS 12</v>
          </cell>
        </row>
        <row r="1987">
          <cell r="D1987">
            <v>183</v>
          </cell>
          <cell r="E1987">
            <v>73069000</v>
          </cell>
          <cell r="F1987">
            <v>20</v>
          </cell>
          <cell r="G1987" t="str">
            <v>PIPE ASTM A53GR.B- ERW  BE SCH 30 : ASME  B36.10M  NPS 24</v>
          </cell>
        </row>
        <row r="1988">
          <cell r="D1988">
            <v>184</v>
          </cell>
          <cell r="E1988">
            <v>73069000</v>
          </cell>
          <cell r="F1988">
            <v>20</v>
          </cell>
          <cell r="G1988" t="str">
            <v>PIPE API5LGR.B-SAW  BE  STD:  ASME  B36.10M  NPS 26</v>
          </cell>
        </row>
        <row r="1989">
          <cell r="D1989">
            <v>185</v>
          </cell>
          <cell r="E1989">
            <v>73069000</v>
          </cell>
          <cell r="F1989">
            <v>20</v>
          </cell>
          <cell r="G1989" t="str">
            <v>PIPE API5LGR.B-SAW  BE 17.48 mm  :  ASME  B36.10M  NPS 42</v>
          </cell>
        </row>
        <row r="1990">
          <cell r="D1990">
            <v>186</v>
          </cell>
          <cell r="E1990">
            <v>73069000</v>
          </cell>
          <cell r="F1990">
            <v>20</v>
          </cell>
          <cell r="G1990" t="str">
            <v>PIPE API5LGR.B-SAW  BE 8.74 mm  :    ASME  B36.10M  NPS 36</v>
          </cell>
        </row>
        <row r="1991">
          <cell r="D1991">
            <v>187</v>
          </cell>
          <cell r="E1991">
            <v>73069000</v>
          </cell>
          <cell r="F1991">
            <v>20</v>
          </cell>
          <cell r="G1991" t="str">
            <v>PIPE API5LGR.B-SAW  BE 10.31 mm  :  ASME  B36.10M  NPS 28</v>
          </cell>
        </row>
        <row r="1992">
          <cell r="D1992">
            <v>188</v>
          </cell>
          <cell r="E1992">
            <v>73069000</v>
          </cell>
          <cell r="F1992">
            <v>20</v>
          </cell>
          <cell r="G1992" t="str">
            <v>PIPE API5LGR.B-SAW  BE 10.31 mm  :  ASME  B36.10M  NPS 30</v>
          </cell>
        </row>
        <row r="1993">
          <cell r="D1993">
            <v>189</v>
          </cell>
          <cell r="E1993">
            <v>73069000</v>
          </cell>
          <cell r="F1993">
            <v>20</v>
          </cell>
          <cell r="G1993" t="str">
            <v>PIPE API5LGR.B-SAW  BE 11.13 mm  :  ASME  B36.10M  NPS 46</v>
          </cell>
        </row>
        <row r="1994">
          <cell r="D1994">
            <v>190</v>
          </cell>
          <cell r="E1994">
            <v>73069000</v>
          </cell>
          <cell r="F1994">
            <v>20</v>
          </cell>
          <cell r="G1994" t="str">
            <v>PIPE API5LGR.B-SAW  BE 11.91 mm :   ASME  B36.10M  NPS 36</v>
          </cell>
        </row>
        <row r="1995">
          <cell r="D1995">
            <v>191</v>
          </cell>
          <cell r="E1995">
            <v>73069000</v>
          </cell>
          <cell r="F1995">
            <v>20</v>
          </cell>
          <cell r="G1995" t="str">
            <v>PIPE API5LGR.B-SAW  BE 11.91 mm  :  ASME  B36.10M  NPS 52</v>
          </cell>
        </row>
        <row r="1996">
          <cell r="D1996">
            <v>192</v>
          </cell>
          <cell r="E1996">
            <v>73069000</v>
          </cell>
          <cell r="F1996">
            <v>20</v>
          </cell>
          <cell r="G1996" t="str">
            <v>PIPE API5LGR.B-SAW  BE 12.70  mm :   ASME  B36.10M  NPS 56</v>
          </cell>
        </row>
        <row r="1997">
          <cell r="D1997">
            <v>193</v>
          </cell>
          <cell r="E1997">
            <v>73069000</v>
          </cell>
          <cell r="F1997">
            <v>20</v>
          </cell>
          <cell r="G1997" t="str">
            <v>PIPE API5LGR.B-SAW  BE 14.27 mm  :   ASME  B36.10M  NPS 42</v>
          </cell>
        </row>
        <row r="1998">
          <cell r="D1998">
            <v>194</v>
          </cell>
          <cell r="E1998">
            <v>73069000</v>
          </cell>
          <cell r="F1998">
            <v>20</v>
          </cell>
          <cell r="G1998" t="str">
            <v>PIPE API5LGR.B-SAW  BE 15.88 mm  :   ASME  B36.10M  NPS 36</v>
          </cell>
        </row>
        <row r="1999">
          <cell r="E1999">
            <v>1995</v>
          </cell>
        </row>
      </sheetData>
      <sheetData sheetId="1" refreshError="1"/>
      <sheetData sheetId="2" refreshError="1"/>
      <sheetData sheetId="3"/>
      <sheetData sheetId="4"/>
      <sheetData sheetId="5">
        <row r="4">
          <cell r="D4">
            <v>0</v>
          </cell>
        </row>
      </sheetData>
      <sheetData sheetId="6"/>
      <sheetData sheetId="7"/>
      <sheetData sheetId="8">
        <row r="4">
          <cell r="D4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Q1"/>
      <sheetName val="BOQ2"/>
      <sheetName val="BOQ3"/>
      <sheetName val="Estimate"/>
      <sheetName val="Estimate1"/>
      <sheetName val="Summary"/>
      <sheetName val="Temp"/>
      <sheetName val="Rates"/>
    </sheetNames>
    <sheetDataSet>
      <sheetData sheetId="0"/>
      <sheetData sheetId="1">
        <row r="573">
          <cell r="G573">
            <v>0</v>
          </cell>
        </row>
        <row r="575">
          <cell r="G575">
            <v>0</v>
          </cell>
        </row>
        <row r="577">
          <cell r="G577">
            <v>0</v>
          </cell>
        </row>
        <row r="579">
          <cell r="G579">
            <v>0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"/>
      <sheetName val="A2"/>
      <sheetName val="A3"/>
      <sheetName val="A6"/>
      <sheetName val="AA"/>
      <sheetName val="AB"/>
      <sheetName val="AC"/>
      <sheetName val="AF"/>
      <sheetName val="R1"/>
      <sheetName val="R2"/>
      <sheetName val="R3"/>
      <sheetName val="R5"/>
      <sheetName val="R6"/>
      <sheetName val="R7"/>
      <sheetName val="R8"/>
      <sheetName val="R9"/>
      <sheetName val="RL"/>
      <sheetName val="RZ"/>
      <sheetName val="T2"/>
      <sheetName val="T4"/>
      <sheetName val="T5"/>
      <sheetName val="T6"/>
      <sheetName val="PLT-SUM"/>
      <sheetName val="TYP-CAP"/>
      <sheetName val="Reserved"/>
      <sheetName val="ALL-SUMMARY"/>
      <sheetName val="MI-ASCI"/>
      <sheetName val="Non Productive"/>
      <sheetName val="PlantSch1All"/>
      <sheetName val="Panels (DWG)"/>
      <sheetName val="Detail EVA-October"/>
      <sheetName val="Cum-October"/>
      <sheetName val="JULY"/>
      <sheetName val="Road Maintenance"/>
      <sheetName val="Materials Saving"/>
      <sheetName val="JUNE"/>
      <sheetName val="Cumulative"/>
      <sheetName val="AUGUST"/>
      <sheetName val="Cum-August"/>
      <sheetName val="Cumulative EVA-sep"/>
      <sheetName val="Sheet2"/>
      <sheetName val="Main items"/>
      <sheetName val="Sheet3"/>
      <sheetName val="Sheet4"/>
      <sheetName val="Sheet1"/>
      <sheetName val="Joseph Record"/>
      <sheetName val="FitOutConfCentre"/>
      <sheetName val="기계내역서"/>
      <sheetName val="Raw Data"/>
      <sheetName val="Grass Sodding-Team"/>
      <sheetName val="RESOURCES"/>
      <sheetName val="BASIC RATES"/>
      <sheetName val="Schedules"/>
      <sheetName val="BOQ"/>
      <sheetName val="450 x 350"/>
      <sheetName val="SUMMARY"/>
      <sheetName val="B-2"/>
      <sheetName val="Pl"/>
      <sheetName val="残数量確認用"/>
      <sheetName val="Section 2-SCHEDULE OF DAYWORK"/>
      <sheetName val="Ragama"/>
      <sheetName val="Unit cost- Drain-Protection-1 "/>
      <sheetName val="beam-reinft"/>
      <sheetName val="Non_Productive"/>
      <sheetName val="Detail_EVA-October"/>
      <sheetName val="Road_Maintenance"/>
      <sheetName val="Materials_Saving"/>
      <sheetName val="Cumulative_EVA-sep"/>
      <sheetName val="Main_items"/>
      <sheetName val="Joseph_Record"/>
      <sheetName val="Grass_Sodding-Team"/>
      <sheetName val="BASIC_RATES"/>
      <sheetName val="Raw_Data"/>
      <sheetName val="450_x_350"/>
      <sheetName val="Panels_(DWG)"/>
      <sheetName val="Section_2-SCHEDULE_OF_DAYWORK"/>
      <sheetName val="Unit_cost-_Drain-Protection-1_"/>
      <sheetName val="Bar.Sched"/>
      <sheetName val="RBDfor derived Rates"/>
      <sheetName val="BILL SUMMARY"/>
      <sheetName val="WD-8 Main pkg PRT2"/>
      <sheetName val="Mes-Excavation"/>
      <sheetName val="Mes-Con. work_07"/>
      <sheetName val="Mes.Struc. steel_07"/>
      <sheetName val="Mes-RF"/>
      <sheetName val="F9A"/>
      <sheetName val="F10"/>
      <sheetName val="F19"/>
      <sheetName val="F11C"/>
      <sheetName val="F6A"/>
      <sheetName val="F5A"/>
      <sheetName val="BBS_132"/>
      <sheetName val="F2A"/>
      <sheetName val="F1 &amp; F2"/>
      <sheetName val="F3"/>
      <sheetName val="F3A"/>
      <sheetName val="F3B"/>
      <sheetName val="F4"/>
      <sheetName val="F5"/>
      <sheetName val="F6"/>
      <sheetName val="F13"/>
      <sheetName val="F14"/>
      <sheetName val="F9 old"/>
      <sheetName val="F7"/>
      <sheetName val="F8"/>
      <sheetName val="F8A"/>
      <sheetName val="F12"/>
      <sheetName val="F11"/>
      <sheetName val="F11A"/>
      <sheetName val="F15"/>
      <sheetName val="F16"/>
      <sheetName val="F17"/>
      <sheetName val="BOT"/>
      <sheetName val="Materials"/>
      <sheetName val="CODE LIST"/>
      <sheetName val="CODE_LIST"/>
      <sheetName val="OLD PRICES"/>
      <sheetName val="BOQ2"/>
      <sheetName val="HeavyData"/>
      <sheetName val="HOC"/>
      <sheetName val="Prilimns"/>
      <sheetName val="F-6 COVER"/>
      <sheetName val="Sum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  <sheetName val="BOQ 100A"/>
      <sheetName val="BOQ 100B"/>
      <sheetName val="BOQ 200"/>
      <sheetName val="BOQ 300"/>
      <sheetName val="BOQ 400"/>
      <sheetName val="BOQ 550A"/>
      <sheetName val="550B summa"/>
      <sheetName val="BOQ 550B-200"/>
      <sheetName val="BOQ 550B-550"/>
      <sheetName val="BOQ 550B-600"/>
      <sheetName val="BOQ 550D"/>
      <sheetName val="BOQ 600"/>
      <sheetName val="BOQ 800 Summ"/>
      <sheetName val="BOQ 800.1"/>
      <sheetName val="BOQ 800.2"/>
      <sheetName val="BOQ 800.3"/>
      <sheetName val="BOQ 900"/>
      <sheetName val="Variation"/>
      <sheetName val="Valesco Paste"/>
      <sheetName val="Cost"/>
      <sheetName val="B.100"/>
      <sheetName val="CERTIFICATE"/>
      <sheetName val="Lead (Final)"/>
      <sheetName val="Publicbuilding"/>
      <sheetName val="Non_Productive1"/>
      <sheetName val="Non_Productive2"/>
      <sheetName val="Non_Productive3"/>
      <sheetName val="Non_Productive4"/>
      <sheetName val="Detail_EVA-October1"/>
      <sheetName val="Road_Maintenance1"/>
      <sheetName val="Materials_Saving1"/>
      <sheetName val="Cumulative_EVA-sep1"/>
      <sheetName val="Main_items1"/>
      <sheetName val="Joseph_Record1"/>
      <sheetName val="Services_InitialEst_UtilityServ"/>
      <sheetName val="Rates"/>
      <sheetName val="Cost bd-&quot;A&quot;"/>
      <sheetName val="Detail_EVA-October4"/>
      <sheetName val="Road_Maintenance4"/>
      <sheetName val="Materials_Saving4"/>
      <sheetName val="Cumulative_EVA-sep4"/>
      <sheetName val="Main_items4"/>
      <sheetName val="Joseph_Record4"/>
      <sheetName val="Grass_Sodding-Team4"/>
      <sheetName val="BASIC_RATES4"/>
      <sheetName val="Raw_Data4"/>
      <sheetName val="Section_2-SCHEDULE_OF_DAYWORK4"/>
      <sheetName val="Unit_cost-_Drain-Protection-1_4"/>
      <sheetName val="Panels_(DWG)4"/>
      <sheetName val="450_x_3504"/>
      <sheetName val="Bar_Sched3"/>
      <sheetName val="RBDfor_derived_Rates3"/>
      <sheetName val="BILL_SUMMARY3"/>
      <sheetName val="WD-8_Main_pkg_PRT23"/>
      <sheetName val="Mes-Con__work_073"/>
      <sheetName val="Mes_Struc__steel_073"/>
      <sheetName val="F1_&amp;_F23"/>
      <sheetName val="F9_old3"/>
      <sheetName val="Cost_bd-&quot;A&quot;3"/>
      <sheetName val="CODE_LIST1"/>
      <sheetName val="F-6_COVER1"/>
      <sheetName val="10_Breakdown_1"/>
      <sheetName val="Exc_Adj1"/>
      <sheetName val="Bill_011"/>
      <sheetName val="Bill_021"/>
      <sheetName val="Bill_031"/>
      <sheetName val="Bill_041"/>
      <sheetName val="Bill_051"/>
      <sheetName val="Bill_061"/>
      <sheetName val="Bill_071"/>
      <sheetName val="Bill_081"/>
      <sheetName val="Bill_091"/>
      <sheetName val="Bill_101"/>
      <sheetName val="NBT_Calculation1"/>
      <sheetName val="Main_VO_Summary1"/>
      <sheetName val="VO_Sum_Non(New)1"/>
      <sheetName val="VO-07_1"/>
      <sheetName val="VO-08_1"/>
      <sheetName val="OLD_PRICES1"/>
      <sheetName val="Detail_EVA-October3"/>
      <sheetName val="Road_Maintenance3"/>
      <sheetName val="Materials_Saving3"/>
      <sheetName val="Cumulative_EVA-sep3"/>
      <sheetName val="Main_items3"/>
      <sheetName val="Joseph_Record3"/>
      <sheetName val="Grass_Sodding-Team3"/>
      <sheetName val="BASIC_RATES3"/>
      <sheetName val="Raw_Data3"/>
      <sheetName val="Section_2-SCHEDULE_OF_DAYWORK3"/>
      <sheetName val="Unit_cost-_Drain-Protection-1_3"/>
      <sheetName val="Panels_(DWG)3"/>
      <sheetName val="450_x_3503"/>
      <sheetName val="Bar_Sched2"/>
      <sheetName val="RBDfor_derived_Rates2"/>
      <sheetName val="BILL_SUMMARY2"/>
      <sheetName val="WD-8_Main_pkg_PRT22"/>
      <sheetName val="Mes-Con__work_072"/>
      <sheetName val="Mes_Struc__steel_072"/>
      <sheetName val="F1_&amp;_F22"/>
      <sheetName val="F9_old2"/>
      <sheetName val="Cost_bd-&quot;A&quot;2"/>
      <sheetName val="F-6_COVER"/>
      <sheetName val="10_Breakdown_"/>
      <sheetName val="Exc_Adj"/>
      <sheetName val="Bill_01"/>
      <sheetName val="Bill_02"/>
      <sheetName val="Bill_03"/>
      <sheetName val="Bill_04"/>
      <sheetName val="Bill_05"/>
      <sheetName val="Bill_06"/>
      <sheetName val="Bill_07"/>
      <sheetName val="Bill_08"/>
      <sheetName val="Bill_09"/>
      <sheetName val="Bill_10"/>
      <sheetName val="NBT_Calculation"/>
      <sheetName val="Main_VO_Summary"/>
      <sheetName val="VO_Sum_Non(New)"/>
      <sheetName val="VO-07_"/>
      <sheetName val="VO-08_"/>
      <sheetName val="OLD_PRICES"/>
      <sheetName val="Raw_Data1"/>
      <sheetName val="Grass_Sodding-Team1"/>
      <sheetName val="Panels_(DWG)1"/>
      <sheetName val="BASIC_RATES1"/>
      <sheetName val="450_x_3501"/>
      <sheetName val="Section_2-SCHEDULE_OF_DAYWORK1"/>
      <sheetName val="Unit_cost-_Drain-Protection-1_1"/>
      <sheetName val="Cost_bd-&quot;A&quot;"/>
      <sheetName val="Bar_Sched"/>
      <sheetName val="RBDfor_derived_Rates"/>
      <sheetName val="BILL_SUMMARY"/>
      <sheetName val="WD-8_Main_pkg_PRT2"/>
      <sheetName val="Mes-Con__work_07"/>
      <sheetName val="Mes_Struc__steel_07"/>
      <sheetName val="F1_&amp;_F2"/>
      <sheetName val="F9_old"/>
      <sheetName val="Detail_EVA-October2"/>
      <sheetName val="Road_Maintenance2"/>
      <sheetName val="Materials_Saving2"/>
      <sheetName val="Cumulative_EVA-sep2"/>
      <sheetName val="Main_items2"/>
      <sheetName val="Joseph_Record2"/>
      <sheetName val="Raw_Data2"/>
      <sheetName val="Grass_Sodding-Team2"/>
      <sheetName val="Panels_(DWG)2"/>
      <sheetName val="BASIC_RATES2"/>
      <sheetName val="450_x_3502"/>
      <sheetName val="Section_2-SCHEDULE_OF_DAYWORK2"/>
      <sheetName val="Unit_cost-_Drain-Protection-1_2"/>
      <sheetName val="Cost_bd-&quot;A&quot;1"/>
      <sheetName val="Bar_Sched1"/>
      <sheetName val="RBDfor_derived_Rates1"/>
      <sheetName val="BILL_SUMMARY1"/>
      <sheetName val="WD-8_Main_pkg_PRT21"/>
      <sheetName val="Mes-Con__work_071"/>
      <sheetName val="Mes_Struc__steel_071"/>
      <sheetName val="F1_&amp;_F21"/>
      <sheetName val="F9_old1"/>
      <sheetName val="Cost Factor Sheet"/>
      <sheetName val="Load Sch, Cable Sel &amp; Qty"/>
      <sheetName val="Factor Sheet"/>
      <sheetName val="Price Sheet"/>
      <sheetName val="Kaatsu H.A.M.T.T.C.-7 jan 10"/>
      <sheetName val="JOB COSTING SHEET ELEC"/>
      <sheetName val="Rate Sheet"/>
      <sheetName val="resoces"/>
      <sheetName val="Non_Productive7"/>
      <sheetName val="Detail_EVA-October7"/>
      <sheetName val="Road_Maintenance7"/>
      <sheetName val="Materials_Saving7"/>
      <sheetName val="Cumulative_EVA-sep7"/>
      <sheetName val="Main_items7"/>
      <sheetName val="Joseph_Record7"/>
      <sheetName val="Raw_Data7"/>
      <sheetName val="Grass_Sodding-Team7"/>
      <sheetName val="Panels_(DWG)7"/>
      <sheetName val="BASIC_RATES7"/>
      <sheetName val="450_x_3507"/>
      <sheetName val="Section_2-SCHEDULE_OF_DAYWORK7"/>
      <sheetName val="Unit_cost-_Drain-Protection-1_7"/>
      <sheetName val="Cost_bd-&quot;A&quot;6"/>
      <sheetName val="Bar_Sched6"/>
      <sheetName val="RBDfor_derived_Rates6"/>
      <sheetName val="BILL_SUMMARY6"/>
      <sheetName val="WD-8_Main_pkg_PRT26"/>
      <sheetName val="Mes-Con__work_076"/>
      <sheetName val="Mes_Struc__steel_076"/>
      <sheetName val="F1_&amp;_F26"/>
      <sheetName val="F9_old6"/>
      <sheetName val="Non_Productive6"/>
      <sheetName val="Detail_EVA-October6"/>
      <sheetName val="Road_Maintenance6"/>
      <sheetName val="Materials_Saving6"/>
      <sheetName val="Cumulative_EVA-sep6"/>
      <sheetName val="Main_items6"/>
      <sheetName val="Joseph_Record6"/>
      <sheetName val="Grass_Sodding-Team6"/>
      <sheetName val="BASIC_RATES6"/>
      <sheetName val="Raw_Data6"/>
      <sheetName val="Section_2-SCHEDULE_OF_DAYWORK6"/>
      <sheetName val="Unit_cost-_Drain-Protection-1_6"/>
      <sheetName val="Panels_(DWG)6"/>
      <sheetName val="450_x_3506"/>
      <sheetName val="Bar_Sched5"/>
      <sheetName val="RBDfor_derived_Rates5"/>
      <sheetName val="BILL_SUMMARY5"/>
      <sheetName val="WD-8_Main_pkg_PRT25"/>
      <sheetName val="Mes-Con__work_075"/>
      <sheetName val="Mes_Struc__steel_075"/>
      <sheetName val="F1_&amp;_F25"/>
      <sheetName val="F9_old5"/>
      <sheetName val="Cost_bd-&quot;A&quot;5"/>
      <sheetName val="CODE_LIST3"/>
      <sheetName val="F-6_COVER3"/>
      <sheetName val="10_Breakdown_3"/>
      <sheetName val="Exc_Adj3"/>
      <sheetName val="Bill_013"/>
      <sheetName val="Bill_023"/>
      <sheetName val="Bill_033"/>
      <sheetName val="Bill_043"/>
      <sheetName val="Bill_053"/>
      <sheetName val="Bill_063"/>
      <sheetName val="Bill_073"/>
      <sheetName val="Bill_083"/>
      <sheetName val="Bill_093"/>
      <sheetName val="Bill_103"/>
      <sheetName val="NBT_Calculation3"/>
      <sheetName val="Main_VO_Summary3"/>
      <sheetName val="VO_Sum_Non(New)3"/>
      <sheetName val="VO-07_3"/>
      <sheetName val="VO-08_3"/>
      <sheetName val="OLD_PRICES3"/>
      <sheetName val="Non_Productive5"/>
      <sheetName val="Detail_EVA-October5"/>
      <sheetName val="Road_Maintenance5"/>
      <sheetName val="Materials_Saving5"/>
      <sheetName val="Cumulative_EVA-sep5"/>
      <sheetName val="Main_items5"/>
      <sheetName val="Joseph_Record5"/>
      <sheetName val="Grass_Sodding-Team5"/>
      <sheetName val="BASIC_RATES5"/>
      <sheetName val="Raw_Data5"/>
      <sheetName val="Section_2-SCHEDULE_OF_DAYWORK5"/>
      <sheetName val="Unit_cost-_Drain-Protection-1_5"/>
      <sheetName val="Panels_(DWG)5"/>
      <sheetName val="450_x_3505"/>
      <sheetName val="Bar_Sched4"/>
      <sheetName val="RBDfor_derived_Rates4"/>
      <sheetName val="BILL_SUMMARY4"/>
      <sheetName val="WD-8_Main_pkg_PRT24"/>
      <sheetName val="Mes-Con__work_074"/>
      <sheetName val="Mes_Struc__steel_074"/>
      <sheetName val="F1_&amp;_F24"/>
      <sheetName val="F9_old4"/>
      <sheetName val="Cost_bd-&quot;A&quot;4"/>
      <sheetName val="CODE_LIST2"/>
      <sheetName val="F-6_COVER2"/>
      <sheetName val="10_Breakdown_2"/>
      <sheetName val="Exc_Adj2"/>
      <sheetName val="Bill_012"/>
      <sheetName val="Bill_022"/>
      <sheetName val="Bill_032"/>
      <sheetName val="Bill_042"/>
      <sheetName val="Bill_052"/>
      <sheetName val="Bill_062"/>
      <sheetName val="Bill_072"/>
      <sheetName val="Bill_082"/>
      <sheetName val="Bill_092"/>
      <sheetName val="Bill_102"/>
      <sheetName val="NBT_Calculation2"/>
      <sheetName val="Main_VO_Summary2"/>
      <sheetName val="VO_Sum_Non(New)2"/>
      <sheetName val="VO-07_2"/>
      <sheetName val="VO-08_2"/>
      <sheetName val="OLD_PRICES2"/>
      <sheetName val="CODE_LIST4"/>
      <sheetName val="F-6_COVER4"/>
      <sheetName val="10_Breakdown_4"/>
      <sheetName val="Exc_Adj4"/>
      <sheetName val="Bill_014"/>
      <sheetName val="Bill_024"/>
      <sheetName val="Bill_034"/>
      <sheetName val="Bill_044"/>
      <sheetName val="Bill_054"/>
      <sheetName val="Bill_064"/>
      <sheetName val="Bill_074"/>
      <sheetName val="Bill_084"/>
      <sheetName val="Bill_094"/>
      <sheetName val="Bill_104"/>
      <sheetName val="NBT_Calculation4"/>
      <sheetName val="Main_VO_Summary4"/>
      <sheetName val="VO_Sum_Non(New)4"/>
      <sheetName val="VO-07_4"/>
      <sheetName val="VO-08_4"/>
      <sheetName val="OLD_PRICES4"/>
      <sheetName val="Cost code total"/>
      <sheetName val="Supervisor"/>
      <sheetName val="Vechicle"/>
      <sheetName val="Basic Data"/>
      <sheetName val="5A"/>
      <sheetName val="Tabulations"/>
      <sheetName val="Non_Productive8"/>
      <sheetName val="Detail_EVA-October8"/>
      <sheetName val="Road_Maintenance8"/>
      <sheetName val="Materials_Saving8"/>
      <sheetName val="Cumulative_EVA-sep8"/>
      <sheetName val="Main_items8"/>
      <sheetName val="Joseph_Record8"/>
      <sheetName val="Grass_Sodding-Team8"/>
      <sheetName val="BASIC_RATES8"/>
      <sheetName val="Raw_Data8"/>
      <sheetName val="Section_2-SCHEDULE_OF_DAYWORK8"/>
      <sheetName val="Unit_cost-_Drain-Protection-1_8"/>
      <sheetName val="Panels_(DWG)8"/>
      <sheetName val="450_x_3508"/>
      <sheetName val="Bar_Sched7"/>
      <sheetName val="RBDfor_derived_Rates7"/>
      <sheetName val="BILL_SUMMARY7"/>
      <sheetName val="WD-8_Main_pkg_PRT27"/>
      <sheetName val="Mes-Con__work_077"/>
      <sheetName val="Mes_Struc__steel_077"/>
      <sheetName val="F1_&amp;_F27"/>
      <sheetName val="F9_old7"/>
      <sheetName val="Cost_bd-&quot;A&quot;7"/>
      <sheetName val="CODE_LIST5"/>
      <sheetName val="F-6_COVER5"/>
      <sheetName val="10_Breakdown_5"/>
      <sheetName val="Exc_Adj5"/>
      <sheetName val="Bill_015"/>
      <sheetName val="Bill_025"/>
      <sheetName val="Bill_035"/>
      <sheetName val="Bill_045"/>
      <sheetName val="Bill_055"/>
      <sheetName val="Bill_065"/>
      <sheetName val="Bill_075"/>
      <sheetName val="Bill_085"/>
      <sheetName val="Bill_095"/>
      <sheetName val="Bill_105"/>
      <sheetName val="NBT_Calculation5"/>
      <sheetName val="Main_VO_Summary5"/>
      <sheetName val="VO_Sum_Non(New)5"/>
      <sheetName val="VO-07_5"/>
      <sheetName val="VO-08_5"/>
      <sheetName val="OLD_PRICES5"/>
      <sheetName val="Furniture"/>
      <sheetName val="10.Linkway"/>
      <sheetName val="11.Bus Shelter-Bay"/>
      <sheetName val="HVAC"/>
      <sheetName val="banilad"/>
      <sheetName val="Mactan"/>
      <sheetName val="Mandaue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Bill 3 - Site Works"/>
      <sheetName val="may_data"/>
      <sheetName val="Facto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 refreshError="1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トップ"/>
      <sheetName val="C1"/>
      <sheetName val="2C+"/>
      <sheetName val="C2"/>
      <sheetName val="個別"/>
      <sheetName val="個別2"/>
      <sheetName val="C3-"/>
      <sheetName val="0"/>
      <sheetName val="1"/>
      <sheetName val="2"/>
      <sheetName val="3"/>
      <sheetName val="01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411"/>
      <sheetName val="7"/>
      <sheetName val="71"/>
      <sheetName val="72"/>
      <sheetName val="9"/>
      <sheetName val="作成画面"/>
      <sheetName val="絵柄"/>
      <sheetName val="50"/>
      <sheetName val="51"/>
      <sheetName val="52"/>
      <sheetName val="6"/>
      <sheetName val="61"/>
      <sheetName val="62"/>
      <sheetName val="63"/>
      <sheetName val="64"/>
      <sheetName val="65"/>
      <sheetName val="66"/>
      <sheetName val="HOC入力"/>
      <sheetName val="ﾌﾟﾛ業務"/>
      <sheetName val="FWDer"/>
      <sheetName val="Barge"/>
      <sheetName val="Haulage(H.C.) "/>
      <sheetName val="Haulage(G.C.)"/>
      <sheetName val="プロ活動"/>
      <sheetName val="Work Flow"/>
      <sheetName val="PreMTG"/>
      <sheetName val="ﾌﾟﾛｼﾞｪｽｹ"/>
      <sheetName val="PLT-SUM"/>
      <sheetName val="F-6 COVER"/>
      <sheetName val="Sum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  <sheetName val="BOQ2"/>
      <sheetName val="Imp_HDPE PN16"/>
      <sheetName val="Cargo Excavation-TO-2"/>
      <sheetName val="Basic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>
        <row r="5">
          <cell r="B5">
            <v>0</v>
          </cell>
        </row>
      </sheetData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ﾋﾟﾃｱｽ2"/>
      <sheetName val="地別BQ"/>
      <sheetName val="BQ計算"/>
      <sheetName val="CgoDesc"/>
      <sheetName val="HOC"/>
      <sheetName val="HOC船積み"/>
      <sheetName val="コスト"/>
      <sheetName val="報告"/>
      <sheetName val="PMVolume"/>
      <sheetName val="Haulage(G.C.)"/>
      <sheetName val="F-6 COVER"/>
      <sheetName val="Sum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  <sheetName val="PLT-SUM"/>
      <sheetName val="BOQ2"/>
      <sheetName val="Basic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BOQ(new)"/>
      <sheetName val="Budget "/>
      <sheetName val="Print Budget"/>
      <sheetName val="Rate analysis"/>
      <sheetName val="Basic Rates"/>
      <sheetName val="material requiement"/>
      <sheetName val="material requiement (2)"/>
      <sheetName val="Basic Rates (2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>
        <row r="4">
          <cell r="C4">
            <v>365</v>
          </cell>
        </row>
        <row r="57">
          <cell r="C57">
            <v>1200</v>
          </cell>
        </row>
        <row r="59">
          <cell r="C59">
            <v>4400</v>
          </cell>
        </row>
      </sheetData>
      <sheetData sheetId="6" refreshError="1"/>
      <sheetData sheetId="7" refreshError="1"/>
      <sheetData sheetId="8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A-Reason"/>
      <sheetName val="A-Reason (Alt)"/>
      <sheetName val="B-Fin. Summary"/>
      <sheetName val="C-Estimate (BoQ)"/>
      <sheetName val="MS Varied"/>
      <sheetName val="MS Original Scope"/>
      <sheetName val="D-Correspondence"/>
      <sheetName val="No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7">
          <cell r="C7">
            <v>1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p"/>
      <sheetName val="案内"/>
      <sheetName val="HOCInput"/>
      <sheetName val="HOC"/>
      <sheetName val="Sch"/>
      <sheetName val="Ｃｏｄｅ"/>
      <sheetName val="PMVvolume"/>
      <sheetName val="Wgt1別"/>
      <sheetName val="入力1"/>
      <sheetName val="Cgo"/>
      <sheetName val="入力2"/>
      <sheetName val="Sample"/>
      <sheetName val="SeaLand"/>
      <sheetName val="ｺｽ2"/>
      <sheetName val="LP"/>
      <sheetName val="海Bid "/>
      <sheetName val="ﾊﾟﾗﾒｰﾀ2"/>
      <sheetName val="7"/>
      <sheetName val="関"/>
      <sheetName val="F-6 COVER"/>
      <sheetName val="Sum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  <sheetName val="Basic Rates"/>
      <sheetName val="PLT-SUM"/>
      <sheetName val="HeavyData"/>
      <sheetName val="Haulage(G.C.)"/>
      <sheetName val="Rates"/>
      <sheetName val="Data"/>
      <sheetName val="BOQ2"/>
    </sheetNames>
    <sheetDataSet>
      <sheetData sheetId="0" refreshError="1"/>
      <sheetData sheetId="1" refreshError="1"/>
      <sheetData sheetId="2" refreshError="1"/>
      <sheetData sheetId="3" refreshError="1">
        <row r="2">
          <cell r="AC2" t="str">
            <v>Total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12">
          <cell r="O12">
            <v>0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TC"/>
      <sheetName val="ｺｽｹ"/>
      <sheetName val="CgoSmry"/>
      <sheetName val="Hvy"/>
      <sheetName val="Schdl"/>
      <sheetName val="ｺｽ海陸"/>
      <sheetName val="ｺｽｻﾏ"/>
      <sheetName val="MH"/>
      <sheetName val="Ｃｏｄｅ"/>
      <sheetName val="報書"/>
      <sheetName val="海Bid"/>
      <sheetName val="HOC"/>
      <sheetName val="F-6 COVER"/>
      <sheetName val="Sum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  <sheetName val="BOQ"/>
      <sheetName val="42,46,47"/>
      <sheetName val="Road no 65"/>
      <sheetName val="29 (2)"/>
      <sheetName val="program (2)"/>
      <sheetName val="Road No-51"/>
      <sheetName val="Road no 55"/>
      <sheetName val="Road no 28"/>
      <sheetName val="Road 28"/>
      <sheetName val="Road 29"/>
      <sheetName val="Road 30"/>
      <sheetName val="Road 31"/>
      <sheetName val="Road 32"/>
      <sheetName val="Road 42"/>
      <sheetName val="Road 43 "/>
      <sheetName val="Road 45"/>
      <sheetName val="Road 46"/>
      <sheetName val="Road 47"/>
      <sheetName val="Road 48"/>
      <sheetName val="Road 50"/>
      <sheetName val="Road 51"/>
      <sheetName val="Road 52"/>
      <sheetName val="Road 53"/>
      <sheetName val="Road 55"/>
      <sheetName val="Road 56"/>
      <sheetName val="Road 64"/>
      <sheetName val="Road 65"/>
      <sheetName val="Road 66"/>
      <sheetName val="Road 68 "/>
      <sheetName val="Road 69"/>
      <sheetName val="Road 71 "/>
      <sheetName val="71 (2)"/>
      <sheetName val="STAFF_DRIVER OP"/>
      <sheetName val="Mix Design"/>
      <sheetName val="PLT-SUM"/>
      <sheetName val="Basic Rates"/>
      <sheetName val="BOQ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>
        <row r="5">
          <cell r="B5">
            <v>0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/>
      <sheetData sheetId="41"/>
      <sheetData sheetId="42"/>
      <sheetData sheetId="43">
        <row r="5">
          <cell r="B5">
            <v>0</v>
          </cell>
        </row>
      </sheetData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MCost　Inlet"/>
      <sheetName val="Wash"/>
      <sheetName val="HOC"/>
      <sheetName val="Sch"/>
      <sheetName val="ｺｽ海陸 "/>
      <sheetName val="ｺｽ1"/>
      <sheetName val="Ｃｏｄｅ"/>
      <sheetName val="入力"/>
      <sheetName val="入力2"/>
      <sheetName val="Cgo"/>
      <sheetName val="総額"/>
      <sheetName val="関"/>
      <sheetName val="Schdl"/>
      <sheetName val="F-6 COVER"/>
      <sheetName val="Sum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  <sheetName val="Supervisor"/>
      <sheetName val="Price List"/>
      <sheetName val="Basic Rates"/>
      <sheetName val="Haulage(G.C.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SUM"/>
      <sheetName val="HOC"/>
      <sheetName val="F-6 COVER"/>
      <sheetName val="Sum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  <sheetName val="Ragama"/>
      <sheetName val="tables"/>
      <sheetName val="Data"/>
      <sheetName val="Import-Hyd "/>
      <sheetName val="Sheet1"/>
    </sheetNames>
    <sheetDataSet>
      <sheetData sheetId="0" refreshError="1">
        <row r="12">
          <cell r="P12" t="str">
            <v>ITEM</v>
          </cell>
          <cell r="Q12" t="str">
            <v>基数</v>
          </cell>
        </row>
        <row r="13">
          <cell r="P13">
            <v>174</v>
          </cell>
          <cell r="Q13">
            <v>189</v>
          </cell>
        </row>
        <row r="17">
          <cell r="O17" t="str">
            <v>海外調達 Fee :</v>
          </cell>
          <cell r="Q17">
            <v>40.24</v>
          </cell>
          <cell r="R17" t="str">
            <v>mm\</v>
          </cell>
        </row>
        <row r="18">
          <cell r="P18">
            <v>1420.913</v>
          </cell>
          <cell r="Q18" t="str">
            <v>Ton</v>
          </cell>
        </row>
        <row r="19">
          <cell r="O19" t="str">
            <v xml:space="preserve">  機器費*7%(2年間)</v>
          </cell>
        </row>
        <row r="21">
          <cell r="O21" t="str">
            <v>鉄骨:54mm\(565.9Ton),HVAC:3mm\(145.5m2)</v>
          </cell>
        </row>
        <row r="23">
          <cell r="O23" t="str">
            <v>建屋:3,950m2(31.8m\/m2),鉄骨:64t(165m\/t),ｺﾝｸﾘｰﾄ:1081m3(25.3m\/M3),杭打:5838m(3.9m\/m)</v>
          </cell>
        </row>
        <row r="24">
          <cell r="O24" t="str">
            <v>据付:716t(67m\/t),配管: 197.3P.Ton(587.1m\/t)60,430 DB(@1.9m\/DB)</v>
          </cell>
        </row>
        <row r="27">
          <cell r="O27" t="str">
            <v xml:space="preserve"> 交通費:68mm\,交際費:13mm\,通信費:33mm\,印刷費:53mm\,ｺﾝﾋﾟｭｰﾀ費:32mm\,客先招へい費:2mm\,他</v>
          </cell>
        </row>
        <row r="28">
          <cell r="O28" t="str">
            <v xml:space="preserve"> 海上運賃5320FT(1378ton=3.3倍)*@$=32mm\, 内陸輸送16mm\, TTC Fee etc=8mm\,</v>
          </cell>
          <cell r="W28" t="str">
            <v>海上保険 4mm\,Air Cargo 5mm\,他</v>
          </cell>
        </row>
        <row r="29">
          <cell r="O29" t="str">
            <v xml:space="preserve"> 船積前:1mm\,船積後:10mm\, 組み立て:21mm\</v>
          </cell>
        </row>
        <row r="30">
          <cell r="O30" t="str">
            <v xml:space="preserve"> なし</v>
          </cell>
        </row>
        <row r="31">
          <cell r="O31" t="str">
            <v>T/M:</v>
          </cell>
          <cell r="P31">
            <v>8852</v>
          </cell>
          <cell r="Q31" t="str">
            <v>MD*27m\=</v>
          </cell>
          <cell r="R31">
            <v>239</v>
          </cell>
          <cell r="S31" t="str">
            <v>mm\, 検査外注費:37mm\, 工程管理:4mm\, 土建設計:53mm\, CS:16mm\</v>
          </cell>
          <cell r="Z31" t="str">
            <v>,ﾄﾚｰﾆﾝｸﾞ: 6mm\</v>
          </cell>
        </row>
        <row r="38">
          <cell r="O38" t="str">
            <v xml:space="preserve"> TEC:600m\/MM,JPN T/M:1429m\/MM,UK T/M:828m\/MM,V S/V:2852.3m\/MM</v>
          </cell>
        </row>
        <row r="39">
          <cell r="O39" t="str">
            <v xml:space="preserve"> L.SV:352.3m\/MM,Labor:32.8m\/MM,Clerk:42.4m\/MM</v>
          </cell>
        </row>
        <row r="43">
          <cell r="O43">
            <v>1380</v>
          </cell>
          <cell r="P43" t="str">
            <v>MD*108m\</v>
          </cell>
        </row>
        <row r="44">
          <cell r="O44">
            <v>6371</v>
          </cell>
          <cell r="P44" t="str">
            <v>MD*108m\</v>
          </cell>
        </row>
        <row r="45">
          <cell r="O45" t="str">
            <v>Equip't*</v>
          </cell>
          <cell r="P45">
            <v>0.03</v>
          </cell>
          <cell r="Q45" t="str">
            <v>+ Const.*</v>
          </cell>
          <cell r="R45">
            <v>0.05</v>
          </cell>
        </row>
        <row r="49">
          <cell r="O49" t="str">
            <v>営業にて記入下さい</v>
          </cell>
        </row>
        <row r="56">
          <cell r="V56">
            <v>7751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tables/table1.xml><?xml version="1.0" encoding="utf-8"?>
<table xmlns="http://schemas.openxmlformats.org/spreadsheetml/2006/main" id="1" name="Table44" displayName="Table44" ref="A3:N32" totalsRowShown="0" headerRowDxfId="36" dataDxfId="34" headerRowBorderDxfId="35" tableBorderDxfId="33">
  <autoFilter ref="A3:N32"/>
  <sortState ref="A4:L65">
    <sortCondition sortBy="fontColor" ref="K3:K65" dxfId="32"/>
  </sortState>
  <tableColumns count="14">
    <tableColumn id="1" name="No" dataDxfId="31"/>
    <tableColumn id="2" name="Vehicle No" dataDxfId="30" dataCellStyle="Hyperlink"/>
    <tableColumn id="3" name="Type" dataDxfId="29"/>
    <tableColumn id="4" name="actual days/machine hours" dataDxfId="28"/>
    <tableColumn id="11" name="Days/machine hours consider for costing" dataDxfId="27"/>
    <tableColumn id="5" name="Distance (Km)" dataDxfId="26"/>
    <tableColumn id="6" name="Fuel" dataDxfId="25"/>
    <tableColumn id="7" name="Consumption" dataDxfId="24"/>
    <tableColumn id="8" name="RATE HOUR /DAY" dataDxfId="23"/>
    <tableColumn id="14" name="Amount without Idling" dataDxfId="22"/>
    <tableColumn id="9" name="Amount with Idling" dataDxfId="21"/>
    <tableColumn id="10" name="Owner" dataDxfId="20"/>
    <tableColumn id="12" name="Package" dataDxfId="19"/>
    <tableColumn id="13" name="Remarks" dataDxfId="18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id="2" name="Table443" displayName="Table443" ref="A3:M12" totalsRowShown="0" headerRowDxfId="17" dataDxfId="15" headerRowBorderDxfId="16" tableBorderDxfId="14">
  <autoFilter ref="A3:M12"/>
  <sortState ref="A4:L70">
    <sortCondition sortBy="fontColor" ref="K3:K70" dxfId="13"/>
  </sortState>
  <tableColumns count="13">
    <tableColumn id="1" name="No" dataDxfId="12"/>
    <tableColumn id="2" name="Vehicle No" dataDxfId="11" dataCellStyle="Hyperlink"/>
    <tableColumn id="3" name="Type" dataDxfId="10"/>
    <tableColumn id="4" name="actual days/machine hours" dataDxfId="9"/>
    <tableColumn id="11" name="Days/machine hours consider for costing" dataDxfId="8"/>
    <tableColumn id="5" name="Distance" dataDxfId="7"/>
    <tableColumn id="6" name="Fuel" dataDxfId="6"/>
    <tableColumn id="7" name="Consumption" dataDxfId="5"/>
    <tableColumn id="8" name="RATE HOUR /DAY" dataDxfId="4"/>
    <tableColumn id="13" name="Actual amount" dataDxfId="3">
      <calculatedColumnFormula>Table443[[#This Row],[RATE HOUR /DAY]]*Table443[[#This Row],[actual days/machine hours]]</calculatedColumnFormula>
    </tableColumn>
    <tableColumn id="9" name="Amount (idling included)" dataDxfId="2">
      <calculatedColumnFormula>Table443[[#This Row],[RATE HOUR /DAY]]*Table443[[#This Row],[Days/machine hours consider for costing]]</calculatedColumnFormula>
    </tableColumn>
    <tableColumn id="10" name="Owner" dataDxfId="1"/>
    <tableColumn id="12" name="Remarks" data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5"/>
  <sheetViews>
    <sheetView zoomScale="92" zoomScaleNormal="92" workbookViewId="0">
      <pane ySplit="3" topLeftCell="A4" activePane="bottomLeft" state="frozen"/>
      <selection pane="bottomLeft" activeCell="E29" sqref="E29"/>
    </sheetView>
  </sheetViews>
  <sheetFormatPr defaultRowHeight="15" x14ac:dyDescent="0.25"/>
  <cols>
    <col min="1" max="1" width="9" bestFit="1" customWidth="1"/>
    <col min="2" max="2" width="16.7109375" customWidth="1"/>
    <col min="3" max="3" width="16" customWidth="1"/>
    <col min="4" max="4" width="17.7109375" customWidth="1"/>
    <col min="5" max="5" width="16.5703125" customWidth="1"/>
    <col min="6" max="6" width="15.28515625" customWidth="1"/>
    <col min="7" max="7" width="11.140625" bestFit="1" customWidth="1"/>
    <col min="8" max="8" width="21.7109375" style="2" customWidth="1"/>
    <col min="9" max="10" width="25" style="1" customWidth="1"/>
    <col min="11" max="11" width="21.5703125" style="1" customWidth="1"/>
    <col min="12" max="12" width="10.5703125" bestFit="1" customWidth="1"/>
    <col min="13" max="13" width="17.7109375" customWidth="1"/>
    <col min="14" max="14" width="15.5703125" customWidth="1"/>
  </cols>
  <sheetData>
    <row r="1" spans="1:14" ht="18.75" x14ac:dyDescent="0.3">
      <c r="A1" s="72" t="s">
        <v>73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</row>
    <row r="2" spans="1:14" x14ac:dyDescent="0.25">
      <c r="A2" s="73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</row>
    <row r="3" spans="1:14" ht="27.6" customHeight="1" x14ac:dyDescent="0.25">
      <c r="A3" s="11" t="s">
        <v>13</v>
      </c>
      <c r="B3" s="12" t="s">
        <v>12</v>
      </c>
      <c r="C3" s="12" t="s">
        <v>11</v>
      </c>
      <c r="D3" s="30" t="s">
        <v>15</v>
      </c>
      <c r="E3" s="30" t="s">
        <v>16</v>
      </c>
      <c r="F3" s="13" t="s">
        <v>29</v>
      </c>
      <c r="G3" s="12" t="s">
        <v>10</v>
      </c>
      <c r="H3" s="14" t="s">
        <v>9</v>
      </c>
      <c r="I3" s="15" t="s">
        <v>8</v>
      </c>
      <c r="J3" s="15" t="s">
        <v>47</v>
      </c>
      <c r="K3" s="16" t="s">
        <v>46</v>
      </c>
      <c r="L3" s="17" t="s">
        <v>7</v>
      </c>
      <c r="M3" s="32" t="s">
        <v>25</v>
      </c>
      <c r="N3" s="32" t="s">
        <v>18</v>
      </c>
    </row>
    <row r="4" spans="1:14" ht="15.75" x14ac:dyDescent="0.25">
      <c r="A4" s="44">
        <v>1</v>
      </c>
      <c r="B4" s="18" t="s">
        <v>52</v>
      </c>
      <c r="C4" s="19" t="s">
        <v>19</v>
      </c>
      <c r="D4" s="20"/>
      <c r="E4" s="20"/>
      <c r="F4" s="23"/>
      <c r="G4" s="23"/>
      <c r="H4" s="20" t="e">
        <f>Table44[[#This Row],[Distance (Km)]]/Table44[[#This Row],[Fuel]]</f>
        <v>#DIV/0!</v>
      </c>
      <c r="I4" s="29">
        <v>2800</v>
      </c>
      <c r="J4" s="42">
        <f>Table44[[#This Row],[RATE HOUR /DAY]]*Table44[[#This Row],[actual days/machine hours]]</f>
        <v>0</v>
      </c>
      <c r="K4" s="26">
        <f>Table44[[#This Row],[RATE HOUR /DAY]]*Table44[[#This Row],[Days/machine hours consider for costing]]</f>
        <v>0</v>
      </c>
      <c r="L4" s="22" t="s">
        <v>0</v>
      </c>
      <c r="M4" s="19"/>
      <c r="N4" s="19"/>
    </row>
    <row r="5" spans="1:14" ht="15.75" x14ac:dyDescent="0.25">
      <c r="A5" s="44">
        <v>2</v>
      </c>
      <c r="B5" s="18" t="s">
        <v>53</v>
      </c>
      <c r="C5" s="47" t="s">
        <v>54</v>
      </c>
      <c r="D5" s="48">
        <v>24</v>
      </c>
      <c r="E5" s="48">
        <v>24</v>
      </c>
      <c r="F5" s="50"/>
      <c r="G5" s="50">
        <v>460</v>
      </c>
      <c r="H5" s="48"/>
      <c r="I5" s="52">
        <v>3500</v>
      </c>
      <c r="J5" s="29">
        <f>Table44[[#This Row],[RATE HOUR /DAY]]*Table44[[#This Row],[actual days/machine hours]]</f>
        <v>84000</v>
      </c>
      <c r="K5" s="21">
        <f>Table44[[#This Row],[RATE HOUR /DAY]]*Table44[[#This Row],[Days/machine hours consider for costing]]</f>
        <v>84000</v>
      </c>
      <c r="L5" s="22" t="s">
        <v>0</v>
      </c>
      <c r="M5" s="47"/>
      <c r="N5" s="47"/>
    </row>
    <row r="6" spans="1:14" ht="15.75" x14ac:dyDescent="0.25">
      <c r="A6" s="44">
        <v>3</v>
      </c>
      <c r="B6" s="18" t="s">
        <v>69</v>
      </c>
      <c r="C6" s="19" t="s">
        <v>6</v>
      </c>
      <c r="D6" s="34">
        <v>21</v>
      </c>
      <c r="E6" s="34">
        <v>21</v>
      </c>
      <c r="F6" s="33">
        <v>2356</v>
      </c>
      <c r="G6" s="33">
        <v>869</v>
      </c>
      <c r="H6" s="20">
        <f>F6/G6</f>
        <v>2.7111622554660531</v>
      </c>
      <c r="I6" s="21">
        <v>6440</v>
      </c>
      <c r="J6" s="29">
        <f>Table44[[#This Row],[RATE HOUR /DAY]]*Table44[[#This Row],[actual days/machine hours]]</f>
        <v>135240</v>
      </c>
      <c r="K6" s="21">
        <f>Table44[[#This Row],[RATE HOUR /DAY]]*Table44[[#This Row],[Days/machine hours consider for costing]]</f>
        <v>135240</v>
      </c>
      <c r="L6" s="22" t="s">
        <v>0</v>
      </c>
      <c r="M6" s="35"/>
      <c r="N6" s="28"/>
    </row>
    <row r="7" spans="1:14" ht="15.75" x14ac:dyDescent="0.25">
      <c r="A7" s="44">
        <v>4</v>
      </c>
      <c r="B7" s="18" t="s">
        <v>71</v>
      </c>
      <c r="C7" s="19" t="s">
        <v>6</v>
      </c>
      <c r="D7" s="34">
        <v>19</v>
      </c>
      <c r="E7" s="34">
        <v>19</v>
      </c>
      <c r="F7" s="33">
        <v>1807</v>
      </c>
      <c r="G7" s="33">
        <v>710</v>
      </c>
      <c r="H7" s="20">
        <f t="shared" ref="H7:H14" si="0">F7/G7</f>
        <v>2.5450704225352112</v>
      </c>
      <c r="I7" s="21">
        <v>6440</v>
      </c>
      <c r="J7" s="29">
        <f>Table44[[#This Row],[RATE HOUR /DAY]]*Table44[[#This Row],[actual days/machine hours]]</f>
        <v>122360</v>
      </c>
      <c r="K7" s="21">
        <f>Table44[[#This Row],[RATE HOUR /DAY]]*Table44[[#This Row],[Days/machine hours consider for costing]]</f>
        <v>122360</v>
      </c>
      <c r="L7" s="22" t="s">
        <v>0</v>
      </c>
      <c r="M7" s="35"/>
      <c r="N7" s="28"/>
    </row>
    <row r="8" spans="1:14" ht="15.75" x14ac:dyDescent="0.25">
      <c r="A8" s="44">
        <v>5</v>
      </c>
      <c r="B8" s="18" t="s">
        <v>77</v>
      </c>
      <c r="C8" s="19" t="s">
        <v>6</v>
      </c>
      <c r="D8" s="34">
        <v>8</v>
      </c>
      <c r="E8" s="34">
        <v>8</v>
      </c>
      <c r="F8" s="33"/>
      <c r="G8" s="33">
        <v>210</v>
      </c>
      <c r="H8" s="20">
        <f t="shared" si="0"/>
        <v>0</v>
      </c>
      <c r="I8" s="21">
        <v>6440</v>
      </c>
      <c r="J8" s="29">
        <f>Table44[[#This Row],[RATE HOUR /DAY]]*Table44[[#This Row],[actual days/machine hours]]</f>
        <v>51520</v>
      </c>
      <c r="K8" s="21">
        <f>Table44[[#This Row],[RATE HOUR /DAY]]*Table44[[#This Row],[Days/machine hours consider for costing]]</f>
        <v>51520</v>
      </c>
      <c r="L8" s="22" t="s">
        <v>0</v>
      </c>
      <c r="M8" s="35"/>
      <c r="N8" s="28"/>
    </row>
    <row r="9" spans="1:14" ht="15.75" x14ac:dyDescent="0.25">
      <c r="A9" s="44">
        <v>6</v>
      </c>
      <c r="B9" s="18" t="s">
        <v>59</v>
      </c>
      <c r="C9" s="19" t="s">
        <v>6</v>
      </c>
      <c r="D9" s="34"/>
      <c r="E9" s="34"/>
      <c r="F9" s="33"/>
      <c r="G9" s="33"/>
      <c r="H9" s="20" t="e">
        <f t="shared" si="0"/>
        <v>#DIV/0!</v>
      </c>
      <c r="I9" s="21">
        <v>6440</v>
      </c>
      <c r="J9" s="29">
        <f>Table44[[#This Row],[RATE HOUR /DAY]]*Table44[[#This Row],[actual days/machine hours]]</f>
        <v>0</v>
      </c>
      <c r="K9" s="21">
        <f>Table44[[#This Row],[RATE HOUR /DAY]]*Table44[[#This Row],[Days/machine hours consider for costing]]</f>
        <v>0</v>
      </c>
      <c r="L9" s="22" t="s">
        <v>0</v>
      </c>
      <c r="M9" s="28"/>
      <c r="N9" s="28"/>
    </row>
    <row r="10" spans="1:14" ht="15.75" x14ac:dyDescent="0.25">
      <c r="A10" s="44">
        <v>7</v>
      </c>
      <c r="B10" s="18" t="s">
        <v>78</v>
      </c>
      <c r="C10" s="19" t="s">
        <v>6</v>
      </c>
      <c r="D10" s="34">
        <v>5</v>
      </c>
      <c r="E10" s="34">
        <v>5</v>
      </c>
      <c r="F10" s="33"/>
      <c r="G10" s="33">
        <v>50</v>
      </c>
      <c r="H10" s="20">
        <f t="shared" si="0"/>
        <v>0</v>
      </c>
      <c r="I10" s="29">
        <v>6440</v>
      </c>
      <c r="J10" s="29">
        <f>Table44[[#This Row],[RATE HOUR /DAY]]*Table44[[#This Row],[actual days/machine hours]]</f>
        <v>32200</v>
      </c>
      <c r="K10" s="21">
        <f>Table44[[#This Row],[RATE HOUR /DAY]]*Table44[[#This Row],[Days/machine hours consider for costing]]</f>
        <v>32200</v>
      </c>
      <c r="L10" s="22" t="s">
        <v>0</v>
      </c>
      <c r="M10" s="35"/>
      <c r="N10" s="28"/>
    </row>
    <row r="11" spans="1:14" ht="15.75" x14ac:dyDescent="0.25">
      <c r="A11" s="44">
        <v>8</v>
      </c>
      <c r="B11" s="18" t="s">
        <v>56</v>
      </c>
      <c r="C11" s="19" t="s">
        <v>6</v>
      </c>
      <c r="D11" s="48">
        <v>23</v>
      </c>
      <c r="E11" s="48">
        <v>23</v>
      </c>
      <c r="F11" s="50"/>
      <c r="G11" s="50">
        <v>605</v>
      </c>
      <c r="H11" s="20">
        <f t="shared" si="0"/>
        <v>0</v>
      </c>
      <c r="I11" s="29">
        <v>6440</v>
      </c>
      <c r="J11" s="29">
        <f>Table44[[#This Row],[RATE HOUR /DAY]]*Table44[[#This Row],[actual days/machine hours]]</f>
        <v>148120</v>
      </c>
      <c r="K11" s="21">
        <f>Table44[[#This Row],[RATE HOUR /DAY]]*Table44[[#This Row],[Days/machine hours consider for costing]]</f>
        <v>148120</v>
      </c>
      <c r="L11" s="22" t="s">
        <v>0</v>
      </c>
      <c r="M11" s="47"/>
      <c r="N11" s="47"/>
    </row>
    <row r="12" spans="1:14" ht="15.75" x14ac:dyDescent="0.25">
      <c r="A12" s="44">
        <v>9</v>
      </c>
      <c r="B12" s="18" t="s">
        <v>30</v>
      </c>
      <c r="C12" s="19" t="s">
        <v>6</v>
      </c>
      <c r="D12" s="34">
        <v>26</v>
      </c>
      <c r="E12" s="34">
        <v>26</v>
      </c>
      <c r="F12" s="33"/>
      <c r="G12" s="33">
        <v>810</v>
      </c>
      <c r="H12" s="20">
        <f t="shared" si="0"/>
        <v>0</v>
      </c>
      <c r="I12" s="29">
        <v>6440</v>
      </c>
      <c r="J12" s="29">
        <f>Table44[[#This Row],[RATE HOUR /DAY]]*Table44[[#This Row],[actual days/machine hours]]</f>
        <v>167440</v>
      </c>
      <c r="K12" s="21">
        <f>Table44[[#This Row],[RATE HOUR /DAY]]*Table44[[#This Row],[Days/machine hours consider for costing]]</f>
        <v>167440</v>
      </c>
      <c r="L12" s="22" t="s">
        <v>0</v>
      </c>
      <c r="M12" s="35"/>
      <c r="N12" s="28"/>
    </row>
    <row r="13" spans="1:14" ht="15.75" x14ac:dyDescent="0.25">
      <c r="A13" s="44">
        <v>10</v>
      </c>
      <c r="B13" s="18" t="s">
        <v>72</v>
      </c>
      <c r="C13" s="19" t="s">
        <v>6</v>
      </c>
      <c r="D13" s="68"/>
      <c r="E13" s="68"/>
      <c r="F13" s="69"/>
      <c r="G13" s="69"/>
      <c r="H13" s="68"/>
      <c r="I13" s="29">
        <v>6440</v>
      </c>
      <c r="J13" s="29">
        <f>Table44[[#This Row],[RATE HOUR /DAY]]*Table44[[#This Row],[actual days/machine hours]]</f>
        <v>0</v>
      </c>
      <c r="K13" s="21">
        <f>Table44[[#This Row],[RATE HOUR /DAY]]*Table44[[#This Row],[Days/machine hours consider for costing]]</f>
        <v>0</v>
      </c>
      <c r="L13" s="71"/>
      <c r="M13" s="67"/>
      <c r="N13" s="67"/>
    </row>
    <row r="14" spans="1:14" ht="15.75" x14ac:dyDescent="0.25">
      <c r="A14" s="44">
        <v>11</v>
      </c>
      <c r="B14" s="18" t="s">
        <v>20</v>
      </c>
      <c r="C14" s="28" t="s">
        <v>21</v>
      </c>
      <c r="D14" s="34">
        <v>20</v>
      </c>
      <c r="E14" s="34">
        <v>20</v>
      </c>
      <c r="F14" s="33">
        <v>2041</v>
      </c>
      <c r="G14" s="33">
        <v>830</v>
      </c>
      <c r="H14" s="20">
        <f t="shared" si="0"/>
        <v>2.4590361445783131</v>
      </c>
      <c r="I14" s="29">
        <v>7000</v>
      </c>
      <c r="J14" s="29">
        <f>Table44[[#This Row],[RATE HOUR /DAY]]*Table44[[#This Row],[actual days/machine hours]]</f>
        <v>140000</v>
      </c>
      <c r="K14" s="21">
        <f>Table44[[#This Row],[RATE HOUR /DAY]]*Table44[[#This Row],[Days/machine hours consider for costing]]</f>
        <v>140000</v>
      </c>
      <c r="L14" s="22" t="s">
        <v>0</v>
      </c>
      <c r="M14" s="35"/>
      <c r="N14" s="28"/>
    </row>
    <row r="15" spans="1:14" ht="15.75" x14ac:dyDescent="0.25">
      <c r="A15" s="44">
        <v>12</v>
      </c>
      <c r="B15" s="18" t="s">
        <v>31</v>
      </c>
      <c r="C15" s="28" t="s">
        <v>32</v>
      </c>
      <c r="D15" s="34">
        <v>95.8</v>
      </c>
      <c r="E15" s="34">
        <v>95.8</v>
      </c>
      <c r="F15" s="33"/>
      <c r="G15" s="33">
        <v>1145</v>
      </c>
      <c r="H15" s="20">
        <f>Table44[[#This Row],[Fuel]]/Table44[[#This Row],[actual days/machine hours]]</f>
        <v>11.951983298538622</v>
      </c>
      <c r="I15" s="21">
        <v>3600</v>
      </c>
      <c r="J15" s="29">
        <f>Table44[[#This Row],[RATE HOUR /DAY]]*Table44[[#This Row],[actual days/machine hours]]</f>
        <v>344880</v>
      </c>
      <c r="K15" s="21">
        <f>Table44[[#This Row],[RATE HOUR /DAY]]*Table44[[#This Row],[Days/machine hours consider for costing]]</f>
        <v>344880</v>
      </c>
      <c r="L15" s="22" t="s">
        <v>0</v>
      </c>
      <c r="M15" s="28"/>
      <c r="N15" s="28"/>
    </row>
    <row r="16" spans="1:14" ht="15.75" x14ac:dyDescent="0.25">
      <c r="A16" s="44">
        <v>13</v>
      </c>
      <c r="B16" s="18" t="s">
        <v>43</v>
      </c>
      <c r="C16" s="19" t="s">
        <v>58</v>
      </c>
      <c r="D16" s="20">
        <v>126.9</v>
      </c>
      <c r="E16" s="20">
        <v>126.9</v>
      </c>
      <c r="F16" s="23"/>
      <c r="G16" s="23">
        <v>855</v>
      </c>
      <c r="H16" s="20">
        <f>Table44[[#This Row],[Fuel]]/Table44[[#This Row],[actual days/machine hours]]</f>
        <v>6.7375886524822688</v>
      </c>
      <c r="I16" s="21">
        <v>3600</v>
      </c>
      <c r="J16" s="29">
        <f>Table44[[#This Row],[RATE HOUR /DAY]]*Table44[[#This Row],[actual days/machine hours]]</f>
        <v>456840</v>
      </c>
      <c r="K16" s="21">
        <f>Table44[[#This Row],[RATE HOUR /DAY]]*Table44[[#This Row],[Days/machine hours consider for costing]]</f>
        <v>456840</v>
      </c>
      <c r="L16" s="22" t="s">
        <v>0</v>
      </c>
      <c r="M16" s="35"/>
      <c r="N16" s="28"/>
    </row>
    <row r="17" spans="1:14" ht="15.75" x14ac:dyDescent="0.25">
      <c r="A17" s="44"/>
      <c r="B17" s="18" t="s">
        <v>74</v>
      </c>
      <c r="C17" s="19" t="s">
        <v>75</v>
      </c>
      <c r="D17" s="20">
        <v>43.9</v>
      </c>
      <c r="E17" s="20">
        <v>43.9</v>
      </c>
      <c r="F17" s="58"/>
      <c r="G17" s="58">
        <v>570</v>
      </c>
      <c r="H17" s="20">
        <f>Table44[[#This Row],[Fuel]]/Table44[[#This Row],[actual days/machine hours]]</f>
        <v>12.984054669703873</v>
      </c>
      <c r="I17" s="21">
        <v>3600</v>
      </c>
      <c r="J17" s="29">
        <f>Table44[[#This Row],[RATE HOUR /DAY]]*Table44[[#This Row],[actual days/machine hours]]</f>
        <v>158040</v>
      </c>
      <c r="K17" s="21">
        <f>Table44[[#This Row],[RATE HOUR /DAY]]*Table44[[#This Row],[Days/machine hours consider for costing]]</f>
        <v>158040</v>
      </c>
      <c r="L17" s="22"/>
      <c r="M17" s="19"/>
      <c r="N17" s="19"/>
    </row>
    <row r="18" spans="1:14" ht="15.75" x14ac:dyDescent="0.25">
      <c r="A18" s="44">
        <v>14</v>
      </c>
      <c r="B18" s="54" t="s">
        <v>50</v>
      </c>
      <c r="C18" s="56" t="s">
        <v>2</v>
      </c>
      <c r="D18" s="55">
        <v>23</v>
      </c>
      <c r="E18" s="34">
        <v>23</v>
      </c>
      <c r="F18" s="33"/>
      <c r="G18" s="33">
        <v>616</v>
      </c>
      <c r="H18" s="20">
        <f t="shared" ref="H18" si="1">F18/G18</f>
        <v>0</v>
      </c>
      <c r="I18" s="29">
        <v>5600</v>
      </c>
      <c r="J18" s="29">
        <f>Table44[[#This Row],[RATE HOUR /DAY]]*Table44[[#This Row],[actual days/machine hours]]</f>
        <v>128800</v>
      </c>
      <c r="K18" s="21">
        <f>Table44[[#This Row],[RATE HOUR /DAY]]*Table44[[#This Row],[Days/machine hours consider for costing]]</f>
        <v>128800</v>
      </c>
      <c r="L18" s="22" t="s">
        <v>0</v>
      </c>
      <c r="M18" s="35"/>
      <c r="N18" s="28"/>
    </row>
    <row r="19" spans="1:14" ht="15.75" x14ac:dyDescent="0.25">
      <c r="A19" s="44"/>
      <c r="B19" s="18" t="s">
        <v>76</v>
      </c>
      <c r="C19" s="19" t="s">
        <v>22</v>
      </c>
      <c r="D19" s="20">
        <v>8</v>
      </c>
      <c r="E19" s="20">
        <v>8</v>
      </c>
      <c r="F19" s="58">
        <v>859</v>
      </c>
      <c r="G19" s="58">
        <v>114</v>
      </c>
      <c r="H19" s="20"/>
      <c r="I19" s="21">
        <v>3080</v>
      </c>
      <c r="J19" s="29">
        <f>Table44[[#This Row],[RATE HOUR /DAY]]*Table44[[#This Row],[actual days/machine hours]]</f>
        <v>24640</v>
      </c>
      <c r="K19" s="21">
        <f>Table44[[#This Row],[RATE HOUR /DAY]]*Table44[[#This Row],[Days/machine hours consider for costing]]</f>
        <v>24640</v>
      </c>
      <c r="L19" s="22"/>
      <c r="M19" s="19"/>
      <c r="N19" s="19"/>
    </row>
    <row r="20" spans="1:14" ht="15.75" x14ac:dyDescent="0.25">
      <c r="A20" s="44">
        <v>15</v>
      </c>
      <c r="B20" s="18" t="s">
        <v>65</v>
      </c>
      <c r="C20" s="19" t="s">
        <v>22</v>
      </c>
      <c r="D20" s="20">
        <v>10</v>
      </c>
      <c r="E20" s="20">
        <v>10</v>
      </c>
      <c r="F20" s="58"/>
      <c r="G20" s="58">
        <v>144</v>
      </c>
      <c r="H20" s="20"/>
      <c r="I20" s="29">
        <v>3080</v>
      </c>
      <c r="J20" s="29">
        <f>Table44[[#This Row],[RATE HOUR /DAY]]*Table44[[#This Row],[actual days/machine hours]]</f>
        <v>30800</v>
      </c>
      <c r="K20" s="21">
        <f>Table44[[#This Row],[RATE HOUR /DAY]]*Table44[[#This Row],[Days/machine hours consider for costing]]</f>
        <v>30800</v>
      </c>
      <c r="L20" s="22"/>
      <c r="M20" s="19"/>
      <c r="N20" s="19"/>
    </row>
    <row r="21" spans="1:14" ht="15.75" x14ac:dyDescent="0.25">
      <c r="A21" s="44">
        <v>16</v>
      </c>
      <c r="B21" s="18" t="s">
        <v>28</v>
      </c>
      <c r="C21" s="19" t="s">
        <v>3</v>
      </c>
      <c r="D21" s="20"/>
      <c r="E21" s="20"/>
      <c r="F21" s="23"/>
      <c r="G21" s="23"/>
      <c r="H21" s="20" t="e">
        <f>F21/G21</f>
        <v>#DIV/0!</v>
      </c>
      <c r="I21" s="21">
        <v>4200</v>
      </c>
      <c r="J21" s="29">
        <f>Table44[[#This Row],[RATE HOUR /DAY]]*Table44[[#This Row],[actual days/machine hours]]</f>
        <v>0</v>
      </c>
      <c r="K21" s="21">
        <f>Table44[[#This Row],[RATE HOUR /DAY]]*Table44[[#This Row],[Days/machine hours consider for costing]]</f>
        <v>0</v>
      </c>
      <c r="L21" s="22" t="s">
        <v>0</v>
      </c>
      <c r="M21" s="35"/>
      <c r="N21" s="28"/>
    </row>
    <row r="22" spans="1:14" ht="15.75" x14ac:dyDescent="0.25">
      <c r="A22" s="44">
        <v>17</v>
      </c>
      <c r="B22" s="18" t="s">
        <v>5</v>
      </c>
      <c r="C22" s="19" t="s">
        <v>3</v>
      </c>
      <c r="D22" s="20"/>
      <c r="E22" s="20"/>
      <c r="F22" s="23"/>
      <c r="G22" s="23"/>
      <c r="H22" s="20" t="e">
        <f>F22/G22</f>
        <v>#DIV/0!</v>
      </c>
      <c r="I22" s="21">
        <v>4200</v>
      </c>
      <c r="J22" s="29">
        <f>Table44[[#This Row],[RATE HOUR /DAY]]*Table44[[#This Row],[actual days/machine hours]]</f>
        <v>0</v>
      </c>
      <c r="K22" s="21">
        <f>Table44[[#This Row],[RATE HOUR /DAY]]*Table44[[#This Row],[Days/machine hours consider for costing]]</f>
        <v>0</v>
      </c>
      <c r="L22" s="22" t="s">
        <v>0</v>
      </c>
      <c r="M22" s="35"/>
      <c r="N22" s="28"/>
    </row>
    <row r="23" spans="1:14" ht="15" customHeight="1" x14ac:dyDescent="0.25">
      <c r="A23" s="44">
        <v>18</v>
      </c>
      <c r="B23" s="18" t="s">
        <v>4</v>
      </c>
      <c r="C23" s="19" t="s">
        <v>2</v>
      </c>
      <c r="D23" s="20"/>
      <c r="E23" s="20"/>
      <c r="F23" s="23"/>
      <c r="G23" s="23"/>
      <c r="H23" s="20" t="e">
        <f>F23/G23</f>
        <v>#DIV/0!</v>
      </c>
      <c r="I23" s="21">
        <v>5600</v>
      </c>
      <c r="J23" s="29">
        <f>Table44[[#This Row],[RATE HOUR /DAY]]*Table44[[#This Row],[actual days/machine hours]]</f>
        <v>0</v>
      </c>
      <c r="K23" s="21">
        <f>Table44[[#This Row],[RATE HOUR /DAY]]*Table44[[#This Row],[Days/machine hours consider for costing]]</f>
        <v>0</v>
      </c>
      <c r="L23" s="22" t="s">
        <v>0</v>
      </c>
      <c r="M23" s="35"/>
      <c r="N23" s="28"/>
    </row>
    <row r="24" spans="1:14" ht="15" customHeight="1" x14ac:dyDescent="0.25">
      <c r="A24" s="44">
        <v>19</v>
      </c>
      <c r="B24" s="54" t="s">
        <v>62</v>
      </c>
      <c r="C24" s="67" t="s">
        <v>63</v>
      </c>
      <c r="D24" s="68">
        <v>87.8</v>
      </c>
      <c r="E24" s="68">
        <v>87.8</v>
      </c>
      <c r="F24" s="69"/>
      <c r="G24" s="69">
        <v>830</v>
      </c>
      <c r="H24" s="20">
        <f>Table44[[#This Row],[Fuel]]/Table44[[#This Row],[actual days/machine hours]]</f>
        <v>9.453302961275627</v>
      </c>
      <c r="I24" s="70">
        <v>3600</v>
      </c>
      <c r="J24" s="29">
        <f>Table44[[#This Row],[RATE HOUR /DAY]]*Table44[[#This Row],[actual days/machine hours]]</f>
        <v>316080</v>
      </c>
      <c r="K24" s="21">
        <f>Table44[[#This Row],[RATE HOUR /DAY]]*Table44[[#This Row],[Days/machine hours consider for costing]]</f>
        <v>316080</v>
      </c>
      <c r="L24" s="22" t="s">
        <v>0</v>
      </c>
      <c r="M24" s="67"/>
      <c r="N24" s="67"/>
    </row>
    <row r="25" spans="1:14" ht="15" customHeight="1" x14ac:dyDescent="0.25">
      <c r="A25" s="44">
        <v>20</v>
      </c>
      <c r="B25" s="54" t="s">
        <v>70</v>
      </c>
      <c r="C25" s="67" t="s">
        <v>63</v>
      </c>
      <c r="D25" s="68">
        <v>16.5</v>
      </c>
      <c r="E25" s="68">
        <v>16.5</v>
      </c>
      <c r="F25" s="69"/>
      <c r="G25" s="69">
        <v>200</v>
      </c>
      <c r="H25" s="20">
        <f>Table44[[#This Row],[Fuel]]/Table44[[#This Row],[actual days/machine hours]]</f>
        <v>12.121212121212121</v>
      </c>
      <c r="I25" s="70">
        <v>3600</v>
      </c>
      <c r="J25" s="29">
        <f>Table44[[#This Row],[RATE HOUR /DAY]]*Table44[[#This Row],[actual days/machine hours]]</f>
        <v>59400</v>
      </c>
      <c r="K25" s="21">
        <f>Table44[[#This Row],[RATE HOUR /DAY]]*Table44[[#This Row],[Days/machine hours consider for costing]]</f>
        <v>59400</v>
      </c>
      <c r="L25" s="71"/>
      <c r="M25" s="67"/>
      <c r="N25" s="67"/>
    </row>
    <row r="26" spans="1:14" ht="15.75" x14ac:dyDescent="0.25">
      <c r="A26" s="44">
        <v>21</v>
      </c>
      <c r="B26" s="54" t="s">
        <v>66</v>
      </c>
      <c r="C26" s="19" t="s">
        <v>61</v>
      </c>
      <c r="D26" s="20"/>
      <c r="E26" s="20"/>
      <c r="F26" s="58"/>
      <c r="G26" s="58"/>
      <c r="H26" s="20" t="e">
        <f>Table44[[#This Row],[Fuel]]/Table44[[#This Row],[actual days/machine hours]]</f>
        <v>#DIV/0!</v>
      </c>
      <c r="I26" s="21">
        <v>18000</v>
      </c>
      <c r="J26" s="29">
        <f>Table44[[#This Row],[RATE HOUR /DAY]]*Table44[[#This Row],[actual days/machine hours]]</f>
        <v>0</v>
      </c>
      <c r="K26" s="21">
        <f>Table44[[#This Row],[RATE HOUR /DAY]]*Table44[[#This Row],[Days/machine hours consider for costing]]</f>
        <v>0</v>
      </c>
      <c r="L26" s="22" t="s">
        <v>0</v>
      </c>
      <c r="M26" s="19"/>
      <c r="N26" s="19"/>
    </row>
    <row r="27" spans="1:14" ht="15.75" x14ac:dyDescent="0.25">
      <c r="A27" s="44">
        <v>22</v>
      </c>
      <c r="B27" s="18" t="s">
        <v>60</v>
      </c>
      <c r="C27" s="67" t="s">
        <v>64</v>
      </c>
      <c r="D27" s="68"/>
      <c r="E27" s="68"/>
      <c r="F27" s="69"/>
      <c r="G27" s="69"/>
      <c r="H27" s="20" t="e">
        <f>Table44[[#This Row],[Fuel]]/Table44[[#This Row],[actual days/machine hours]]</f>
        <v>#DIV/0!</v>
      </c>
      <c r="I27" s="70"/>
      <c r="J27" s="70"/>
      <c r="K27" s="70"/>
      <c r="L27" s="22" t="s">
        <v>0</v>
      </c>
      <c r="M27" s="67"/>
      <c r="N27" s="67"/>
    </row>
    <row r="28" spans="1:14" ht="15.75" x14ac:dyDescent="0.25">
      <c r="A28" s="44">
        <v>23</v>
      </c>
      <c r="B28" s="18" t="s">
        <v>67</v>
      </c>
      <c r="C28" s="24" t="s">
        <v>68</v>
      </c>
      <c r="D28" s="20">
        <v>61.9</v>
      </c>
      <c r="E28" s="20">
        <v>61.9</v>
      </c>
      <c r="F28" s="58"/>
      <c r="G28" s="58">
        <v>630</v>
      </c>
      <c r="H28" s="20">
        <f>Table44[[#This Row],[Fuel]]/Table44[[#This Row],[actual days/machine hours]]</f>
        <v>10.177705977382876</v>
      </c>
      <c r="I28" s="21">
        <v>3200</v>
      </c>
      <c r="J28" s="29">
        <f>Table44[[#This Row],[RATE HOUR /DAY]]*Table44[[#This Row],[actual days/machine hours]]</f>
        <v>198080</v>
      </c>
      <c r="K28" s="21">
        <f>Table44[[#This Row],[RATE HOUR /DAY]]*Table44[[#This Row],[Days/machine hours consider for costing]]</f>
        <v>198080</v>
      </c>
      <c r="L28" s="22"/>
      <c r="M28" s="19"/>
      <c r="N28" s="19"/>
    </row>
    <row r="29" spans="1:14" ht="15.75" x14ac:dyDescent="0.25">
      <c r="A29" s="44">
        <v>24</v>
      </c>
      <c r="B29" s="18" t="s">
        <v>33</v>
      </c>
      <c r="C29" s="24" t="s">
        <v>17</v>
      </c>
      <c r="D29" s="34">
        <v>79</v>
      </c>
      <c r="E29" s="34">
        <v>79</v>
      </c>
      <c r="F29" s="33"/>
      <c r="G29" s="33">
        <v>425</v>
      </c>
      <c r="H29" s="20">
        <f>Table44[[#This Row],[Fuel]]/Table44[[#This Row],[actual days/machine hours]]</f>
        <v>5.3797468354430382</v>
      </c>
      <c r="I29" s="21">
        <v>1680</v>
      </c>
      <c r="J29" s="29">
        <f>Table44[[#This Row],[RATE HOUR /DAY]]*Table44[[#This Row],[actual days/machine hours]]</f>
        <v>132720</v>
      </c>
      <c r="K29" s="21">
        <f>Table44[[#This Row],[RATE HOUR /DAY]]*Table44[[#This Row],[Days/machine hours consider for costing]]</f>
        <v>132720</v>
      </c>
      <c r="L29" s="22" t="s">
        <v>0</v>
      </c>
      <c r="M29" s="28"/>
      <c r="N29" s="28"/>
    </row>
    <row r="30" spans="1:14" ht="15.75" x14ac:dyDescent="0.25">
      <c r="A30" s="44">
        <v>25</v>
      </c>
      <c r="B30" s="18" t="s">
        <v>34</v>
      </c>
      <c r="C30" s="19" t="s">
        <v>1</v>
      </c>
      <c r="D30" s="20">
        <v>131.9</v>
      </c>
      <c r="E30" s="20">
        <v>131.9</v>
      </c>
      <c r="F30" s="23"/>
      <c r="G30" s="23">
        <v>640</v>
      </c>
      <c r="H30" s="20">
        <f>Table44[[#This Row],[Fuel]]/Table44[[#This Row],[actual days/machine hours]]</f>
        <v>4.852160727824109</v>
      </c>
      <c r="I30" s="21">
        <v>2000</v>
      </c>
      <c r="J30" s="29">
        <f>Table44[[#This Row],[RATE HOUR /DAY]]*Table44[[#This Row],[actual days/machine hours]]</f>
        <v>263800</v>
      </c>
      <c r="K30" s="21">
        <f>Table44[[#This Row],[RATE HOUR /DAY]]*Table44[[#This Row],[Days/machine hours consider for costing]]</f>
        <v>263800</v>
      </c>
      <c r="L30" s="22" t="s">
        <v>0</v>
      </c>
      <c r="M30" s="35"/>
      <c r="N30" s="28"/>
    </row>
    <row r="31" spans="1:14" ht="15.75" x14ac:dyDescent="0.25">
      <c r="A31" s="44">
        <v>26</v>
      </c>
      <c r="B31" s="18" t="s">
        <v>27</v>
      </c>
      <c r="C31" s="28" t="s">
        <v>1</v>
      </c>
      <c r="D31" s="34"/>
      <c r="E31" s="34"/>
      <c r="F31" s="33"/>
      <c r="G31" s="33"/>
      <c r="H31" s="20" t="e">
        <f>Table44[[#This Row],[Fuel]]/Table44[[#This Row],[actual days/machine hours]]</f>
        <v>#DIV/0!</v>
      </c>
      <c r="I31" s="21">
        <v>2000</v>
      </c>
      <c r="J31" s="29">
        <f>Table44[[#This Row],[RATE HOUR /DAY]]*Table44[[#This Row],[actual days/machine hours]]</f>
        <v>0</v>
      </c>
      <c r="K31" s="21">
        <f>Table44[[#This Row],[RATE HOUR /DAY]]*Table44[[#This Row],[Days/machine hours consider for costing]]</f>
        <v>0</v>
      </c>
      <c r="L31" s="22" t="s">
        <v>0</v>
      </c>
      <c r="M31" s="28"/>
      <c r="N31" s="28"/>
    </row>
    <row r="32" spans="1:14" ht="15.75" x14ac:dyDescent="0.25">
      <c r="A32" s="44">
        <v>27</v>
      </c>
      <c r="B32" s="18" t="s">
        <v>35</v>
      </c>
      <c r="C32" s="28" t="s">
        <v>14</v>
      </c>
      <c r="D32" s="34">
        <v>108.5</v>
      </c>
      <c r="E32" s="34">
        <v>108.5</v>
      </c>
      <c r="F32" s="33"/>
      <c r="G32" s="33">
        <v>495</v>
      </c>
      <c r="H32" s="20">
        <f>Table44[[#This Row],[Fuel]]/Table44[[#This Row],[actual days/machine hours]]</f>
        <v>4.5622119815668203</v>
      </c>
      <c r="I32" s="29">
        <v>1680</v>
      </c>
      <c r="J32" s="29">
        <f>Table44[[#This Row],[RATE HOUR /DAY]]*Table44[[#This Row],[actual days/machine hours]]</f>
        <v>182280</v>
      </c>
      <c r="K32" s="21">
        <f>Table44[[#This Row],[RATE HOUR /DAY]]*Table44[[#This Row],[Days/machine hours consider for costing]]</f>
        <v>182280</v>
      </c>
      <c r="L32" s="22" t="s">
        <v>0</v>
      </c>
      <c r="M32" s="28"/>
      <c r="N32" s="28"/>
    </row>
    <row r="33" spans="1:14" x14ac:dyDescent="0.25">
      <c r="C33" s="3"/>
      <c r="D33" s="4"/>
      <c r="E33" s="4"/>
      <c r="M33" s="36"/>
      <c r="N33" s="31"/>
    </row>
    <row r="34" spans="1:14" ht="16.5" thickBot="1" x14ac:dyDescent="0.3">
      <c r="A34" s="5"/>
      <c r="B34" s="5"/>
      <c r="C34" s="6"/>
      <c r="D34" s="7"/>
      <c r="E34" s="7"/>
      <c r="F34" s="5"/>
      <c r="G34" s="8"/>
      <c r="H34" s="9"/>
      <c r="I34" s="10"/>
      <c r="J34" s="43">
        <f>SUM(J4:J33)</f>
        <v>3177240</v>
      </c>
      <c r="K34" s="25">
        <f>SUM(K4:K33)</f>
        <v>3177240</v>
      </c>
      <c r="L34" s="5"/>
    </row>
    <row r="35" spans="1:14" ht="15.75" thickTop="1" x14ac:dyDescent="0.25"/>
  </sheetData>
  <mergeCells count="2">
    <mergeCell ref="A1:M1"/>
    <mergeCell ref="A2:M2"/>
  </mergeCells>
  <phoneticPr fontId="9" type="noConversion"/>
  <hyperlinks>
    <hyperlink ref="B21" location="'PH-6744'!A1" display="PH-6744"/>
    <hyperlink ref="B23" location="'PD-6917'!A1" display="PD-6917"/>
    <hyperlink ref="B22" location="'325-3448'!A1" display="325-3448"/>
    <hyperlink ref="B7" location="'LM-5721'!A1" display="LM-5721"/>
    <hyperlink ref="B8" location="'LM-5721'!A1" display="LM-5721"/>
    <hyperlink ref="B18" location="'PH-6744'!A1" display="PH-6744"/>
    <hyperlink ref="B15" location="'HEX-41'!A1" display="HEX-41"/>
    <hyperlink ref="B29" location="'VR-62'!A1" display="VR-62"/>
    <hyperlink ref="B4" location="'LD-09'!A1" display="LD-09"/>
    <hyperlink ref="B26" location="'PD-6917'!A1" display="PD-6917"/>
    <hyperlink ref="B24" location="'PD-6917'!A1" display="PD-6917"/>
    <hyperlink ref="B27" location="'VR-62'!A1" display="VR-62"/>
    <hyperlink ref="B20" location="'PH-6744'!A1" display="PH-6744"/>
    <hyperlink ref="B28" location="'VR-62'!A1" display="VR-62"/>
    <hyperlink ref="B25" location="'PD-6917'!A1" display="PD-6917"/>
    <hyperlink ref="B19" location="'PH-6744'!A1" display="PH-6744"/>
  </hyperlinks>
  <pageMargins left="0.7" right="0.7" top="0.75" bottom="0.75" header="0.3" footer="0.3"/>
  <pageSetup paperSize="9" scale="41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Data!$B$3:$B$5</xm:f>
          </x14:formula1>
          <xm:sqref>M3:M1048576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tabSelected="1" zoomScale="90" zoomScaleNormal="90" workbookViewId="0">
      <pane ySplit="3" topLeftCell="A4" activePane="bottomLeft" state="frozen"/>
      <selection pane="bottomLeft" activeCell="F17" sqref="F17"/>
    </sheetView>
  </sheetViews>
  <sheetFormatPr defaultRowHeight="15" x14ac:dyDescent="0.25"/>
  <cols>
    <col min="1" max="1" width="9" bestFit="1" customWidth="1"/>
    <col min="2" max="2" width="22" bestFit="1" customWidth="1"/>
    <col min="3" max="3" width="18" bestFit="1" customWidth="1"/>
    <col min="4" max="5" width="21" customWidth="1"/>
    <col min="6" max="6" width="13" bestFit="1" customWidth="1"/>
    <col min="7" max="7" width="11.140625" bestFit="1" customWidth="1"/>
    <col min="8" max="8" width="21.7109375" style="2" customWidth="1"/>
    <col min="9" max="10" width="25" style="1" customWidth="1"/>
    <col min="11" max="11" width="21.5703125" style="1" customWidth="1"/>
    <col min="12" max="12" width="10.5703125" bestFit="1" customWidth="1"/>
    <col min="13" max="13" width="34.42578125" customWidth="1"/>
  </cols>
  <sheetData>
    <row r="1" spans="1:13" ht="18.75" x14ac:dyDescent="0.3">
      <c r="A1" s="38"/>
      <c r="B1" s="72" t="s">
        <v>79</v>
      </c>
      <c r="C1" s="72"/>
      <c r="D1" s="72"/>
      <c r="E1" s="72"/>
      <c r="F1" s="72"/>
      <c r="G1" s="72"/>
      <c r="H1" s="72"/>
      <c r="I1" s="72"/>
      <c r="J1" s="37"/>
      <c r="K1" s="39"/>
    </row>
    <row r="2" spans="1:13" x14ac:dyDescent="0.25">
      <c r="A2" s="38"/>
      <c r="B2" s="38"/>
      <c r="C2" s="38"/>
      <c r="D2" s="40"/>
      <c r="E2" s="40"/>
      <c r="F2" s="38"/>
      <c r="G2" s="38"/>
      <c r="H2" s="41"/>
      <c r="I2" s="39"/>
      <c r="J2" s="39"/>
      <c r="K2" s="39"/>
    </row>
    <row r="3" spans="1:13" ht="27.6" customHeight="1" x14ac:dyDescent="0.25">
      <c r="A3" s="11" t="s">
        <v>13</v>
      </c>
      <c r="B3" s="12" t="s">
        <v>12</v>
      </c>
      <c r="C3" s="12" t="s">
        <v>11</v>
      </c>
      <c r="D3" s="30" t="s">
        <v>15</v>
      </c>
      <c r="E3" s="30" t="s">
        <v>16</v>
      </c>
      <c r="F3" s="13" t="s">
        <v>36</v>
      </c>
      <c r="G3" s="12" t="s">
        <v>10</v>
      </c>
      <c r="H3" s="14" t="s">
        <v>9</v>
      </c>
      <c r="I3" s="15" t="s">
        <v>8</v>
      </c>
      <c r="J3" s="15" t="s">
        <v>49</v>
      </c>
      <c r="K3" s="46" t="s">
        <v>48</v>
      </c>
      <c r="L3" s="17" t="s">
        <v>7</v>
      </c>
      <c r="M3" s="32" t="s">
        <v>18</v>
      </c>
    </row>
    <row r="4" spans="1:13" ht="15.75" x14ac:dyDescent="0.25">
      <c r="A4" s="27">
        <v>1</v>
      </c>
      <c r="B4" s="18" t="s">
        <v>51</v>
      </c>
      <c r="C4" s="19" t="s">
        <v>38</v>
      </c>
      <c r="D4" s="34"/>
      <c r="E4" s="34"/>
      <c r="F4" s="33"/>
      <c r="G4" s="33"/>
      <c r="H4" s="20" t="e">
        <f>Table443[[#This Row],[Distance]]/Table443[[#This Row],[Fuel]]</f>
        <v>#DIV/0!</v>
      </c>
      <c r="I4" s="21">
        <v>8000</v>
      </c>
      <c r="J4" s="45">
        <f>Table443[[#This Row],[RATE HOUR /DAY]]*Table443[[#This Row],[actual days/machine hours]]</f>
        <v>0</v>
      </c>
      <c r="K4" s="26">
        <f>Table443[[#This Row],[RATE HOUR /DAY]]*Table443[[#This Row],[Days/machine hours consider for costing]]</f>
        <v>0</v>
      </c>
      <c r="L4" s="22" t="s">
        <v>0</v>
      </c>
      <c r="M4" s="28"/>
    </row>
    <row r="5" spans="1:13" ht="15.75" x14ac:dyDescent="0.25">
      <c r="A5" s="51">
        <v>2</v>
      </c>
      <c r="B5" s="18" t="s">
        <v>55</v>
      </c>
      <c r="C5" s="19" t="s">
        <v>38</v>
      </c>
      <c r="D5" s="48"/>
      <c r="E5" s="48"/>
      <c r="F5" s="50"/>
      <c r="G5" s="50"/>
      <c r="H5" s="48"/>
      <c r="I5" s="52">
        <v>8000</v>
      </c>
      <c r="J5" s="53">
        <f>Table443[[#This Row],[RATE HOUR /DAY]]*Table443[[#This Row],[actual days/machine hours]]</f>
        <v>0</v>
      </c>
      <c r="K5" s="52">
        <f>Table443[[#This Row],[RATE HOUR /DAY]]*Table443[[#This Row],[Days/machine hours consider for costing]]</f>
        <v>0</v>
      </c>
      <c r="L5" s="49"/>
      <c r="M5" s="47"/>
    </row>
    <row r="6" spans="1:13" ht="15.75" x14ac:dyDescent="0.25">
      <c r="A6" s="27">
        <v>3</v>
      </c>
      <c r="B6" s="18" t="s">
        <v>37</v>
      </c>
      <c r="C6" s="19" t="s">
        <v>38</v>
      </c>
      <c r="D6" s="48">
        <v>16</v>
      </c>
      <c r="E6" s="48">
        <v>16</v>
      </c>
      <c r="F6" s="50"/>
      <c r="G6" s="50">
        <v>555</v>
      </c>
      <c r="H6" s="48"/>
      <c r="I6" s="21">
        <v>8000</v>
      </c>
      <c r="J6" s="45">
        <f>Table443[[#This Row],[RATE HOUR /DAY]]*Table443[[#This Row],[actual days/machine hours]]</f>
        <v>128000</v>
      </c>
      <c r="K6" s="52">
        <f>Table443[[#This Row],[RATE HOUR /DAY]]*Table443[[#This Row],[Days/machine hours consider for costing]]</f>
        <v>128000</v>
      </c>
      <c r="L6" s="49"/>
      <c r="M6" s="47"/>
    </row>
    <row r="7" spans="1:13" ht="15.75" x14ac:dyDescent="0.25">
      <c r="A7" s="51">
        <v>4</v>
      </c>
      <c r="B7" s="18" t="s">
        <v>41</v>
      </c>
      <c r="C7" s="19" t="s">
        <v>38</v>
      </c>
      <c r="D7" s="20"/>
      <c r="E7" s="20"/>
      <c r="F7" s="23"/>
      <c r="G7" s="23"/>
      <c r="H7" s="20" t="e">
        <f>Table443[[#This Row],[Distance]]/Table443[[#This Row],[Fuel]]</f>
        <v>#DIV/0!</v>
      </c>
      <c r="I7" s="21">
        <v>8000</v>
      </c>
      <c r="J7" s="45">
        <f>Table443[[#This Row],[RATE HOUR /DAY]]*Table443[[#This Row],[actual days/machine hours]]</f>
        <v>0</v>
      </c>
      <c r="K7" s="21">
        <f>Table443[[#This Row],[RATE HOUR /DAY]]*Table443[[#This Row],[Days/machine hours consider for costing]]</f>
        <v>0</v>
      </c>
      <c r="L7" s="22" t="s">
        <v>0</v>
      </c>
      <c r="M7" s="19"/>
    </row>
    <row r="8" spans="1:13" s="66" customFormat="1" ht="15.75" x14ac:dyDescent="0.25">
      <c r="A8" s="60">
        <v>5</v>
      </c>
      <c r="B8" s="54" t="s">
        <v>39</v>
      </c>
      <c r="C8" s="56" t="s">
        <v>40</v>
      </c>
      <c r="D8" s="55">
        <v>190</v>
      </c>
      <c r="E8" s="55">
        <v>190</v>
      </c>
      <c r="F8" s="61"/>
      <c r="G8" s="61">
        <v>1719</v>
      </c>
      <c r="H8" s="57">
        <f>Table443[[#This Row],[Fuel]]/Table443[[#This Row],[actual days/machine hours]]</f>
        <v>9.0473684210526315</v>
      </c>
      <c r="I8" s="62">
        <v>2100</v>
      </c>
      <c r="J8" s="63">
        <f>Table443[[#This Row],[RATE HOUR /DAY]]*Table443[[#This Row],[actual days/machine hours]]</f>
        <v>399000</v>
      </c>
      <c r="K8" s="64">
        <f>Table443[[#This Row],[RATE HOUR /DAY]]*Table443[[#This Row],[Days/machine hours consider for costing]]</f>
        <v>399000</v>
      </c>
      <c r="L8" s="65" t="s">
        <v>0</v>
      </c>
      <c r="M8" s="56" t="s">
        <v>57</v>
      </c>
    </row>
    <row r="9" spans="1:13" ht="15.75" x14ac:dyDescent="0.25">
      <c r="A9" s="51">
        <v>6</v>
      </c>
      <c r="B9" s="18" t="s">
        <v>60</v>
      </c>
      <c r="C9" s="19" t="s">
        <v>38</v>
      </c>
      <c r="D9" s="34"/>
      <c r="E9" s="34"/>
      <c r="F9" s="33"/>
      <c r="G9" s="33"/>
      <c r="H9" s="20" t="e">
        <f t="shared" ref="H9:H12" si="0">F9/G9</f>
        <v>#DIV/0!</v>
      </c>
      <c r="I9" s="21">
        <v>8000</v>
      </c>
      <c r="J9" s="45">
        <f>Table443[[#This Row],[RATE HOUR /DAY]]*Table443[[#This Row],[actual days/machine hours]]</f>
        <v>0</v>
      </c>
      <c r="K9" s="26">
        <f>Table443[[#This Row],[RATE HOUR /DAY]]*Table443[[#This Row],[Days/machine hours consider for costing]]</f>
        <v>0</v>
      </c>
      <c r="L9" s="22" t="s">
        <v>0</v>
      </c>
      <c r="M9" s="28"/>
    </row>
    <row r="10" spans="1:13" ht="15.75" x14ac:dyDescent="0.25">
      <c r="A10" s="27">
        <v>7</v>
      </c>
      <c r="B10" s="18" t="s">
        <v>42</v>
      </c>
      <c r="C10" s="19" t="s">
        <v>38</v>
      </c>
      <c r="D10" s="34">
        <v>21</v>
      </c>
      <c r="E10" s="34">
        <v>21</v>
      </c>
      <c r="F10" s="33"/>
      <c r="G10" s="33">
        <v>1290</v>
      </c>
      <c r="H10" s="20">
        <f t="shared" si="0"/>
        <v>0</v>
      </c>
      <c r="I10" s="21">
        <v>8000</v>
      </c>
      <c r="J10" s="45">
        <f>Table443[[#This Row],[RATE HOUR /DAY]]*Table443[[#This Row],[actual days/machine hours]]</f>
        <v>168000</v>
      </c>
      <c r="K10" s="26">
        <f>Table443[[#This Row],[RATE HOUR /DAY]]*Table443[[#This Row],[Days/machine hours consider for costing]]</f>
        <v>168000</v>
      </c>
      <c r="L10" s="22" t="s">
        <v>0</v>
      </c>
      <c r="M10" s="28"/>
    </row>
    <row r="11" spans="1:13" ht="15.75" x14ac:dyDescent="0.25">
      <c r="A11" s="51">
        <v>8</v>
      </c>
      <c r="B11" s="18" t="s">
        <v>43</v>
      </c>
      <c r="C11" s="19" t="s">
        <v>58</v>
      </c>
      <c r="D11" s="34"/>
      <c r="E11" s="34"/>
      <c r="F11" s="33"/>
      <c r="G11" s="33"/>
      <c r="H11" s="20" t="e">
        <f>Table443[[#This Row],[Fuel]]/Table443[[#This Row],[actual days/machine hours]]</f>
        <v>#DIV/0!</v>
      </c>
      <c r="I11" s="21">
        <v>3600</v>
      </c>
      <c r="J11" s="45">
        <f>Table443[[#This Row],[RATE HOUR /DAY]]*Table443[[#This Row],[actual days/machine hours]]</f>
        <v>0</v>
      </c>
      <c r="K11" s="26">
        <f>Table443[[#This Row],[RATE HOUR /DAY]]*Table443[[#This Row],[Days/machine hours consider for costing]]</f>
        <v>0</v>
      </c>
      <c r="L11" s="22" t="s">
        <v>0</v>
      </c>
      <c r="M11" s="28" t="s">
        <v>44</v>
      </c>
    </row>
    <row r="12" spans="1:13" ht="15.75" x14ac:dyDescent="0.25">
      <c r="A12" s="27">
        <v>9</v>
      </c>
      <c r="B12" s="18" t="s">
        <v>45</v>
      </c>
      <c r="C12" s="19" t="s">
        <v>38</v>
      </c>
      <c r="D12" s="34">
        <v>18</v>
      </c>
      <c r="E12" s="34">
        <v>18</v>
      </c>
      <c r="F12" s="33"/>
      <c r="G12" s="33">
        <v>1095</v>
      </c>
      <c r="H12" s="20">
        <f t="shared" si="0"/>
        <v>0</v>
      </c>
      <c r="I12" s="21">
        <v>8000</v>
      </c>
      <c r="J12" s="45">
        <f>Table443[[#This Row],[RATE HOUR /DAY]]*Table443[[#This Row],[actual days/machine hours]]</f>
        <v>144000</v>
      </c>
      <c r="K12" s="26">
        <f>Table443[[#This Row],[RATE HOUR /DAY]]*Table443[[#This Row],[Days/machine hours consider for costing]]</f>
        <v>144000</v>
      </c>
      <c r="L12" s="22" t="s">
        <v>0</v>
      </c>
      <c r="M12" s="28"/>
    </row>
    <row r="13" spans="1:13" x14ac:dyDescent="0.25">
      <c r="C13" s="3"/>
      <c r="D13" s="4"/>
      <c r="E13" s="4"/>
      <c r="M13" s="31"/>
    </row>
    <row r="14" spans="1:13" ht="16.5" thickBot="1" x14ac:dyDescent="0.3">
      <c r="A14" s="5"/>
      <c r="B14" s="5"/>
      <c r="C14" s="6"/>
      <c r="D14" s="7"/>
      <c r="E14" s="7"/>
      <c r="F14" s="5"/>
      <c r="G14" s="8"/>
      <c r="H14" s="9"/>
      <c r="I14" s="10"/>
      <c r="J14" s="43">
        <f>SUM(J4:J13)</f>
        <v>839000</v>
      </c>
      <c r="K14" s="25">
        <f>SUM(K4:K13)</f>
        <v>839000</v>
      </c>
      <c r="L14" s="5"/>
    </row>
    <row r="15" spans="1:13" ht="15.75" thickTop="1" x14ac:dyDescent="0.25"/>
    <row r="16" spans="1:13" x14ac:dyDescent="0.25">
      <c r="F16" s="59"/>
      <c r="G16" s="59"/>
    </row>
    <row r="17" spans="6:7" x14ac:dyDescent="0.25">
      <c r="F17" s="59"/>
      <c r="G17" s="59"/>
    </row>
    <row r="18" spans="6:7" x14ac:dyDescent="0.25">
      <c r="F18" s="59"/>
      <c r="G18" s="59"/>
    </row>
    <row r="19" spans="6:7" x14ac:dyDescent="0.25">
      <c r="F19" s="59"/>
      <c r="G19" s="59"/>
    </row>
    <row r="20" spans="6:7" x14ac:dyDescent="0.25">
      <c r="F20" s="59"/>
      <c r="G20" s="59"/>
    </row>
    <row r="21" spans="6:7" x14ac:dyDescent="0.25">
      <c r="F21" s="59"/>
      <c r="G21" s="59"/>
    </row>
  </sheetData>
  <mergeCells count="1">
    <mergeCell ref="B1:I1"/>
  </mergeCells>
  <phoneticPr fontId="9" type="noConversion"/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B5"/>
  <sheetViews>
    <sheetView workbookViewId="0">
      <selection activeCell="I13" sqref="I13"/>
    </sheetView>
  </sheetViews>
  <sheetFormatPr defaultRowHeight="15" x14ac:dyDescent="0.25"/>
  <sheetData>
    <row r="3" spans="2:2" x14ac:dyDescent="0.25">
      <c r="B3" t="s">
        <v>24</v>
      </c>
    </row>
    <row r="4" spans="2:2" x14ac:dyDescent="0.25">
      <c r="B4" t="s">
        <v>26</v>
      </c>
    </row>
    <row r="5" spans="2:2" x14ac:dyDescent="0.25">
      <c r="B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Machinery </vt:lpstr>
      <vt:lpstr>Plant expenses</vt:lpstr>
      <vt:lpstr>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Malith Perera</dc:creator>
  <cp:lastModifiedBy>Dilan Michael</cp:lastModifiedBy>
  <cp:lastPrinted>2024-12-23T07:48:40Z</cp:lastPrinted>
  <dcterms:created xsi:type="dcterms:W3CDTF">2023-12-20T11:25:26Z</dcterms:created>
  <dcterms:modified xsi:type="dcterms:W3CDTF">2026-04-27T06:52:29Z</dcterms:modified>
</cp:coreProperties>
</file>