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D4D728D-7BCE-4767-8F0F-EE046A0770EA}" xr6:coauthVersionLast="47" xr6:coauthVersionMax="47" xr10:uidLastSave="{00000000-0000-0000-0000-000000000000}"/>
  <bookViews>
    <workbookView xWindow="-120" yWindow="-120" windowWidth="20640" windowHeight="11160" activeTab="3" xr2:uid="{00000000-000D-0000-FFFF-FFFF00000000}"/>
  </bookViews>
  <sheets>
    <sheet name="februaru" sheetId="5" r:id="rId1"/>
    <sheet name="March" sheetId="4" r:id="rId2"/>
    <sheet name="April" sheetId="2" r:id="rId3"/>
    <sheet name="may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3" i="6" l="1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AK21" i="6"/>
  <c r="AM21" i="6" s="1"/>
  <c r="AT21" i="6" s="1"/>
  <c r="AT20" i="6"/>
  <c r="AT19" i="6"/>
  <c r="AP18" i="6"/>
  <c r="AK18" i="6"/>
  <c r="AP17" i="6"/>
  <c r="AK17" i="6"/>
  <c r="AT16" i="6"/>
  <c r="AP15" i="6"/>
  <c r="AL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AT14" i="6"/>
  <c r="AT13" i="6"/>
  <c r="AT12" i="6"/>
  <c r="AT11" i="6"/>
  <c r="AT10" i="6"/>
  <c r="AT9" i="6"/>
  <c r="AT8" i="6"/>
  <c r="AT7" i="6"/>
  <c r="AT6" i="6"/>
  <c r="AK5" i="6"/>
  <c r="AT5" i="6" s="1"/>
  <c r="AT6" i="2"/>
  <c r="AT7" i="2"/>
  <c r="AT8" i="2"/>
  <c r="AT9" i="2"/>
  <c r="AT10" i="2"/>
  <c r="AT11" i="2"/>
  <c r="AT12" i="2"/>
  <c r="AT13" i="2"/>
  <c r="AT14" i="2"/>
  <c r="AT19" i="2"/>
  <c r="AT16" i="2"/>
  <c r="AP18" i="2"/>
  <c r="AT18" i="4"/>
  <c r="AT19" i="4"/>
  <c r="AT6" i="4"/>
  <c r="AT7" i="4"/>
  <c r="AT8" i="4"/>
  <c r="AT9" i="4"/>
  <c r="AT10" i="4"/>
  <c r="AT11" i="4"/>
  <c r="AT12" i="4"/>
  <c r="AT13" i="4"/>
  <c r="AT14" i="4"/>
  <c r="AT6" i="5"/>
  <c r="AT7" i="5"/>
  <c r="AT8" i="5"/>
  <c r="AT9" i="5"/>
  <c r="AT10" i="5"/>
  <c r="AT11" i="5"/>
  <c r="AT12" i="5"/>
  <c r="AT13" i="5"/>
  <c r="AT14" i="5"/>
  <c r="AT16" i="5"/>
  <c r="AS23" i="5"/>
  <c r="AO23" i="5"/>
  <c r="AN23" i="5"/>
  <c r="AL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AP17" i="5"/>
  <c r="AP23" i="5" s="1"/>
  <c r="AK17" i="5"/>
  <c r="AP15" i="5"/>
  <c r="AL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AK5" i="5"/>
  <c r="AM5" i="5" s="1"/>
  <c r="AT5" i="5" s="1"/>
  <c r="AS23" i="4"/>
  <c r="AO23" i="4"/>
  <c r="AN23" i="4"/>
  <c r="AL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AT21" i="4"/>
  <c r="AT20" i="4"/>
  <c r="AP18" i="4"/>
  <c r="AK18" i="4"/>
  <c r="AM18" i="4" s="1"/>
  <c r="AP17" i="4"/>
  <c r="AK17" i="4"/>
  <c r="AT16" i="4"/>
  <c r="AP15" i="4"/>
  <c r="AL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AK15" i="4" s="1"/>
  <c r="H15" i="4"/>
  <c r="G15" i="4"/>
  <c r="F15" i="4"/>
  <c r="AK5" i="4"/>
  <c r="AM5" i="4" s="1"/>
  <c r="AT5" i="4" s="1"/>
  <c r="AK18" i="2"/>
  <c r="AK20" i="2"/>
  <c r="AM20" i="2" s="1"/>
  <c r="AT20" i="2" s="1"/>
  <c r="AK21" i="2"/>
  <c r="AM21" i="2" s="1"/>
  <c r="AT21" i="2" s="1"/>
  <c r="AM18" i="2"/>
  <c r="AT18" i="2" s="1"/>
  <c r="AR17" i="6" l="1"/>
  <c r="AQ18" i="6"/>
  <c r="AP23" i="6"/>
  <c r="AK15" i="6"/>
  <c r="AT15" i="6" s="1"/>
  <c r="AR18" i="6"/>
  <c r="AK23" i="6"/>
  <c r="AQ17" i="6"/>
  <c r="AQ23" i="6" s="1"/>
  <c r="AM18" i="6"/>
  <c r="AT18" i="6" s="1"/>
  <c r="AM5" i="6"/>
  <c r="AM17" i="6"/>
  <c r="AT17" i="6" s="1"/>
  <c r="AP23" i="4"/>
  <c r="AQ17" i="4"/>
  <c r="AQ17" i="5"/>
  <c r="AQ23" i="5" s="1"/>
  <c r="AK15" i="5"/>
  <c r="AM15" i="5"/>
  <c r="AT15" i="5" s="1"/>
  <c r="AR15" i="5"/>
  <c r="AR17" i="5"/>
  <c r="AQ5" i="5"/>
  <c r="AR5" i="5" s="1"/>
  <c r="AM17" i="5"/>
  <c r="AK23" i="5"/>
  <c r="AR15" i="4"/>
  <c r="AM15" i="4"/>
  <c r="AT15" i="4" s="1"/>
  <c r="AQ5" i="4"/>
  <c r="AR5" i="4" s="1"/>
  <c r="AM17" i="4"/>
  <c r="AT17" i="4" s="1"/>
  <c r="AQ18" i="4"/>
  <c r="AK23" i="4"/>
  <c r="AR17" i="4"/>
  <c r="AR18" i="4"/>
  <c r="AT23" i="4" l="1"/>
  <c r="AT30" i="4" s="1"/>
  <c r="AM23" i="5"/>
  <c r="AT17" i="5"/>
  <c r="AT23" i="5" s="1"/>
  <c r="AT30" i="5" s="1"/>
  <c r="AQ23" i="4"/>
  <c r="AM15" i="6"/>
  <c r="AR15" i="6"/>
  <c r="AM23" i="6"/>
  <c r="AT23" i="6"/>
  <c r="AT30" i="6" s="1"/>
  <c r="AM23" i="4"/>
  <c r="AR23" i="4"/>
  <c r="AR23" i="5"/>
  <c r="AP17" i="2" l="1"/>
  <c r="AL23" i="2" l="1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AP23" i="2"/>
  <c r="AK17" i="2"/>
  <c r="AR17" i="2" s="1"/>
  <c r="AP15" i="2"/>
  <c r="AL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AK5" i="2"/>
  <c r="AT5" i="2" s="1"/>
  <c r="AR18" i="2" l="1"/>
  <c r="AQ18" i="2"/>
  <c r="AM17" i="2"/>
  <c r="AT17" i="2" s="1"/>
  <c r="AM5" i="2"/>
  <c r="AQ5" i="2" s="1"/>
  <c r="AR5" i="2" s="1"/>
  <c r="AK15" i="2"/>
  <c r="AQ17" i="2"/>
  <c r="AK23" i="2"/>
  <c r="AR15" i="2" l="1"/>
  <c r="AT15" i="2"/>
  <c r="AT23" i="2" s="1"/>
  <c r="AQ23" i="2"/>
  <c r="AT30" i="2"/>
  <c r="AM15" i="2"/>
  <c r="AM23" i="2" s="1"/>
</calcChain>
</file>

<file path=xl/sharedStrings.xml><?xml version="1.0" encoding="utf-8"?>
<sst xmlns="http://schemas.openxmlformats.org/spreadsheetml/2006/main" count="188" uniqueCount="46">
  <si>
    <t>Edward and Christie (Pvt) Ltd</t>
  </si>
  <si>
    <t xml:space="preserve">                                                           Monthly Fuel Consumption Report (Daily/ Average)</t>
  </si>
  <si>
    <t xml:space="preserve"> </t>
  </si>
  <si>
    <t>S. No.</t>
  </si>
  <si>
    <t>Vehicle Reg. No.</t>
  </si>
  <si>
    <t>Company Code</t>
  </si>
  <si>
    <t>Type of Vehicle/ Machine</t>
  </si>
  <si>
    <t>Fuel Type</t>
  </si>
  <si>
    <t>Day</t>
  </si>
  <si>
    <t xml:space="preserve">Total ℓ from Site Tank </t>
  </si>
  <si>
    <t>Total ℓ from Outside</t>
  </si>
  <si>
    <t>Total Fuel ℓ (A)</t>
  </si>
  <si>
    <t>Opening Meter km/ hrs.</t>
  </si>
  <si>
    <t>Closing Meter km/ hrs.</t>
  </si>
  <si>
    <t>Total Running    km/ hrs.(B)</t>
  </si>
  <si>
    <t xml:space="preserve">Consumption per km or hrs. (B/A) </t>
  </si>
  <si>
    <t xml:space="preserve">Previous month consumption </t>
  </si>
  <si>
    <t>Fuel Rate Rs. (C)</t>
  </si>
  <si>
    <t xml:space="preserve">Fuel Cost Rs. (A*C) </t>
  </si>
  <si>
    <t xml:space="preserve">Total issue for the machinery (ℓ) </t>
  </si>
  <si>
    <t>Total issue for the vehicle (ℓ)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</si>
  <si>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</si>
  <si>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</si>
  <si>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</si>
  <si>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</si>
  <si>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</si>
  <si>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Total deduction (Rs.)</t>
  </si>
  <si>
    <t>Monthly Purchasing (ℓ)</t>
  </si>
  <si>
    <t>Project fuel cost (Rs.)</t>
  </si>
  <si>
    <t>Monthly Closing Balance (ℓ)</t>
  </si>
  <si>
    <t>Monthly Consumption (ℓ)</t>
  </si>
  <si>
    <t>Location/ Project:</t>
  </si>
  <si>
    <t xml:space="preserve">Diesel </t>
  </si>
  <si>
    <t xml:space="preserve">Jeep </t>
  </si>
  <si>
    <t>HEX 27</t>
  </si>
  <si>
    <t>GE 62</t>
  </si>
  <si>
    <t>Diesel</t>
  </si>
  <si>
    <t>Excevetor</t>
  </si>
  <si>
    <t>31-0724</t>
  </si>
  <si>
    <t>Genaretor 01</t>
  </si>
  <si>
    <t>HEX 37</t>
  </si>
  <si>
    <t xml:space="preserve">                                                             Year and Month: 2026 - March</t>
  </si>
  <si>
    <t>water pump</t>
  </si>
  <si>
    <t xml:space="preserve">                                                             Year and Month: 2026 - April</t>
  </si>
  <si>
    <t xml:space="preserve">                                                             Year and Month: 2026 - February</t>
  </si>
  <si>
    <t xml:space="preserve">                                                             Year and Month: 2026 -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</si>
</sst>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43" fontId="3" fillId="0" borderId="0" xfId="1" applyFont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/>
    <xf numFmtId="0" fontId="4" fillId="0" borderId="1" xfId="0" applyFont="1" applyBorder="1"/>
    <xf numFmtId="0" fontId="4" fillId="0" borderId="7" xfId="0" applyFont="1" applyBorder="1" applyAlignment="1">
      <alignment horizontal="center"/>
    </xf>
    <xf numFmtId="43" fontId="4" fillId="0" borderId="1" xfId="1" applyFont="1" applyBorder="1"/>
    <xf numFmtId="43" fontId="4" fillId="0" borderId="1" xfId="0" applyNumberFormat="1" applyFont="1" applyBorder="1"/>
    <xf numFmtId="0" fontId="4" fillId="0" borderId="0" xfId="0" applyFont="1"/>
    <xf numFmtId="2" fontId="4" fillId="0" borderId="7" xfId="0" applyNumberFormat="1" applyFont="1" applyBorder="1"/>
    <xf numFmtId="0" fontId="4" fillId="2" borderId="7" xfId="0" applyFont="1" applyFill="1" applyBorder="1"/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/>
    <xf numFmtId="0" fontId="4" fillId="0" borderId="5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43" fontId="4" fillId="0" borderId="0" xfId="1" applyFont="1"/>
    <xf numFmtId="0" fontId="4" fillId="0" borderId="17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43" fontId="4" fillId="0" borderId="0" xfId="0" applyNumberFormat="1" applyFont="1" applyAlignment="1">
      <alignment horizontal="center"/>
    </xf>
    <xf numFmtId="43" fontId="4" fillId="0" borderId="17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43" fontId="4" fillId="0" borderId="6" xfId="1" applyFont="1" applyBorder="1"/>
    <xf numFmtId="43" fontId="4" fillId="0" borderId="1" xfId="1" applyFont="1" applyFill="1" applyBorder="1"/>
    <xf numFmtId="2" fontId="4" fillId="0" borderId="8" xfId="0" applyNumberFormat="1" applyFont="1" applyBorder="1"/>
    <xf numFmtId="2" fontId="4" fillId="0" borderId="6" xfId="0" applyNumberFormat="1" applyFont="1" applyBorder="1"/>
    <xf numFmtId="43" fontId="4" fillId="0" borderId="6" xfId="1" applyFont="1" applyFill="1" applyBorder="1"/>
    <xf numFmtId="43" fontId="4" fillId="0" borderId="6" xfId="0" applyNumberFormat="1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43" fontId="4" fillId="0" borderId="1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F337-2A31-4E8B-BDBD-D6112164724E}">
  <dimension ref="A1:AV38"/>
  <sheetViews>
    <sheetView topLeftCell="A13" zoomScale="69" zoomScaleNormal="69" workbookViewId="0">
      <selection activeCell="I30" sqref="I30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22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7.5703125" style="4" customWidth="1"/>
    <col min="39" max="39" width="9.5703125" style="4" customWidth="1"/>
    <col min="40" max="40" width="9.42578125" style="4" customWidth="1"/>
    <col min="41" max="41" width="8.5703125" style="4" customWidth="1"/>
    <col min="42" max="42" width="10.42578125" style="4" customWidth="1"/>
    <col min="43" max="44" width="11.7109375" style="2" customWidth="1"/>
    <col min="45" max="45" width="10" style="5" customWidth="1"/>
    <col min="46" max="46" width="17.140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E2" s="3" t="s">
        <v>44</v>
      </c>
      <c r="R2" s="3" t="s">
        <v>2</v>
      </c>
    </row>
    <row r="3" spans="1:48" x14ac:dyDescent="0.25">
      <c r="A3" s="42" t="s">
        <v>3</v>
      </c>
      <c r="B3" s="42" t="s">
        <v>4</v>
      </c>
      <c r="C3" s="42" t="s">
        <v>5</v>
      </c>
      <c r="D3" s="42" t="s">
        <v>6</v>
      </c>
      <c r="E3" s="42" t="s">
        <v>7</v>
      </c>
      <c r="F3" s="52" t="s">
        <v>8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4"/>
      <c r="AK3" s="42" t="s">
        <v>9</v>
      </c>
      <c r="AL3" s="42" t="s">
        <v>10</v>
      </c>
      <c r="AM3" s="42" t="s">
        <v>11</v>
      </c>
      <c r="AN3" s="42" t="s">
        <v>12</v>
      </c>
      <c r="AO3" s="42" t="s">
        <v>13</v>
      </c>
      <c r="AP3" s="42" t="s">
        <v>14</v>
      </c>
      <c r="AQ3" s="42" t="s">
        <v>15</v>
      </c>
      <c r="AR3" s="42" t="s">
        <v>16</v>
      </c>
      <c r="AS3" s="47" t="s">
        <v>17</v>
      </c>
      <c r="AT3" s="42" t="s">
        <v>18</v>
      </c>
    </row>
    <row r="4" spans="1:48" s="7" customFormat="1" ht="27" customHeight="1" x14ac:dyDescent="0.25">
      <c r="A4" s="43"/>
      <c r="B4" s="43"/>
      <c r="C4" s="43"/>
      <c r="D4" s="43"/>
      <c r="E4" s="43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43"/>
      <c r="AL4" s="43"/>
      <c r="AM4" s="43"/>
      <c r="AN4" s="43"/>
      <c r="AO4" s="43"/>
      <c r="AP4" s="43"/>
      <c r="AQ4" s="43"/>
      <c r="AR4" s="43"/>
      <c r="AS4" s="48"/>
      <c r="AT4" s="43"/>
    </row>
    <row r="5" spans="1:48" x14ac:dyDescent="0.25">
      <c r="A5" s="8">
        <v>1</v>
      </c>
      <c r="B5" s="9" t="s">
        <v>38</v>
      </c>
      <c r="C5" s="9"/>
      <c r="D5" s="9" t="s">
        <v>33</v>
      </c>
      <c r="E5" s="10" t="s">
        <v>32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>
        <v>20</v>
      </c>
      <c r="AF5" s="33"/>
      <c r="AG5" s="33">
        <v>20</v>
      </c>
      <c r="AH5" s="33"/>
      <c r="AI5" s="33"/>
      <c r="AJ5" s="33"/>
      <c r="AK5" s="8">
        <f>SUM(F5:AJ5)</f>
        <v>40</v>
      </c>
      <c r="AL5" s="11"/>
      <c r="AM5" s="8">
        <f>AK5</f>
        <v>40</v>
      </c>
      <c r="AN5" s="8"/>
      <c r="AO5" s="8"/>
      <c r="AP5" s="11"/>
      <c r="AQ5" s="10">
        <f>AP5/AM5</f>
        <v>0</v>
      </c>
      <c r="AR5" s="10">
        <f>AQ5/AK5</f>
        <v>0</v>
      </c>
      <c r="AS5" s="12">
        <v>277</v>
      </c>
      <c r="AT5" s="13">
        <f>AS5*AM5</f>
        <v>11080</v>
      </c>
      <c r="AU5" s="14"/>
      <c r="AV5" s="14"/>
    </row>
    <row r="6" spans="1:48" x14ac:dyDescent="0.25">
      <c r="A6" s="11"/>
      <c r="B6" s="9"/>
      <c r="C6" s="9"/>
      <c r="D6" s="9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8"/>
      <c r="AL6" s="11"/>
      <c r="AM6" s="8"/>
      <c r="AN6" s="11"/>
      <c r="AO6" s="11"/>
      <c r="AP6" s="11"/>
      <c r="AQ6" s="10"/>
      <c r="AR6" s="10"/>
      <c r="AS6" s="12"/>
      <c r="AT6" s="13">
        <f t="shared" ref="AT6:AT17" si="0">AS6*AM6</f>
        <v>0</v>
      </c>
      <c r="AU6" s="14"/>
      <c r="AV6" s="14"/>
    </row>
    <row r="7" spans="1:48" x14ac:dyDescent="0.25">
      <c r="A7" s="11"/>
      <c r="B7" s="9"/>
      <c r="C7" s="16"/>
      <c r="D7" s="9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8"/>
      <c r="AL7" s="11"/>
      <c r="AM7" s="8"/>
      <c r="AN7" s="11"/>
      <c r="AO7" s="11"/>
      <c r="AP7" s="11"/>
      <c r="AQ7" s="10"/>
      <c r="AR7" s="10"/>
      <c r="AS7" s="12"/>
      <c r="AT7" s="13">
        <f t="shared" si="0"/>
        <v>0</v>
      </c>
      <c r="AU7" s="14"/>
      <c r="AV7" s="14"/>
    </row>
    <row r="8" spans="1:48" x14ac:dyDescent="0.25">
      <c r="A8" s="11"/>
      <c r="B8" s="9"/>
      <c r="C8" s="16"/>
      <c r="D8" s="9"/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8"/>
      <c r="AL8" s="11"/>
      <c r="AM8" s="8"/>
      <c r="AN8" s="11"/>
      <c r="AO8" s="11"/>
      <c r="AP8" s="11"/>
      <c r="AQ8" s="10"/>
      <c r="AR8" s="10"/>
      <c r="AS8" s="12"/>
      <c r="AT8" s="13">
        <f t="shared" si="0"/>
        <v>0</v>
      </c>
      <c r="AU8" s="14"/>
      <c r="AV8" s="14"/>
    </row>
    <row r="9" spans="1:48" x14ac:dyDescent="0.25">
      <c r="A9" s="11"/>
      <c r="B9" s="9"/>
      <c r="C9" s="9"/>
      <c r="D9" s="9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8"/>
      <c r="AL9" s="11"/>
      <c r="AM9" s="8"/>
      <c r="AN9" s="11"/>
      <c r="AO9" s="11"/>
      <c r="AP9" s="11"/>
      <c r="AQ9" s="10"/>
      <c r="AR9" s="10"/>
      <c r="AS9" s="12"/>
      <c r="AT9" s="13">
        <f t="shared" si="0"/>
        <v>0</v>
      </c>
      <c r="AU9" s="14"/>
      <c r="AV9" s="14"/>
    </row>
    <row r="10" spans="1:48" x14ac:dyDescent="0.25">
      <c r="A10" s="11"/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8"/>
      <c r="AL10" s="11"/>
      <c r="AM10" s="8"/>
      <c r="AN10" s="11"/>
      <c r="AO10" s="11"/>
      <c r="AP10" s="11"/>
      <c r="AQ10" s="15"/>
      <c r="AR10" s="10"/>
      <c r="AS10" s="12"/>
      <c r="AT10" s="13">
        <f t="shared" si="0"/>
        <v>0</v>
      </c>
      <c r="AU10" s="14"/>
      <c r="AV10" s="14"/>
    </row>
    <row r="11" spans="1:48" x14ac:dyDescent="0.25">
      <c r="A11" s="11"/>
      <c r="B11" s="9"/>
      <c r="C11" s="9"/>
      <c r="D11" s="9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8"/>
      <c r="AL11" s="11"/>
      <c r="AM11" s="8"/>
      <c r="AN11" s="11"/>
      <c r="AO11" s="11"/>
      <c r="AP11" s="11"/>
      <c r="AQ11" s="15"/>
      <c r="AR11" s="10"/>
      <c r="AS11" s="12"/>
      <c r="AT11" s="13">
        <f t="shared" si="0"/>
        <v>0</v>
      </c>
      <c r="AU11" s="14"/>
      <c r="AV11" s="14"/>
    </row>
    <row r="12" spans="1:48" x14ac:dyDescent="0.25">
      <c r="A12" s="11"/>
      <c r="B12" s="9"/>
      <c r="C12" s="9"/>
      <c r="D12" s="9"/>
      <c r="E12" s="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8"/>
      <c r="AL12" s="11"/>
      <c r="AM12" s="8"/>
      <c r="AN12" s="11"/>
      <c r="AO12" s="11"/>
      <c r="AP12" s="11"/>
      <c r="AQ12" s="15"/>
      <c r="AR12" s="10"/>
      <c r="AS12" s="12"/>
      <c r="AT12" s="13">
        <f t="shared" si="0"/>
        <v>0</v>
      </c>
      <c r="AU12" s="14"/>
      <c r="AV12" s="14"/>
    </row>
    <row r="13" spans="1:48" x14ac:dyDescent="0.25">
      <c r="A13" s="11"/>
      <c r="B13" s="9"/>
      <c r="C13" s="9"/>
      <c r="D13" s="9"/>
      <c r="E13" s="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8"/>
      <c r="AL13" s="11"/>
      <c r="AM13" s="8"/>
      <c r="AN13" s="11"/>
      <c r="AO13" s="11"/>
      <c r="AP13" s="11"/>
      <c r="AQ13" s="15"/>
      <c r="AR13" s="10"/>
      <c r="AS13" s="12"/>
      <c r="AT13" s="13">
        <f t="shared" si="0"/>
        <v>0</v>
      </c>
      <c r="AU13" s="14"/>
      <c r="AV13" s="14"/>
    </row>
    <row r="14" spans="1:48" x14ac:dyDescent="0.25">
      <c r="A14" s="11"/>
      <c r="B14" s="9"/>
      <c r="C14" s="9"/>
      <c r="D14" s="9"/>
      <c r="E14" s="10"/>
      <c r="F14" s="11"/>
      <c r="G14" s="11"/>
      <c r="H14" s="11"/>
      <c r="I14" s="11"/>
      <c r="J14" s="11"/>
      <c r="K14" s="11"/>
      <c r="L14" s="11"/>
      <c r="M14" s="11"/>
      <c r="N14" s="17"/>
      <c r="O14" s="17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8"/>
      <c r="AL14" s="11"/>
      <c r="AM14" s="8"/>
      <c r="AN14" s="11"/>
      <c r="AO14" s="11"/>
      <c r="AP14" s="11"/>
      <c r="AQ14" s="15"/>
      <c r="AR14" s="10"/>
      <c r="AS14" s="12"/>
      <c r="AT14" s="13">
        <f t="shared" si="0"/>
        <v>0</v>
      </c>
      <c r="AU14" s="14"/>
      <c r="AV14" s="14"/>
    </row>
    <row r="15" spans="1:48" ht="16.5" thickBot="1" x14ac:dyDescent="0.3">
      <c r="A15" s="11"/>
      <c r="B15" s="49" t="s">
        <v>19</v>
      </c>
      <c r="C15" s="50"/>
      <c r="D15" s="50"/>
      <c r="E15" s="51"/>
      <c r="F15" s="18">
        <f>SUM(F5:F14)</f>
        <v>0</v>
      </c>
      <c r="G15" s="18">
        <f t="shared" ref="G15:AJ15" si="1">SUM(G5:G14)</f>
        <v>0</v>
      </c>
      <c r="H15" s="18">
        <f t="shared" si="1"/>
        <v>0</v>
      </c>
      <c r="I15" s="18">
        <f t="shared" si="1"/>
        <v>0</v>
      </c>
      <c r="J15" s="18">
        <f t="shared" si="1"/>
        <v>0</v>
      </c>
      <c r="K15" s="18">
        <f t="shared" si="1"/>
        <v>0</v>
      </c>
      <c r="L15" s="18">
        <f t="shared" si="1"/>
        <v>0</v>
      </c>
      <c r="M15" s="18">
        <f t="shared" si="1"/>
        <v>0</v>
      </c>
      <c r="N15" s="18">
        <f t="shared" si="1"/>
        <v>0</v>
      </c>
      <c r="O15" s="18">
        <f t="shared" si="1"/>
        <v>0</v>
      </c>
      <c r="P15" s="18">
        <f t="shared" si="1"/>
        <v>0</v>
      </c>
      <c r="Q15" s="18">
        <f t="shared" si="1"/>
        <v>0</v>
      </c>
      <c r="R15" s="18">
        <f t="shared" si="1"/>
        <v>0</v>
      </c>
      <c r="S15" s="18">
        <f t="shared" si="1"/>
        <v>0</v>
      </c>
      <c r="T15" s="18">
        <f t="shared" si="1"/>
        <v>0</v>
      </c>
      <c r="U15" s="18">
        <f t="shared" si="1"/>
        <v>0</v>
      </c>
      <c r="V15" s="18">
        <f t="shared" si="1"/>
        <v>0</v>
      </c>
      <c r="W15" s="18">
        <f t="shared" si="1"/>
        <v>0</v>
      </c>
      <c r="X15" s="18">
        <f t="shared" si="1"/>
        <v>0</v>
      </c>
      <c r="Y15" s="18">
        <f t="shared" si="1"/>
        <v>0</v>
      </c>
      <c r="Z15" s="18">
        <f t="shared" si="1"/>
        <v>0</v>
      </c>
      <c r="AA15" s="18">
        <f t="shared" si="1"/>
        <v>0</v>
      </c>
      <c r="AB15" s="18">
        <f t="shared" si="1"/>
        <v>0</v>
      </c>
      <c r="AC15" s="18">
        <f t="shared" si="1"/>
        <v>0</v>
      </c>
      <c r="AD15" s="18">
        <f t="shared" si="1"/>
        <v>0</v>
      </c>
      <c r="AE15" s="18">
        <f t="shared" si="1"/>
        <v>20</v>
      </c>
      <c r="AF15" s="18">
        <f t="shared" si="1"/>
        <v>0</v>
      </c>
      <c r="AG15" s="18">
        <f t="shared" si="1"/>
        <v>20</v>
      </c>
      <c r="AH15" s="18">
        <f t="shared" si="1"/>
        <v>0</v>
      </c>
      <c r="AI15" s="18">
        <f t="shared" si="1"/>
        <v>0</v>
      </c>
      <c r="AJ15" s="18">
        <f t="shared" si="1"/>
        <v>0</v>
      </c>
      <c r="AK15" s="8">
        <f t="shared" ref="AK15:AK17" si="2">SUM(F15:AJ15)</f>
        <v>40</v>
      </c>
      <c r="AL15" s="18">
        <f>SUM(AL5:AL14)</f>
        <v>0</v>
      </c>
      <c r="AM15" s="8">
        <f t="shared" ref="AM15:AM17" si="3">AK15</f>
        <v>40</v>
      </c>
      <c r="AN15" s="11"/>
      <c r="AO15" s="11"/>
      <c r="AP15" s="11">
        <f t="shared" ref="AP15" si="4">AO15-AN15</f>
        <v>0</v>
      </c>
      <c r="AQ15" s="15"/>
      <c r="AR15" s="10">
        <f t="shared" ref="AR15:AR23" si="5">AQ15/AK15</f>
        <v>0</v>
      </c>
      <c r="AS15" s="12">
        <v>277</v>
      </c>
      <c r="AT15" s="13">
        <f t="shared" si="0"/>
        <v>11080</v>
      </c>
      <c r="AU15" s="14"/>
      <c r="AV15" s="14"/>
    </row>
    <row r="16" spans="1:48" ht="16.5" thickTop="1" x14ac:dyDescent="0.25">
      <c r="A16" s="11"/>
      <c r="B16" s="9"/>
      <c r="C16" s="9"/>
      <c r="D16" s="9"/>
      <c r="E16" s="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8"/>
      <c r="AL16" s="19"/>
      <c r="AM16" s="8"/>
      <c r="AN16" s="11"/>
      <c r="AO16" s="11"/>
      <c r="AP16" s="11"/>
      <c r="AQ16" s="15"/>
      <c r="AR16" s="10"/>
      <c r="AS16" s="36"/>
      <c r="AT16" s="13">
        <f t="shared" si="0"/>
        <v>0</v>
      </c>
      <c r="AU16" s="14"/>
      <c r="AV16" s="14"/>
    </row>
    <row r="17" spans="1:48" x14ac:dyDescent="0.25">
      <c r="A17" s="11">
        <v>2</v>
      </c>
      <c r="B17" s="10" t="s">
        <v>34</v>
      </c>
      <c r="C17" s="10" t="s">
        <v>34</v>
      </c>
      <c r="D17" s="10" t="s">
        <v>37</v>
      </c>
      <c r="E17" s="10" t="s">
        <v>36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>
        <v>80</v>
      </c>
      <c r="AG17" s="33">
        <v>80</v>
      </c>
      <c r="AH17" s="33"/>
      <c r="AI17" s="33"/>
      <c r="AJ17" s="33"/>
      <c r="AK17" s="8">
        <f t="shared" si="2"/>
        <v>160</v>
      </c>
      <c r="AL17" s="11"/>
      <c r="AM17" s="8">
        <f t="shared" si="3"/>
        <v>160</v>
      </c>
      <c r="AN17" s="11">
        <v>2421.1</v>
      </c>
      <c r="AO17" s="11">
        <v>2433.6</v>
      </c>
      <c r="AP17" s="11">
        <f t="shared" ref="AP17" si="6">AO17-AN17</f>
        <v>12.5</v>
      </c>
      <c r="AQ17" s="15">
        <f>AK17/AP17</f>
        <v>12.8</v>
      </c>
      <c r="AR17" s="10">
        <f>AK17/AP17</f>
        <v>12.8</v>
      </c>
      <c r="AS17" s="36">
        <v>277</v>
      </c>
      <c r="AT17" s="13">
        <f t="shared" si="0"/>
        <v>44320</v>
      </c>
      <c r="AU17" s="14"/>
      <c r="AV17" s="14"/>
    </row>
    <row r="18" spans="1:48" x14ac:dyDescent="0.25">
      <c r="A18" s="11"/>
      <c r="B18" s="9"/>
      <c r="C18" s="9"/>
      <c r="D18" s="9"/>
      <c r="E18" s="10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8"/>
      <c r="AL18" s="11"/>
      <c r="AM18" s="8"/>
      <c r="AN18" s="11"/>
      <c r="AO18" s="11"/>
      <c r="AP18" s="11"/>
      <c r="AQ18" s="15"/>
      <c r="AR18" s="10"/>
      <c r="AS18" s="36"/>
      <c r="AT18" s="13"/>
      <c r="AU18" s="14"/>
      <c r="AV18" s="14"/>
    </row>
    <row r="19" spans="1:48" x14ac:dyDescent="0.25">
      <c r="A19" s="11"/>
      <c r="B19" s="9"/>
      <c r="C19" s="9"/>
      <c r="D19" s="9"/>
      <c r="E19" s="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8"/>
      <c r="AL19" s="11"/>
      <c r="AM19" s="8"/>
      <c r="AN19" s="11"/>
      <c r="AO19" s="11"/>
      <c r="AP19" s="11"/>
      <c r="AQ19" s="15"/>
      <c r="AR19" s="10"/>
      <c r="AS19" s="36"/>
      <c r="AT19" s="13"/>
      <c r="AU19" s="14"/>
      <c r="AV19" s="14"/>
    </row>
    <row r="20" spans="1:48" x14ac:dyDescent="0.25">
      <c r="A20" s="11"/>
      <c r="B20" s="9"/>
      <c r="C20" s="9"/>
      <c r="D20" s="34"/>
      <c r="E20" s="9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8"/>
      <c r="AL20" s="11"/>
      <c r="AM20" s="8"/>
      <c r="AN20" s="11"/>
      <c r="AO20" s="11"/>
      <c r="AP20" s="11"/>
      <c r="AQ20" s="15"/>
      <c r="AR20" s="10"/>
      <c r="AS20" s="36"/>
      <c r="AT20" s="13"/>
      <c r="AU20" s="14"/>
      <c r="AV20" s="14"/>
    </row>
    <row r="21" spans="1:48" x14ac:dyDescent="0.25">
      <c r="A21" s="11"/>
      <c r="B21" s="9"/>
      <c r="C21" s="9"/>
      <c r="D21" s="34"/>
      <c r="E21" s="9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8"/>
      <c r="AL21" s="11"/>
      <c r="AM21" s="8"/>
      <c r="AN21" s="11"/>
      <c r="AO21" s="17"/>
      <c r="AP21" s="17"/>
      <c r="AQ21" s="37"/>
      <c r="AR21" s="10"/>
      <c r="AS21" s="36"/>
      <c r="AT21" s="13"/>
      <c r="AU21" s="14"/>
      <c r="AV21" s="14"/>
    </row>
    <row r="22" spans="1:48" x14ac:dyDescent="0.25">
      <c r="A22" s="11"/>
      <c r="B22" s="9"/>
      <c r="C22" s="9"/>
      <c r="D22" s="9"/>
      <c r="E22" s="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8"/>
      <c r="AL22" s="17"/>
      <c r="AM22" s="8"/>
      <c r="AN22" s="11"/>
      <c r="AO22" s="33"/>
      <c r="AP22" s="33"/>
      <c r="AQ22" s="38"/>
      <c r="AR22" s="34"/>
      <c r="AS22" s="39"/>
      <c r="AT22" s="13"/>
      <c r="AU22" s="14"/>
      <c r="AV22" s="14"/>
    </row>
    <row r="23" spans="1:48" ht="16.5" thickBot="1" x14ac:dyDescent="0.3">
      <c r="A23" s="20"/>
      <c r="B23" s="44" t="s">
        <v>20</v>
      </c>
      <c r="C23" s="45"/>
      <c r="D23" s="45"/>
      <c r="E23" s="46"/>
      <c r="F23" s="21">
        <f>SUM(F17:F22)</f>
        <v>0</v>
      </c>
      <c r="G23" s="21">
        <f t="shared" ref="G23:AS23" si="7">SUM(G17:G22)</f>
        <v>0</v>
      </c>
      <c r="H23" s="21">
        <f t="shared" si="7"/>
        <v>0</v>
      </c>
      <c r="I23" s="21">
        <f t="shared" si="7"/>
        <v>0</v>
      </c>
      <c r="J23" s="21">
        <f t="shared" si="7"/>
        <v>0</v>
      </c>
      <c r="K23" s="21">
        <f t="shared" si="7"/>
        <v>0</v>
      </c>
      <c r="L23" s="21">
        <f t="shared" si="7"/>
        <v>0</v>
      </c>
      <c r="M23" s="21">
        <f t="shared" si="7"/>
        <v>0</v>
      </c>
      <c r="N23" s="21">
        <f t="shared" si="7"/>
        <v>0</v>
      </c>
      <c r="O23" s="21">
        <f t="shared" si="7"/>
        <v>0</v>
      </c>
      <c r="P23" s="21">
        <f t="shared" si="7"/>
        <v>0</v>
      </c>
      <c r="Q23" s="21">
        <f t="shared" si="7"/>
        <v>0</v>
      </c>
      <c r="R23" s="21">
        <f t="shared" si="7"/>
        <v>0</v>
      </c>
      <c r="S23" s="21">
        <f t="shared" si="7"/>
        <v>0</v>
      </c>
      <c r="T23" s="21">
        <f t="shared" si="7"/>
        <v>0</v>
      </c>
      <c r="U23" s="21">
        <f t="shared" si="7"/>
        <v>0</v>
      </c>
      <c r="V23" s="21">
        <f t="shared" si="7"/>
        <v>0</v>
      </c>
      <c r="W23" s="21">
        <f t="shared" si="7"/>
        <v>0</v>
      </c>
      <c r="X23" s="21">
        <f t="shared" si="7"/>
        <v>0</v>
      </c>
      <c r="Y23" s="21">
        <f t="shared" si="7"/>
        <v>0</v>
      </c>
      <c r="Z23" s="21">
        <f t="shared" si="7"/>
        <v>0</v>
      </c>
      <c r="AA23" s="21">
        <f t="shared" si="7"/>
        <v>0</v>
      </c>
      <c r="AB23" s="21">
        <f t="shared" si="7"/>
        <v>0</v>
      </c>
      <c r="AC23" s="21">
        <f t="shared" si="7"/>
        <v>0</v>
      </c>
      <c r="AD23" s="21">
        <f t="shared" si="7"/>
        <v>0</v>
      </c>
      <c r="AE23" s="21">
        <f t="shared" si="7"/>
        <v>0</v>
      </c>
      <c r="AF23" s="21">
        <f t="shared" si="7"/>
        <v>80</v>
      </c>
      <c r="AG23" s="21">
        <f t="shared" si="7"/>
        <v>80</v>
      </c>
      <c r="AH23" s="21">
        <f t="shared" si="7"/>
        <v>0</v>
      </c>
      <c r="AI23" s="21">
        <f t="shared" si="7"/>
        <v>0</v>
      </c>
      <c r="AJ23" s="21">
        <f t="shared" si="7"/>
        <v>0</v>
      </c>
      <c r="AK23" s="21">
        <f t="shared" si="7"/>
        <v>160</v>
      </c>
      <c r="AL23" s="21">
        <f t="shared" si="7"/>
        <v>0</v>
      </c>
      <c r="AM23" s="18">
        <f>SUM(AM5:AM22)</f>
        <v>240</v>
      </c>
      <c r="AN23" s="22">
        <f t="shared" si="7"/>
        <v>2421.1</v>
      </c>
      <c r="AO23" s="34">
        <f t="shared" si="7"/>
        <v>2433.6</v>
      </c>
      <c r="AP23" s="34">
        <f t="shared" si="7"/>
        <v>12.5</v>
      </c>
      <c r="AQ23" s="34">
        <f t="shared" si="7"/>
        <v>12.8</v>
      </c>
      <c r="AR23" s="34">
        <f t="shared" si="5"/>
        <v>0.08</v>
      </c>
      <c r="AS23" s="34">
        <f t="shared" si="7"/>
        <v>277</v>
      </c>
      <c r="AT23" s="35">
        <f>AT15+AT17</f>
        <v>55400</v>
      </c>
      <c r="AU23" s="14"/>
      <c r="AV23" s="14"/>
    </row>
    <row r="24" spans="1:48" ht="16.5" thickTop="1" x14ac:dyDescent="0.25">
      <c r="A24" s="23"/>
      <c r="B24" s="44"/>
      <c r="C24" s="45"/>
      <c r="D24" s="45"/>
      <c r="E24" s="4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x14ac:dyDescent="0.25">
      <c r="A25" s="23"/>
      <c r="B25" s="24" t="s">
        <v>21</v>
      </c>
      <c r="C25" s="25"/>
      <c r="D25" s="25"/>
      <c r="E25" s="2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x14ac:dyDescent="0.25">
      <c r="A26" s="23"/>
      <c r="B26" s="24" t="s">
        <v>22</v>
      </c>
      <c r="C26" s="25"/>
      <c r="D26" s="25"/>
      <c r="E26" s="2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x14ac:dyDescent="0.25">
      <c r="A27" s="23"/>
      <c r="B27" s="14" t="s">
        <v>23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 t="s">
        <v>2</v>
      </c>
      <c r="AV27" s="14" t="s">
        <v>2</v>
      </c>
    </row>
    <row r="28" spans="1:48" x14ac:dyDescent="0.25">
      <c r="A28" s="23"/>
      <c r="B28" s="14" t="s">
        <v>24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23"/>
      <c r="AN28" s="23"/>
      <c r="AO28" s="23"/>
      <c r="AP28" s="23"/>
      <c r="AQ28" s="14"/>
      <c r="AR28" s="14"/>
      <c r="AS28" s="26"/>
      <c r="AT28" s="14"/>
      <c r="AU28" s="14"/>
      <c r="AV28" s="14"/>
    </row>
    <row r="29" spans="1:48" x14ac:dyDescent="0.25">
      <c r="A29" s="23"/>
      <c r="B29" s="14" t="s">
        <v>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23"/>
      <c r="AL29" s="23"/>
      <c r="AM29" s="23"/>
      <c r="AN29" s="23"/>
      <c r="AO29" s="23"/>
      <c r="AP29" s="23"/>
      <c r="AQ29" s="14"/>
      <c r="AR29" s="14"/>
      <c r="AS29" s="26"/>
      <c r="AT29" s="14"/>
      <c r="AU29" s="14"/>
      <c r="AV29" s="14"/>
    </row>
    <row r="30" spans="1:48" ht="16.5" thickBot="1" x14ac:dyDescent="0.3">
      <c r="A30" s="23"/>
      <c r="B30" s="14" t="s">
        <v>25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2"/>
      <c r="AL30" s="2"/>
      <c r="AM30" s="2"/>
      <c r="AN30" s="2"/>
      <c r="AO30" s="23"/>
      <c r="AP30" s="23"/>
      <c r="AQ30" s="2" t="s">
        <v>26</v>
      </c>
      <c r="AR30" s="23"/>
      <c r="AS30" s="23"/>
      <c r="AT30" s="32">
        <f>AT23</f>
        <v>55400</v>
      </c>
      <c r="AU30" s="14"/>
      <c r="AV30" s="14"/>
    </row>
    <row r="31" spans="1:48" ht="16.5" thickTop="1" x14ac:dyDescent="0.25">
      <c r="A31" s="23"/>
      <c r="B31" s="14" t="s">
        <v>27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2"/>
      <c r="AL31" s="2"/>
      <c r="AM31" s="2"/>
      <c r="AN31" s="24"/>
      <c r="AO31" s="23"/>
      <c r="AP31" s="23"/>
      <c r="AQ31" s="2" t="s">
        <v>28</v>
      </c>
      <c r="AR31" s="23"/>
      <c r="AS31" s="23"/>
      <c r="AT31" s="31"/>
      <c r="AU31" s="14"/>
      <c r="AV31" s="14"/>
    </row>
    <row r="32" spans="1:48" x14ac:dyDescent="0.25">
      <c r="A32" s="23"/>
      <c r="B32" s="14" t="s">
        <v>29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23"/>
      <c r="AL32" s="23"/>
      <c r="AM32" s="23"/>
      <c r="AN32" s="23"/>
      <c r="AO32" s="23"/>
      <c r="AP32" s="23"/>
      <c r="AQ32" s="14"/>
      <c r="AR32" s="14"/>
      <c r="AS32" s="26"/>
      <c r="AT32" s="14"/>
      <c r="AU32" s="14"/>
      <c r="AV32" s="14"/>
    </row>
    <row r="33" spans="1:48" ht="16.5" thickBot="1" x14ac:dyDescent="0.3">
      <c r="A33" s="23"/>
      <c r="B33" s="14" t="s">
        <v>30</v>
      </c>
      <c r="C33" s="14"/>
      <c r="D33" s="14"/>
      <c r="E33" s="27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23"/>
      <c r="AL33" s="23"/>
      <c r="AM33" s="23"/>
      <c r="AN33" s="23"/>
      <c r="AO33" s="23"/>
      <c r="AP33" s="23"/>
      <c r="AQ33" s="14"/>
      <c r="AR33" s="14"/>
      <c r="AS33" s="26"/>
      <c r="AT33" s="14"/>
      <c r="AU33" s="14"/>
      <c r="AV33" s="14"/>
    </row>
    <row r="34" spans="1:48" ht="16.5" thickTop="1" x14ac:dyDescent="0.25">
      <c r="A34" s="2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23"/>
      <c r="AL34" s="23"/>
      <c r="AM34" s="23"/>
      <c r="AN34" s="23"/>
      <c r="AO34" s="23"/>
      <c r="AP34" s="23"/>
      <c r="AQ34" s="14"/>
      <c r="AR34" s="14"/>
      <c r="AS34" s="26"/>
      <c r="AT34" s="14"/>
      <c r="AU34" s="14"/>
      <c r="AV34" s="14"/>
    </row>
    <row r="35" spans="1:48" x14ac:dyDescent="0.25">
      <c r="A35" s="28"/>
      <c r="C35" s="14"/>
      <c r="D35" s="14"/>
      <c r="E35" s="29"/>
      <c r="K35" s="14"/>
      <c r="M35" s="30"/>
      <c r="N35" s="14"/>
      <c r="P35" s="14"/>
      <c r="Q35" s="14"/>
      <c r="R35" s="14"/>
      <c r="U35" s="30"/>
      <c r="V35" s="14"/>
      <c r="W35" s="14"/>
      <c r="X35" s="14"/>
      <c r="Y35" s="14"/>
      <c r="Z35" s="14"/>
      <c r="AA35" s="14"/>
      <c r="AB35" s="30"/>
      <c r="AC35" s="14"/>
      <c r="AD35" s="14"/>
      <c r="AE35" s="14"/>
      <c r="AF35" s="14"/>
      <c r="AG35" s="14"/>
      <c r="AH35" s="30"/>
      <c r="AI35" s="14"/>
      <c r="AJ35" s="14"/>
      <c r="AK35" s="14"/>
      <c r="AL35" s="23"/>
      <c r="AM35" s="23"/>
      <c r="AN35" s="23"/>
      <c r="AO35" s="23"/>
      <c r="AP35" s="23"/>
      <c r="AQ35" s="14"/>
      <c r="AR35" s="14"/>
      <c r="AS35" s="26"/>
      <c r="AT35" s="14"/>
      <c r="AU35" s="14"/>
      <c r="AV35" s="14"/>
    </row>
    <row r="36" spans="1:48" x14ac:dyDescent="0.25">
      <c r="A36" s="14"/>
      <c r="C36" s="14"/>
      <c r="D36" s="14"/>
      <c r="E36" s="29"/>
      <c r="K36" s="14"/>
      <c r="M36" s="30"/>
      <c r="N36" s="14"/>
      <c r="P36" s="14"/>
      <c r="Q36" s="14"/>
      <c r="R36" s="14"/>
      <c r="U36" s="30"/>
      <c r="V36" s="14"/>
      <c r="W36" s="14"/>
      <c r="X36" s="14"/>
      <c r="Y36" s="14"/>
      <c r="Z36" s="14"/>
      <c r="AA36" s="14"/>
      <c r="AB36" s="30"/>
      <c r="AC36" s="14"/>
      <c r="AD36" s="14"/>
      <c r="AE36" s="14"/>
      <c r="AF36" s="14"/>
      <c r="AG36" s="14"/>
      <c r="AH36" s="30"/>
      <c r="AI36" s="14"/>
      <c r="AJ36" s="14"/>
      <c r="AK36" s="14"/>
      <c r="AL36" s="23"/>
      <c r="AM36" s="23"/>
      <c r="AN36" s="23"/>
      <c r="AO36" s="23"/>
      <c r="AP36" s="23"/>
      <c r="AQ36" s="14"/>
      <c r="AR36" s="14"/>
      <c r="AS36" s="26"/>
      <c r="AT36" s="14"/>
      <c r="AU36" s="14"/>
      <c r="AV36" s="14"/>
    </row>
    <row r="37" spans="1:48" x14ac:dyDescent="0.25">
      <c r="A37" s="14"/>
      <c r="C37" s="14"/>
      <c r="D37" s="14"/>
      <c r="E37" s="29"/>
      <c r="K37" s="14"/>
      <c r="M37" s="30"/>
      <c r="N37" s="14"/>
      <c r="P37" s="14"/>
      <c r="Q37" s="14"/>
      <c r="R37" s="14"/>
      <c r="U37" s="30"/>
      <c r="V37" s="14"/>
      <c r="W37" s="14"/>
      <c r="X37" s="14"/>
      <c r="Y37" s="14"/>
      <c r="Z37" s="14"/>
      <c r="AA37" s="14"/>
      <c r="AB37" s="30"/>
      <c r="AC37" s="14"/>
      <c r="AD37" s="14"/>
      <c r="AE37" s="14"/>
      <c r="AF37" s="14"/>
      <c r="AG37" s="14"/>
      <c r="AH37" s="30"/>
      <c r="AI37" s="14"/>
      <c r="AJ37" s="14"/>
      <c r="AK37" s="14"/>
      <c r="AL37" s="23"/>
      <c r="AM37" s="23"/>
      <c r="AN37" s="23"/>
      <c r="AO37" s="23"/>
      <c r="AP37" s="23"/>
      <c r="AQ37" s="14"/>
      <c r="AR37" s="14"/>
      <c r="AS37" s="26"/>
      <c r="AT37" s="14"/>
      <c r="AU37" s="14"/>
      <c r="AV37" s="14"/>
    </row>
    <row r="38" spans="1:48" x14ac:dyDescent="0.25">
      <c r="A38" s="14"/>
      <c r="C38" s="14"/>
      <c r="D38" s="14"/>
      <c r="E38" s="29"/>
      <c r="K38" s="14"/>
      <c r="M38" s="30"/>
      <c r="N38" s="14"/>
      <c r="P38" s="14"/>
      <c r="Q38" s="14"/>
      <c r="R38" s="14"/>
      <c r="U38" s="30"/>
      <c r="V38" s="14"/>
      <c r="W38" s="14"/>
      <c r="X38" s="14"/>
      <c r="Y38" s="14"/>
      <c r="Z38" s="14"/>
      <c r="AA38" s="14"/>
      <c r="AB38" s="30"/>
      <c r="AC38" s="14"/>
      <c r="AD38" s="14"/>
      <c r="AE38" s="14"/>
      <c r="AF38" s="14"/>
      <c r="AG38" s="14"/>
      <c r="AH38" s="30"/>
      <c r="AI38" s="14"/>
      <c r="AJ38" s="14"/>
      <c r="AK38" s="14"/>
      <c r="AL38" s="23"/>
      <c r="AM38" s="23"/>
      <c r="AN38" s="23"/>
      <c r="AO38" s="23"/>
      <c r="AP38" s="23"/>
      <c r="AQ38" s="14"/>
      <c r="AR38" s="14"/>
      <c r="AS38" s="26"/>
      <c r="AT38" s="14"/>
      <c r="AU38" s="14"/>
      <c r="AV38" s="14"/>
    </row>
  </sheetData>
  <mergeCells count="19">
    <mergeCell ref="A3:A4"/>
    <mergeCell ref="B3:B4"/>
    <mergeCell ref="C3:C4"/>
    <mergeCell ref="D3:D4"/>
    <mergeCell ref="E3:E4"/>
    <mergeCell ref="B24:E24"/>
    <mergeCell ref="AQ3:AQ4"/>
    <mergeCell ref="AR3:AR4"/>
    <mergeCell ref="AS3:AS4"/>
    <mergeCell ref="AT3:AT4"/>
    <mergeCell ref="B15:E15"/>
    <mergeCell ref="B23:E23"/>
    <mergeCell ref="AK3:AK4"/>
    <mergeCell ref="AL3:AL4"/>
    <mergeCell ref="AM3:AM4"/>
    <mergeCell ref="AN3:AN4"/>
    <mergeCell ref="AO3:AO4"/>
    <mergeCell ref="AP3:AP4"/>
    <mergeCell ref="F3:A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755D-700C-4F02-94A7-B08F2EA2CAC3}">
  <dimension ref="A1:AV38"/>
  <sheetViews>
    <sheetView topLeftCell="A13" zoomScale="70" zoomScaleNormal="70" workbookViewId="0">
      <selection activeCell="G38" sqref="G38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22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7.5703125" style="4" customWidth="1"/>
    <col min="39" max="39" width="9.5703125" style="4" customWidth="1"/>
    <col min="40" max="40" width="9.42578125" style="4" customWidth="1"/>
    <col min="41" max="41" width="8.5703125" style="4" customWidth="1"/>
    <col min="42" max="42" width="10.42578125" style="4" customWidth="1"/>
    <col min="43" max="44" width="11.7109375" style="2" customWidth="1"/>
    <col min="45" max="45" width="10" style="5" customWidth="1"/>
    <col min="46" max="46" width="17.140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E2" s="3" t="s">
        <v>41</v>
      </c>
      <c r="R2" s="3" t="s">
        <v>2</v>
      </c>
    </row>
    <row r="3" spans="1:48" x14ac:dyDescent="0.25">
      <c r="A3" s="42" t="s">
        <v>3</v>
      </c>
      <c r="B3" s="42" t="s">
        <v>4</v>
      </c>
      <c r="C3" s="42" t="s">
        <v>5</v>
      </c>
      <c r="D3" s="42" t="s">
        <v>6</v>
      </c>
      <c r="E3" s="42" t="s">
        <v>7</v>
      </c>
      <c r="F3" s="52" t="s">
        <v>8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4"/>
      <c r="AK3" s="42" t="s">
        <v>9</v>
      </c>
      <c r="AL3" s="42" t="s">
        <v>10</v>
      </c>
      <c r="AM3" s="42" t="s">
        <v>11</v>
      </c>
      <c r="AN3" s="42" t="s">
        <v>12</v>
      </c>
      <c r="AO3" s="42" t="s">
        <v>13</v>
      </c>
      <c r="AP3" s="42" t="s">
        <v>14</v>
      </c>
      <c r="AQ3" s="42" t="s">
        <v>15</v>
      </c>
      <c r="AR3" s="42" t="s">
        <v>16</v>
      </c>
      <c r="AS3" s="47" t="s">
        <v>17</v>
      </c>
      <c r="AT3" s="42" t="s">
        <v>18</v>
      </c>
    </row>
    <row r="4" spans="1:48" s="7" customFormat="1" ht="27" customHeight="1" x14ac:dyDescent="0.25">
      <c r="A4" s="43"/>
      <c r="B4" s="43"/>
      <c r="C4" s="43"/>
      <c r="D4" s="43"/>
      <c r="E4" s="43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43"/>
      <c r="AL4" s="43"/>
      <c r="AM4" s="43"/>
      <c r="AN4" s="43"/>
      <c r="AO4" s="43"/>
      <c r="AP4" s="43"/>
      <c r="AQ4" s="43"/>
      <c r="AR4" s="43"/>
      <c r="AS4" s="48"/>
      <c r="AT4" s="43"/>
    </row>
    <row r="5" spans="1:48" x14ac:dyDescent="0.25">
      <c r="A5" s="8">
        <v>1</v>
      </c>
      <c r="B5" s="9" t="s">
        <v>38</v>
      </c>
      <c r="C5" s="9"/>
      <c r="D5" s="9" t="s">
        <v>33</v>
      </c>
      <c r="E5" s="10" t="s">
        <v>32</v>
      </c>
      <c r="F5" s="33"/>
      <c r="G5" s="33"/>
      <c r="H5" s="33"/>
      <c r="I5" s="33"/>
      <c r="J5" s="33">
        <v>20</v>
      </c>
      <c r="K5" s="33"/>
      <c r="L5" s="33">
        <v>20</v>
      </c>
      <c r="M5" s="33"/>
      <c r="N5" s="33">
        <v>20</v>
      </c>
      <c r="O5" s="33"/>
      <c r="P5" s="33">
        <v>20</v>
      </c>
      <c r="Q5" s="33"/>
      <c r="R5" s="33"/>
      <c r="S5" s="33"/>
      <c r="T5" s="33"/>
      <c r="U5" s="33"/>
      <c r="V5" s="33"/>
      <c r="W5" s="33"/>
      <c r="X5" s="33"/>
      <c r="Y5" s="33">
        <v>20</v>
      </c>
      <c r="Z5" s="33"/>
      <c r="AA5" s="33"/>
      <c r="AB5" s="33">
        <v>20</v>
      </c>
      <c r="AC5" s="33"/>
      <c r="AD5" s="33"/>
      <c r="AE5" s="33"/>
      <c r="AF5" s="33">
        <v>30</v>
      </c>
      <c r="AG5" s="33"/>
      <c r="AH5" s="33"/>
      <c r="AI5" s="33">
        <v>20</v>
      </c>
      <c r="AJ5" s="33"/>
      <c r="AK5" s="8">
        <f>SUM(F5:AJ5)</f>
        <v>170</v>
      </c>
      <c r="AL5" s="11"/>
      <c r="AM5" s="8">
        <f>AK5</f>
        <v>170</v>
      </c>
      <c r="AN5" s="8"/>
      <c r="AO5" s="8"/>
      <c r="AP5" s="11"/>
      <c r="AQ5" s="10">
        <f>AP5/AM5</f>
        <v>0</v>
      </c>
      <c r="AR5" s="10">
        <f>AQ5/AK5</f>
        <v>0</v>
      </c>
      <c r="AS5" s="12">
        <v>382</v>
      </c>
      <c r="AT5" s="13">
        <f>AS5*AM5</f>
        <v>64940</v>
      </c>
      <c r="AU5" s="14"/>
      <c r="AV5" s="14"/>
    </row>
    <row r="6" spans="1:48" x14ac:dyDescent="0.25">
      <c r="A6" s="11">
        <v>2</v>
      </c>
      <c r="B6" s="9"/>
      <c r="C6" s="9"/>
      <c r="D6" s="9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8"/>
      <c r="AL6" s="11"/>
      <c r="AM6" s="8"/>
      <c r="AN6" s="11"/>
      <c r="AO6" s="11"/>
      <c r="AP6" s="11"/>
      <c r="AQ6" s="10"/>
      <c r="AR6" s="10"/>
      <c r="AS6" s="12"/>
      <c r="AT6" s="13">
        <f t="shared" ref="AT6:AT15" si="0">AS6*AM6</f>
        <v>0</v>
      </c>
      <c r="AU6" s="14"/>
      <c r="AV6" s="14"/>
    </row>
    <row r="7" spans="1:48" x14ac:dyDescent="0.25">
      <c r="A7" s="11">
        <v>3</v>
      </c>
      <c r="B7" s="9"/>
      <c r="C7" s="16"/>
      <c r="D7" s="9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8"/>
      <c r="AL7" s="11"/>
      <c r="AM7" s="8"/>
      <c r="AN7" s="11"/>
      <c r="AO7" s="11"/>
      <c r="AP7" s="11"/>
      <c r="AQ7" s="10"/>
      <c r="AR7" s="10"/>
      <c r="AS7" s="12"/>
      <c r="AT7" s="13">
        <f t="shared" si="0"/>
        <v>0</v>
      </c>
      <c r="AU7" s="14"/>
      <c r="AV7" s="14"/>
    </row>
    <row r="8" spans="1:48" x14ac:dyDescent="0.25">
      <c r="A8" s="11">
        <v>4</v>
      </c>
      <c r="B8" s="9"/>
      <c r="C8" s="16"/>
      <c r="D8" s="9"/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8"/>
      <c r="AL8" s="11"/>
      <c r="AM8" s="8"/>
      <c r="AN8" s="11"/>
      <c r="AO8" s="11"/>
      <c r="AP8" s="11"/>
      <c r="AQ8" s="10"/>
      <c r="AR8" s="10"/>
      <c r="AS8" s="12"/>
      <c r="AT8" s="13">
        <f t="shared" si="0"/>
        <v>0</v>
      </c>
      <c r="AU8" s="14"/>
      <c r="AV8" s="14"/>
    </row>
    <row r="9" spans="1:48" x14ac:dyDescent="0.25">
      <c r="A9" s="11">
        <v>5</v>
      </c>
      <c r="B9" s="9"/>
      <c r="C9" s="9"/>
      <c r="D9" s="9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8"/>
      <c r="AL9" s="11"/>
      <c r="AM9" s="8"/>
      <c r="AN9" s="11"/>
      <c r="AO9" s="11"/>
      <c r="AP9" s="11"/>
      <c r="AQ9" s="10"/>
      <c r="AR9" s="10"/>
      <c r="AS9" s="12"/>
      <c r="AT9" s="13">
        <f t="shared" si="0"/>
        <v>0</v>
      </c>
      <c r="AU9" s="14"/>
      <c r="AV9" s="14"/>
    </row>
    <row r="10" spans="1:48" x14ac:dyDescent="0.25">
      <c r="A10" s="11"/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8"/>
      <c r="AL10" s="11"/>
      <c r="AM10" s="8"/>
      <c r="AN10" s="11"/>
      <c r="AO10" s="11"/>
      <c r="AP10" s="11"/>
      <c r="AQ10" s="15"/>
      <c r="AR10" s="10"/>
      <c r="AS10" s="12"/>
      <c r="AT10" s="13">
        <f t="shared" si="0"/>
        <v>0</v>
      </c>
      <c r="AU10" s="14"/>
      <c r="AV10" s="14"/>
    </row>
    <row r="11" spans="1:48" x14ac:dyDescent="0.25">
      <c r="A11" s="11"/>
      <c r="B11" s="9"/>
      <c r="C11" s="9"/>
      <c r="D11" s="9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8"/>
      <c r="AL11" s="11"/>
      <c r="AM11" s="8"/>
      <c r="AN11" s="11"/>
      <c r="AO11" s="11"/>
      <c r="AP11" s="11"/>
      <c r="AQ11" s="15"/>
      <c r="AR11" s="10"/>
      <c r="AS11" s="12"/>
      <c r="AT11" s="13">
        <f t="shared" si="0"/>
        <v>0</v>
      </c>
      <c r="AU11" s="14"/>
      <c r="AV11" s="14"/>
    </row>
    <row r="12" spans="1:48" x14ac:dyDescent="0.25">
      <c r="A12" s="11"/>
      <c r="B12" s="9"/>
      <c r="C12" s="9"/>
      <c r="D12" s="9"/>
      <c r="E12" s="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8"/>
      <c r="AL12" s="11"/>
      <c r="AM12" s="8"/>
      <c r="AN12" s="11"/>
      <c r="AO12" s="11"/>
      <c r="AP12" s="11"/>
      <c r="AQ12" s="15"/>
      <c r="AR12" s="10"/>
      <c r="AS12" s="12"/>
      <c r="AT12" s="13">
        <f t="shared" si="0"/>
        <v>0</v>
      </c>
      <c r="AU12" s="14"/>
      <c r="AV12" s="14"/>
    </row>
    <row r="13" spans="1:48" x14ac:dyDescent="0.25">
      <c r="A13" s="11"/>
      <c r="B13" s="9"/>
      <c r="C13" s="9"/>
      <c r="D13" s="9"/>
      <c r="E13" s="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8"/>
      <c r="AL13" s="11"/>
      <c r="AM13" s="8"/>
      <c r="AN13" s="11"/>
      <c r="AO13" s="11"/>
      <c r="AP13" s="11"/>
      <c r="AQ13" s="15"/>
      <c r="AR13" s="10"/>
      <c r="AS13" s="12"/>
      <c r="AT13" s="13">
        <f t="shared" si="0"/>
        <v>0</v>
      </c>
      <c r="AU13" s="14"/>
      <c r="AV13" s="14"/>
    </row>
    <row r="14" spans="1:48" x14ac:dyDescent="0.25">
      <c r="A14" s="11"/>
      <c r="B14" s="9"/>
      <c r="C14" s="9"/>
      <c r="D14" s="9"/>
      <c r="E14" s="10"/>
      <c r="F14" s="11"/>
      <c r="G14" s="11"/>
      <c r="H14" s="11"/>
      <c r="I14" s="11"/>
      <c r="J14" s="11"/>
      <c r="K14" s="11"/>
      <c r="L14" s="11"/>
      <c r="M14" s="11"/>
      <c r="N14" s="17"/>
      <c r="O14" s="17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8"/>
      <c r="AL14" s="11"/>
      <c r="AM14" s="8"/>
      <c r="AN14" s="11"/>
      <c r="AO14" s="11"/>
      <c r="AP14" s="11"/>
      <c r="AQ14" s="15"/>
      <c r="AR14" s="10"/>
      <c r="AS14" s="12"/>
      <c r="AT14" s="13">
        <f t="shared" si="0"/>
        <v>0</v>
      </c>
      <c r="AU14" s="14"/>
      <c r="AV14" s="14"/>
    </row>
    <row r="15" spans="1:48" ht="16.5" thickBot="1" x14ac:dyDescent="0.3">
      <c r="A15" s="11"/>
      <c r="B15" s="49" t="s">
        <v>19</v>
      </c>
      <c r="C15" s="50"/>
      <c r="D15" s="50"/>
      <c r="E15" s="51"/>
      <c r="F15" s="18">
        <f>SUM(F5:F14)</f>
        <v>0</v>
      </c>
      <c r="G15" s="18">
        <f t="shared" ref="G15:AJ15" si="1">SUM(G5:G14)</f>
        <v>0</v>
      </c>
      <c r="H15" s="18">
        <f t="shared" si="1"/>
        <v>0</v>
      </c>
      <c r="I15" s="18">
        <f t="shared" si="1"/>
        <v>0</v>
      </c>
      <c r="J15" s="18">
        <f t="shared" si="1"/>
        <v>20</v>
      </c>
      <c r="K15" s="18">
        <f t="shared" si="1"/>
        <v>0</v>
      </c>
      <c r="L15" s="18">
        <f t="shared" si="1"/>
        <v>20</v>
      </c>
      <c r="M15" s="18">
        <f t="shared" si="1"/>
        <v>0</v>
      </c>
      <c r="N15" s="18">
        <f t="shared" si="1"/>
        <v>20</v>
      </c>
      <c r="O15" s="18">
        <f t="shared" si="1"/>
        <v>0</v>
      </c>
      <c r="P15" s="18">
        <f t="shared" si="1"/>
        <v>20</v>
      </c>
      <c r="Q15" s="18">
        <f t="shared" si="1"/>
        <v>0</v>
      </c>
      <c r="R15" s="18">
        <f t="shared" si="1"/>
        <v>0</v>
      </c>
      <c r="S15" s="18">
        <f t="shared" si="1"/>
        <v>0</v>
      </c>
      <c r="T15" s="18">
        <f t="shared" si="1"/>
        <v>0</v>
      </c>
      <c r="U15" s="18">
        <f t="shared" si="1"/>
        <v>0</v>
      </c>
      <c r="V15" s="18">
        <f t="shared" si="1"/>
        <v>0</v>
      </c>
      <c r="W15" s="18">
        <f t="shared" si="1"/>
        <v>0</v>
      </c>
      <c r="X15" s="18">
        <f t="shared" si="1"/>
        <v>0</v>
      </c>
      <c r="Y15" s="18">
        <f t="shared" si="1"/>
        <v>20</v>
      </c>
      <c r="Z15" s="18">
        <f t="shared" si="1"/>
        <v>0</v>
      </c>
      <c r="AA15" s="18">
        <f t="shared" si="1"/>
        <v>0</v>
      </c>
      <c r="AB15" s="18">
        <f t="shared" si="1"/>
        <v>20</v>
      </c>
      <c r="AC15" s="18">
        <f t="shared" si="1"/>
        <v>0</v>
      </c>
      <c r="AD15" s="18">
        <f t="shared" si="1"/>
        <v>0</v>
      </c>
      <c r="AE15" s="18">
        <f t="shared" si="1"/>
        <v>0</v>
      </c>
      <c r="AF15" s="18">
        <f t="shared" si="1"/>
        <v>30</v>
      </c>
      <c r="AG15" s="18">
        <f t="shared" si="1"/>
        <v>0</v>
      </c>
      <c r="AH15" s="18">
        <f t="shared" si="1"/>
        <v>0</v>
      </c>
      <c r="AI15" s="18">
        <f t="shared" si="1"/>
        <v>20</v>
      </c>
      <c r="AJ15" s="18">
        <f t="shared" si="1"/>
        <v>0</v>
      </c>
      <c r="AK15" s="8">
        <f t="shared" ref="AK15:AK18" si="2">SUM(F15:AJ15)</f>
        <v>170</v>
      </c>
      <c r="AL15" s="18">
        <f>SUM(AL5:AL14)</f>
        <v>0</v>
      </c>
      <c r="AM15" s="8">
        <f t="shared" ref="AM15:AM18" si="3">AK15</f>
        <v>170</v>
      </c>
      <c r="AN15" s="11"/>
      <c r="AO15" s="11"/>
      <c r="AP15" s="11">
        <f t="shared" ref="AP15" si="4">AO15-AN15</f>
        <v>0</v>
      </c>
      <c r="AQ15" s="15"/>
      <c r="AR15" s="10">
        <f t="shared" ref="AR15:AR23" si="5">AQ15/AK15</f>
        <v>0</v>
      </c>
      <c r="AS15" s="12">
        <v>382</v>
      </c>
      <c r="AT15" s="13">
        <f t="shared" si="0"/>
        <v>64940</v>
      </c>
      <c r="AU15" s="14"/>
      <c r="AV15" s="14"/>
    </row>
    <row r="16" spans="1:48" ht="16.5" thickTop="1" x14ac:dyDescent="0.25">
      <c r="A16" s="11"/>
      <c r="B16" s="9"/>
      <c r="C16" s="9"/>
      <c r="D16" s="9"/>
      <c r="E16" s="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8"/>
      <c r="AL16" s="19"/>
      <c r="AM16" s="8"/>
      <c r="AN16" s="11"/>
      <c r="AO16" s="11"/>
      <c r="AP16" s="11"/>
      <c r="AQ16" s="15"/>
      <c r="AR16" s="10"/>
      <c r="AS16" s="36"/>
      <c r="AT16" s="13">
        <f t="shared" ref="AT16:AT21" si="6">AS16*AS16</f>
        <v>0</v>
      </c>
      <c r="AU16" s="14"/>
      <c r="AV16" s="14"/>
    </row>
    <row r="17" spans="1:48" x14ac:dyDescent="0.25">
      <c r="A17" s="11">
        <v>11</v>
      </c>
      <c r="B17" s="10"/>
      <c r="C17" s="10" t="s">
        <v>34</v>
      </c>
      <c r="D17" s="10" t="s">
        <v>37</v>
      </c>
      <c r="E17" s="10" t="s">
        <v>36</v>
      </c>
      <c r="F17" s="33"/>
      <c r="G17" s="33"/>
      <c r="H17" s="33"/>
      <c r="I17" s="33"/>
      <c r="J17" s="33">
        <v>80</v>
      </c>
      <c r="K17" s="33">
        <v>50</v>
      </c>
      <c r="L17" s="33"/>
      <c r="M17" s="33">
        <v>80</v>
      </c>
      <c r="N17" s="33"/>
      <c r="O17" s="33"/>
      <c r="P17" s="33"/>
      <c r="Q17" s="33">
        <v>80</v>
      </c>
      <c r="R17" s="33"/>
      <c r="S17" s="33"/>
      <c r="T17" s="33"/>
      <c r="U17" s="33"/>
      <c r="V17" s="33"/>
      <c r="W17" s="33"/>
      <c r="X17" s="33">
        <v>100</v>
      </c>
      <c r="Y17" s="33"/>
      <c r="Z17" s="33"/>
      <c r="AA17" s="33"/>
      <c r="AB17" s="33">
        <v>60</v>
      </c>
      <c r="AC17" s="33"/>
      <c r="AD17" s="33"/>
      <c r="AE17" s="33"/>
      <c r="AF17" s="33">
        <v>90</v>
      </c>
      <c r="AG17" s="33"/>
      <c r="AH17" s="33"/>
      <c r="AI17" s="33"/>
      <c r="AJ17" s="33"/>
      <c r="AK17" s="8">
        <f t="shared" si="2"/>
        <v>540</v>
      </c>
      <c r="AL17" s="11"/>
      <c r="AM17" s="8">
        <f t="shared" si="3"/>
        <v>540</v>
      </c>
      <c r="AN17" s="11">
        <v>2433.6</v>
      </c>
      <c r="AO17" s="11">
        <v>2479.1</v>
      </c>
      <c r="AP17" s="11">
        <f t="shared" ref="AP17:AP18" si="7">AO17-AN17</f>
        <v>45.5</v>
      </c>
      <c r="AQ17" s="15">
        <f>AK17/AP17</f>
        <v>11.868131868131869</v>
      </c>
      <c r="AR17" s="41">
        <f>AK17/AP17</f>
        <v>11.868131868131869</v>
      </c>
      <c r="AS17" s="36">
        <v>382</v>
      </c>
      <c r="AT17" s="13">
        <f>AS17*AM17</f>
        <v>206280</v>
      </c>
      <c r="AU17" s="14"/>
      <c r="AV17" s="14"/>
    </row>
    <row r="18" spans="1:48" x14ac:dyDescent="0.25">
      <c r="A18" s="11">
        <v>12</v>
      </c>
      <c r="B18" s="9"/>
      <c r="C18" s="9" t="s">
        <v>40</v>
      </c>
      <c r="D18" s="9" t="s">
        <v>37</v>
      </c>
      <c r="E18" s="10" t="s">
        <v>36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>
        <v>160</v>
      </c>
      <c r="Z18" s="33"/>
      <c r="AA18" s="33"/>
      <c r="AB18" s="33">
        <v>140</v>
      </c>
      <c r="AC18" s="33"/>
      <c r="AD18" s="33"/>
      <c r="AE18" s="33"/>
      <c r="AF18" s="33">
        <v>210</v>
      </c>
      <c r="AG18" s="33"/>
      <c r="AH18" s="33"/>
      <c r="AI18" s="33"/>
      <c r="AJ18" s="33"/>
      <c r="AK18" s="8">
        <f t="shared" si="2"/>
        <v>510</v>
      </c>
      <c r="AL18" s="11"/>
      <c r="AM18" s="8">
        <f t="shared" si="3"/>
        <v>510</v>
      </c>
      <c r="AN18" s="11">
        <v>7172.8</v>
      </c>
      <c r="AO18" s="11">
        <v>7201.2</v>
      </c>
      <c r="AP18" s="11">
        <f t="shared" si="7"/>
        <v>28.399999999999636</v>
      </c>
      <c r="AQ18" s="15">
        <f t="shared" ref="AQ18" si="8">AK18/AP18</f>
        <v>17.957746478873471</v>
      </c>
      <c r="AR18" s="41">
        <f t="shared" ref="AR18" si="9">AK18/AP18</f>
        <v>17.957746478873471</v>
      </c>
      <c r="AS18" s="36">
        <v>382</v>
      </c>
      <c r="AT18" s="13">
        <f>AS18*AM18</f>
        <v>194820</v>
      </c>
      <c r="AU18" s="14"/>
      <c r="AV18" s="14"/>
    </row>
    <row r="19" spans="1:48" x14ac:dyDescent="0.25">
      <c r="A19" s="11">
        <v>16</v>
      </c>
      <c r="B19" s="9"/>
      <c r="C19" s="9"/>
      <c r="D19" s="9"/>
      <c r="E19" s="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8"/>
      <c r="AL19" s="11"/>
      <c r="AM19" s="8"/>
      <c r="AN19" s="11"/>
      <c r="AO19" s="11"/>
      <c r="AP19" s="11"/>
      <c r="AQ19" s="15"/>
      <c r="AR19" s="10"/>
      <c r="AS19" s="36"/>
      <c r="AT19" s="13">
        <f t="shared" ref="AT19" si="10">AS19*AM19</f>
        <v>0</v>
      </c>
      <c r="AU19" s="14"/>
      <c r="AV19" s="14"/>
    </row>
    <row r="20" spans="1:48" x14ac:dyDescent="0.25">
      <c r="A20" s="11">
        <v>17</v>
      </c>
      <c r="B20" s="9"/>
      <c r="C20" s="9"/>
      <c r="D20" s="34"/>
      <c r="E20" s="9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8"/>
      <c r="AL20" s="11"/>
      <c r="AM20" s="8"/>
      <c r="AN20" s="11"/>
      <c r="AO20" s="11"/>
      <c r="AP20" s="11"/>
      <c r="AQ20" s="15"/>
      <c r="AR20" s="10"/>
      <c r="AS20" s="36"/>
      <c r="AT20" s="13">
        <f t="shared" si="6"/>
        <v>0</v>
      </c>
      <c r="AU20" s="14"/>
      <c r="AV20" s="14"/>
    </row>
    <row r="21" spans="1:48" x14ac:dyDescent="0.25">
      <c r="A21" s="11">
        <v>18</v>
      </c>
      <c r="B21" s="9"/>
      <c r="C21" s="9"/>
      <c r="D21" s="34"/>
      <c r="E21" s="9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8"/>
      <c r="AL21" s="11"/>
      <c r="AM21" s="8"/>
      <c r="AN21" s="11"/>
      <c r="AO21" s="17"/>
      <c r="AP21" s="17"/>
      <c r="AQ21" s="37"/>
      <c r="AR21" s="10"/>
      <c r="AS21" s="36"/>
      <c r="AT21" s="13">
        <f t="shared" si="6"/>
        <v>0</v>
      </c>
      <c r="AU21" s="14"/>
      <c r="AV21" s="14"/>
    </row>
    <row r="22" spans="1:48" x14ac:dyDescent="0.25">
      <c r="A22" s="11">
        <v>19</v>
      </c>
      <c r="B22" s="9"/>
      <c r="C22" s="9"/>
      <c r="D22" s="9"/>
      <c r="E22" s="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8"/>
      <c r="AL22" s="17"/>
      <c r="AM22" s="8"/>
      <c r="AN22" s="11"/>
      <c r="AO22" s="33"/>
      <c r="AP22" s="33"/>
      <c r="AQ22" s="38"/>
      <c r="AR22" s="34"/>
      <c r="AS22" s="39"/>
      <c r="AT22" s="40"/>
      <c r="AU22" s="14"/>
      <c r="AV22" s="14"/>
    </row>
    <row r="23" spans="1:48" ht="16.5" thickBot="1" x14ac:dyDescent="0.3">
      <c r="A23" s="20">
        <v>20</v>
      </c>
      <c r="B23" s="44" t="s">
        <v>20</v>
      </c>
      <c r="C23" s="45"/>
      <c r="D23" s="45"/>
      <c r="E23" s="46"/>
      <c r="F23" s="21">
        <f>SUM(F17:F22)</f>
        <v>0</v>
      </c>
      <c r="G23" s="21">
        <f t="shared" ref="G23:AS23" si="11">SUM(G17:G22)</f>
        <v>0</v>
      </c>
      <c r="H23" s="21">
        <f t="shared" si="11"/>
        <v>0</v>
      </c>
      <c r="I23" s="21">
        <f t="shared" si="11"/>
        <v>0</v>
      </c>
      <c r="J23" s="21">
        <f t="shared" si="11"/>
        <v>80</v>
      </c>
      <c r="K23" s="21">
        <f t="shared" si="11"/>
        <v>50</v>
      </c>
      <c r="L23" s="21">
        <f t="shared" si="11"/>
        <v>0</v>
      </c>
      <c r="M23" s="21">
        <f t="shared" si="11"/>
        <v>80</v>
      </c>
      <c r="N23" s="21">
        <f t="shared" si="11"/>
        <v>0</v>
      </c>
      <c r="O23" s="21">
        <f t="shared" si="11"/>
        <v>0</v>
      </c>
      <c r="P23" s="21">
        <f t="shared" si="11"/>
        <v>0</v>
      </c>
      <c r="Q23" s="21">
        <f t="shared" si="11"/>
        <v>80</v>
      </c>
      <c r="R23" s="21">
        <f t="shared" si="11"/>
        <v>0</v>
      </c>
      <c r="S23" s="21">
        <f t="shared" si="11"/>
        <v>0</v>
      </c>
      <c r="T23" s="21">
        <f t="shared" si="11"/>
        <v>0</v>
      </c>
      <c r="U23" s="21">
        <f t="shared" si="11"/>
        <v>0</v>
      </c>
      <c r="V23" s="21">
        <f t="shared" si="11"/>
        <v>0</v>
      </c>
      <c r="W23" s="21">
        <f t="shared" si="11"/>
        <v>0</v>
      </c>
      <c r="X23" s="21">
        <f t="shared" si="11"/>
        <v>100</v>
      </c>
      <c r="Y23" s="21">
        <f t="shared" si="11"/>
        <v>160</v>
      </c>
      <c r="Z23" s="21">
        <f t="shared" si="11"/>
        <v>0</v>
      </c>
      <c r="AA23" s="21">
        <f t="shared" si="11"/>
        <v>0</v>
      </c>
      <c r="AB23" s="21">
        <f t="shared" si="11"/>
        <v>200</v>
      </c>
      <c r="AC23" s="21">
        <f t="shared" si="11"/>
        <v>0</v>
      </c>
      <c r="AD23" s="21">
        <f t="shared" si="11"/>
        <v>0</v>
      </c>
      <c r="AE23" s="21">
        <f t="shared" si="11"/>
        <v>0</v>
      </c>
      <c r="AF23" s="21">
        <f t="shared" si="11"/>
        <v>300</v>
      </c>
      <c r="AG23" s="21">
        <f t="shared" si="11"/>
        <v>0</v>
      </c>
      <c r="AH23" s="21">
        <f t="shared" si="11"/>
        <v>0</v>
      </c>
      <c r="AI23" s="21">
        <f t="shared" si="11"/>
        <v>0</v>
      </c>
      <c r="AJ23" s="21">
        <f t="shared" si="11"/>
        <v>0</v>
      </c>
      <c r="AK23" s="21">
        <f t="shared" si="11"/>
        <v>1050</v>
      </c>
      <c r="AL23" s="21">
        <f t="shared" si="11"/>
        <v>0</v>
      </c>
      <c r="AM23" s="18">
        <f>SUM(AM5:AM22)</f>
        <v>1390</v>
      </c>
      <c r="AN23" s="22">
        <f t="shared" si="11"/>
        <v>9606.4</v>
      </c>
      <c r="AO23" s="34">
        <f t="shared" si="11"/>
        <v>9680.2999999999993</v>
      </c>
      <c r="AP23" s="34">
        <f t="shared" si="11"/>
        <v>73.899999999999636</v>
      </c>
      <c r="AQ23" s="34">
        <f t="shared" si="11"/>
        <v>29.825878347005339</v>
      </c>
      <c r="AR23" s="34">
        <f t="shared" si="5"/>
        <v>2.840559842571937E-2</v>
      </c>
      <c r="AS23" s="34">
        <f t="shared" si="11"/>
        <v>764</v>
      </c>
      <c r="AT23" s="35">
        <f>SUM(AT15:AT20)</f>
        <v>466040</v>
      </c>
      <c r="AU23" s="14"/>
      <c r="AV23" s="14"/>
    </row>
    <row r="24" spans="1:48" ht="16.5" thickTop="1" x14ac:dyDescent="0.25">
      <c r="A24" s="23"/>
      <c r="B24" s="44"/>
      <c r="C24" s="45"/>
      <c r="D24" s="45"/>
      <c r="E24" s="4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x14ac:dyDescent="0.25">
      <c r="A25" s="23"/>
      <c r="B25" s="24" t="s">
        <v>21</v>
      </c>
      <c r="C25" s="25"/>
      <c r="D25" s="25"/>
      <c r="E25" s="2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x14ac:dyDescent="0.25">
      <c r="A26" s="23"/>
      <c r="B26" s="24" t="s">
        <v>22</v>
      </c>
      <c r="C26" s="25"/>
      <c r="D26" s="25"/>
      <c r="E26" s="2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x14ac:dyDescent="0.25">
      <c r="A27" s="23"/>
      <c r="B27" s="14" t="s">
        <v>23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 t="s">
        <v>2</v>
      </c>
      <c r="AV27" s="14" t="s">
        <v>2</v>
      </c>
    </row>
    <row r="28" spans="1:48" x14ac:dyDescent="0.25">
      <c r="A28" s="23"/>
      <c r="B28" s="14" t="s">
        <v>24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23"/>
      <c r="AN28" s="23"/>
      <c r="AO28" s="23"/>
      <c r="AP28" s="23"/>
      <c r="AQ28" s="14"/>
      <c r="AR28" s="14"/>
      <c r="AS28" s="26"/>
      <c r="AT28" s="14"/>
      <c r="AU28" s="14"/>
      <c r="AV28" s="14"/>
    </row>
    <row r="29" spans="1:48" x14ac:dyDescent="0.25">
      <c r="A29" s="23"/>
      <c r="B29" s="14" t="s">
        <v>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23"/>
      <c r="AL29" s="23"/>
      <c r="AM29" s="23"/>
      <c r="AN29" s="23"/>
      <c r="AO29" s="23"/>
      <c r="AP29" s="23"/>
      <c r="AQ29" s="14"/>
      <c r="AR29" s="14"/>
      <c r="AS29" s="26"/>
      <c r="AT29" s="14"/>
      <c r="AU29" s="14"/>
      <c r="AV29" s="14"/>
    </row>
    <row r="30" spans="1:48" ht="16.5" thickBot="1" x14ac:dyDescent="0.3">
      <c r="A30" s="23"/>
      <c r="B30" s="14" t="s">
        <v>25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2"/>
      <c r="AL30" s="2"/>
      <c r="AM30" s="2"/>
      <c r="AN30" s="2"/>
      <c r="AO30" s="23"/>
      <c r="AP30" s="23"/>
      <c r="AQ30" s="2" t="s">
        <v>26</v>
      </c>
      <c r="AR30" s="23"/>
      <c r="AS30" s="23"/>
      <c r="AT30" s="32">
        <f>AT23</f>
        <v>466040</v>
      </c>
      <c r="AU30" s="14"/>
      <c r="AV30" s="14"/>
    </row>
    <row r="31" spans="1:48" ht="16.5" thickTop="1" x14ac:dyDescent="0.25">
      <c r="A31" s="23"/>
      <c r="B31" s="14" t="s">
        <v>27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2"/>
      <c r="AL31" s="2"/>
      <c r="AM31" s="2"/>
      <c r="AN31" s="24"/>
      <c r="AO31" s="23"/>
      <c r="AP31" s="23"/>
      <c r="AQ31" s="2" t="s">
        <v>28</v>
      </c>
      <c r="AR31" s="23"/>
      <c r="AS31" s="23"/>
      <c r="AT31" s="31"/>
      <c r="AU31" s="14"/>
      <c r="AV31" s="14"/>
    </row>
    <row r="32" spans="1:48" x14ac:dyDescent="0.25">
      <c r="A32" s="23"/>
      <c r="B32" s="14" t="s">
        <v>29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23"/>
      <c r="AL32" s="23"/>
      <c r="AM32" s="23"/>
      <c r="AN32" s="23"/>
      <c r="AO32" s="23"/>
      <c r="AP32" s="23"/>
      <c r="AQ32" s="14"/>
      <c r="AR32" s="14"/>
      <c r="AS32" s="26"/>
      <c r="AT32" s="14"/>
      <c r="AU32" s="14"/>
      <c r="AV32" s="14"/>
    </row>
    <row r="33" spans="1:48" ht="16.5" thickBot="1" x14ac:dyDescent="0.3">
      <c r="A33" s="23"/>
      <c r="B33" s="14" t="s">
        <v>30</v>
      </c>
      <c r="C33" s="14"/>
      <c r="D33" s="14"/>
      <c r="E33" s="27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23"/>
      <c r="AL33" s="23"/>
      <c r="AM33" s="23"/>
      <c r="AN33" s="23"/>
      <c r="AO33" s="23"/>
      <c r="AP33" s="23"/>
      <c r="AQ33" s="14"/>
      <c r="AR33" s="14"/>
      <c r="AS33" s="26"/>
      <c r="AT33" s="14"/>
      <c r="AU33" s="14"/>
      <c r="AV33" s="14"/>
    </row>
    <row r="34" spans="1:48" ht="16.5" thickTop="1" x14ac:dyDescent="0.25">
      <c r="A34" s="2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23"/>
      <c r="AL34" s="23"/>
      <c r="AM34" s="23"/>
      <c r="AN34" s="23"/>
      <c r="AO34" s="23"/>
      <c r="AP34" s="23"/>
      <c r="AQ34" s="14"/>
      <c r="AR34" s="14"/>
      <c r="AS34" s="26"/>
      <c r="AT34" s="14"/>
      <c r="AU34" s="14"/>
      <c r="AV34" s="14"/>
    </row>
    <row r="35" spans="1:48" x14ac:dyDescent="0.25">
      <c r="A35" s="28"/>
      <c r="C35" s="14"/>
      <c r="D35" s="14"/>
      <c r="E35" s="29"/>
      <c r="K35" s="14"/>
      <c r="M35" s="30"/>
      <c r="N35" s="14"/>
      <c r="P35" s="14"/>
      <c r="Q35" s="14"/>
      <c r="R35" s="14"/>
      <c r="U35" s="30"/>
      <c r="V35" s="14"/>
      <c r="W35" s="14"/>
      <c r="X35" s="14"/>
      <c r="Y35" s="14"/>
      <c r="Z35" s="14"/>
      <c r="AA35" s="14"/>
      <c r="AB35" s="30"/>
      <c r="AC35" s="14"/>
      <c r="AD35" s="14"/>
      <c r="AE35" s="14"/>
      <c r="AF35" s="14"/>
      <c r="AG35" s="14"/>
      <c r="AH35" s="30"/>
      <c r="AI35" s="14"/>
      <c r="AJ35" s="14"/>
      <c r="AK35" s="14"/>
      <c r="AL35" s="23"/>
      <c r="AM35" s="23"/>
      <c r="AN35" s="23"/>
      <c r="AO35" s="23"/>
      <c r="AP35" s="23"/>
      <c r="AQ35" s="14"/>
      <c r="AR35" s="14"/>
      <c r="AS35" s="26"/>
      <c r="AT35" s="14"/>
      <c r="AU35" s="14"/>
      <c r="AV35" s="14"/>
    </row>
    <row r="36" spans="1:48" x14ac:dyDescent="0.25">
      <c r="A36" s="14"/>
      <c r="C36" s="14"/>
      <c r="D36" s="14"/>
      <c r="E36" s="29"/>
      <c r="K36" s="14"/>
      <c r="M36" s="30"/>
      <c r="N36" s="14"/>
      <c r="P36" s="14"/>
      <c r="Q36" s="14"/>
      <c r="R36" s="14"/>
      <c r="U36" s="30"/>
      <c r="V36" s="14"/>
      <c r="W36" s="14"/>
      <c r="X36" s="14"/>
      <c r="Y36" s="14"/>
      <c r="Z36" s="14"/>
      <c r="AA36" s="14"/>
      <c r="AB36" s="30"/>
      <c r="AC36" s="14"/>
      <c r="AD36" s="14"/>
      <c r="AE36" s="14"/>
      <c r="AF36" s="14"/>
      <c r="AG36" s="14"/>
      <c r="AH36" s="30"/>
      <c r="AI36" s="14"/>
      <c r="AJ36" s="14"/>
      <c r="AK36" s="14"/>
      <c r="AL36" s="23"/>
      <c r="AM36" s="23"/>
      <c r="AN36" s="23"/>
      <c r="AO36" s="23"/>
      <c r="AP36" s="23"/>
      <c r="AQ36" s="14"/>
      <c r="AR36" s="14"/>
      <c r="AS36" s="26"/>
      <c r="AT36" s="14"/>
      <c r="AU36" s="14"/>
      <c r="AV36" s="14"/>
    </row>
    <row r="37" spans="1:48" x14ac:dyDescent="0.25">
      <c r="A37" s="14"/>
      <c r="C37" s="14"/>
      <c r="D37" s="14"/>
      <c r="E37" s="29"/>
      <c r="K37" s="14"/>
      <c r="M37" s="30"/>
      <c r="N37" s="14"/>
      <c r="P37" s="14"/>
      <c r="Q37" s="14"/>
      <c r="R37" s="14"/>
      <c r="U37" s="30"/>
      <c r="V37" s="14"/>
      <c r="W37" s="14"/>
      <c r="X37" s="14"/>
      <c r="Y37" s="14"/>
      <c r="Z37" s="14"/>
      <c r="AA37" s="14"/>
      <c r="AB37" s="30"/>
      <c r="AC37" s="14"/>
      <c r="AD37" s="14"/>
      <c r="AE37" s="14"/>
      <c r="AF37" s="14"/>
      <c r="AG37" s="14"/>
      <c r="AH37" s="30"/>
      <c r="AI37" s="14"/>
      <c r="AJ37" s="14"/>
      <c r="AK37" s="14"/>
      <c r="AL37" s="23"/>
      <c r="AM37" s="23"/>
      <c r="AN37" s="23"/>
      <c r="AO37" s="23"/>
      <c r="AP37" s="23"/>
      <c r="AQ37" s="14"/>
      <c r="AR37" s="14"/>
      <c r="AS37" s="26"/>
      <c r="AT37" s="14"/>
      <c r="AU37" s="14"/>
      <c r="AV37" s="14"/>
    </row>
    <row r="38" spans="1:48" x14ac:dyDescent="0.25">
      <c r="A38" s="14"/>
      <c r="C38" s="14"/>
      <c r="D38" s="14"/>
      <c r="E38" s="29"/>
      <c r="K38" s="14"/>
      <c r="M38" s="30"/>
      <c r="N38" s="14"/>
      <c r="P38" s="14"/>
      <c r="Q38" s="14"/>
      <c r="R38" s="14"/>
      <c r="U38" s="30"/>
      <c r="V38" s="14"/>
      <c r="W38" s="14"/>
      <c r="X38" s="14"/>
      <c r="Y38" s="14"/>
      <c r="Z38" s="14"/>
      <c r="AA38" s="14"/>
      <c r="AB38" s="30"/>
      <c r="AC38" s="14"/>
      <c r="AD38" s="14"/>
      <c r="AE38" s="14"/>
      <c r="AF38" s="14"/>
      <c r="AG38" s="14"/>
      <c r="AH38" s="30"/>
      <c r="AI38" s="14"/>
      <c r="AJ38" s="14"/>
      <c r="AK38" s="14"/>
      <c r="AL38" s="23"/>
      <c r="AM38" s="23"/>
      <c r="AN38" s="23"/>
      <c r="AO38" s="23"/>
      <c r="AP38" s="23"/>
      <c r="AQ38" s="14"/>
      <c r="AR38" s="14"/>
      <c r="AS38" s="26"/>
      <c r="AT38" s="14"/>
      <c r="AU38" s="14"/>
      <c r="AV38" s="14"/>
    </row>
  </sheetData>
  <mergeCells count="19">
    <mergeCell ref="A3:A4"/>
    <mergeCell ref="B3:B4"/>
    <mergeCell ref="C3:C4"/>
    <mergeCell ref="D3:D4"/>
    <mergeCell ref="E3:E4"/>
    <mergeCell ref="B24:E24"/>
    <mergeCell ref="AQ3:AQ4"/>
    <mergeCell ref="AR3:AR4"/>
    <mergeCell ref="AS3:AS4"/>
    <mergeCell ref="AT3:AT4"/>
    <mergeCell ref="B15:E15"/>
    <mergeCell ref="B23:E23"/>
    <mergeCell ref="AK3:AK4"/>
    <mergeCell ref="AL3:AL4"/>
    <mergeCell ref="AM3:AM4"/>
    <mergeCell ref="AN3:AN4"/>
    <mergeCell ref="AO3:AO4"/>
    <mergeCell ref="AP3:AP4"/>
    <mergeCell ref="F3:A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8"/>
  <sheetViews>
    <sheetView topLeftCell="A16" zoomScale="70" zoomScaleNormal="70" workbookViewId="0">
      <selection activeCell="L39" sqref="L39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22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4" width="5.7109375" style="2" customWidth="1"/>
    <col min="35" max="35" width="6.5703125" style="2" customWidth="1"/>
    <col min="36" max="36" width="5.42578125" style="2" customWidth="1"/>
    <col min="37" max="37" width="8.42578125" style="4" customWidth="1"/>
    <col min="38" max="38" width="7.5703125" style="4" customWidth="1"/>
    <col min="39" max="39" width="9.5703125" style="4" customWidth="1"/>
    <col min="40" max="40" width="9.42578125" style="4" customWidth="1"/>
    <col min="41" max="41" width="8.5703125" style="4" customWidth="1"/>
    <col min="42" max="42" width="10.42578125" style="4" customWidth="1"/>
    <col min="43" max="44" width="11.7109375" style="2" customWidth="1"/>
    <col min="45" max="45" width="10" style="5" customWidth="1"/>
    <col min="46" max="46" width="17.140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E2" s="3" t="s">
        <v>43</v>
      </c>
      <c r="R2" s="3" t="s">
        <v>2</v>
      </c>
    </row>
    <row r="3" spans="1:48" x14ac:dyDescent="0.25">
      <c r="A3" s="42" t="s">
        <v>3</v>
      </c>
      <c r="B3" s="42" t="s">
        <v>4</v>
      </c>
      <c r="C3" s="42" t="s">
        <v>5</v>
      </c>
      <c r="D3" s="42" t="s">
        <v>6</v>
      </c>
      <c r="E3" s="42" t="s">
        <v>7</v>
      </c>
      <c r="F3" s="52" t="s">
        <v>8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4"/>
      <c r="AK3" s="42" t="s">
        <v>9</v>
      </c>
      <c r="AL3" s="42" t="s">
        <v>10</v>
      </c>
      <c r="AM3" s="42" t="s">
        <v>11</v>
      </c>
      <c r="AN3" s="42" t="s">
        <v>12</v>
      </c>
      <c r="AO3" s="42" t="s">
        <v>13</v>
      </c>
      <c r="AP3" s="42" t="s">
        <v>14</v>
      </c>
      <c r="AQ3" s="42" t="s">
        <v>15</v>
      </c>
      <c r="AR3" s="42" t="s">
        <v>16</v>
      </c>
      <c r="AS3" s="47" t="s">
        <v>17</v>
      </c>
      <c r="AT3" s="42" t="s">
        <v>18</v>
      </c>
    </row>
    <row r="4" spans="1:48" s="7" customFormat="1" ht="27" customHeight="1" x14ac:dyDescent="0.25">
      <c r="A4" s="43"/>
      <c r="B4" s="43"/>
      <c r="C4" s="43"/>
      <c r="D4" s="43"/>
      <c r="E4" s="43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43"/>
      <c r="AL4" s="43"/>
      <c r="AM4" s="43"/>
      <c r="AN4" s="43"/>
      <c r="AO4" s="43"/>
      <c r="AP4" s="43"/>
      <c r="AQ4" s="43"/>
      <c r="AR4" s="43"/>
      <c r="AS4" s="48"/>
      <c r="AT4" s="43"/>
    </row>
    <row r="5" spans="1:48" x14ac:dyDescent="0.25">
      <c r="A5" s="8">
        <v>1</v>
      </c>
      <c r="B5" s="9" t="s">
        <v>38</v>
      </c>
      <c r="C5" s="9"/>
      <c r="D5" s="9" t="s">
        <v>33</v>
      </c>
      <c r="E5" s="10" t="s">
        <v>32</v>
      </c>
      <c r="F5" s="33">
        <v>20</v>
      </c>
      <c r="G5" s="33"/>
      <c r="H5" s="33"/>
      <c r="I5" s="33"/>
      <c r="J5" s="33"/>
      <c r="K5" s="33">
        <v>30</v>
      </c>
      <c r="L5" s="33"/>
      <c r="M5" s="33"/>
      <c r="N5" s="33"/>
      <c r="O5" s="33">
        <v>45</v>
      </c>
      <c r="P5" s="33"/>
      <c r="Q5" s="33"/>
      <c r="R5" s="33"/>
      <c r="S5" s="33"/>
      <c r="T5" s="33"/>
      <c r="U5" s="33">
        <v>20</v>
      </c>
      <c r="V5" s="33"/>
      <c r="W5" s="33"/>
      <c r="X5" s="33"/>
      <c r="Y5" s="33"/>
      <c r="Z5" s="33">
        <v>20</v>
      </c>
      <c r="AA5" s="33"/>
      <c r="AB5" s="33"/>
      <c r="AC5" s="33"/>
      <c r="AD5" s="33">
        <v>20</v>
      </c>
      <c r="AE5" s="33">
        <v>20</v>
      </c>
      <c r="AF5" s="33"/>
      <c r="AG5" s="33"/>
      <c r="AH5" s="33"/>
      <c r="AI5" s="33">
        <v>7.85</v>
      </c>
      <c r="AJ5" s="11"/>
      <c r="AK5" s="8">
        <f>SUM(F5:AJ5)</f>
        <v>182.85</v>
      </c>
      <c r="AL5" s="11"/>
      <c r="AM5" s="8">
        <f>AK5</f>
        <v>182.85</v>
      </c>
      <c r="AN5" s="8"/>
      <c r="AO5" s="8"/>
      <c r="AP5" s="11"/>
      <c r="AQ5" s="10">
        <f>AP5/AM5</f>
        <v>0</v>
      </c>
      <c r="AR5" s="10">
        <f>AQ5/AK5</f>
        <v>0</v>
      </c>
      <c r="AS5" s="12">
        <v>392</v>
      </c>
      <c r="AT5" s="13">
        <f>AS5*AK5</f>
        <v>71677.2</v>
      </c>
      <c r="AU5" s="14"/>
      <c r="AV5" s="14"/>
    </row>
    <row r="6" spans="1:48" x14ac:dyDescent="0.25">
      <c r="A6" s="11"/>
      <c r="B6" s="9"/>
      <c r="C6" s="9"/>
      <c r="D6" s="9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8"/>
      <c r="AL6" s="11"/>
      <c r="AM6" s="8"/>
      <c r="AN6" s="11"/>
      <c r="AO6" s="11"/>
      <c r="AP6" s="11"/>
      <c r="AQ6" s="10"/>
      <c r="AR6" s="10"/>
      <c r="AS6" s="12"/>
      <c r="AT6" s="13">
        <f t="shared" ref="AT6:AT15" si="0">AS6*AK6</f>
        <v>0</v>
      </c>
      <c r="AU6" s="14"/>
      <c r="AV6" s="14"/>
    </row>
    <row r="7" spans="1:48" x14ac:dyDescent="0.25">
      <c r="A7" s="11"/>
      <c r="B7" s="9"/>
      <c r="C7" s="16"/>
      <c r="D7" s="9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8"/>
      <c r="AL7" s="11"/>
      <c r="AM7" s="8"/>
      <c r="AN7" s="11"/>
      <c r="AO7" s="11"/>
      <c r="AP7" s="11"/>
      <c r="AQ7" s="10"/>
      <c r="AR7" s="10"/>
      <c r="AS7" s="12"/>
      <c r="AT7" s="13">
        <f t="shared" si="0"/>
        <v>0</v>
      </c>
      <c r="AU7" s="14"/>
      <c r="AV7" s="14"/>
    </row>
    <row r="8" spans="1:48" x14ac:dyDescent="0.25">
      <c r="A8" s="11"/>
      <c r="B8" s="9"/>
      <c r="C8" s="16"/>
      <c r="D8" s="9"/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8"/>
      <c r="AL8" s="11"/>
      <c r="AM8" s="8"/>
      <c r="AN8" s="11"/>
      <c r="AO8" s="11"/>
      <c r="AP8" s="11"/>
      <c r="AQ8" s="10"/>
      <c r="AR8" s="10"/>
      <c r="AS8" s="12"/>
      <c r="AT8" s="13">
        <f t="shared" si="0"/>
        <v>0</v>
      </c>
      <c r="AU8" s="14"/>
      <c r="AV8" s="14"/>
    </row>
    <row r="9" spans="1:48" x14ac:dyDescent="0.25">
      <c r="A9" s="11"/>
      <c r="B9" s="9"/>
      <c r="C9" s="9"/>
      <c r="D9" s="9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8"/>
      <c r="AL9" s="11"/>
      <c r="AM9" s="8"/>
      <c r="AN9" s="11"/>
      <c r="AO9" s="11"/>
      <c r="AP9" s="11"/>
      <c r="AQ9" s="10"/>
      <c r="AR9" s="10"/>
      <c r="AS9" s="12"/>
      <c r="AT9" s="13">
        <f t="shared" si="0"/>
        <v>0</v>
      </c>
      <c r="AU9" s="14"/>
      <c r="AV9" s="14"/>
    </row>
    <row r="10" spans="1:48" x14ac:dyDescent="0.25">
      <c r="A10" s="11"/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8"/>
      <c r="AL10" s="11"/>
      <c r="AM10" s="8"/>
      <c r="AN10" s="11"/>
      <c r="AO10" s="11"/>
      <c r="AP10" s="11"/>
      <c r="AQ10" s="15"/>
      <c r="AR10" s="10"/>
      <c r="AS10" s="12"/>
      <c r="AT10" s="13">
        <f t="shared" si="0"/>
        <v>0</v>
      </c>
      <c r="AU10" s="14"/>
      <c r="AV10" s="14"/>
    </row>
    <row r="11" spans="1:48" x14ac:dyDescent="0.25">
      <c r="A11" s="11"/>
      <c r="B11" s="9"/>
      <c r="C11" s="9"/>
      <c r="D11" s="9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8"/>
      <c r="AL11" s="11"/>
      <c r="AM11" s="8"/>
      <c r="AN11" s="11"/>
      <c r="AO11" s="11"/>
      <c r="AP11" s="11"/>
      <c r="AQ11" s="15"/>
      <c r="AR11" s="10"/>
      <c r="AS11" s="12"/>
      <c r="AT11" s="13">
        <f t="shared" si="0"/>
        <v>0</v>
      </c>
      <c r="AU11" s="14"/>
      <c r="AV11" s="14"/>
    </row>
    <row r="12" spans="1:48" x14ac:dyDescent="0.25">
      <c r="A12" s="11"/>
      <c r="B12" s="9"/>
      <c r="C12" s="9"/>
      <c r="D12" s="9"/>
      <c r="E12" s="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8"/>
      <c r="AL12" s="11"/>
      <c r="AM12" s="8"/>
      <c r="AN12" s="11"/>
      <c r="AO12" s="11"/>
      <c r="AP12" s="11"/>
      <c r="AQ12" s="15"/>
      <c r="AR12" s="10"/>
      <c r="AS12" s="12"/>
      <c r="AT12" s="13">
        <f t="shared" si="0"/>
        <v>0</v>
      </c>
      <c r="AU12" s="14"/>
      <c r="AV12" s="14"/>
    </row>
    <row r="13" spans="1:48" x14ac:dyDescent="0.25">
      <c r="A13" s="11"/>
      <c r="B13" s="9"/>
      <c r="C13" s="9"/>
      <c r="D13" s="9"/>
      <c r="E13" s="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8"/>
      <c r="AL13" s="11"/>
      <c r="AM13" s="8"/>
      <c r="AN13" s="11"/>
      <c r="AO13" s="11"/>
      <c r="AP13" s="11"/>
      <c r="AQ13" s="15"/>
      <c r="AR13" s="10"/>
      <c r="AS13" s="12"/>
      <c r="AT13" s="13">
        <f t="shared" si="0"/>
        <v>0</v>
      </c>
      <c r="AU13" s="14"/>
      <c r="AV13" s="14"/>
    </row>
    <row r="14" spans="1:48" x14ac:dyDescent="0.25">
      <c r="A14" s="11"/>
      <c r="B14" s="9"/>
      <c r="C14" s="9"/>
      <c r="D14" s="9"/>
      <c r="E14" s="10"/>
      <c r="F14" s="11"/>
      <c r="G14" s="11"/>
      <c r="H14" s="11"/>
      <c r="I14" s="11"/>
      <c r="J14" s="11"/>
      <c r="K14" s="11"/>
      <c r="L14" s="11"/>
      <c r="M14" s="11"/>
      <c r="N14" s="17"/>
      <c r="O14" s="17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8"/>
      <c r="AL14" s="11"/>
      <c r="AM14" s="8"/>
      <c r="AN14" s="11"/>
      <c r="AO14" s="11"/>
      <c r="AP14" s="11"/>
      <c r="AQ14" s="15"/>
      <c r="AR14" s="10"/>
      <c r="AS14" s="12"/>
      <c r="AT14" s="13">
        <f t="shared" si="0"/>
        <v>0</v>
      </c>
      <c r="AU14" s="14"/>
      <c r="AV14" s="14"/>
    </row>
    <row r="15" spans="1:48" ht="16.5" thickBot="1" x14ac:dyDescent="0.3">
      <c r="A15" s="11"/>
      <c r="B15" s="49" t="s">
        <v>19</v>
      </c>
      <c r="C15" s="50"/>
      <c r="D15" s="50"/>
      <c r="E15" s="51"/>
      <c r="F15" s="18">
        <f>SUM(F5:F14)</f>
        <v>20</v>
      </c>
      <c r="G15" s="18">
        <f t="shared" ref="G15:AJ15" si="1">SUM(G5:G14)</f>
        <v>0</v>
      </c>
      <c r="H15" s="18">
        <f t="shared" si="1"/>
        <v>0</v>
      </c>
      <c r="I15" s="18">
        <f t="shared" si="1"/>
        <v>0</v>
      </c>
      <c r="J15" s="18">
        <f t="shared" si="1"/>
        <v>0</v>
      </c>
      <c r="K15" s="18">
        <f t="shared" si="1"/>
        <v>30</v>
      </c>
      <c r="L15" s="18">
        <f t="shared" si="1"/>
        <v>0</v>
      </c>
      <c r="M15" s="18">
        <f t="shared" si="1"/>
        <v>0</v>
      </c>
      <c r="N15" s="18">
        <f t="shared" si="1"/>
        <v>0</v>
      </c>
      <c r="O15" s="18">
        <f t="shared" si="1"/>
        <v>45</v>
      </c>
      <c r="P15" s="18">
        <f t="shared" si="1"/>
        <v>0</v>
      </c>
      <c r="Q15" s="18">
        <f t="shared" si="1"/>
        <v>0</v>
      </c>
      <c r="R15" s="18">
        <f t="shared" si="1"/>
        <v>0</v>
      </c>
      <c r="S15" s="18">
        <f t="shared" si="1"/>
        <v>0</v>
      </c>
      <c r="T15" s="18">
        <f t="shared" si="1"/>
        <v>0</v>
      </c>
      <c r="U15" s="18">
        <f t="shared" si="1"/>
        <v>20</v>
      </c>
      <c r="V15" s="18">
        <f t="shared" si="1"/>
        <v>0</v>
      </c>
      <c r="W15" s="18">
        <f t="shared" si="1"/>
        <v>0</v>
      </c>
      <c r="X15" s="18">
        <f t="shared" si="1"/>
        <v>0</v>
      </c>
      <c r="Y15" s="18">
        <f t="shared" si="1"/>
        <v>0</v>
      </c>
      <c r="Z15" s="18">
        <f t="shared" si="1"/>
        <v>20</v>
      </c>
      <c r="AA15" s="18">
        <f t="shared" si="1"/>
        <v>0</v>
      </c>
      <c r="AB15" s="18">
        <f t="shared" si="1"/>
        <v>0</v>
      </c>
      <c r="AC15" s="18">
        <f t="shared" si="1"/>
        <v>0</v>
      </c>
      <c r="AD15" s="18">
        <f t="shared" si="1"/>
        <v>20</v>
      </c>
      <c r="AE15" s="18">
        <f t="shared" si="1"/>
        <v>20</v>
      </c>
      <c r="AF15" s="18">
        <f t="shared" si="1"/>
        <v>0</v>
      </c>
      <c r="AG15" s="18">
        <f t="shared" si="1"/>
        <v>0</v>
      </c>
      <c r="AH15" s="18">
        <f t="shared" si="1"/>
        <v>0</v>
      </c>
      <c r="AI15" s="18">
        <f t="shared" si="1"/>
        <v>7.85</v>
      </c>
      <c r="AJ15" s="18">
        <f t="shared" si="1"/>
        <v>0</v>
      </c>
      <c r="AK15" s="8">
        <f t="shared" ref="AK15:AK21" si="2">SUM(F15:AJ15)</f>
        <v>182.85</v>
      </c>
      <c r="AL15" s="18">
        <f>SUM(AL5:AL14)</f>
        <v>0</v>
      </c>
      <c r="AM15" s="8">
        <f t="shared" ref="AM15:AM21" si="3">AK15</f>
        <v>182.85</v>
      </c>
      <c r="AN15" s="11"/>
      <c r="AO15" s="11"/>
      <c r="AP15" s="11">
        <f t="shared" ref="AP15" si="4">AO15-AN15</f>
        <v>0</v>
      </c>
      <c r="AQ15" s="15"/>
      <c r="AR15" s="10">
        <f t="shared" ref="AR15" si="5">AQ15/AK15</f>
        <v>0</v>
      </c>
      <c r="AS15" s="12">
        <v>392</v>
      </c>
      <c r="AT15" s="13">
        <f t="shared" si="0"/>
        <v>71677.2</v>
      </c>
      <c r="AU15" s="14"/>
      <c r="AV15" s="14"/>
    </row>
    <row r="16" spans="1:48" ht="16.5" thickTop="1" x14ac:dyDescent="0.25">
      <c r="A16" s="11"/>
      <c r="B16" s="9"/>
      <c r="C16" s="9"/>
      <c r="D16" s="9"/>
      <c r="E16" s="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8"/>
      <c r="AL16" s="19"/>
      <c r="AM16" s="8"/>
      <c r="AN16" s="11"/>
      <c r="AO16" s="11"/>
      <c r="AP16" s="11"/>
      <c r="AQ16" s="15"/>
      <c r="AR16" s="10"/>
      <c r="AS16" s="12"/>
      <c r="AT16" s="13">
        <f t="shared" ref="AT16" si="6">AS16*AS16</f>
        <v>0</v>
      </c>
      <c r="AU16" s="14"/>
      <c r="AV16" s="14"/>
    </row>
    <row r="17" spans="1:48" x14ac:dyDescent="0.25">
      <c r="A17" s="11">
        <v>2</v>
      </c>
      <c r="B17" s="10"/>
      <c r="C17" s="10" t="s">
        <v>34</v>
      </c>
      <c r="D17" s="10" t="s">
        <v>37</v>
      </c>
      <c r="E17" s="10" t="s">
        <v>36</v>
      </c>
      <c r="F17" s="33"/>
      <c r="G17" s="33">
        <v>100</v>
      </c>
      <c r="H17" s="33">
        <v>70</v>
      </c>
      <c r="I17" s="33"/>
      <c r="J17" s="33"/>
      <c r="K17" s="33"/>
      <c r="L17" s="33">
        <v>30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>
        <v>80</v>
      </c>
      <c r="AD17" s="33">
        <v>40</v>
      </c>
      <c r="AE17" s="33">
        <v>80</v>
      </c>
      <c r="AF17" s="33">
        <v>60</v>
      </c>
      <c r="AG17" s="33">
        <v>100</v>
      </c>
      <c r="AH17" s="33">
        <v>60</v>
      </c>
      <c r="AI17" s="33"/>
      <c r="AJ17" s="33"/>
      <c r="AK17" s="8">
        <f t="shared" si="2"/>
        <v>620</v>
      </c>
      <c r="AL17" s="11"/>
      <c r="AM17" s="8">
        <f t="shared" si="3"/>
        <v>620</v>
      </c>
      <c r="AN17" s="11">
        <v>2479.1</v>
      </c>
      <c r="AO17" s="11">
        <v>2530.3000000000002</v>
      </c>
      <c r="AP17" s="11">
        <f t="shared" ref="AP17:AP18" si="7">AO17-AN17</f>
        <v>51.200000000000273</v>
      </c>
      <c r="AQ17" s="15">
        <f>AK17/AP17</f>
        <v>12.109374999999936</v>
      </c>
      <c r="AR17" s="41">
        <f>AK17/AP17</f>
        <v>12.109374999999936</v>
      </c>
      <c r="AS17" s="36">
        <v>392</v>
      </c>
      <c r="AT17" s="13">
        <f>AS17*AM17</f>
        <v>243040</v>
      </c>
      <c r="AU17" s="14"/>
      <c r="AV17" s="14"/>
    </row>
    <row r="18" spans="1:48" x14ac:dyDescent="0.25">
      <c r="A18" s="11">
        <v>3</v>
      </c>
      <c r="B18" s="9"/>
      <c r="C18" s="9" t="s">
        <v>40</v>
      </c>
      <c r="D18" s="9" t="s">
        <v>37</v>
      </c>
      <c r="E18" s="10" t="s">
        <v>36</v>
      </c>
      <c r="F18" s="33">
        <v>200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>
        <v>20</v>
      </c>
      <c r="AD18" s="33">
        <v>140</v>
      </c>
      <c r="AE18" s="33"/>
      <c r="AF18" s="33"/>
      <c r="AG18" s="33">
        <v>20</v>
      </c>
      <c r="AH18" s="33"/>
      <c r="AI18" s="33"/>
      <c r="AJ18" s="33"/>
      <c r="AK18" s="8">
        <f t="shared" si="2"/>
        <v>380</v>
      </c>
      <c r="AL18" s="11"/>
      <c r="AM18" s="8">
        <f t="shared" si="3"/>
        <v>380</v>
      </c>
      <c r="AN18" s="11">
        <v>7201.2</v>
      </c>
      <c r="AO18" s="11">
        <v>7229.6</v>
      </c>
      <c r="AP18" s="11">
        <f t="shared" si="7"/>
        <v>28.400000000000546</v>
      </c>
      <c r="AQ18" s="15">
        <f t="shared" ref="AQ18" si="8">AK18/AP18</f>
        <v>13.380281690140588</v>
      </c>
      <c r="AR18" s="41">
        <f t="shared" ref="AR18" si="9">AK18/AP18</f>
        <v>13.380281690140588</v>
      </c>
      <c r="AS18" s="36">
        <v>392</v>
      </c>
      <c r="AT18" s="13">
        <f t="shared" ref="AT18:AT21" si="10">AS18*AM18</f>
        <v>148960</v>
      </c>
      <c r="AU18" s="14"/>
      <c r="AV18" s="14"/>
    </row>
    <row r="19" spans="1:48" x14ac:dyDescent="0.25">
      <c r="A19" s="11"/>
      <c r="B19" s="9"/>
      <c r="C19" s="9"/>
      <c r="D19" s="9"/>
      <c r="E19" s="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8"/>
      <c r="AL19" s="11"/>
      <c r="AM19" s="8"/>
      <c r="AN19" s="11"/>
      <c r="AO19" s="11"/>
      <c r="AP19" s="11"/>
      <c r="AQ19" s="15"/>
      <c r="AR19" s="10"/>
      <c r="AS19" s="36"/>
      <c r="AT19" s="13">
        <f t="shared" si="10"/>
        <v>0</v>
      </c>
      <c r="AU19" s="14"/>
      <c r="AV19" s="14"/>
    </row>
    <row r="20" spans="1:48" x14ac:dyDescent="0.25">
      <c r="A20" s="11">
        <v>4</v>
      </c>
      <c r="B20" s="9"/>
      <c r="C20" s="9"/>
      <c r="D20" s="34" t="s">
        <v>42</v>
      </c>
      <c r="E20" s="10" t="s">
        <v>36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>
        <v>10</v>
      </c>
      <c r="AD20" s="33"/>
      <c r="AE20" s="33"/>
      <c r="AF20" s="33"/>
      <c r="AG20" s="33"/>
      <c r="AH20" s="33"/>
      <c r="AI20" s="33"/>
      <c r="AJ20" s="33"/>
      <c r="AK20" s="8">
        <f t="shared" si="2"/>
        <v>10</v>
      </c>
      <c r="AL20" s="11"/>
      <c r="AM20" s="8">
        <f t="shared" si="3"/>
        <v>10</v>
      </c>
      <c r="AN20" s="11"/>
      <c r="AO20" s="11"/>
      <c r="AP20" s="11"/>
      <c r="AQ20" s="15"/>
      <c r="AR20" s="10"/>
      <c r="AS20" s="36">
        <v>392</v>
      </c>
      <c r="AT20" s="13">
        <f t="shared" si="10"/>
        <v>3920</v>
      </c>
      <c r="AU20" s="14"/>
      <c r="AV20" s="14"/>
    </row>
    <row r="21" spans="1:48" x14ac:dyDescent="0.25">
      <c r="A21" s="11">
        <v>5</v>
      </c>
      <c r="B21" s="9"/>
      <c r="C21" s="9" t="s">
        <v>35</v>
      </c>
      <c r="D21" s="9" t="s">
        <v>39</v>
      </c>
      <c r="E21" s="9" t="s">
        <v>36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>
        <v>10</v>
      </c>
      <c r="AE21" s="33"/>
      <c r="AF21" s="33"/>
      <c r="AG21" s="33"/>
      <c r="AH21" s="33"/>
      <c r="AI21" s="33"/>
      <c r="AJ21" s="33"/>
      <c r="AK21" s="8">
        <f t="shared" si="2"/>
        <v>10</v>
      </c>
      <c r="AL21" s="11"/>
      <c r="AM21" s="8">
        <f t="shared" si="3"/>
        <v>10</v>
      </c>
      <c r="AN21" s="11"/>
      <c r="AO21" s="17"/>
      <c r="AP21" s="17"/>
      <c r="AQ21" s="37"/>
      <c r="AR21" s="10"/>
      <c r="AS21" s="36">
        <v>392</v>
      </c>
      <c r="AT21" s="13">
        <f t="shared" si="10"/>
        <v>3920</v>
      </c>
      <c r="AU21" s="14"/>
      <c r="AV21" s="14"/>
    </row>
    <row r="22" spans="1:48" x14ac:dyDescent="0.25">
      <c r="A22" s="11"/>
      <c r="B22" s="9"/>
      <c r="C22" s="9"/>
      <c r="D22" s="9"/>
      <c r="E22" s="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8"/>
      <c r="AL22" s="17"/>
      <c r="AM22" s="8"/>
      <c r="AN22" s="11"/>
      <c r="AO22" s="33"/>
      <c r="AP22" s="33"/>
      <c r="AQ22" s="38"/>
      <c r="AR22" s="34"/>
      <c r="AS22" s="39"/>
      <c r="AT22" s="40"/>
      <c r="AU22" s="14"/>
      <c r="AV22" s="14"/>
    </row>
    <row r="23" spans="1:48" ht="16.5" thickBot="1" x14ac:dyDescent="0.3">
      <c r="A23" s="20"/>
      <c r="B23" s="44" t="s">
        <v>20</v>
      </c>
      <c r="C23" s="45"/>
      <c r="D23" s="45"/>
      <c r="E23" s="46"/>
      <c r="F23" s="21">
        <f>SUM(F17:F22)</f>
        <v>200</v>
      </c>
      <c r="G23" s="21">
        <f t="shared" ref="G23:AQ23" si="11">SUM(G17:G22)</f>
        <v>100</v>
      </c>
      <c r="H23" s="21">
        <f t="shared" si="11"/>
        <v>70</v>
      </c>
      <c r="I23" s="21">
        <f t="shared" si="11"/>
        <v>0</v>
      </c>
      <c r="J23" s="21">
        <f t="shared" si="11"/>
        <v>0</v>
      </c>
      <c r="K23" s="21">
        <f t="shared" si="11"/>
        <v>0</v>
      </c>
      <c r="L23" s="21">
        <f t="shared" si="11"/>
        <v>30</v>
      </c>
      <c r="M23" s="21">
        <f t="shared" si="11"/>
        <v>0</v>
      </c>
      <c r="N23" s="21">
        <f t="shared" si="11"/>
        <v>0</v>
      </c>
      <c r="O23" s="21">
        <f t="shared" si="11"/>
        <v>0</v>
      </c>
      <c r="P23" s="21">
        <f t="shared" si="11"/>
        <v>0</v>
      </c>
      <c r="Q23" s="21">
        <f t="shared" si="11"/>
        <v>0</v>
      </c>
      <c r="R23" s="21">
        <f t="shared" si="11"/>
        <v>0</v>
      </c>
      <c r="S23" s="21">
        <f t="shared" si="11"/>
        <v>0</v>
      </c>
      <c r="T23" s="21">
        <f t="shared" si="11"/>
        <v>0</v>
      </c>
      <c r="U23" s="21">
        <f t="shared" si="11"/>
        <v>0</v>
      </c>
      <c r="V23" s="21">
        <f t="shared" si="11"/>
        <v>0</v>
      </c>
      <c r="W23" s="21">
        <f t="shared" si="11"/>
        <v>0</v>
      </c>
      <c r="X23" s="21">
        <f t="shared" si="11"/>
        <v>0</v>
      </c>
      <c r="Y23" s="21">
        <f t="shared" si="11"/>
        <v>0</v>
      </c>
      <c r="Z23" s="21">
        <f t="shared" si="11"/>
        <v>0</v>
      </c>
      <c r="AA23" s="21">
        <f t="shared" si="11"/>
        <v>0</v>
      </c>
      <c r="AB23" s="21">
        <f t="shared" si="11"/>
        <v>0</v>
      </c>
      <c r="AC23" s="21">
        <f t="shared" si="11"/>
        <v>110</v>
      </c>
      <c r="AD23" s="21">
        <f t="shared" si="11"/>
        <v>190</v>
      </c>
      <c r="AE23" s="21">
        <f t="shared" si="11"/>
        <v>80</v>
      </c>
      <c r="AF23" s="21">
        <f t="shared" si="11"/>
        <v>60</v>
      </c>
      <c r="AG23" s="21">
        <f t="shared" si="11"/>
        <v>120</v>
      </c>
      <c r="AH23" s="21">
        <f t="shared" si="11"/>
        <v>60</v>
      </c>
      <c r="AI23" s="21">
        <f t="shared" si="11"/>
        <v>0</v>
      </c>
      <c r="AJ23" s="21">
        <f t="shared" si="11"/>
        <v>0</v>
      </c>
      <c r="AK23" s="21">
        <f t="shared" si="11"/>
        <v>1020</v>
      </c>
      <c r="AL23" s="21">
        <f t="shared" si="11"/>
        <v>0</v>
      </c>
      <c r="AM23" s="18">
        <f>SUM(AM15+AM17+AM18+AM20+AM21)</f>
        <v>1202.8499999999999</v>
      </c>
      <c r="AN23" s="22"/>
      <c r="AO23" s="34"/>
      <c r="AP23" s="34">
        <f t="shared" si="11"/>
        <v>79.600000000000819</v>
      </c>
      <c r="AQ23" s="38">
        <f t="shared" si="11"/>
        <v>25.489656690140524</v>
      </c>
      <c r="AR23" s="34"/>
      <c r="AS23" s="34">
        <v>392</v>
      </c>
      <c r="AT23" s="39">
        <f>SUM(AT15:AT22)</f>
        <v>471517.2</v>
      </c>
      <c r="AU23" s="14"/>
      <c r="AV23" s="14"/>
    </row>
    <row r="24" spans="1:48" ht="16.5" thickTop="1" x14ac:dyDescent="0.25">
      <c r="A24" s="23"/>
      <c r="B24" s="44"/>
      <c r="C24" s="45"/>
      <c r="D24" s="45"/>
      <c r="E24" s="4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x14ac:dyDescent="0.25">
      <c r="A25" s="23"/>
      <c r="B25" s="24" t="s">
        <v>21</v>
      </c>
      <c r="C25" s="25"/>
      <c r="D25" s="25"/>
      <c r="E25" s="2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x14ac:dyDescent="0.25">
      <c r="A26" s="23"/>
      <c r="B26" s="24" t="s">
        <v>22</v>
      </c>
      <c r="C26" s="25"/>
      <c r="D26" s="25"/>
      <c r="E26" s="2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x14ac:dyDescent="0.25">
      <c r="A27" s="23"/>
      <c r="B27" s="14" t="s">
        <v>23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 t="s">
        <v>2</v>
      </c>
      <c r="AV27" s="14" t="s">
        <v>2</v>
      </c>
    </row>
    <row r="28" spans="1:48" x14ac:dyDescent="0.25">
      <c r="A28" s="23"/>
      <c r="B28" s="14" t="s">
        <v>24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23"/>
      <c r="AN28" s="23"/>
      <c r="AO28" s="23"/>
      <c r="AP28" s="23"/>
      <c r="AQ28" s="14"/>
      <c r="AR28" s="14"/>
      <c r="AS28" s="26"/>
      <c r="AT28" s="14"/>
      <c r="AU28" s="14"/>
      <c r="AV28" s="14"/>
    </row>
    <row r="29" spans="1:48" x14ac:dyDescent="0.25">
      <c r="A29" s="23"/>
      <c r="B29" s="14" t="s">
        <v>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23"/>
      <c r="AL29" s="23"/>
      <c r="AM29" s="23"/>
      <c r="AN29" s="23"/>
      <c r="AO29" s="23"/>
      <c r="AP29" s="23"/>
      <c r="AQ29" s="14"/>
      <c r="AR29" s="14"/>
      <c r="AS29" s="26"/>
      <c r="AT29" s="14"/>
      <c r="AU29" s="14"/>
      <c r="AV29" s="14"/>
    </row>
    <row r="30" spans="1:48" ht="16.5" thickBot="1" x14ac:dyDescent="0.3">
      <c r="A30" s="23"/>
      <c r="B30" s="14" t="s">
        <v>25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2"/>
      <c r="AL30" s="2"/>
      <c r="AM30" s="2"/>
      <c r="AN30" s="2"/>
      <c r="AO30" s="23"/>
      <c r="AP30" s="23"/>
      <c r="AQ30" s="2" t="s">
        <v>26</v>
      </c>
      <c r="AR30" s="23"/>
      <c r="AS30" s="23"/>
      <c r="AT30" s="32">
        <f>AT23</f>
        <v>471517.2</v>
      </c>
      <c r="AU30" s="14"/>
      <c r="AV30" s="14"/>
    </row>
    <row r="31" spans="1:48" ht="16.5" thickTop="1" x14ac:dyDescent="0.25">
      <c r="A31" s="23"/>
      <c r="B31" s="14" t="s">
        <v>27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2"/>
      <c r="AL31" s="2"/>
      <c r="AM31" s="2"/>
      <c r="AN31" s="24"/>
      <c r="AO31" s="23"/>
      <c r="AP31" s="23"/>
      <c r="AQ31" s="2" t="s">
        <v>28</v>
      </c>
      <c r="AR31" s="23"/>
      <c r="AS31" s="23"/>
      <c r="AT31" s="31"/>
      <c r="AU31" s="14"/>
      <c r="AV31" s="14"/>
    </row>
    <row r="32" spans="1:48" x14ac:dyDescent="0.25">
      <c r="A32" s="23"/>
      <c r="B32" s="14" t="s">
        <v>29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23"/>
      <c r="AL32" s="23"/>
      <c r="AM32" s="23"/>
      <c r="AN32" s="23"/>
      <c r="AO32" s="23"/>
      <c r="AP32" s="23"/>
      <c r="AQ32" s="14"/>
      <c r="AR32" s="14"/>
      <c r="AS32" s="26"/>
      <c r="AT32" s="14"/>
      <c r="AU32" s="14"/>
      <c r="AV32" s="14"/>
    </row>
    <row r="33" spans="1:48" ht="16.5" thickBot="1" x14ac:dyDescent="0.3">
      <c r="A33" s="23"/>
      <c r="B33" s="14" t="s">
        <v>30</v>
      </c>
      <c r="C33" s="14"/>
      <c r="D33" s="14"/>
      <c r="E33" s="27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23"/>
      <c r="AL33" s="23"/>
      <c r="AM33" s="23"/>
      <c r="AN33" s="23"/>
      <c r="AO33" s="23"/>
      <c r="AP33" s="23"/>
      <c r="AQ33" s="14"/>
      <c r="AR33" s="14"/>
      <c r="AS33" s="26"/>
      <c r="AT33" s="14"/>
      <c r="AU33" s="14"/>
      <c r="AV33" s="14"/>
    </row>
    <row r="34" spans="1:48" ht="16.5" thickTop="1" x14ac:dyDescent="0.25">
      <c r="A34" s="2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23"/>
      <c r="AL34" s="23"/>
      <c r="AM34" s="23"/>
      <c r="AN34" s="23"/>
      <c r="AO34" s="23"/>
      <c r="AP34" s="23"/>
      <c r="AQ34" s="14"/>
      <c r="AR34" s="14"/>
      <c r="AS34" s="26"/>
      <c r="AT34" s="14"/>
      <c r="AU34" s="14"/>
      <c r="AV34" s="14"/>
    </row>
    <row r="35" spans="1:48" x14ac:dyDescent="0.25">
      <c r="A35" s="28"/>
      <c r="C35" s="14"/>
      <c r="D35" s="14"/>
      <c r="E35" s="29"/>
      <c r="K35" s="14"/>
      <c r="M35" s="30"/>
      <c r="N35" s="14"/>
      <c r="P35" s="14"/>
      <c r="Q35" s="14"/>
      <c r="R35" s="14"/>
      <c r="U35" s="30"/>
      <c r="V35" s="14"/>
      <c r="W35" s="14"/>
      <c r="X35" s="14"/>
      <c r="Y35" s="14"/>
      <c r="Z35" s="14"/>
      <c r="AA35" s="14"/>
      <c r="AB35" s="30"/>
      <c r="AC35" s="14"/>
      <c r="AD35" s="14"/>
      <c r="AE35" s="14"/>
      <c r="AF35" s="14"/>
      <c r="AG35" s="14"/>
      <c r="AH35" s="30"/>
      <c r="AI35" s="14"/>
      <c r="AJ35" s="14"/>
      <c r="AK35" s="14"/>
      <c r="AL35" s="23"/>
      <c r="AM35" s="23"/>
      <c r="AN35" s="23"/>
      <c r="AO35" s="23"/>
      <c r="AP35" s="23"/>
      <c r="AQ35" s="14"/>
      <c r="AR35" s="14"/>
      <c r="AS35" s="26"/>
      <c r="AT35" s="14"/>
      <c r="AU35" s="14"/>
      <c r="AV35" s="14"/>
    </row>
    <row r="36" spans="1:48" x14ac:dyDescent="0.25">
      <c r="A36" s="14"/>
      <c r="C36" s="14"/>
      <c r="D36" s="14"/>
      <c r="E36" s="29"/>
      <c r="K36" s="14"/>
      <c r="M36" s="30"/>
      <c r="N36" s="14"/>
      <c r="P36" s="14"/>
      <c r="Q36" s="14"/>
      <c r="R36" s="14"/>
      <c r="U36" s="30"/>
      <c r="V36" s="14"/>
      <c r="W36" s="14"/>
      <c r="X36" s="14"/>
      <c r="Y36" s="14"/>
      <c r="Z36" s="14"/>
      <c r="AA36" s="14"/>
      <c r="AB36" s="30"/>
      <c r="AC36" s="14"/>
      <c r="AD36" s="14"/>
      <c r="AE36" s="14"/>
      <c r="AF36" s="14"/>
      <c r="AG36" s="14"/>
      <c r="AH36" s="30"/>
      <c r="AI36" s="14"/>
      <c r="AJ36" s="14"/>
      <c r="AK36" s="14"/>
      <c r="AL36" s="23"/>
      <c r="AM36" s="23"/>
      <c r="AN36" s="23"/>
      <c r="AO36" s="23"/>
      <c r="AP36" s="23"/>
      <c r="AQ36" s="14"/>
      <c r="AR36" s="14"/>
      <c r="AS36" s="26"/>
      <c r="AT36" s="14"/>
      <c r="AU36" s="14"/>
      <c r="AV36" s="14"/>
    </row>
    <row r="37" spans="1:48" x14ac:dyDescent="0.25">
      <c r="A37" s="14"/>
      <c r="C37" s="14"/>
      <c r="D37" s="14"/>
      <c r="E37" s="29"/>
      <c r="K37" s="14"/>
      <c r="M37" s="30"/>
      <c r="N37" s="14"/>
      <c r="P37" s="14"/>
      <c r="Q37" s="14"/>
      <c r="R37" s="14"/>
      <c r="U37" s="30"/>
      <c r="V37" s="14"/>
      <c r="W37" s="14"/>
      <c r="X37" s="14"/>
      <c r="Y37" s="14"/>
      <c r="Z37" s="14"/>
      <c r="AA37" s="14"/>
      <c r="AB37" s="30"/>
      <c r="AC37" s="14"/>
      <c r="AD37" s="14"/>
      <c r="AE37" s="14"/>
      <c r="AF37" s="14"/>
      <c r="AG37" s="14"/>
      <c r="AH37" s="30"/>
      <c r="AI37" s="14"/>
      <c r="AJ37" s="14"/>
      <c r="AK37" s="14"/>
      <c r="AL37" s="23"/>
      <c r="AM37" s="23"/>
      <c r="AN37" s="23"/>
      <c r="AO37" s="23"/>
      <c r="AP37" s="23"/>
      <c r="AQ37" s="14"/>
      <c r="AR37" s="14"/>
      <c r="AS37" s="26"/>
      <c r="AT37" s="14"/>
      <c r="AU37" s="14"/>
      <c r="AV37" s="14"/>
    </row>
    <row r="38" spans="1:48" x14ac:dyDescent="0.25">
      <c r="A38" s="14"/>
      <c r="C38" s="14"/>
      <c r="D38" s="14"/>
      <c r="E38" s="29"/>
      <c r="K38" s="14"/>
      <c r="M38" s="30"/>
      <c r="N38" s="14"/>
      <c r="P38" s="14"/>
      <c r="Q38" s="14"/>
      <c r="R38" s="14"/>
      <c r="U38" s="30"/>
      <c r="V38" s="14"/>
      <c r="W38" s="14"/>
      <c r="X38" s="14"/>
      <c r="Y38" s="14"/>
      <c r="Z38" s="14"/>
      <c r="AA38" s="14"/>
      <c r="AB38" s="30"/>
      <c r="AC38" s="14"/>
      <c r="AD38" s="14"/>
      <c r="AE38" s="14"/>
      <c r="AF38" s="14"/>
      <c r="AG38" s="14"/>
      <c r="AH38" s="30"/>
      <c r="AI38" s="14"/>
      <c r="AJ38" s="14"/>
      <c r="AK38" s="14"/>
      <c r="AL38" s="23"/>
      <c r="AM38" s="23"/>
      <c r="AN38" s="23"/>
      <c r="AO38" s="23"/>
      <c r="AP38" s="23"/>
      <c r="AQ38" s="14"/>
      <c r="AR38" s="14"/>
      <c r="AS38" s="26"/>
      <c r="AT38" s="14"/>
      <c r="AU38" s="14"/>
      <c r="AV38" s="14"/>
    </row>
  </sheetData>
  <mergeCells count="19">
    <mergeCell ref="A3:A4"/>
    <mergeCell ref="B3:B4"/>
    <mergeCell ref="C3:C4"/>
    <mergeCell ref="D3:D4"/>
    <mergeCell ref="E3:E4"/>
    <mergeCell ref="B24:E24"/>
    <mergeCell ref="AQ3:AQ4"/>
    <mergeCell ref="AR3:AR4"/>
    <mergeCell ref="AS3:AS4"/>
    <mergeCell ref="AT3:AT4"/>
    <mergeCell ref="B15:E15"/>
    <mergeCell ref="B23:E23"/>
    <mergeCell ref="AK3:AK4"/>
    <mergeCell ref="AL3:AL4"/>
    <mergeCell ref="AM3:AM4"/>
    <mergeCell ref="AN3:AN4"/>
    <mergeCell ref="AO3:AO4"/>
    <mergeCell ref="AP3:AP4"/>
    <mergeCell ref="F3:A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DA5B-F3A3-445E-8013-604A89AD2715}">
  <dimension ref="A1:AV38"/>
  <sheetViews>
    <sheetView tabSelected="1" zoomScale="64" zoomScaleNormal="64" workbookViewId="0">
      <selection activeCell="O38" sqref="O38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22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4" width="5.7109375" style="2" customWidth="1"/>
    <col min="35" max="35" width="6.5703125" style="2" customWidth="1"/>
    <col min="36" max="36" width="5.42578125" style="2" customWidth="1"/>
    <col min="37" max="37" width="8.42578125" style="4" customWidth="1"/>
    <col min="38" max="38" width="7.5703125" style="4" customWidth="1"/>
    <col min="39" max="39" width="9.5703125" style="4" customWidth="1"/>
    <col min="40" max="40" width="9.42578125" style="4" customWidth="1"/>
    <col min="41" max="41" width="8.5703125" style="4" customWidth="1"/>
    <col min="42" max="42" width="10.42578125" style="4" customWidth="1"/>
    <col min="43" max="44" width="11.7109375" style="2" customWidth="1"/>
    <col min="45" max="45" width="10" style="5" customWidth="1"/>
    <col min="46" max="46" width="17.140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E2" s="3" t="s">
        <v>45</v>
      </c>
      <c r="R2" s="3" t="s">
        <v>2</v>
      </c>
    </row>
    <row r="3" spans="1:48" ht="34.9" customHeight="1" x14ac:dyDescent="0.25">
      <c r="A3" s="42" t="s">
        <v>3</v>
      </c>
      <c r="B3" s="42" t="s">
        <v>4</v>
      </c>
      <c r="C3" s="42" t="s">
        <v>5</v>
      </c>
      <c r="D3" s="42" t="s">
        <v>6</v>
      </c>
      <c r="E3" s="42" t="s">
        <v>7</v>
      </c>
      <c r="F3" s="52" t="s">
        <v>8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4"/>
      <c r="AK3" s="42" t="s">
        <v>9</v>
      </c>
      <c r="AL3" s="42" t="s">
        <v>10</v>
      </c>
      <c r="AM3" s="42" t="s">
        <v>11</v>
      </c>
      <c r="AN3" s="42" t="s">
        <v>12</v>
      </c>
      <c r="AO3" s="42" t="s">
        <v>13</v>
      </c>
      <c r="AP3" s="42" t="s">
        <v>14</v>
      </c>
      <c r="AQ3" s="42" t="s">
        <v>15</v>
      </c>
      <c r="AR3" s="42" t="s">
        <v>16</v>
      </c>
      <c r="AS3" s="47" t="s">
        <v>17</v>
      </c>
      <c r="AT3" s="42" t="s">
        <v>18</v>
      </c>
    </row>
    <row r="4" spans="1:48" s="7" customFormat="1" ht="34.9" customHeight="1" x14ac:dyDescent="0.25">
      <c r="A4" s="43"/>
      <c r="B4" s="43"/>
      <c r="C4" s="43"/>
      <c r="D4" s="43"/>
      <c r="E4" s="43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43"/>
      <c r="AL4" s="43"/>
      <c r="AM4" s="43"/>
      <c r="AN4" s="43"/>
      <c r="AO4" s="43"/>
      <c r="AP4" s="43"/>
      <c r="AQ4" s="43"/>
      <c r="AR4" s="43"/>
      <c r="AS4" s="48"/>
      <c r="AT4" s="43"/>
    </row>
    <row r="5" spans="1:48" ht="34.9" customHeight="1" x14ac:dyDescent="0.25">
      <c r="A5" s="8">
        <v>1</v>
      </c>
      <c r="B5" s="9" t="s">
        <v>38</v>
      </c>
      <c r="C5" s="9"/>
      <c r="D5" s="9" t="s">
        <v>33</v>
      </c>
      <c r="E5" s="10" t="s">
        <v>32</v>
      </c>
      <c r="F5" s="33"/>
      <c r="G5" s="33">
        <v>10</v>
      </c>
      <c r="H5" s="33"/>
      <c r="I5" s="33">
        <v>20</v>
      </c>
      <c r="J5" s="33"/>
      <c r="K5" s="33">
        <v>20</v>
      </c>
      <c r="L5" s="33">
        <v>20</v>
      </c>
      <c r="M5" s="33"/>
      <c r="N5" s="33">
        <v>20</v>
      </c>
      <c r="O5" s="33"/>
      <c r="P5" s="33"/>
      <c r="Q5" s="33">
        <v>20</v>
      </c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11"/>
      <c r="AK5" s="8">
        <f>SUM(F5:AJ5)</f>
        <v>110</v>
      </c>
      <c r="AL5" s="11"/>
      <c r="AM5" s="8">
        <f>AK5</f>
        <v>110</v>
      </c>
      <c r="AN5" s="8"/>
      <c r="AO5" s="8"/>
      <c r="AP5" s="11"/>
      <c r="AQ5" s="10"/>
      <c r="AR5" s="10"/>
      <c r="AS5" s="12">
        <v>392</v>
      </c>
      <c r="AT5" s="13">
        <f>AS5*AK5</f>
        <v>43120</v>
      </c>
      <c r="AU5" s="14"/>
      <c r="AV5" s="14"/>
    </row>
    <row r="6" spans="1:48" ht="34.9" customHeight="1" x14ac:dyDescent="0.25">
      <c r="A6" s="11"/>
      <c r="B6" s="9"/>
      <c r="C6" s="9"/>
      <c r="D6" s="9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8"/>
      <c r="AL6" s="11"/>
      <c r="AM6" s="8"/>
      <c r="AN6" s="11"/>
      <c r="AO6" s="11"/>
      <c r="AP6" s="11"/>
      <c r="AQ6" s="10"/>
      <c r="AR6" s="10"/>
      <c r="AS6" s="12"/>
      <c r="AT6" s="13">
        <f t="shared" ref="AT6:AT15" si="0">AS6*AK6</f>
        <v>0</v>
      </c>
      <c r="AU6" s="14"/>
      <c r="AV6" s="14"/>
    </row>
    <row r="7" spans="1:48" ht="34.9" customHeight="1" x14ac:dyDescent="0.25">
      <c r="A7" s="11"/>
      <c r="B7" s="9"/>
      <c r="C7" s="16"/>
      <c r="D7" s="9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8"/>
      <c r="AL7" s="11"/>
      <c r="AM7" s="8"/>
      <c r="AN7" s="11"/>
      <c r="AO7" s="11"/>
      <c r="AP7" s="11"/>
      <c r="AQ7" s="10"/>
      <c r="AR7" s="10"/>
      <c r="AS7" s="12"/>
      <c r="AT7" s="13">
        <f t="shared" si="0"/>
        <v>0</v>
      </c>
      <c r="AU7" s="14"/>
      <c r="AV7" s="14"/>
    </row>
    <row r="8" spans="1:48" ht="34.9" customHeight="1" x14ac:dyDescent="0.25">
      <c r="A8" s="11"/>
      <c r="B8" s="9"/>
      <c r="C8" s="16"/>
      <c r="D8" s="9"/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8"/>
      <c r="AL8" s="11"/>
      <c r="AM8" s="8"/>
      <c r="AN8" s="11"/>
      <c r="AO8" s="11"/>
      <c r="AP8" s="11"/>
      <c r="AQ8" s="10"/>
      <c r="AR8" s="10"/>
      <c r="AS8" s="12"/>
      <c r="AT8" s="13">
        <f t="shared" si="0"/>
        <v>0</v>
      </c>
      <c r="AU8" s="14"/>
      <c r="AV8" s="14"/>
    </row>
    <row r="9" spans="1:48" ht="34.9" customHeight="1" x14ac:dyDescent="0.25">
      <c r="A9" s="11"/>
      <c r="B9" s="9"/>
      <c r="C9" s="9"/>
      <c r="D9" s="9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8"/>
      <c r="AL9" s="11"/>
      <c r="AM9" s="8"/>
      <c r="AN9" s="11"/>
      <c r="AO9" s="11"/>
      <c r="AP9" s="11"/>
      <c r="AQ9" s="10"/>
      <c r="AR9" s="10"/>
      <c r="AS9" s="12"/>
      <c r="AT9" s="13">
        <f t="shared" si="0"/>
        <v>0</v>
      </c>
      <c r="AU9" s="14"/>
      <c r="AV9" s="14"/>
    </row>
    <row r="10" spans="1:48" ht="34.9" customHeight="1" x14ac:dyDescent="0.25">
      <c r="A10" s="11"/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8"/>
      <c r="AL10" s="11"/>
      <c r="AM10" s="8"/>
      <c r="AN10" s="11"/>
      <c r="AO10" s="11"/>
      <c r="AP10" s="11"/>
      <c r="AQ10" s="15"/>
      <c r="AR10" s="10"/>
      <c r="AS10" s="12"/>
      <c r="AT10" s="13">
        <f t="shared" si="0"/>
        <v>0</v>
      </c>
      <c r="AU10" s="14"/>
      <c r="AV10" s="14"/>
    </row>
    <row r="11" spans="1:48" ht="34.9" customHeight="1" x14ac:dyDescent="0.25">
      <c r="A11" s="11"/>
      <c r="B11" s="9"/>
      <c r="C11" s="9"/>
      <c r="D11" s="9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8"/>
      <c r="AL11" s="11"/>
      <c r="AM11" s="8"/>
      <c r="AN11" s="11"/>
      <c r="AO11" s="11"/>
      <c r="AP11" s="11"/>
      <c r="AQ11" s="15"/>
      <c r="AR11" s="10"/>
      <c r="AS11" s="12"/>
      <c r="AT11" s="13">
        <f t="shared" si="0"/>
        <v>0</v>
      </c>
      <c r="AU11" s="14"/>
      <c r="AV11" s="14"/>
    </row>
    <row r="12" spans="1:48" ht="34.9" customHeight="1" x14ac:dyDescent="0.25">
      <c r="A12" s="11"/>
      <c r="B12" s="9"/>
      <c r="C12" s="9"/>
      <c r="D12" s="9"/>
      <c r="E12" s="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8"/>
      <c r="AL12" s="11"/>
      <c r="AM12" s="8"/>
      <c r="AN12" s="11"/>
      <c r="AO12" s="11"/>
      <c r="AP12" s="11"/>
      <c r="AQ12" s="15"/>
      <c r="AR12" s="10"/>
      <c r="AS12" s="12"/>
      <c r="AT12" s="13">
        <f t="shared" si="0"/>
        <v>0</v>
      </c>
      <c r="AU12" s="14"/>
      <c r="AV12" s="14"/>
    </row>
    <row r="13" spans="1:48" ht="34.9" customHeight="1" x14ac:dyDescent="0.25">
      <c r="A13" s="11"/>
      <c r="B13" s="9"/>
      <c r="C13" s="9"/>
      <c r="D13" s="9"/>
      <c r="E13" s="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8"/>
      <c r="AL13" s="11"/>
      <c r="AM13" s="8"/>
      <c r="AN13" s="11"/>
      <c r="AO13" s="11"/>
      <c r="AP13" s="11"/>
      <c r="AQ13" s="15"/>
      <c r="AR13" s="10"/>
      <c r="AS13" s="12"/>
      <c r="AT13" s="13">
        <f t="shared" si="0"/>
        <v>0</v>
      </c>
      <c r="AU13" s="14"/>
      <c r="AV13" s="14"/>
    </row>
    <row r="14" spans="1:48" ht="34.9" customHeight="1" x14ac:dyDescent="0.25">
      <c r="A14" s="11"/>
      <c r="B14" s="9"/>
      <c r="C14" s="9"/>
      <c r="D14" s="9"/>
      <c r="E14" s="10"/>
      <c r="F14" s="11"/>
      <c r="G14" s="11"/>
      <c r="H14" s="11"/>
      <c r="I14" s="11"/>
      <c r="J14" s="11"/>
      <c r="K14" s="11"/>
      <c r="L14" s="11"/>
      <c r="M14" s="11"/>
      <c r="N14" s="17"/>
      <c r="O14" s="17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8"/>
      <c r="AL14" s="11"/>
      <c r="AM14" s="8"/>
      <c r="AN14" s="11"/>
      <c r="AO14" s="11"/>
      <c r="AP14" s="11"/>
      <c r="AQ14" s="15"/>
      <c r="AR14" s="10"/>
      <c r="AS14" s="12"/>
      <c r="AT14" s="13">
        <f t="shared" si="0"/>
        <v>0</v>
      </c>
      <c r="AU14" s="14"/>
      <c r="AV14" s="14"/>
    </row>
    <row r="15" spans="1:48" ht="34.9" customHeight="1" thickBot="1" x14ac:dyDescent="0.3">
      <c r="A15" s="11"/>
      <c r="B15" s="49" t="s">
        <v>19</v>
      </c>
      <c r="C15" s="50"/>
      <c r="D15" s="50"/>
      <c r="E15" s="51"/>
      <c r="F15" s="18">
        <f>SUM(F5:F14)</f>
        <v>0</v>
      </c>
      <c r="G15" s="18">
        <f t="shared" ref="G15:AJ15" si="1">SUM(G5:G14)</f>
        <v>10</v>
      </c>
      <c r="H15" s="18">
        <f t="shared" si="1"/>
        <v>0</v>
      </c>
      <c r="I15" s="18">
        <f t="shared" si="1"/>
        <v>20</v>
      </c>
      <c r="J15" s="18">
        <f t="shared" si="1"/>
        <v>0</v>
      </c>
      <c r="K15" s="18">
        <f t="shared" si="1"/>
        <v>20</v>
      </c>
      <c r="L15" s="18">
        <f t="shared" si="1"/>
        <v>20</v>
      </c>
      <c r="M15" s="18">
        <f t="shared" si="1"/>
        <v>0</v>
      </c>
      <c r="N15" s="18">
        <f t="shared" si="1"/>
        <v>20</v>
      </c>
      <c r="O15" s="18">
        <f t="shared" si="1"/>
        <v>0</v>
      </c>
      <c r="P15" s="18">
        <f t="shared" si="1"/>
        <v>0</v>
      </c>
      <c r="Q15" s="18">
        <f t="shared" si="1"/>
        <v>20</v>
      </c>
      <c r="R15" s="18">
        <f t="shared" si="1"/>
        <v>0</v>
      </c>
      <c r="S15" s="18">
        <f t="shared" si="1"/>
        <v>0</v>
      </c>
      <c r="T15" s="18">
        <f t="shared" si="1"/>
        <v>0</v>
      </c>
      <c r="U15" s="18">
        <f t="shared" si="1"/>
        <v>0</v>
      </c>
      <c r="V15" s="18">
        <f t="shared" si="1"/>
        <v>0</v>
      </c>
      <c r="W15" s="18">
        <f t="shared" si="1"/>
        <v>0</v>
      </c>
      <c r="X15" s="18">
        <f t="shared" si="1"/>
        <v>0</v>
      </c>
      <c r="Y15" s="18">
        <f t="shared" si="1"/>
        <v>0</v>
      </c>
      <c r="Z15" s="18">
        <f t="shared" si="1"/>
        <v>0</v>
      </c>
      <c r="AA15" s="18">
        <f t="shared" si="1"/>
        <v>0</v>
      </c>
      <c r="AB15" s="18">
        <f t="shared" si="1"/>
        <v>0</v>
      </c>
      <c r="AC15" s="18">
        <f t="shared" si="1"/>
        <v>0</v>
      </c>
      <c r="AD15" s="18">
        <f t="shared" si="1"/>
        <v>0</v>
      </c>
      <c r="AE15" s="18">
        <f t="shared" si="1"/>
        <v>0</v>
      </c>
      <c r="AF15" s="18">
        <f t="shared" si="1"/>
        <v>0</v>
      </c>
      <c r="AG15" s="18">
        <f t="shared" si="1"/>
        <v>0</v>
      </c>
      <c r="AH15" s="18">
        <f t="shared" si="1"/>
        <v>0</v>
      </c>
      <c r="AI15" s="18">
        <f t="shared" si="1"/>
        <v>0</v>
      </c>
      <c r="AJ15" s="18">
        <f t="shared" si="1"/>
        <v>0</v>
      </c>
      <c r="AK15" s="8">
        <f t="shared" ref="AK15:AK21" si="2">SUM(F15:AJ15)</f>
        <v>110</v>
      </c>
      <c r="AL15" s="18">
        <f>SUM(AL5:AL14)</f>
        <v>0</v>
      </c>
      <c r="AM15" s="8">
        <f t="shared" ref="AM15:AM21" si="3">AK15</f>
        <v>110</v>
      </c>
      <c r="AN15" s="11"/>
      <c r="AO15" s="11"/>
      <c r="AP15" s="11">
        <f t="shared" ref="AP15" si="4">AO15-AN15</f>
        <v>0</v>
      </c>
      <c r="AQ15" s="15"/>
      <c r="AR15" s="10">
        <f t="shared" ref="AR15" si="5">AQ15/AK15</f>
        <v>0</v>
      </c>
      <c r="AS15" s="12">
        <v>392</v>
      </c>
      <c r="AT15" s="13">
        <f t="shared" si="0"/>
        <v>43120</v>
      </c>
      <c r="AU15" s="14"/>
      <c r="AV15" s="14"/>
    </row>
    <row r="16" spans="1:48" ht="34.9" customHeight="1" thickTop="1" x14ac:dyDescent="0.25">
      <c r="A16" s="11"/>
      <c r="B16" s="9"/>
      <c r="C16" s="9"/>
      <c r="D16" s="9"/>
      <c r="E16" s="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8"/>
      <c r="AL16" s="19"/>
      <c r="AM16" s="8"/>
      <c r="AN16" s="11"/>
      <c r="AO16" s="11"/>
      <c r="AP16" s="11"/>
      <c r="AQ16" s="15"/>
      <c r="AR16" s="10"/>
      <c r="AS16" s="12"/>
      <c r="AT16" s="13">
        <f t="shared" ref="AT16" si="6">AS16*AS16</f>
        <v>0</v>
      </c>
      <c r="AU16" s="14"/>
      <c r="AV16" s="14"/>
    </row>
    <row r="17" spans="1:48" ht="34.9" customHeight="1" x14ac:dyDescent="0.25">
      <c r="A17" s="11">
        <v>2</v>
      </c>
      <c r="B17" s="10"/>
      <c r="C17" s="10" t="s">
        <v>34</v>
      </c>
      <c r="D17" s="10" t="s">
        <v>37</v>
      </c>
      <c r="E17" s="10" t="s">
        <v>36</v>
      </c>
      <c r="F17" s="33"/>
      <c r="G17" s="33">
        <v>60</v>
      </c>
      <c r="H17" s="33"/>
      <c r="I17" s="33"/>
      <c r="J17" s="33">
        <v>40</v>
      </c>
      <c r="K17" s="33">
        <v>60</v>
      </c>
      <c r="L17" s="33">
        <v>80</v>
      </c>
      <c r="M17" s="33"/>
      <c r="N17" s="33">
        <v>80</v>
      </c>
      <c r="O17" s="33"/>
      <c r="P17" s="33">
        <v>60</v>
      </c>
      <c r="Q17" s="33"/>
      <c r="R17" s="33"/>
      <c r="S17" s="33">
        <v>60</v>
      </c>
      <c r="T17" s="33"/>
      <c r="U17" s="33"/>
      <c r="V17" s="33"/>
      <c r="W17" s="33"/>
      <c r="X17" s="33"/>
      <c r="Y17" s="33"/>
      <c r="Z17" s="33">
        <v>60</v>
      </c>
      <c r="AA17" s="33"/>
      <c r="AB17" s="33"/>
      <c r="AC17" s="33"/>
      <c r="AD17" s="33">
        <v>80</v>
      </c>
      <c r="AE17" s="33"/>
      <c r="AF17" s="33"/>
      <c r="AG17" s="33">
        <v>60</v>
      </c>
      <c r="AH17" s="33"/>
      <c r="AI17" s="33"/>
      <c r="AJ17" s="33"/>
      <c r="AK17" s="8">
        <f t="shared" si="2"/>
        <v>640</v>
      </c>
      <c r="AL17" s="11"/>
      <c r="AM17" s="8">
        <f t="shared" si="3"/>
        <v>640</v>
      </c>
      <c r="AN17" s="11">
        <v>2530.3000000000002</v>
      </c>
      <c r="AO17" s="11">
        <v>2588.1</v>
      </c>
      <c r="AP17" s="11">
        <f t="shared" ref="AP17:AP18" si="7">AO17-AN17</f>
        <v>57.799999999999727</v>
      </c>
      <c r="AQ17" s="15">
        <f>AK17/AP17</f>
        <v>11.072664359861644</v>
      </c>
      <c r="AR17" s="41">
        <f>AK17/AP17</f>
        <v>11.072664359861644</v>
      </c>
      <c r="AS17" s="36">
        <v>392</v>
      </c>
      <c r="AT17" s="13">
        <f>AS17*AM17</f>
        <v>250880</v>
      </c>
      <c r="AU17" s="14"/>
      <c r="AV17" s="14"/>
    </row>
    <row r="18" spans="1:48" ht="34.9" customHeight="1" x14ac:dyDescent="0.25">
      <c r="A18" s="11">
        <v>3</v>
      </c>
      <c r="B18" s="9"/>
      <c r="C18" s="9" t="s">
        <v>40</v>
      </c>
      <c r="D18" s="9" t="s">
        <v>37</v>
      </c>
      <c r="E18" s="10" t="s">
        <v>36</v>
      </c>
      <c r="F18" s="33"/>
      <c r="G18" s="33"/>
      <c r="H18" s="33"/>
      <c r="I18" s="33"/>
      <c r="J18" s="33"/>
      <c r="K18" s="33">
        <v>60</v>
      </c>
      <c r="L18" s="33">
        <v>200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8">
        <f t="shared" si="2"/>
        <v>260</v>
      </c>
      <c r="AL18" s="11"/>
      <c r="AM18" s="8">
        <f t="shared" si="3"/>
        <v>260</v>
      </c>
      <c r="AN18" s="11">
        <v>7229.6</v>
      </c>
      <c r="AO18" s="11">
        <v>7255.5</v>
      </c>
      <c r="AP18" s="11">
        <f t="shared" si="7"/>
        <v>25.899999999999636</v>
      </c>
      <c r="AQ18" s="15">
        <f t="shared" ref="AQ18" si="8">AK18/AP18</f>
        <v>10.03861003861018</v>
      </c>
      <c r="AR18" s="41">
        <f t="shared" ref="AR18" si="9">AK18/AP18</f>
        <v>10.03861003861018</v>
      </c>
      <c r="AS18" s="36">
        <v>392</v>
      </c>
      <c r="AT18" s="13">
        <f t="shared" ref="AT18:AT21" si="10">AS18*AM18</f>
        <v>101920</v>
      </c>
      <c r="AU18" s="14"/>
      <c r="AV18" s="14"/>
    </row>
    <row r="19" spans="1:48" ht="34.9" customHeight="1" x14ac:dyDescent="0.25">
      <c r="A19" s="11"/>
      <c r="B19" s="9"/>
      <c r="C19" s="9"/>
      <c r="D19" s="9"/>
      <c r="E19" s="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8"/>
      <c r="AL19" s="11"/>
      <c r="AM19" s="8"/>
      <c r="AN19" s="11"/>
      <c r="AO19" s="11"/>
      <c r="AP19" s="11"/>
      <c r="AQ19" s="15"/>
      <c r="AR19" s="10"/>
      <c r="AS19" s="36"/>
      <c r="AT19" s="13">
        <f t="shared" si="10"/>
        <v>0</v>
      </c>
      <c r="AU19" s="14"/>
      <c r="AV19" s="14"/>
    </row>
    <row r="20" spans="1:48" ht="34.9" customHeight="1" x14ac:dyDescent="0.25">
      <c r="A20" s="11">
        <v>4</v>
      </c>
      <c r="B20" s="9"/>
      <c r="C20" s="9"/>
      <c r="D20" s="34" t="s">
        <v>42</v>
      </c>
      <c r="E20" s="10" t="s">
        <v>36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8"/>
      <c r="AL20" s="11"/>
      <c r="AM20" s="8"/>
      <c r="AN20" s="11"/>
      <c r="AO20" s="11"/>
      <c r="AP20" s="11"/>
      <c r="AQ20" s="15"/>
      <c r="AR20" s="10"/>
      <c r="AS20" s="36">
        <v>392</v>
      </c>
      <c r="AT20" s="13">
        <f t="shared" si="10"/>
        <v>0</v>
      </c>
      <c r="AU20" s="14"/>
      <c r="AV20" s="14"/>
    </row>
    <row r="21" spans="1:48" ht="34.9" customHeight="1" x14ac:dyDescent="0.25">
      <c r="A21" s="11">
        <v>5</v>
      </c>
      <c r="B21" s="9"/>
      <c r="C21" s="9" t="s">
        <v>35</v>
      </c>
      <c r="D21" s="9" t="s">
        <v>39</v>
      </c>
      <c r="E21" s="9" t="s">
        <v>36</v>
      </c>
      <c r="F21" s="33"/>
      <c r="G21" s="33"/>
      <c r="H21" s="33"/>
      <c r="I21" s="33"/>
      <c r="J21" s="33"/>
      <c r="K21" s="33">
        <v>10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8">
        <f t="shared" si="2"/>
        <v>10</v>
      </c>
      <c r="AL21" s="11"/>
      <c r="AM21" s="8">
        <f t="shared" si="3"/>
        <v>10</v>
      </c>
      <c r="AN21" s="11"/>
      <c r="AO21" s="17"/>
      <c r="AP21" s="17"/>
      <c r="AQ21" s="37"/>
      <c r="AR21" s="10"/>
      <c r="AS21" s="36">
        <v>392</v>
      </c>
      <c r="AT21" s="13">
        <f t="shared" si="10"/>
        <v>3920</v>
      </c>
      <c r="AU21" s="14"/>
      <c r="AV21" s="14"/>
    </row>
    <row r="22" spans="1:48" ht="34.9" customHeight="1" x14ac:dyDescent="0.25">
      <c r="A22" s="11"/>
      <c r="B22" s="9"/>
      <c r="C22" s="9"/>
      <c r="D22" s="9"/>
      <c r="E22" s="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8"/>
      <c r="AL22" s="17"/>
      <c r="AM22" s="8"/>
      <c r="AN22" s="11"/>
      <c r="AO22" s="33"/>
      <c r="AP22" s="33"/>
      <c r="AQ22" s="38"/>
      <c r="AR22" s="34"/>
      <c r="AS22" s="39"/>
      <c r="AT22" s="40"/>
      <c r="AU22" s="14"/>
      <c r="AV22" s="14"/>
    </row>
    <row r="23" spans="1:48" ht="34.9" customHeight="1" thickBot="1" x14ac:dyDescent="0.3">
      <c r="A23" s="20"/>
      <c r="B23" s="44" t="s">
        <v>20</v>
      </c>
      <c r="C23" s="45"/>
      <c r="D23" s="45"/>
      <c r="E23" s="46"/>
      <c r="F23" s="21">
        <f>SUM(F17:F22)</f>
        <v>0</v>
      </c>
      <c r="G23" s="21">
        <f t="shared" ref="G23:AQ23" si="11">SUM(G17:G22)</f>
        <v>60</v>
      </c>
      <c r="H23" s="21">
        <f t="shared" si="11"/>
        <v>0</v>
      </c>
      <c r="I23" s="21">
        <f t="shared" si="11"/>
        <v>0</v>
      </c>
      <c r="J23" s="21">
        <f t="shared" si="11"/>
        <v>40</v>
      </c>
      <c r="K23" s="21">
        <f t="shared" si="11"/>
        <v>130</v>
      </c>
      <c r="L23" s="21">
        <f t="shared" si="11"/>
        <v>280</v>
      </c>
      <c r="M23" s="21">
        <f t="shared" si="11"/>
        <v>0</v>
      </c>
      <c r="N23" s="21">
        <f t="shared" si="11"/>
        <v>80</v>
      </c>
      <c r="O23" s="21">
        <f t="shared" si="11"/>
        <v>0</v>
      </c>
      <c r="P23" s="21">
        <f t="shared" si="11"/>
        <v>60</v>
      </c>
      <c r="Q23" s="21">
        <f t="shared" si="11"/>
        <v>0</v>
      </c>
      <c r="R23" s="21">
        <f t="shared" si="11"/>
        <v>0</v>
      </c>
      <c r="S23" s="21">
        <f t="shared" si="11"/>
        <v>60</v>
      </c>
      <c r="T23" s="21">
        <f t="shared" si="11"/>
        <v>0</v>
      </c>
      <c r="U23" s="21">
        <f t="shared" si="11"/>
        <v>0</v>
      </c>
      <c r="V23" s="21">
        <f t="shared" si="11"/>
        <v>0</v>
      </c>
      <c r="W23" s="21">
        <f t="shared" si="11"/>
        <v>0</v>
      </c>
      <c r="X23" s="21">
        <f t="shared" si="11"/>
        <v>0</v>
      </c>
      <c r="Y23" s="21">
        <f t="shared" si="11"/>
        <v>0</v>
      </c>
      <c r="Z23" s="21">
        <f t="shared" si="11"/>
        <v>60</v>
      </c>
      <c r="AA23" s="21">
        <f t="shared" si="11"/>
        <v>0</v>
      </c>
      <c r="AB23" s="21">
        <f t="shared" si="11"/>
        <v>0</v>
      </c>
      <c r="AC23" s="21">
        <f t="shared" si="11"/>
        <v>0</v>
      </c>
      <c r="AD23" s="21">
        <f t="shared" si="11"/>
        <v>80</v>
      </c>
      <c r="AE23" s="21">
        <f t="shared" si="11"/>
        <v>0</v>
      </c>
      <c r="AF23" s="21">
        <f t="shared" si="11"/>
        <v>0</v>
      </c>
      <c r="AG23" s="21">
        <f t="shared" si="11"/>
        <v>60</v>
      </c>
      <c r="AH23" s="21">
        <f t="shared" si="11"/>
        <v>0</v>
      </c>
      <c r="AI23" s="21">
        <f t="shared" si="11"/>
        <v>0</v>
      </c>
      <c r="AJ23" s="21">
        <f t="shared" si="11"/>
        <v>0</v>
      </c>
      <c r="AK23" s="21">
        <f t="shared" si="11"/>
        <v>910</v>
      </c>
      <c r="AL23" s="21">
        <f t="shared" si="11"/>
        <v>0</v>
      </c>
      <c r="AM23" s="18">
        <f>SUM(AM15+AM17+AM18+AM20+AM21)</f>
        <v>1020</v>
      </c>
      <c r="AN23" s="22"/>
      <c r="AO23" s="34"/>
      <c r="AP23" s="34">
        <f t="shared" si="11"/>
        <v>83.699999999999363</v>
      </c>
      <c r="AQ23" s="38">
        <f t="shared" si="11"/>
        <v>21.111274398471824</v>
      </c>
      <c r="AR23" s="34"/>
      <c r="AS23" s="34">
        <v>392</v>
      </c>
      <c r="AT23" s="39">
        <f>SUM(AT15:AT22)</f>
        <v>399840</v>
      </c>
      <c r="AU23" s="14"/>
      <c r="AV23" s="14"/>
    </row>
    <row r="24" spans="1:48" ht="16.5" thickTop="1" x14ac:dyDescent="0.25">
      <c r="A24" s="23"/>
      <c r="B24" s="44"/>
      <c r="C24" s="45"/>
      <c r="D24" s="45"/>
      <c r="E24" s="4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x14ac:dyDescent="0.25">
      <c r="A25" s="23"/>
      <c r="B25" s="24" t="s">
        <v>21</v>
      </c>
      <c r="C25" s="25"/>
      <c r="D25" s="25"/>
      <c r="E25" s="2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x14ac:dyDescent="0.25">
      <c r="A26" s="23"/>
      <c r="B26" s="24" t="s">
        <v>22</v>
      </c>
      <c r="C26" s="25"/>
      <c r="D26" s="25"/>
      <c r="E26" s="2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x14ac:dyDescent="0.25">
      <c r="A27" s="23"/>
      <c r="B27" s="14" t="s">
        <v>23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 t="s">
        <v>2</v>
      </c>
      <c r="AV27" s="14" t="s">
        <v>2</v>
      </c>
    </row>
    <row r="28" spans="1:48" x14ac:dyDescent="0.25">
      <c r="A28" s="23"/>
      <c r="B28" s="14" t="s">
        <v>24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23"/>
      <c r="AN28" s="23"/>
      <c r="AO28" s="23"/>
      <c r="AP28" s="23"/>
      <c r="AQ28" s="14"/>
      <c r="AR28" s="14"/>
      <c r="AS28" s="26"/>
      <c r="AT28" s="14"/>
      <c r="AU28" s="14"/>
      <c r="AV28" s="14"/>
    </row>
    <row r="29" spans="1:48" x14ac:dyDescent="0.25">
      <c r="A29" s="23"/>
      <c r="B29" s="14" t="s">
        <v>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23"/>
      <c r="AL29" s="23"/>
      <c r="AM29" s="23"/>
      <c r="AN29" s="23"/>
      <c r="AO29" s="23"/>
      <c r="AP29" s="23"/>
      <c r="AQ29" s="14"/>
      <c r="AR29" s="14"/>
      <c r="AS29" s="26"/>
      <c r="AT29" s="14"/>
      <c r="AU29" s="14"/>
      <c r="AV29" s="14"/>
    </row>
    <row r="30" spans="1:48" ht="16.5" thickBot="1" x14ac:dyDescent="0.3">
      <c r="A30" s="23"/>
      <c r="B30" s="14" t="s">
        <v>25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2"/>
      <c r="AL30" s="2"/>
      <c r="AM30" s="2"/>
      <c r="AN30" s="2"/>
      <c r="AO30" s="23"/>
      <c r="AP30" s="23"/>
      <c r="AQ30" s="2" t="s">
        <v>26</v>
      </c>
      <c r="AR30" s="23"/>
      <c r="AS30" s="23"/>
      <c r="AT30" s="32">
        <f>AT23</f>
        <v>399840</v>
      </c>
      <c r="AU30" s="14"/>
      <c r="AV30" s="14"/>
    </row>
    <row r="31" spans="1:48" ht="16.5" thickTop="1" x14ac:dyDescent="0.25">
      <c r="A31" s="23"/>
      <c r="B31" s="14" t="s">
        <v>27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2"/>
      <c r="AL31" s="2"/>
      <c r="AM31" s="2"/>
      <c r="AN31" s="24"/>
      <c r="AO31" s="23"/>
      <c r="AP31" s="23"/>
      <c r="AQ31" s="2" t="s">
        <v>28</v>
      </c>
      <c r="AR31" s="23"/>
      <c r="AS31" s="23"/>
      <c r="AT31" s="31"/>
      <c r="AU31" s="14"/>
      <c r="AV31" s="14"/>
    </row>
    <row r="32" spans="1:48" x14ac:dyDescent="0.25">
      <c r="A32" s="23"/>
      <c r="B32" s="14" t="s">
        <v>29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23"/>
      <c r="AL32" s="23"/>
      <c r="AM32" s="23"/>
      <c r="AN32" s="23"/>
      <c r="AO32" s="23"/>
      <c r="AP32" s="23"/>
      <c r="AQ32" s="14"/>
      <c r="AR32" s="14"/>
      <c r="AS32" s="26"/>
      <c r="AT32" s="14"/>
      <c r="AU32" s="14"/>
      <c r="AV32" s="14"/>
    </row>
    <row r="33" spans="1:48" ht="16.5" thickBot="1" x14ac:dyDescent="0.3">
      <c r="A33" s="23"/>
      <c r="B33" s="14" t="s">
        <v>30</v>
      </c>
      <c r="C33" s="14"/>
      <c r="D33" s="14"/>
      <c r="E33" s="27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23"/>
      <c r="AL33" s="23"/>
      <c r="AM33" s="23"/>
      <c r="AN33" s="23"/>
      <c r="AO33" s="23"/>
      <c r="AP33" s="23"/>
      <c r="AQ33" s="14"/>
      <c r="AR33" s="14"/>
      <c r="AS33" s="26"/>
      <c r="AT33" s="14"/>
      <c r="AU33" s="14"/>
      <c r="AV33" s="14"/>
    </row>
    <row r="34" spans="1:48" ht="16.5" thickTop="1" x14ac:dyDescent="0.25">
      <c r="A34" s="2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23"/>
      <c r="AL34" s="23"/>
      <c r="AM34" s="23"/>
      <c r="AN34" s="23"/>
      <c r="AO34" s="23"/>
      <c r="AP34" s="23"/>
      <c r="AQ34" s="14"/>
      <c r="AR34" s="14"/>
      <c r="AS34" s="26"/>
      <c r="AT34" s="14"/>
      <c r="AU34" s="14"/>
      <c r="AV34" s="14"/>
    </row>
    <row r="35" spans="1:48" x14ac:dyDescent="0.25">
      <c r="A35" s="28"/>
      <c r="C35" s="14"/>
      <c r="D35" s="14"/>
      <c r="E35" s="29"/>
      <c r="K35" s="14"/>
      <c r="M35" s="30"/>
      <c r="N35" s="14"/>
      <c r="P35" s="14"/>
      <c r="Q35" s="14"/>
      <c r="R35" s="14"/>
      <c r="U35" s="30"/>
      <c r="V35" s="14"/>
      <c r="W35" s="14"/>
      <c r="X35" s="14"/>
      <c r="Y35" s="14"/>
      <c r="Z35" s="14"/>
      <c r="AA35" s="14"/>
      <c r="AB35" s="30"/>
      <c r="AC35" s="14"/>
      <c r="AD35" s="14"/>
      <c r="AE35" s="14"/>
      <c r="AF35" s="14"/>
      <c r="AG35" s="14"/>
      <c r="AH35" s="30"/>
      <c r="AI35" s="14"/>
      <c r="AJ35" s="14"/>
      <c r="AK35" s="14"/>
      <c r="AL35" s="23"/>
      <c r="AM35" s="23"/>
      <c r="AN35" s="23"/>
      <c r="AO35" s="23"/>
      <c r="AP35" s="23"/>
      <c r="AQ35" s="14"/>
      <c r="AR35" s="14"/>
      <c r="AS35" s="26"/>
      <c r="AT35" s="14"/>
      <c r="AU35" s="14"/>
      <c r="AV35" s="14"/>
    </row>
    <row r="36" spans="1:48" x14ac:dyDescent="0.25">
      <c r="A36" s="14"/>
      <c r="C36" s="14"/>
      <c r="D36" s="14"/>
      <c r="E36" s="29"/>
      <c r="K36" s="14"/>
      <c r="M36" s="30"/>
      <c r="N36" s="14"/>
      <c r="P36" s="14"/>
      <c r="Q36" s="14"/>
      <c r="R36" s="14"/>
      <c r="U36" s="30"/>
      <c r="V36" s="14"/>
      <c r="W36" s="14"/>
      <c r="X36" s="14"/>
      <c r="Y36" s="14"/>
      <c r="Z36" s="14"/>
      <c r="AA36" s="14"/>
      <c r="AB36" s="30"/>
      <c r="AC36" s="14"/>
      <c r="AD36" s="14"/>
      <c r="AE36" s="14"/>
      <c r="AF36" s="14"/>
      <c r="AG36" s="14"/>
      <c r="AH36" s="30"/>
      <c r="AI36" s="14"/>
      <c r="AJ36" s="14"/>
      <c r="AK36" s="14"/>
      <c r="AL36" s="23"/>
      <c r="AM36" s="23"/>
      <c r="AN36" s="23"/>
      <c r="AO36" s="23"/>
      <c r="AP36" s="23"/>
      <c r="AQ36" s="14"/>
      <c r="AR36" s="14"/>
      <c r="AS36" s="26"/>
      <c r="AT36" s="14"/>
      <c r="AU36" s="14"/>
      <c r="AV36" s="14"/>
    </row>
    <row r="37" spans="1:48" x14ac:dyDescent="0.25">
      <c r="A37" s="14"/>
      <c r="C37" s="14"/>
      <c r="D37" s="14"/>
      <c r="E37" s="29"/>
      <c r="K37" s="14"/>
      <c r="M37" s="30"/>
      <c r="N37" s="14"/>
      <c r="P37" s="14"/>
      <c r="Q37" s="14"/>
      <c r="R37" s="14"/>
      <c r="U37" s="30"/>
      <c r="V37" s="14"/>
      <c r="W37" s="14"/>
      <c r="X37" s="14"/>
      <c r="Y37" s="14"/>
      <c r="Z37" s="14"/>
      <c r="AA37" s="14"/>
      <c r="AB37" s="30"/>
      <c r="AC37" s="14"/>
      <c r="AD37" s="14"/>
      <c r="AE37" s="14"/>
      <c r="AF37" s="14"/>
      <c r="AG37" s="14"/>
      <c r="AH37" s="30"/>
      <c r="AI37" s="14"/>
      <c r="AJ37" s="14"/>
      <c r="AK37" s="14"/>
      <c r="AL37" s="23"/>
      <c r="AM37" s="23"/>
      <c r="AN37" s="23"/>
      <c r="AO37" s="23"/>
      <c r="AP37" s="23"/>
      <c r="AQ37" s="14"/>
      <c r="AR37" s="14"/>
      <c r="AS37" s="26"/>
      <c r="AT37" s="14"/>
      <c r="AU37" s="14"/>
      <c r="AV37" s="14"/>
    </row>
    <row r="38" spans="1:48" x14ac:dyDescent="0.25">
      <c r="A38" s="14"/>
      <c r="C38" s="14"/>
      <c r="D38" s="14"/>
      <c r="E38" s="29"/>
      <c r="K38" s="14"/>
      <c r="M38" s="30"/>
      <c r="N38" s="14"/>
      <c r="P38" s="14"/>
      <c r="Q38" s="14"/>
      <c r="R38" s="14"/>
      <c r="U38" s="30"/>
      <c r="V38" s="14"/>
      <c r="W38" s="14"/>
      <c r="X38" s="14"/>
      <c r="Y38" s="14"/>
      <c r="Z38" s="14"/>
      <c r="AA38" s="14"/>
      <c r="AB38" s="30"/>
      <c r="AC38" s="14"/>
      <c r="AD38" s="14"/>
      <c r="AE38" s="14"/>
      <c r="AF38" s="14"/>
      <c r="AG38" s="14"/>
      <c r="AH38" s="30"/>
      <c r="AI38" s="14"/>
      <c r="AJ38" s="14"/>
      <c r="AK38" s="14"/>
      <c r="AL38" s="23"/>
      <c r="AM38" s="23"/>
      <c r="AN38" s="23"/>
      <c r="AO38" s="23"/>
      <c r="AP38" s="23"/>
      <c r="AQ38" s="14"/>
      <c r="AR38" s="14"/>
      <c r="AS38" s="26"/>
      <c r="AT38" s="14"/>
      <c r="AU38" s="14"/>
      <c r="AV38" s="14"/>
    </row>
  </sheetData>
  <mergeCells count="19">
    <mergeCell ref="B24:E24"/>
    <mergeCell ref="AQ3:AQ4"/>
    <mergeCell ref="AR3:AR4"/>
    <mergeCell ref="AS3:AS4"/>
    <mergeCell ref="AT3:AT4"/>
    <mergeCell ref="B15:E15"/>
    <mergeCell ref="B23:E23"/>
    <mergeCell ref="AK3:AK4"/>
    <mergeCell ref="AL3:AL4"/>
    <mergeCell ref="AM3:AM4"/>
    <mergeCell ref="AN3:AN4"/>
    <mergeCell ref="AO3:AO4"/>
    <mergeCell ref="AP3:AP4"/>
    <mergeCell ref="F3:AJ3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februaru</vt:lpstr>
      <vt:lpstr>March</vt:lpstr>
      <vt:lpstr>April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2026-06-03T21:56:32Z</dcterms:modified>
</cp:coreProperties>
</file>