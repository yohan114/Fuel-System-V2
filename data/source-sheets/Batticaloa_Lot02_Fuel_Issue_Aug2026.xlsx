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28B04C8-E4E8-4BA4-9422-0DFD6E280447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Fuel Log" sheetId="1" r:id="rId1"/>
    <sheet name="Daily Summary" sheetId="2" r:id="rId2"/>
    <sheet name="Vehicle Summary" sheetId="3" r:id="rId3"/>
    <sheet name="Transcription Notes" sheetId="4" r:id="rId4"/>
  </sheets>
  <definedNames>
    <definedName name="_xlnm._FilterDatabase" localSheetId="0" hidden="1">'Fuel Log'!$A$3:$L$52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2" i="3" l="1"/>
  <c r="G31" i="3"/>
  <c r="E31" i="3"/>
  <c r="C31" i="3"/>
  <c r="G30" i="3"/>
  <c r="E30" i="3"/>
  <c r="G29" i="3"/>
  <c r="D29" i="3"/>
  <c r="C29" i="3"/>
  <c r="G28" i="3"/>
  <c r="E28" i="3"/>
  <c r="C28" i="3"/>
  <c r="G27" i="3"/>
  <c r="E27" i="3"/>
  <c r="G26" i="3"/>
  <c r="E26" i="3"/>
  <c r="C26" i="3"/>
  <c r="G25" i="3"/>
  <c r="E25" i="3"/>
  <c r="G24" i="3"/>
  <c r="D24" i="3"/>
  <c r="C24" i="3"/>
  <c r="F24" i="3" s="1"/>
  <c r="G23" i="3"/>
  <c r="E23" i="3"/>
  <c r="D23" i="3"/>
  <c r="G22" i="3"/>
  <c r="G21" i="3"/>
  <c r="E21" i="3"/>
  <c r="D21" i="3"/>
  <c r="G20" i="3"/>
  <c r="G19" i="3"/>
  <c r="E19" i="3"/>
  <c r="G18" i="3"/>
  <c r="E18" i="3"/>
  <c r="C18" i="3"/>
  <c r="G17" i="3"/>
  <c r="D17" i="3"/>
  <c r="G16" i="3"/>
  <c r="E16" i="3"/>
  <c r="C16" i="3"/>
  <c r="G15" i="3"/>
  <c r="E15" i="3"/>
  <c r="G14" i="3"/>
  <c r="G13" i="3"/>
  <c r="E13" i="3"/>
  <c r="C13" i="3"/>
  <c r="G12" i="3"/>
  <c r="E12" i="3"/>
  <c r="G11" i="3"/>
  <c r="C11" i="3"/>
  <c r="G10" i="3"/>
  <c r="D10" i="3"/>
  <c r="G9" i="3"/>
  <c r="E9" i="3"/>
  <c r="D9" i="3"/>
  <c r="C9" i="3"/>
  <c r="G8" i="3"/>
  <c r="D8" i="3"/>
  <c r="C8" i="3"/>
  <c r="G7" i="3"/>
  <c r="D7" i="3"/>
  <c r="C7" i="3"/>
  <c r="G6" i="3"/>
  <c r="D6" i="3"/>
  <c r="C6" i="3"/>
  <c r="G5" i="3"/>
  <c r="D5" i="3"/>
  <c r="C5" i="3"/>
  <c r="G4" i="3"/>
  <c r="G33" i="3" s="1"/>
  <c r="E6" i="2"/>
  <c r="D6" i="2"/>
  <c r="C6" i="2"/>
  <c r="B6" i="2"/>
  <c r="E5" i="2"/>
  <c r="D5" i="2"/>
  <c r="C5" i="2"/>
  <c r="C7" i="2" s="1"/>
  <c r="B5" i="2"/>
  <c r="E4" i="2"/>
  <c r="D4" i="2"/>
  <c r="D7" i="2" s="1"/>
  <c r="C4" i="2"/>
  <c r="B4" i="2"/>
  <c r="F53" i="1"/>
  <c r="E53" i="1"/>
  <c r="G52" i="1"/>
  <c r="E6" i="3" s="1"/>
  <c r="G51" i="1"/>
  <c r="E7" i="3" s="1"/>
  <c r="G50" i="1"/>
  <c r="E8" i="3" s="1"/>
  <c r="G49" i="1"/>
  <c r="E24" i="3" s="1"/>
  <c r="G48" i="1"/>
  <c r="E5" i="3" s="1"/>
  <c r="G47" i="1"/>
  <c r="G46" i="1"/>
  <c r="E10" i="3" s="1"/>
  <c r="G45" i="1"/>
  <c r="G44" i="1"/>
  <c r="E11" i="3" s="1"/>
  <c r="G43" i="1"/>
  <c r="E32" i="3" s="1"/>
  <c r="G42" i="1"/>
  <c r="E29" i="3" s="1"/>
  <c r="G41" i="1"/>
  <c r="E14" i="3" s="1"/>
  <c r="G40" i="1"/>
  <c r="E17" i="3" s="1"/>
  <c r="G39" i="1"/>
  <c r="E20" i="3" s="1"/>
  <c r="G38" i="1"/>
  <c r="E22" i="3" s="1"/>
  <c r="G37" i="1"/>
  <c r="G36" i="1"/>
  <c r="D15" i="3" s="1"/>
  <c r="G35" i="1"/>
  <c r="D18" i="3" s="1"/>
  <c r="G34" i="1"/>
  <c r="D26" i="3" s="1"/>
  <c r="G33" i="1"/>
  <c r="D28" i="3" s="1"/>
  <c r="G32" i="1"/>
  <c r="D31" i="3" s="1"/>
  <c r="F31" i="3" s="1"/>
  <c r="G31" i="1"/>
  <c r="D13" i="3" s="1"/>
  <c r="G30" i="1"/>
  <c r="D27" i="3" s="1"/>
  <c r="G29" i="1"/>
  <c r="D25" i="3" s="1"/>
  <c r="G28" i="1"/>
  <c r="D12" i="3" s="1"/>
  <c r="G27" i="1"/>
  <c r="D11" i="3" s="1"/>
  <c r="G26" i="1"/>
  <c r="D19" i="3" s="1"/>
  <c r="G25" i="1"/>
  <c r="D30" i="3" s="1"/>
  <c r="G24" i="1"/>
  <c r="D14" i="3" s="1"/>
  <c r="G23" i="1"/>
  <c r="D32" i="3" s="1"/>
  <c r="G22" i="1"/>
  <c r="D20" i="3" s="1"/>
  <c r="G21" i="1"/>
  <c r="D16" i="3" s="1"/>
  <c r="G20" i="1"/>
  <c r="D22" i="3" s="1"/>
  <c r="G19" i="1"/>
  <c r="D4" i="3" s="1"/>
  <c r="G18" i="1"/>
  <c r="C15" i="3" s="1"/>
  <c r="G17" i="1"/>
  <c r="C12" i="3" s="1"/>
  <c r="G16" i="1"/>
  <c r="C10" i="3" s="1"/>
  <c r="G15" i="1"/>
  <c r="C21" i="3" s="1"/>
  <c r="F21" i="3" s="1"/>
  <c r="G14" i="1"/>
  <c r="C27" i="3" s="1"/>
  <c r="F27" i="3" s="1"/>
  <c r="G13" i="1"/>
  <c r="C25" i="3" s="1"/>
  <c r="F25" i="3" s="1"/>
  <c r="G12" i="1"/>
  <c r="C32" i="3" s="1"/>
  <c r="F32" i="3" s="1"/>
  <c r="G11" i="1"/>
  <c r="C23" i="3" s="1"/>
  <c r="F23" i="3" s="1"/>
  <c r="G10" i="1"/>
  <c r="C30" i="3" s="1"/>
  <c r="G9" i="1"/>
  <c r="C14" i="3" s="1"/>
  <c r="G8" i="1"/>
  <c r="C19" i="3" s="1"/>
  <c r="G7" i="1"/>
  <c r="C22" i="3" s="1"/>
  <c r="G6" i="1"/>
  <c r="C17" i="3" s="1"/>
  <c r="F17" i="3" s="1"/>
  <c r="G5" i="1"/>
  <c r="C20" i="3" s="1"/>
  <c r="G4" i="1"/>
  <c r="F6" i="2" l="1"/>
  <c r="F13" i="3"/>
  <c r="G53" i="1"/>
  <c r="F19" i="3"/>
  <c r="F10" i="3"/>
  <c r="F5" i="3"/>
  <c r="F7" i="3"/>
  <c r="F30" i="3"/>
  <c r="F15" i="3"/>
  <c r="F29" i="3"/>
  <c r="E7" i="2"/>
  <c r="F9" i="3"/>
  <c r="D33" i="3"/>
  <c r="F11" i="3"/>
  <c r="C4" i="3"/>
  <c r="C33" i="3" s="1"/>
  <c r="F16" i="3"/>
  <c r="F20" i="3"/>
  <c r="F22" i="3"/>
  <c r="F8" i="3"/>
  <c r="F6" i="3"/>
  <c r="F28" i="3"/>
  <c r="F14" i="3"/>
  <c r="F18" i="3"/>
  <c r="F12" i="3"/>
  <c r="F26" i="3"/>
  <c r="F4" i="2"/>
  <c r="F5" i="2"/>
  <c r="E4" i="3"/>
  <c r="E33" i="3" s="1"/>
  <c r="F4" i="3" l="1"/>
  <c r="F33" i="3" s="1"/>
  <c r="F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3" authorId="0" shapeId="0" xr:uid="{00000000-0006-0000-0000-000001000000}">
      <text>
        <r>
          <rPr>
            <sz val="10"/>
            <rFont val="Arial"/>
            <family val="2"/>
          </rPr>
          <t>N/W in a meter column = 'Not Working' as written on the original sheet.
'-' = no meter fitted (generators, compressors, bowser).
Blank = nothing recorded by the issuing officer.</t>
        </r>
      </text>
    </comment>
  </commentList>
</comments>
</file>

<file path=xl/sharedStrings.xml><?xml version="1.0" encoding="utf-8"?>
<sst xmlns="http://schemas.openxmlformats.org/spreadsheetml/2006/main" count="305" uniqueCount="150">
  <si>
    <t>BATTICALOA ICDP LOT-02  |  E&amp;C DAILY FUEL ISSUING SHEET</t>
  </si>
  <si>
    <t>Date</t>
  </si>
  <si>
    <t>Sheet Row No</t>
  </si>
  <si>
    <t>Vehicle No</t>
  </si>
  <si>
    <t>Vehicle Category</t>
  </si>
  <si>
    <t>1st Fuel Qty (L)</t>
  </si>
  <si>
    <t>2nd Fuel Qty (L)</t>
  </si>
  <si>
    <t>Total Issued (L)</t>
  </si>
  <si>
    <t>1st Meter Reading</t>
  </si>
  <si>
    <t>2nd Meter Reading</t>
  </si>
  <si>
    <t>Previous Meter</t>
  </si>
  <si>
    <t>Driver Name</t>
  </si>
  <si>
    <t>Remarks</t>
  </si>
  <si>
    <t>226-3944</t>
  </si>
  <si>
    <t>1 Cub (Hire)</t>
  </si>
  <si>
    <t>Sabe</t>
  </si>
  <si>
    <t>2nd meter reads lower than 1st meter as written</t>
  </si>
  <si>
    <t>LO-4821</t>
  </si>
  <si>
    <t>Tipper</t>
  </si>
  <si>
    <t>N/W</t>
  </si>
  <si>
    <t>Athapaththu</t>
  </si>
  <si>
    <t>LL-0936</t>
  </si>
  <si>
    <t>1 Cub</t>
  </si>
  <si>
    <t>Samith</t>
  </si>
  <si>
    <t>PD-6917</t>
  </si>
  <si>
    <t>Bolero</t>
  </si>
  <si>
    <t>Lahiru</t>
  </si>
  <si>
    <t>Vehicle no. overwritten on sheet</t>
  </si>
  <si>
    <t>LO-1059</t>
  </si>
  <si>
    <t>W/B</t>
  </si>
  <si>
    <t>Gangoda</t>
  </si>
  <si>
    <t>1st qty struck out; 20 L entered under 2nd qty. Vehicle written as LO-4821 then corrected to 1059</t>
  </si>
  <si>
    <t>LC-6767</t>
  </si>
  <si>
    <t>Sirithunga</t>
  </si>
  <si>
    <t>ZA-7968</t>
  </si>
  <si>
    <t>JCB</t>
  </si>
  <si>
    <t>Chamod</t>
  </si>
  <si>
    <t>SL-13</t>
  </si>
  <si>
    <t>Bob Cat</t>
  </si>
  <si>
    <t>Mihiranga</t>
  </si>
  <si>
    <t>ZB-1979</t>
  </si>
  <si>
    <t>Sugath</t>
  </si>
  <si>
    <t>SR-19</t>
  </si>
  <si>
    <t>10 Ton</t>
  </si>
  <si>
    <t>Dushan</t>
  </si>
  <si>
    <t>VP-60</t>
  </si>
  <si>
    <t>4 Ton</t>
  </si>
  <si>
    <t>Sadaruwan</t>
  </si>
  <si>
    <t>Meter figure overwritten</t>
  </si>
  <si>
    <t>MG-14</t>
  </si>
  <si>
    <t>MG</t>
  </si>
  <si>
    <t>GE-102</t>
  </si>
  <si>
    <t>Generator</t>
  </si>
  <si>
    <t>-</t>
  </si>
  <si>
    <t>Janith</t>
  </si>
  <si>
    <t>Generator, no meter recorded</t>
  </si>
  <si>
    <t>HEX-43</t>
  </si>
  <si>
    <t>Excavator</t>
  </si>
  <si>
    <t>Disanayaka</t>
  </si>
  <si>
    <t>Category blank on sheet; taken from 03/08 sheet</t>
  </si>
  <si>
    <t>LD-1718</t>
  </si>
  <si>
    <t>Sameera</t>
  </si>
  <si>
    <t>1 Cub (Cub)</t>
  </si>
  <si>
    <t>LK-0936</t>
  </si>
  <si>
    <t>Written LK-0936; same unit as LL-0936 on 01/08 and 03/08</t>
  </si>
  <si>
    <t>Written as LO-1059 then struck out and corrected to C-6767</t>
  </si>
  <si>
    <t>GE-84</t>
  </si>
  <si>
    <t>Dinu</t>
  </si>
  <si>
    <t>2nd qty entry struck out; category blank on sheet</t>
  </si>
  <si>
    <t>Category blank on sheet</t>
  </si>
  <si>
    <t>KF-3700</t>
  </si>
  <si>
    <t>DM Cab</t>
  </si>
  <si>
    <t>Kanishka</t>
  </si>
  <si>
    <t>Leading digit unclear, may be 82143</t>
  </si>
  <si>
    <t>ZA-7969</t>
  </si>
  <si>
    <t>Thusitha</t>
  </si>
  <si>
    <t>ZA-7291</t>
  </si>
  <si>
    <t>Meter entry incomplete on sheet</t>
  </si>
  <si>
    <t>TM-13</t>
  </si>
  <si>
    <t>Fiori</t>
  </si>
  <si>
    <t>Saman</t>
  </si>
  <si>
    <t>No meter recorded; no signature</t>
  </si>
  <si>
    <t>LN-1867</t>
  </si>
  <si>
    <t>Chanaka</t>
  </si>
  <si>
    <t>2nd meter entry struck out; previous meter 252284 recorded</t>
  </si>
  <si>
    <t>ZA-7965</t>
  </si>
  <si>
    <t>Reg. may be ZA-7969; 3rd digit unclear</t>
  </si>
  <si>
    <t>Anura</t>
  </si>
  <si>
    <t>Sajith</t>
  </si>
  <si>
    <t>DAF-7979</t>
  </si>
  <si>
    <t>40-8060</t>
  </si>
  <si>
    <t>Crew Cab</t>
  </si>
  <si>
    <t>SL-16</t>
  </si>
  <si>
    <t>Reg. may be SL-13 as per 01/08 sheet</t>
  </si>
  <si>
    <t>AC-23</t>
  </si>
  <si>
    <t>Compressor</t>
  </si>
  <si>
    <t>525-03</t>
  </si>
  <si>
    <t>2nd meter column has partial entry</t>
  </si>
  <si>
    <t>43-3416</t>
  </si>
  <si>
    <t>Prime Bowser</t>
  </si>
  <si>
    <t>Manoj</t>
  </si>
  <si>
    <t>GRAND TOTAL</t>
  </si>
  <si>
    <t>litres</t>
  </si>
  <si>
    <t>DAILY FUEL ISSUE SUMMARY</t>
  </si>
  <si>
    <t>Day</t>
  </si>
  <si>
    <t>Entries on Sheet</t>
  </si>
  <si>
    <t>TOTAL</t>
  </si>
  <si>
    <t>Note: The 'Today Diesel Received Qty', 'Today Issue Qty' and 'Today Balance' footer boxes</t>
  </si>
  <si>
    <t>were left blank on all three original sheets, so opening and closing stock cannot be reconciled.</t>
  </si>
  <si>
    <t>VEHICLE-WISE FUEL ISSUE SUMMARY</t>
  </si>
  <si>
    <t>No. of Fills</t>
  </si>
  <si>
    <t>TRANSCRIPTION NOTES AND DATA QUALITY FLAGS</t>
  </si>
  <si>
    <t>Item</t>
  </si>
  <si>
    <t>Note</t>
  </si>
  <si>
    <t>Source files</t>
  </si>
  <si>
    <t>Four images supplied. The first two are byte-identical copies of the same sheet dated 01/08/2026, so three distinct daily sheets were transcribed.</t>
  </si>
  <si>
    <t>Meter codes</t>
  </si>
  <si>
    <t>N/W is reproduced as written on the sheet and means the meter is not working. A dash means no meter is fitted, which applies to generators, the compressor and the prime bowser. A blank cell means the issuing officer wrote nothing.</t>
  </si>
  <si>
    <t>Footer boxes</t>
  </si>
  <si>
    <t>Today Diesel Received Qty, Today Issue Qty and Today Balance are blank on all three sheets. Tank stock cannot be reconciled against issues from this data.</t>
  </si>
  <si>
    <t>Approve Officer column</t>
  </si>
  <si>
    <t>Blank on all three sheets. No approval signature was captured against any issue.</t>
  </si>
  <si>
    <t>Fuel Issued column</t>
  </si>
  <si>
    <t>Blank on all three sheets. Only the 1st and 2nd Fuel Qty columns carry quantities.</t>
  </si>
  <si>
    <t>226-3944 on 01/08</t>
  </si>
  <si>
    <t>1st meter 252089 and 2nd meter 252075. The second reading is lower than the first, which is not possible on a forward-running odometer. Needs checking with the site.</t>
  </si>
  <si>
    <t>226-3944 on 03/08</t>
  </si>
  <si>
    <t>The 2nd meter entry is struck out and 252284 is written in the Previous Meter column instead. Recorded as shown.</t>
  </si>
  <si>
    <t>LL-0936 and LK-0936</t>
  </si>
  <si>
    <t>Almost certainly the same 1 Cub. Written LL on 01/08 and 03/08 and LK on 02/08. Kept as written; confirm the correct registration.</t>
  </si>
  <si>
    <t>SL-13 and SL-16</t>
  </si>
  <si>
    <t>Bob Cat recorded as SL-13 on 01/08 and SL-16 on 03/08. Kept as written; confirm which is correct.</t>
  </si>
  <si>
    <t>ZA-7968, ZA-7969, ZA-7965</t>
  </si>
  <si>
    <t>Three JCB registrations appear across the three sheets and the third digit is unclear in each case. Kept as written.</t>
  </si>
  <si>
    <t>LO-1059 on 01/08</t>
  </si>
  <si>
    <t>Vehicle written as LO-4821 then corrected to 1059. The 1st Fuel Qty entry is struck out and 20 litres is written under 2nd Fuel Qty.</t>
  </si>
  <si>
    <t>LC-6767 on 02/08</t>
  </si>
  <si>
    <t>Written LO-1059 then struck out and corrected to C-6767. Recorded as LC-6767 to match the other two sheets.</t>
  </si>
  <si>
    <t>GE-84 on 02/08</t>
  </si>
  <si>
    <t>The 2nd Fuel Qty entry is struck out. Only the 10 litre first issue has been counted.</t>
  </si>
  <si>
    <t>KF-3700 meter</t>
  </si>
  <si>
    <t>Recorded as 32143. The leading digit could also read 82143.</t>
  </si>
  <si>
    <t>ZA-7291 on 02/08</t>
  </si>
  <si>
    <t>Meter entry is incomplete, shown only as 15 on the sheet.</t>
  </si>
  <si>
    <t>TM-13 on 02/08</t>
  </si>
  <si>
    <t>No meter reading and no driver signature captured.</t>
  </si>
  <si>
    <t>PD-6917 on 01/08</t>
  </si>
  <si>
    <t>The registration is overwritten on the sheet. Read as PD-6917 to match the 02/08 and 03/08 entries.</t>
  </si>
  <si>
    <t>Totals</t>
  </si>
  <si>
    <t>All totals in this workbook are live formulas. Correcting any quantity in the Fuel Log tab updates the Daily Summary and Vehicle Summary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</si>
</sst>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sz val="10"/>
      <name val="Arial"/>
      <family val="2"/>
    </font>
    <font>
      <b/>
      <sz val="13"/>
      <color rgb="FF1F3864"/>
      <name val="Arial"/>
      <charset val="1"/>
    </font>
    <font>
      <i/>
      <sz val="9"/>
      <color rgb="FFC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7FB"/>
        <bgColor rgb="FFFFFFFF"/>
      </patternFill>
    </fill>
    <fill>
      <patternFill patternType="solid">
        <fgColor rgb="FFFFF2CC"/>
        <bgColor rgb="FFF2F7FB"/>
      </patternFill>
    </fill>
    <fill>
      <patternFill patternType="solid">
        <fgColor rgb="FFD9E2F3"/>
        <bgColor rgb="FFF2F7FB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 vertical="top" wrapText="1"/>
    </xf>
    <xf numFmtId="164" fontId="3" fillId="3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7" fillId="0" borderId="0" xfId="0" applyFont="1"/>
    <xf numFmtId="0" fontId="8" fillId="0" borderId="0" xfId="0" applyFont="1"/>
    <xf numFmtId="16" fontId="2" fillId="2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2CC"/>
      <rgbColor rgb="FFF2F7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zoomScaleNormal="100" workbookViewId="0">
      <pane ySplit="3" topLeftCell="A39" activePane="bottomLeft" state="frozen"/>
      <selection pane="bottomLeft" activeCell="K59" sqref="K59"/>
    </sheetView>
  </sheetViews>
  <sheetFormatPr defaultColWidth="8.6640625" defaultRowHeight="14.4" x14ac:dyDescent="0.3"/>
  <cols>
    <col min="1" max="1" width="13" customWidth="1"/>
    <col min="2" max="2" width="9" customWidth="1"/>
    <col min="3" max="3" width="14" customWidth="1"/>
    <col min="4" max="4" width="16" customWidth="1"/>
    <col min="5" max="6" width="11" customWidth="1"/>
    <col min="7" max="7" width="12" customWidth="1"/>
    <col min="8" max="9" width="15" customWidth="1"/>
    <col min="10" max="10" width="14" customWidth="1"/>
    <col min="11" max="11" width="15" customWidth="1"/>
    <col min="12" max="12" width="44" customWidth="1"/>
  </cols>
  <sheetData>
    <row r="1" spans="1:12" ht="17.399999999999999" x14ac:dyDescent="0.3">
      <c r="A1" s="1" t="s">
        <v>0</v>
      </c>
    </row>
    <row r="3" spans="1:12" ht="31.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x14ac:dyDescent="0.3">
      <c r="A4" s="3">
        <v>46235</v>
      </c>
      <c r="B4" s="4">
        <v>1</v>
      </c>
      <c r="C4" s="5" t="s">
        <v>13</v>
      </c>
      <c r="D4" s="5" t="s">
        <v>14</v>
      </c>
      <c r="E4" s="4">
        <v>10</v>
      </c>
      <c r="F4" s="4">
        <v>5</v>
      </c>
      <c r="G4" s="6">
        <f t="shared" ref="G4:G35" si="0">SUM(E4:F4)</f>
        <v>15</v>
      </c>
      <c r="H4" s="7">
        <v>252089</v>
      </c>
      <c r="I4" s="7">
        <v>252075</v>
      </c>
      <c r="J4" s="7"/>
      <c r="K4" s="5" t="s">
        <v>15</v>
      </c>
      <c r="L4" s="8" t="s">
        <v>16</v>
      </c>
    </row>
    <row r="5" spans="1:12" x14ac:dyDescent="0.3">
      <c r="A5" s="3">
        <v>46235</v>
      </c>
      <c r="B5" s="4">
        <v>2</v>
      </c>
      <c r="C5" s="5" t="s">
        <v>17</v>
      </c>
      <c r="D5" s="5" t="s">
        <v>18</v>
      </c>
      <c r="E5" s="4">
        <v>10</v>
      </c>
      <c r="F5" s="4">
        <v>5</v>
      </c>
      <c r="G5" s="6">
        <f t="shared" si="0"/>
        <v>15</v>
      </c>
      <c r="H5" s="7" t="s">
        <v>19</v>
      </c>
      <c r="I5" s="7"/>
      <c r="J5" s="7"/>
      <c r="K5" s="5" t="s">
        <v>20</v>
      </c>
      <c r="L5" s="8"/>
    </row>
    <row r="6" spans="1:12" x14ac:dyDescent="0.3">
      <c r="A6" s="3">
        <v>46235</v>
      </c>
      <c r="B6" s="4">
        <v>3</v>
      </c>
      <c r="C6" s="5" t="s">
        <v>21</v>
      </c>
      <c r="D6" s="5" t="s">
        <v>22</v>
      </c>
      <c r="E6" s="4">
        <v>10</v>
      </c>
      <c r="F6" s="4"/>
      <c r="G6" s="6">
        <f t="shared" si="0"/>
        <v>10</v>
      </c>
      <c r="H6" s="7" t="s">
        <v>19</v>
      </c>
      <c r="I6" s="7"/>
      <c r="J6" s="7"/>
      <c r="K6" s="5" t="s">
        <v>23</v>
      </c>
      <c r="L6" s="8"/>
    </row>
    <row r="7" spans="1:12" x14ac:dyDescent="0.3">
      <c r="A7" s="3">
        <v>46235</v>
      </c>
      <c r="B7" s="4">
        <v>4</v>
      </c>
      <c r="C7" s="5" t="s">
        <v>24</v>
      </c>
      <c r="D7" s="5" t="s">
        <v>25</v>
      </c>
      <c r="E7" s="4">
        <v>10</v>
      </c>
      <c r="F7" s="4"/>
      <c r="G7" s="6">
        <f t="shared" si="0"/>
        <v>10</v>
      </c>
      <c r="H7" s="7">
        <v>217050</v>
      </c>
      <c r="I7" s="7">
        <v>217139</v>
      </c>
      <c r="J7" s="7"/>
      <c r="K7" s="5" t="s">
        <v>26</v>
      </c>
      <c r="L7" s="8" t="s">
        <v>27</v>
      </c>
    </row>
    <row r="8" spans="1:12" ht="26.4" x14ac:dyDescent="0.3">
      <c r="A8" s="3">
        <v>46235</v>
      </c>
      <c r="B8" s="4">
        <v>5</v>
      </c>
      <c r="C8" s="5" t="s">
        <v>28</v>
      </c>
      <c r="D8" s="5" t="s">
        <v>29</v>
      </c>
      <c r="E8" s="4"/>
      <c r="F8" s="4">
        <v>20</v>
      </c>
      <c r="G8" s="6">
        <f t="shared" si="0"/>
        <v>20</v>
      </c>
      <c r="H8" s="7">
        <v>72623</v>
      </c>
      <c r="I8" s="7"/>
      <c r="J8" s="7"/>
      <c r="K8" s="5" t="s">
        <v>30</v>
      </c>
      <c r="L8" s="8" t="s">
        <v>31</v>
      </c>
    </row>
    <row r="9" spans="1:12" x14ac:dyDescent="0.3">
      <c r="A9" s="3">
        <v>46235</v>
      </c>
      <c r="B9" s="4">
        <v>6</v>
      </c>
      <c r="C9" s="5" t="s">
        <v>32</v>
      </c>
      <c r="D9" s="5" t="s">
        <v>29</v>
      </c>
      <c r="E9" s="4">
        <v>10</v>
      </c>
      <c r="F9" s="4"/>
      <c r="G9" s="6">
        <f t="shared" si="0"/>
        <v>10</v>
      </c>
      <c r="H9" s="7" t="s">
        <v>19</v>
      </c>
      <c r="I9" s="7"/>
      <c r="J9" s="7"/>
      <c r="K9" s="5" t="s">
        <v>33</v>
      </c>
      <c r="L9" s="8"/>
    </row>
    <row r="10" spans="1:12" x14ac:dyDescent="0.3">
      <c r="A10" s="3">
        <v>46235</v>
      </c>
      <c r="B10" s="4">
        <v>7</v>
      </c>
      <c r="C10" s="5" t="s">
        <v>34</v>
      </c>
      <c r="D10" s="5" t="s">
        <v>35</v>
      </c>
      <c r="E10" s="4">
        <v>15</v>
      </c>
      <c r="F10" s="4"/>
      <c r="G10" s="6">
        <f t="shared" si="0"/>
        <v>15</v>
      </c>
      <c r="H10" s="7">
        <v>954.8</v>
      </c>
      <c r="I10" s="7"/>
      <c r="J10" s="7"/>
      <c r="K10" s="5" t="s">
        <v>36</v>
      </c>
      <c r="L10" s="8"/>
    </row>
    <row r="11" spans="1:12" x14ac:dyDescent="0.3">
      <c r="A11" s="3">
        <v>46235</v>
      </c>
      <c r="B11" s="4">
        <v>8</v>
      </c>
      <c r="C11" s="5" t="s">
        <v>37</v>
      </c>
      <c r="D11" s="5" t="s">
        <v>38</v>
      </c>
      <c r="E11" s="4">
        <v>10</v>
      </c>
      <c r="F11" s="4"/>
      <c r="G11" s="6">
        <f t="shared" si="0"/>
        <v>10</v>
      </c>
      <c r="H11" s="7">
        <v>6855.4</v>
      </c>
      <c r="I11" s="7"/>
      <c r="J11" s="7"/>
      <c r="K11" s="5" t="s">
        <v>39</v>
      </c>
      <c r="L11" s="8"/>
    </row>
    <row r="12" spans="1:12" x14ac:dyDescent="0.3">
      <c r="A12" s="3">
        <v>46235</v>
      </c>
      <c r="B12" s="4">
        <v>9</v>
      </c>
      <c r="C12" s="5" t="s">
        <v>40</v>
      </c>
      <c r="D12" s="5" t="s">
        <v>35</v>
      </c>
      <c r="E12" s="4">
        <v>15</v>
      </c>
      <c r="F12" s="4">
        <v>10</v>
      </c>
      <c r="G12" s="6">
        <f t="shared" si="0"/>
        <v>25</v>
      </c>
      <c r="H12" s="7">
        <v>7113.8</v>
      </c>
      <c r="I12" s="7">
        <v>7117</v>
      </c>
      <c r="J12" s="7"/>
      <c r="K12" s="5" t="s">
        <v>41</v>
      </c>
      <c r="L12" s="8"/>
    </row>
    <row r="13" spans="1:12" x14ac:dyDescent="0.3">
      <c r="A13" s="3">
        <v>46235</v>
      </c>
      <c r="B13" s="4">
        <v>10</v>
      </c>
      <c r="C13" s="5" t="s">
        <v>42</v>
      </c>
      <c r="D13" s="5" t="s">
        <v>43</v>
      </c>
      <c r="E13" s="4">
        <v>15</v>
      </c>
      <c r="F13" s="4"/>
      <c r="G13" s="6">
        <f t="shared" si="0"/>
        <v>15</v>
      </c>
      <c r="H13" s="7">
        <v>2546.3000000000002</v>
      </c>
      <c r="I13" s="7"/>
      <c r="J13" s="7"/>
      <c r="K13" s="5" t="s">
        <v>44</v>
      </c>
      <c r="L13" s="8"/>
    </row>
    <row r="14" spans="1:12" x14ac:dyDescent="0.3">
      <c r="A14" s="3">
        <v>46235</v>
      </c>
      <c r="B14" s="4">
        <v>11</v>
      </c>
      <c r="C14" s="5" t="s">
        <v>45</v>
      </c>
      <c r="D14" s="5" t="s">
        <v>46</v>
      </c>
      <c r="E14" s="4">
        <v>5</v>
      </c>
      <c r="F14" s="4"/>
      <c r="G14" s="6">
        <f t="shared" si="0"/>
        <v>5</v>
      </c>
      <c r="H14" s="7">
        <v>1629</v>
      </c>
      <c r="I14" s="7"/>
      <c r="J14" s="7"/>
      <c r="K14" s="5" t="s">
        <v>47</v>
      </c>
      <c r="L14" s="8" t="s">
        <v>48</v>
      </c>
    </row>
    <row r="15" spans="1:12" x14ac:dyDescent="0.3">
      <c r="A15" s="3">
        <v>46235</v>
      </c>
      <c r="B15" s="4">
        <v>12</v>
      </c>
      <c r="C15" s="5" t="s">
        <v>49</v>
      </c>
      <c r="D15" s="5" t="s">
        <v>50</v>
      </c>
      <c r="E15" s="4">
        <v>15</v>
      </c>
      <c r="F15" s="4"/>
      <c r="G15" s="6">
        <f t="shared" si="0"/>
        <v>15</v>
      </c>
      <c r="H15" s="7">
        <v>6723</v>
      </c>
      <c r="I15" s="7"/>
      <c r="J15" s="7"/>
      <c r="K15" s="5" t="s">
        <v>20</v>
      </c>
      <c r="L15" s="8"/>
    </row>
    <row r="16" spans="1:12" x14ac:dyDescent="0.3">
      <c r="A16" s="3">
        <v>46235</v>
      </c>
      <c r="B16" s="4">
        <v>13</v>
      </c>
      <c r="C16" s="5" t="s">
        <v>51</v>
      </c>
      <c r="D16" s="5" t="s">
        <v>52</v>
      </c>
      <c r="E16" s="4">
        <v>10</v>
      </c>
      <c r="F16" s="4"/>
      <c r="G16" s="6">
        <f t="shared" si="0"/>
        <v>10</v>
      </c>
      <c r="H16" s="7" t="s">
        <v>53</v>
      </c>
      <c r="I16" s="7"/>
      <c r="J16" s="7"/>
      <c r="K16" s="5" t="s">
        <v>54</v>
      </c>
      <c r="L16" s="8" t="s">
        <v>55</v>
      </c>
    </row>
    <row r="17" spans="1:12" x14ac:dyDescent="0.3">
      <c r="A17" s="3">
        <v>46235</v>
      </c>
      <c r="B17" s="4">
        <v>14</v>
      </c>
      <c r="C17" s="5" t="s">
        <v>56</v>
      </c>
      <c r="D17" s="5" t="s">
        <v>57</v>
      </c>
      <c r="E17" s="4">
        <v>20</v>
      </c>
      <c r="F17" s="4"/>
      <c r="G17" s="6">
        <f t="shared" si="0"/>
        <v>20</v>
      </c>
      <c r="H17" s="7">
        <v>5314.5</v>
      </c>
      <c r="I17" s="7"/>
      <c r="J17" s="7"/>
      <c r="K17" s="5" t="s">
        <v>58</v>
      </c>
      <c r="L17" s="8" t="s">
        <v>59</v>
      </c>
    </row>
    <row r="18" spans="1:12" x14ac:dyDescent="0.3">
      <c r="A18" s="3">
        <v>46235</v>
      </c>
      <c r="B18" s="4">
        <v>15</v>
      </c>
      <c r="C18" s="5" t="s">
        <v>60</v>
      </c>
      <c r="D18" s="5" t="s">
        <v>18</v>
      </c>
      <c r="E18" s="4">
        <v>25</v>
      </c>
      <c r="F18" s="4"/>
      <c r="G18" s="6">
        <f t="shared" si="0"/>
        <v>25</v>
      </c>
      <c r="H18" s="7">
        <v>142906</v>
      </c>
      <c r="I18" s="7"/>
      <c r="J18" s="7"/>
      <c r="K18" s="5" t="s">
        <v>61</v>
      </c>
      <c r="L18" s="8"/>
    </row>
    <row r="19" spans="1:12" x14ac:dyDescent="0.3">
      <c r="A19" s="9">
        <v>46236</v>
      </c>
      <c r="B19" s="10">
        <v>1</v>
      </c>
      <c r="C19" s="11" t="s">
        <v>13</v>
      </c>
      <c r="D19" s="11" t="s">
        <v>62</v>
      </c>
      <c r="E19" s="10">
        <v>15</v>
      </c>
      <c r="F19" s="10"/>
      <c r="G19" s="12">
        <f t="shared" si="0"/>
        <v>15</v>
      </c>
      <c r="H19" s="13">
        <v>252110</v>
      </c>
      <c r="I19" s="13"/>
      <c r="J19" s="13"/>
      <c r="K19" s="11" t="s">
        <v>15</v>
      </c>
      <c r="L19" s="14"/>
    </row>
    <row r="20" spans="1:12" x14ac:dyDescent="0.3">
      <c r="A20" s="9">
        <v>46236</v>
      </c>
      <c r="B20" s="10">
        <v>2</v>
      </c>
      <c r="C20" s="11" t="s">
        <v>24</v>
      </c>
      <c r="D20" s="11" t="s">
        <v>25</v>
      </c>
      <c r="E20" s="10">
        <v>10</v>
      </c>
      <c r="F20" s="10">
        <v>10</v>
      </c>
      <c r="G20" s="12">
        <f t="shared" si="0"/>
        <v>20</v>
      </c>
      <c r="H20" s="13">
        <v>217213</v>
      </c>
      <c r="I20" s="13">
        <v>217299</v>
      </c>
      <c r="J20" s="13"/>
      <c r="K20" s="11" t="s">
        <v>26</v>
      </c>
      <c r="L20" s="14"/>
    </row>
    <row r="21" spans="1:12" ht="26.4" x14ac:dyDescent="0.3">
      <c r="A21" s="9">
        <v>46236</v>
      </c>
      <c r="B21" s="10">
        <v>3</v>
      </c>
      <c r="C21" s="11" t="s">
        <v>63</v>
      </c>
      <c r="D21" s="11" t="s">
        <v>22</v>
      </c>
      <c r="E21" s="10">
        <v>10</v>
      </c>
      <c r="F21" s="10">
        <v>5</v>
      </c>
      <c r="G21" s="12">
        <f t="shared" si="0"/>
        <v>15</v>
      </c>
      <c r="H21" s="13" t="s">
        <v>19</v>
      </c>
      <c r="I21" s="13"/>
      <c r="J21" s="13"/>
      <c r="K21" s="11" t="s">
        <v>23</v>
      </c>
      <c r="L21" s="14" t="s">
        <v>64</v>
      </c>
    </row>
    <row r="22" spans="1:12" x14ac:dyDescent="0.3">
      <c r="A22" s="9">
        <v>46236</v>
      </c>
      <c r="B22" s="10">
        <v>4</v>
      </c>
      <c r="C22" s="11" t="s">
        <v>17</v>
      </c>
      <c r="D22" s="11" t="s">
        <v>18</v>
      </c>
      <c r="E22" s="10">
        <v>20</v>
      </c>
      <c r="F22" s="10">
        <v>5</v>
      </c>
      <c r="G22" s="12">
        <f t="shared" si="0"/>
        <v>25</v>
      </c>
      <c r="H22" s="13" t="s">
        <v>19</v>
      </c>
      <c r="I22" s="13"/>
      <c r="J22" s="13"/>
      <c r="K22" s="11" t="s">
        <v>20</v>
      </c>
      <c r="L22" s="14"/>
    </row>
    <row r="23" spans="1:12" x14ac:dyDescent="0.3">
      <c r="A23" s="9">
        <v>46236</v>
      </c>
      <c r="B23" s="10">
        <v>5</v>
      </c>
      <c r="C23" s="11" t="s">
        <v>40</v>
      </c>
      <c r="D23" s="11" t="s">
        <v>35</v>
      </c>
      <c r="E23" s="10">
        <v>20</v>
      </c>
      <c r="F23" s="10">
        <v>10</v>
      </c>
      <c r="G23" s="12">
        <f t="shared" si="0"/>
        <v>30</v>
      </c>
      <c r="H23" s="13">
        <v>7118.9</v>
      </c>
      <c r="I23" s="13">
        <v>7123.1</v>
      </c>
      <c r="J23" s="13"/>
      <c r="K23" s="11" t="s">
        <v>41</v>
      </c>
      <c r="L23" s="14"/>
    </row>
    <row r="24" spans="1:12" ht="26.4" x14ac:dyDescent="0.3">
      <c r="A24" s="9">
        <v>46236</v>
      </c>
      <c r="B24" s="10">
        <v>6</v>
      </c>
      <c r="C24" s="11" t="s">
        <v>32</v>
      </c>
      <c r="D24" s="11" t="s">
        <v>29</v>
      </c>
      <c r="E24" s="10">
        <v>10</v>
      </c>
      <c r="F24" s="10"/>
      <c r="G24" s="12">
        <f t="shared" si="0"/>
        <v>10</v>
      </c>
      <c r="H24" s="13" t="s">
        <v>19</v>
      </c>
      <c r="I24" s="13"/>
      <c r="J24" s="13"/>
      <c r="K24" s="11" t="s">
        <v>33</v>
      </c>
      <c r="L24" s="14" t="s">
        <v>65</v>
      </c>
    </row>
    <row r="25" spans="1:12" x14ac:dyDescent="0.3">
      <c r="A25" s="9">
        <v>46236</v>
      </c>
      <c r="B25" s="10">
        <v>7</v>
      </c>
      <c r="C25" s="11" t="s">
        <v>34</v>
      </c>
      <c r="D25" s="11" t="s">
        <v>35</v>
      </c>
      <c r="E25" s="10">
        <v>10</v>
      </c>
      <c r="F25" s="10"/>
      <c r="G25" s="12">
        <f t="shared" si="0"/>
        <v>10</v>
      </c>
      <c r="H25" s="13">
        <v>958.8</v>
      </c>
      <c r="I25" s="13"/>
      <c r="J25" s="13"/>
      <c r="K25" s="11" t="s">
        <v>36</v>
      </c>
      <c r="L25" s="14"/>
    </row>
    <row r="26" spans="1:12" x14ac:dyDescent="0.3">
      <c r="A26" s="9">
        <v>46236</v>
      </c>
      <c r="B26" s="10">
        <v>8</v>
      </c>
      <c r="C26" s="11" t="s">
        <v>28</v>
      </c>
      <c r="D26" s="11" t="s">
        <v>29</v>
      </c>
      <c r="E26" s="10">
        <v>15</v>
      </c>
      <c r="F26" s="10"/>
      <c r="G26" s="12">
        <f t="shared" si="0"/>
        <v>15</v>
      </c>
      <c r="H26" s="13">
        <v>72643</v>
      </c>
      <c r="I26" s="13"/>
      <c r="J26" s="13"/>
      <c r="K26" s="11" t="s">
        <v>30</v>
      </c>
      <c r="L26" s="14"/>
    </row>
    <row r="27" spans="1:12" x14ac:dyDescent="0.3">
      <c r="A27" s="9">
        <v>46236</v>
      </c>
      <c r="B27" s="10">
        <v>9</v>
      </c>
      <c r="C27" s="11" t="s">
        <v>66</v>
      </c>
      <c r="D27" s="11" t="s">
        <v>52</v>
      </c>
      <c r="E27" s="10">
        <v>10</v>
      </c>
      <c r="F27" s="10"/>
      <c r="G27" s="12">
        <f t="shared" si="0"/>
        <v>10</v>
      </c>
      <c r="H27" s="13" t="s">
        <v>53</v>
      </c>
      <c r="I27" s="13"/>
      <c r="J27" s="13"/>
      <c r="K27" s="11" t="s">
        <v>67</v>
      </c>
      <c r="L27" s="14" t="s">
        <v>68</v>
      </c>
    </row>
    <row r="28" spans="1:12" x14ac:dyDescent="0.3">
      <c r="A28" s="9">
        <v>46236</v>
      </c>
      <c r="B28" s="10">
        <v>10</v>
      </c>
      <c r="C28" s="11" t="s">
        <v>56</v>
      </c>
      <c r="D28" s="11" t="s">
        <v>57</v>
      </c>
      <c r="E28" s="10">
        <v>40</v>
      </c>
      <c r="F28" s="10">
        <v>10</v>
      </c>
      <c r="G28" s="12">
        <f t="shared" si="0"/>
        <v>50</v>
      </c>
      <c r="H28" s="13">
        <v>5316.1</v>
      </c>
      <c r="I28" s="13">
        <v>5319.8</v>
      </c>
      <c r="J28" s="13"/>
      <c r="K28" s="11" t="s">
        <v>58</v>
      </c>
      <c r="L28" s="14" t="s">
        <v>69</v>
      </c>
    </row>
    <row r="29" spans="1:12" x14ac:dyDescent="0.3">
      <c r="A29" s="9">
        <v>46236</v>
      </c>
      <c r="B29" s="10">
        <v>11</v>
      </c>
      <c r="C29" s="11" t="s">
        <v>42</v>
      </c>
      <c r="D29" s="11" t="s">
        <v>43</v>
      </c>
      <c r="E29" s="10">
        <v>15</v>
      </c>
      <c r="F29" s="10"/>
      <c r="G29" s="12">
        <f t="shared" si="0"/>
        <v>15</v>
      </c>
      <c r="H29" s="13">
        <v>2548.8000000000002</v>
      </c>
      <c r="I29" s="13"/>
      <c r="J29" s="13"/>
      <c r="K29" s="11" t="s">
        <v>47</v>
      </c>
      <c r="L29" s="14"/>
    </row>
    <row r="30" spans="1:12" x14ac:dyDescent="0.3">
      <c r="A30" s="9">
        <v>46236</v>
      </c>
      <c r="B30" s="10">
        <v>12</v>
      </c>
      <c r="C30" s="11" t="s">
        <v>45</v>
      </c>
      <c r="D30" s="11" t="s">
        <v>46</v>
      </c>
      <c r="E30" s="10">
        <v>5</v>
      </c>
      <c r="F30" s="10"/>
      <c r="G30" s="12">
        <f t="shared" si="0"/>
        <v>5</v>
      </c>
      <c r="H30" s="13">
        <v>1630</v>
      </c>
      <c r="I30" s="13"/>
      <c r="J30" s="13"/>
      <c r="K30" s="11" t="s">
        <v>47</v>
      </c>
      <c r="L30" s="14"/>
    </row>
    <row r="31" spans="1:12" x14ac:dyDescent="0.3">
      <c r="A31" s="9">
        <v>46236</v>
      </c>
      <c r="B31" s="10">
        <v>13</v>
      </c>
      <c r="C31" s="11" t="s">
        <v>70</v>
      </c>
      <c r="D31" s="11" t="s">
        <v>71</v>
      </c>
      <c r="E31" s="10">
        <v>25</v>
      </c>
      <c r="F31" s="10"/>
      <c r="G31" s="12">
        <f t="shared" si="0"/>
        <v>25</v>
      </c>
      <c r="H31" s="13">
        <v>32143</v>
      </c>
      <c r="I31" s="13"/>
      <c r="J31" s="13"/>
      <c r="K31" s="11" t="s">
        <v>72</v>
      </c>
      <c r="L31" s="14" t="s">
        <v>73</v>
      </c>
    </row>
    <row r="32" spans="1:12" x14ac:dyDescent="0.3">
      <c r="A32" s="9">
        <v>46236</v>
      </c>
      <c r="B32" s="10">
        <v>14</v>
      </c>
      <c r="C32" s="11" t="s">
        <v>74</v>
      </c>
      <c r="D32" s="11" t="s">
        <v>35</v>
      </c>
      <c r="E32" s="10">
        <v>5</v>
      </c>
      <c r="F32" s="10"/>
      <c r="G32" s="12">
        <f t="shared" si="0"/>
        <v>5</v>
      </c>
      <c r="H32" s="13">
        <v>15665</v>
      </c>
      <c r="I32" s="13"/>
      <c r="J32" s="13"/>
      <c r="K32" s="11" t="s">
        <v>75</v>
      </c>
      <c r="L32" s="14"/>
    </row>
    <row r="33" spans="1:12" x14ac:dyDescent="0.3">
      <c r="A33" s="9">
        <v>46236</v>
      </c>
      <c r="B33" s="10">
        <v>15</v>
      </c>
      <c r="C33" s="11" t="s">
        <v>76</v>
      </c>
      <c r="D33" s="11"/>
      <c r="E33" s="10">
        <v>20</v>
      </c>
      <c r="F33" s="10"/>
      <c r="G33" s="12">
        <f t="shared" si="0"/>
        <v>20</v>
      </c>
      <c r="H33" s="13">
        <v>15</v>
      </c>
      <c r="I33" s="13"/>
      <c r="J33" s="13"/>
      <c r="K33" s="11" t="s">
        <v>23</v>
      </c>
      <c r="L33" s="14" t="s">
        <v>77</v>
      </c>
    </row>
    <row r="34" spans="1:12" x14ac:dyDescent="0.3">
      <c r="A34" s="9">
        <v>46236</v>
      </c>
      <c r="B34" s="10">
        <v>16</v>
      </c>
      <c r="C34" s="11" t="s">
        <v>78</v>
      </c>
      <c r="D34" s="11" t="s">
        <v>79</v>
      </c>
      <c r="E34" s="10">
        <v>15</v>
      </c>
      <c r="F34" s="10"/>
      <c r="G34" s="12">
        <f t="shared" si="0"/>
        <v>15</v>
      </c>
      <c r="H34" s="13"/>
      <c r="I34" s="13"/>
      <c r="J34" s="13"/>
      <c r="K34" s="11" t="s">
        <v>80</v>
      </c>
      <c r="L34" s="14" t="s">
        <v>81</v>
      </c>
    </row>
    <row r="35" spans="1:12" x14ac:dyDescent="0.3">
      <c r="A35" s="9">
        <v>46236</v>
      </c>
      <c r="B35" s="10">
        <v>17</v>
      </c>
      <c r="C35" s="11" t="s">
        <v>82</v>
      </c>
      <c r="D35" s="11"/>
      <c r="E35" s="10">
        <v>20</v>
      </c>
      <c r="F35" s="10"/>
      <c r="G35" s="12">
        <f t="shared" si="0"/>
        <v>20</v>
      </c>
      <c r="H35" s="13" t="s">
        <v>19</v>
      </c>
      <c r="I35" s="13"/>
      <c r="J35" s="13"/>
      <c r="K35" s="11" t="s">
        <v>83</v>
      </c>
      <c r="L35" s="14"/>
    </row>
    <row r="36" spans="1:12" x14ac:dyDescent="0.3">
      <c r="A36" s="9">
        <v>46236</v>
      </c>
      <c r="B36" s="10">
        <v>18</v>
      </c>
      <c r="C36" s="11" t="s">
        <v>60</v>
      </c>
      <c r="D36" s="11" t="s">
        <v>18</v>
      </c>
      <c r="E36" s="10">
        <v>25</v>
      </c>
      <c r="F36" s="10"/>
      <c r="G36" s="12">
        <f t="shared" ref="G36:G67" si="1">SUM(E36:F36)</f>
        <v>25</v>
      </c>
      <c r="H36" s="13">
        <v>143140</v>
      </c>
      <c r="I36" s="13"/>
      <c r="J36" s="13"/>
      <c r="K36" s="11" t="s">
        <v>61</v>
      </c>
      <c r="L36" s="14"/>
    </row>
    <row r="37" spans="1:12" ht="26.4" x14ac:dyDescent="0.3">
      <c r="A37" s="3">
        <v>46237</v>
      </c>
      <c r="B37" s="4">
        <v>1</v>
      </c>
      <c r="C37" s="5" t="s">
        <v>13</v>
      </c>
      <c r="D37" s="5" t="s">
        <v>14</v>
      </c>
      <c r="E37" s="4">
        <v>15</v>
      </c>
      <c r="F37" s="4"/>
      <c r="G37" s="6">
        <f t="shared" si="1"/>
        <v>15</v>
      </c>
      <c r="H37" s="7">
        <v>252231</v>
      </c>
      <c r="I37" s="7"/>
      <c r="J37" s="7">
        <v>252284</v>
      </c>
      <c r="K37" s="5" t="s">
        <v>15</v>
      </c>
      <c r="L37" s="8" t="s">
        <v>84</v>
      </c>
    </row>
    <row r="38" spans="1:12" x14ac:dyDescent="0.3">
      <c r="A38" s="3">
        <v>46237</v>
      </c>
      <c r="B38" s="4">
        <v>2</v>
      </c>
      <c r="C38" s="5" t="s">
        <v>24</v>
      </c>
      <c r="D38" s="5" t="s">
        <v>25</v>
      </c>
      <c r="E38" s="4">
        <v>10</v>
      </c>
      <c r="F38" s="4"/>
      <c r="G38" s="6">
        <f t="shared" si="1"/>
        <v>10</v>
      </c>
      <c r="H38" s="7">
        <v>217381</v>
      </c>
      <c r="I38" s="7">
        <v>217463</v>
      </c>
      <c r="J38" s="7"/>
      <c r="K38" s="5" t="s">
        <v>26</v>
      </c>
      <c r="L38" s="8"/>
    </row>
    <row r="39" spans="1:12" x14ac:dyDescent="0.3">
      <c r="A39" s="3">
        <v>46237</v>
      </c>
      <c r="B39" s="4">
        <v>3</v>
      </c>
      <c r="C39" s="5" t="s">
        <v>17</v>
      </c>
      <c r="D39" s="5" t="s">
        <v>18</v>
      </c>
      <c r="E39" s="4">
        <v>20</v>
      </c>
      <c r="F39" s="4">
        <v>5</v>
      </c>
      <c r="G39" s="6">
        <f t="shared" si="1"/>
        <v>25</v>
      </c>
      <c r="H39" s="7" t="s">
        <v>19</v>
      </c>
      <c r="I39" s="7"/>
      <c r="J39" s="7"/>
      <c r="K39" s="5" t="s">
        <v>20</v>
      </c>
      <c r="L39" s="8"/>
    </row>
    <row r="40" spans="1:12" x14ac:dyDescent="0.3">
      <c r="A40" s="3">
        <v>46237</v>
      </c>
      <c r="B40" s="4">
        <v>4</v>
      </c>
      <c r="C40" s="5" t="s">
        <v>21</v>
      </c>
      <c r="D40" s="5" t="s">
        <v>22</v>
      </c>
      <c r="E40" s="4">
        <v>10</v>
      </c>
      <c r="F40" s="4">
        <v>10</v>
      </c>
      <c r="G40" s="6">
        <f t="shared" si="1"/>
        <v>20</v>
      </c>
      <c r="H40" s="7" t="s">
        <v>19</v>
      </c>
      <c r="I40" s="7"/>
      <c r="J40" s="7"/>
      <c r="K40" s="5" t="s">
        <v>23</v>
      </c>
      <c r="L40" s="8"/>
    </row>
    <row r="41" spans="1:12" x14ac:dyDescent="0.3">
      <c r="A41" s="3">
        <v>46237</v>
      </c>
      <c r="B41" s="4">
        <v>5</v>
      </c>
      <c r="C41" s="5" t="s">
        <v>32</v>
      </c>
      <c r="D41" s="5" t="s">
        <v>29</v>
      </c>
      <c r="E41" s="4">
        <v>15</v>
      </c>
      <c r="F41" s="4"/>
      <c r="G41" s="6">
        <f t="shared" si="1"/>
        <v>15</v>
      </c>
      <c r="H41" s="7" t="s">
        <v>19</v>
      </c>
      <c r="I41" s="7"/>
      <c r="J41" s="7"/>
      <c r="K41" s="5" t="s">
        <v>33</v>
      </c>
      <c r="L41" s="8"/>
    </row>
    <row r="42" spans="1:12" x14ac:dyDescent="0.3">
      <c r="A42" s="3">
        <v>46237</v>
      </c>
      <c r="B42" s="4">
        <v>6</v>
      </c>
      <c r="C42" s="5" t="s">
        <v>85</v>
      </c>
      <c r="D42" s="5" t="s">
        <v>35</v>
      </c>
      <c r="E42" s="4">
        <v>15</v>
      </c>
      <c r="F42" s="4">
        <v>15</v>
      </c>
      <c r="G42" s="6">
        <f t="shared" si="1"/>
        <v>30</v>
      </c>
      <c r="H42" s="7">
        <v>1506.5</v>
      </c>
      <c r="I42" s="7">
        <v>1570.2</v>
      </c>
      <c r="J42" s="7"/>
      <c r="K42" s="5" t="s">
        <v>75</v>
      </c>
      <c r="L42" s="8" t="s">
        <v>86</v>
      </c>
    </row>
    <row r="43" spans="1:12" x14ac:dyDescent="0.3">
      <c r="A43" s="3">
        <v>46237</v>
      </c>
      <c r="B43" s="4">
        <v>7</v>
      </c>
      <c r="C43" s="5" t="s">
        <v>40</v>
      </c>
      <c r="D43" s="5" t="s">
        <v>35</v>
      </c>
      <c r="E43" s="4">
        <v>20</v>
      </c>
      <c r="F43" s="4"/>
      <c r="G43" s="6">
        <f t="shared" si="1"/>
        <v>20</v>
      </c>
      <c r="H43" s="7">
        <v>7125.3</v>
      </c>
      <c r="I43" s="7"/>
      <c r="J43" s="7"/>
      <c r="K43" s="5" t="s">
        <v>41</v>
      </c>
      <c r="L43" s="8"/>
    </row>
    <row r="44" spans="1:12" x14ac:dyDescent="0.3">
      <c r="A44" s="3">
        <v>46237</v>
      </c>
      <c r="B44" s="4">
        <v>8</v>
      </c>
      <c r="C44" s="5" t="s">
        <v>66</v>
      </c>
      <c r="D44" s="5" t="s">
        <v>52</v>
      </c>
      <c r="E44" s="4">
        <v>10</v>
      </c>
      <c r="F44" s="4"/>
      <c r="G44" s="6">
        <f t="shared" si="1"/>
        <v>10</v>
      </c>
      <c r="H44" s="7" t="s">
        <v>53</v>
      </c>
      <c r="I44" s="7"/>
      <c r="J44" s="7"/>
      <c r="K44" s="5" t="s">
        <v>87</v>
      </c>
      <c r="L44" s="8"/>
    </row>
    <row r="45" spans="1:12" x14ac:dyDescent="0.3">
      <c r="A45" s="3">
        <v>46237</v>
      </c>
      <c r="B45" s="4">
        <v>9</v>
      </c>
      <c r="C45" s="5" t="s">
        <v>56</v>
      </c>
      <c r="D45" s="5" t="s">
        <v>57</v>
      </c>
      <c r="E45" s="4">
        <v>40</v>
      </c>
      <c r="F45" s="4"/>
      <c r="G45" s="6">
        <f t="shared" si="1"/>
        <v>40</v>
      </c>
      <c r="H45" s="7">
        <v>5320.9</v>
      </c>
      <c r="I45" s="7"/>
      <c r="J45" s="7"/>
      <c r="K45" s="5" t="s">
        <v>58</v>
      </c>
      <c r="L45" s="8"/>
    </row>
    <row r="46" spans="1:12" x14ac:dyDescent="0.3">
      <c r="A46" s="3">
        <v>46237</v>
      </c>
      <c r="B46" s="4">
        <v>10</v>
      </c>
      <c r="C46" s="5" t="s">
        <v>51</v>
      </c>
      <c r="D46" s="5" t="s">
        <v>52</v>
      </c>
      <c r="E46" s="4">
        <v>5</v>
      </c>
      <c r="F46" s="4"/>
      <c r="G46" s="6">
        <f t="shared" si="1"/>
        <v>5</v>
      </c>
      <c r="H46" s="7" t="s">
        <v>53</v>
      </c>
      <c r="I46" s="7"/>
      <c r="J46" s="7"/>
      <c r="K46" s="5" t="s">
        <v>88</v>
      </c>
      <c r="L46" s="8"/>
    </row>
    <row r="47" spans="1:12" x14ac:dyDescent="0.3">
      <c r="A47" s="3">
        <v>46237</v>
      </c>
      <c r="B47" s="4">
        <v>11</v>
      </c>
      <c r="C47" s="5" t="s">
        <v>89</v>
      </c>
      <c r="D47" s="5" t="s">
        <v>25</v>
      </c>
      <c r="E47" s="4">
        <v>20</v>
      </c>
      <c r="F47" s="4"/>
      <c r="G47" s="6">
        <f t="shared" si="1"/>
        <v>20</v>
      </c>
      <c r="H47" s="7">
        <v>79858</v>
      </c>
      <c r="I47" s="7"/>
      <c r="J47" s="7"/>
      <c r="K47" s="5" t="s">
        <v>67</v>
      </c>
      <c r="L47" s="8"/>
    </row>
    <row r="48" spans="1:12" x14ac:dyDescent="0.3">
      <c r="A48" s="3">
        <v>46237</v>
      </c>
      <c r="B48" s="4">
        <v>12</v>
      </c>
      <c r="C48" s="5" t="s">
        <v>90</v>
      </c>
      <c r="D48" s="5" t="s">
        <v>91</v>
      </c>
      <c r="E48" s="4">
        <v>10</v>
      </c>
      <c r="F48" s="4"/>
      <c r="G48" s="6">
        <f t="shared" si="1"/>
        <v>10</v>
      </c>
      <c r="H48" s="7">
        <v>343312</v>
      </c>
      <c r="I48" s="7"/>
      <c r="J48" s="7"/>
      <c r="K48" s="5" t="s">
        <v>15</v>
      </c>
      <c r="L48" s="8"/>
    </row>
    <row r="49" spans="1:12" x14ac:dyDescent="0.3">
      <c r="A49" s="3">
        <v>46237</v>
      </c>
      <c r="B49" s="4">
        <v>13</v>
      </c>
      <c r="C49" s="5" t="s">
        <v>92</v>
      </c>
      <c r="D49" s="5" t="s">
        <v>38</v>
      </c>
      <c r="E49" s="4">
        <v>20</v>
      </c>
      <c r="F49" s="4"/>
      <c r="G49" s="6">
        <f t="shared" si="1"/>
        <v>20</v>
      </c>
      <c r="H49" s="7" t="s">
        <v>53</v>
      </c>
      <c r="I49" s="7"/>
      <c r="J49" s="7"/>
      <c r="K49" s="5" t="s">
        <v>80</v>
      </c>
      <c r="L49" s="8" t="s">
        <v>93</v>
      </c>
    </row>
    <row r="50" spans="1:12" x14ac:dyDescent="0.3">
      <c r="A50" s="3">
        <v>46237</v>
      </c>
      <c r="B50" s="4">
        <v>14</v>
      </c>
      <c r="C50" s="5" t="s">
        <v>94</v>
      </c>
      <c r="D50" s="5" t="s">
        <v>95</v>
      </c>
      <c r="E50" s="4">
        <v>10</v>
      </c>
      <c r="F50" s="4"/>
      <c r="G50" s="6">
        <f t="shared" si="1"/>
        <v>10</v>
      </c>
      <c r="H50" s="7" t="s">
        <v>53</v>
      </c>
      <c r="I50" s="7"/>
      <c r="J50" s="7"/>
      <c r="K50" s="5" t="s">
        <v>54</v>
      </c>
      <c r="L50" s="8"/>
    </row>
    <row r="51" spans="1:12" x14ac:dyDescent="0.3">
      <c r="A51" s="3">
        <v>46237</v>
      </c>
      <c r="B51" s="4">
        <v>15</v>
      </c>
      <c r="C51" s="5" t="s">
        <v>96</v>
      </c>
      <c r="D51" s="5" t="s">
        <v>43</v>
      </c>
      <c r="E51" s="4">
        <v>15</v>
      </c>
      <c r="F51" s="4"/>
      <c r="G51" s="6">
        <f t="shared" si="1"/>
        <v>15</v>
      </c>
      <c r="H51" s="7">
        <v>1511</v>
      </c>
      <c r="I51" s="7"/>
      <c r="J51" s="7"/>
      <c r="K51" s="5" t="s">
        <v>44</v>
      </c>
      <c r="L51" s="8" t="s">
        <v>97</v>
      </c>
    </row>
    <row r="52" spans="1:12" x14ac:dyDescent="0.3">
      <c r="A52" s="3">
        <v>46237</v>
      </c>
      <c r="B52" s="4">
        <v>16</v>
      </c>
      <c r="C52" s="5" t="s">
        <v>98</v>
      </c>
      <c r="D52" s="5" t="s">
        <v>99</v>
      </c>
      <c r="E52" s="4">
        <v>20</v>
      </c>
      <c r="F52" s="4"/>
      <c r="G52" s="6">
        <f t="shared" si="1"/>
        <v>20</v>
      </c>
      <c r="H52" s="7" t="s">
        <v>53</v>
      </c>
      <c r="I52" s="7"/>
      <c r="J52" s="7"/>
      <c r="K52" s="5" t="s">
        <v>100</v>
      </c>
      <c r="L52" s="8"/>
    </row>
    <row r="53" spans="1:12" x14ac:dyDescent="0.3">
      <c r="A53" s="15" t="s">
        <v>101</v>
      </c>
      <c r="B53" s="15"/>
      <c r="C53" s="15"/>
      <c r="D53" s="15"/>
      <c r="E53" s="16">
        <f>SUM(E4:E52)</f>
        <v>725</v>
      </c>
      <c r="F53" s="16">
        <f>SUM(F4:F52)</f>
        <v>110</v>
      </c>
      <c r="G53" s="16">
        <f>SUM(G4:G52)</f>
        <v>835</v>
      </c>
      <c r="H53" s="17" t="s">
        <v>102</v>
      </c>
      <c r="I53" s="15"/>
      <c r="J53" s="15"/>
      <c r="K53" s="15"/>
      <c r="L53" s="15"/>
    </row>
  </sheetData>
  <autoFilter ref="A3:L52" xr:uid="{00000000-0009-0000-0000-000000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5" width="15" customWidth="1"/>
    <col min="6" max="6" width="16" customWidth="1"/>
  </cols>
  <sheetData>
    <row r="1" spans="1:6" ht="16.8" x14ac:dyDescent="0.3">
      <c r="A1" s="18" t="s">
        <v>103</v>
      </c>
    </row>
    <row r="3" spans="1:6" ht="30" customHeight="1" x14ac:dyDescent="0.3">
      <c r="A3" s="2" t="s">
        <v>1</v>
      </c>
      <c r="B3" s="2" t="s">
        <v>104</v>
      </c>
      <c r="C3" s="2" t="s">
        <v>105</v>
      </c>
      <c r="D3" s="2" t="s">
        <v>5</v>
      </c>
      <c r="E3" s="2" t="s">
        <v>6</v>
      </c>
      <c r="F3" s="2" t="s">
        <v>7</v>
      </c>
    </row>
    <row r="4" spans="1:6" x14ac:dyDescent="0.3">
      <c r="A4" s="3">
        <v>46235</v>
      </c>
      <c r="B4" s="5" t="str">
        <f>TEXT(A4,"DDDD")</f>
        <v>Saturday</v>
      </c>
      <c r="C4" s="4">
        <f>COUNTIFS('Fuel Log'!$A$4:$A$52,A4)</f>
        <v>15</v>
      </c>
      <c r="D4" s="4">
        <f>SUMIFS('Fuel Log'!$E$4:$E$52,'Fuel Log'!$A$4:$A$52,A4)</f>
        <v>180</v>
      </c>
      <c r="E4" s="4">
        <f>SUMIFS('Fuel Log'!$F$4:$F$52,'Fuel Log'!$A$4:$A$52,A4)</f>
        <v>40</v>
      </c>
      <c r="F4" s="4">
        <f>SUMIFS('Fuel Log'!$G$4:$G$52,'Fuel Log'!$A$4:$A$52,A4)</f>
        <v>220</v>
      </c>
    </row>
    <row r="5" spans="1:6" x14ac:dyDescent="0.3">
      <c r="A5" s="3">
        <v>46236</v>
      </c>
      <c r="B5" s="5" t="str">
        <f>TEXT(A5,"DDDD")</f>
        <v>Sunday</v>
      </c>
      <c r="C5" s="4">
        <f>COUNTIFS('Fuel Log'!$A$4:$A$52,A5)</f>
        <v>18</v>
      </c>
      <c r="D5" s="4">
        <f>SUMIFS('Fuel Log'!$E$4:$E$52,'Fuel Log'!$A$4:$A$52,A5)</f>
        <v>290</v>
      </c>
      <c r="E5" s="4">
        <f>SUMIFS('Fuel Log'!$F$4:$F$52,'Fuel Log'!$A$4:$A$52,A5)</f>
        <v>40</v>
      </c>
      <c r="F5" s="4">
        <f>SUMIFS('Fuel Log'!$G$4:$G$52,'Fuel Log'!$A$4:$A$52,A5)</f>
        <v>330</v>
      </c>
    </row>
    <row r="6" spans="1:6" x14ac:dyDescent="0.3">
      <c r="A6" s="3">
        <v>46237</v>
      </c>
      <c r="B6" s="5" t="str">
        <f>TEXT(A6,"DDDD")</f>
        <v>Monday</v>
      </c>
      <c r="C6" s="4">
        <f>COUNTIFS('Fuel Log'!$A$4:$A$52,A6)</f>
        <v>16</v>
      </c>
      <c r="D6" s="4">
        <f>SUMIFS('Fuel Log'!$E$4:$E$52,'Fuel Log'!$A$4:$A$52,A6)</f>
        <v>255</v>
      </c>
      <c r="E6" s="4">
        <f>SUMIFS('Fuel Log'!$F$4:$F$52,'Fuel Log'!$A$4:$A$52,A6)</f>
        <v>30</v>
      </c>
      <c r="F6" s="4">
        <f>SUMIFS('Fuel Log'!$G$4:$G$52,'Fuel Log'!$A$4:$A$52,A6)</f>
        <v>285</v>
      </c>
    </row>
    <row r="7" spans="1:6" x14ac:dyDescent="0.3">
      <c r="A7" s="15" t="s">
        <v>106</v>
      </c>
      <c r="B7" s="15"/>
      <c r="C7" s="16">
        <f>SUM(C4:C6)</f>
        <v>49</v>
      </c>
      <c r="D7" s="16">
        <f>SUM(D4:D6)</f>
        <v>725</v>
      </c>
      <c r="E7" s="16">
        <f>SUM(E4:E6)</f>
        <v>110</v>
      </c>
      <c r="F7" s="16">
        <f>SUM(F4:F6)</f>
        <v>835</v>
      </c>
    </row>
    <row r="9" spans="1:6" x14ac:dyDescent="0.3">
      <c r="A9" s="19" t="s">
        <v>107</v>
      </c>
    </row>
    <row r="10" spans="1:6" x14ac:dyDescent="0.3">
      <c r="A10" s="19" t="s">
        <v>108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tabSelected="1" zoomScaleNormal="100" workbookViewId="0">
      <pane ySplit="3" topLeftCell="A19" activePane="bottomLeft" state="frozen"/>
      <selection pane="bottomLeft" activeCell="A4" sqref="A4:A32"/>
    </sheetView>
  </sheetViews>
  <sheetFormatPr defaultColWidth="8.6640625" defaultRowHeight="14.4" x14ac:dyDescent="0.3"/>
  <cols>
    <col min="1" max="1" width="15" customWidth="1"/>
    <col min="2" max="2" width="18" customWidth="1"/>
    <col min="3" max="5" width="12" customWidth="1"/>
    <col min="6" max="6" width="16" customWidth="1"/>
    <col min="7" max="7" width="13" customWidth="1"/>
  </cols>
  <sheetData>
    <row r="1" spans="1:7" ht="16.8" x14ac:dyDescent="0.3">
      <c r="A1" s="18" t="s">
        <v>109</v>
      </c>
    </row>
    <row r="3" spans="1:7" ht="30" customHeight="1" x14ac:dyDescent="0.3">
      <c r="A3" s="2" t="s">
        <v>3</v>
      </c>
      <c r="B3" s="2" t="s">
        <v>4</v>
      </c>
      <c r="C3" s="20">
        <v>46235</v>
      </c>
      <c r="D3" s="20">
        <v>46236</v>
      </c>
      <c r="E3" s="20">
        <v>46237</v>
      </c>
      <c r="F3" s="2" t="s">
        <v>7</v>
      </c>
      <c r="G3" s="2" t="s">
        <v>110</v>
      </c>
    </row>
    <row r="4" spans="1:7" x14ac:dyDescent="0.3">
      <c r="A4" s="5" t="s">
        <v>13</v>
      </c>
      <c r="B4" s="5" t="s">
        <v>14</v>
      </c>
      <c r="C4" s="4">
        <f>SUMIFS('Fuel Log'!$G$4:$G$52,'Fuel Log'!$C$4:$C$52,$A4,'Fuel Log'!$A$4:$A$52,C$3)</f>
        <v>15</v>
      </c>
      <c r="D4" s="4">
        <f>SUMIFS('Fuel Log'!$G$4:$G$52,'Fuel Log'!$C$4:$C$52,$A4,'Fuel Log'!$A$4:$A$52,D$3)</f>
        <v>15</v>
      </c>
      <c r="E4" s="4">
        <f>SUMIFS('Fuel Log'!$G$4:$G$52,'Fuel Log'!$C$4:$C$52,$A4,'Fuel Log'!$A$4:$A$52,E$3)</f>
        <v>15</v>
      </c>
      <c r="F4" s="21">
        <f t="shared" ref="F4:F32" si="0">SUM(C4:E4)</f>
        <v>45</v>
      </c>
      <c r="G4" s="4">
        <f>COUNTIFS('Fuel Log'!$C$4:$C$52,$A4)</f>
        <v>3</v>
      </c>
    </row>
    <row r="5" spans="1:7" x14ac:dyDescent="0.3">
      <c r="A5" s="5" t="s">
        <v>90</v>
      </c>
      <c r="B5" s="5" t="s">
        <v>91</v>
      </c>
      <c r="C5" s="4">
        <f>SUMIFS('Fuel Log'!$G$4:$G$52,'Fuel Log'!$C$4:$C$52,$A5,'Fuel Log'!$A$4:$A$52,C$3)</f>
        <v>0</v>
      </c>
      <c r="D5" s="4">
        <f>SUMIFS('Fuel Log'!$G$4:$G$52,'Fuel Log'!$C$4:$C$52,$A5,'Fuel Log'!$A$4:$A$52,D$3)</f>
        <v>0</v>
      </c>
      <c r="E5" s="4">
        <f>SUMIFS('Fuel Log'!$G$4:$G$52,'Fuel Log'!$C$4:$C$52,$A5,'Fuel Log'!$A$4:$A$52,E$3)</f>
        <v>10</v>
      </c>
      <c r="F5" s="21">
        <f t="shared" si="0"/>
        <v>10</v>
      </c>
      <c r="G5" s="4">
        <f>COUNTIFS('Fuel Log'!$C$4:$C$52,$A5)</f>
        <v>1</v>
      </c>
    </row>
    <row r="6" spans="1:7" x14ac:dyDescent="0.3">
      <c r="A6" s="5" t="s">
        <v>98</v>
      </c>
      <c r="B6" s="5" t="s">
        <v>99</v>
      </c>
      <c r="C6" s="4">
        <f>SUMIFS('Fuel Log'!$G$4:$G$52,'Fuel Log'!$C$4:$C$52,$A6,'Fuel Log'!$A$4:$A$52,C$3)</f>
        <v>0</v>
      </c>
      <c r="D6" s="4">
        <f>SUMIFS('Fuel Log'!$G$4:$G$52,'Fuel Log'!$C$4:$C$52,$A6,'Fuel Log'!$A$4:$A$52,D$3)</f>
        <v>0</v>
      </c>
      <c r="E6" s="4">
        <f>SUMIFS('Fuel Log'!$G$4:$G$52,'Fuel Log'!$C$4:$C$52,$A6,'Fuel Log'!$A$4:$A$52,E$3)</f>
        <v>20</v>
      </c>
      <c r="F6" s="21">
        <f t="shared" si="0"/>
        <v>20</v>
      </c>
      <c r="G6" s="4">
        <f>COUNTIFS('Fuel Log'!$C$4:$C$52,$A6)</f>
        <v>1</v>
      </c>
    </row>
    <row r="7" spans="1:7" x14ac:dyDescent="0.3">
      <c r="A7" s="5" t="s">
        <v>96</v>
      </c>
      <c r="B7" s="5" t="s">
        <v>43</v>
      </c>
      <c r="C7" s="4">
        <f>SUMIFS('Fuel Log'!$G$4:$G$52,'Fuel Log'!$C$4:$C$52,$A7,'Fuel Log'!$A$4:$A$52,C$3)</f>
        <v>0</v>
      </c>
      <c r="D7" s="4">
        <f>SUMIFS('Fuel Log'!$G$4:$G$52,'Fuel Log'!$C$4:$C$52,$A7,'Fuel Log'!$A$4:$A$52,D$3)</f>
        <v>0</v>
      </c>
      <c r="E7" s="4">
        <f>SUMIFS('Fuel Log'!$G$4:$G$52,'Fuel Log'!$C$4:$C$52,$A7,'Fuel Log'!$A$4:$A$52,E$3)</f>
        <v>15</v>
      </c>
      <c r="F7" s="21">
        <f t="shared" si="0"/>
        <v>15</v>
      </c>
      <c r="G7" s="4">
        <f>COUNTIFS('Fuel Log'!$C$4:$C$52,$A7)</f>
        <v>1</v>
      </c>
    </row>
    <row r="8" spans="1:7" x14ac:dyDescent="0.3">
      <c r="A8" s="5" t="s">
        <v>94</v>
      </c>
      <c r="B8" s="5" t="s">
        <v>95</v>
      </c>
      <c r="C8" s="4">
        <f>SUMIFS('Fuel Log'!$G$4:$G$52,'Fuel Log'!$C$4:$C$52,$A8,'Fuel Log'!$A$4:$A$52,C$3)</f>
        <v>0</v>
      </c>
      <c r="D8" s="4">
        <f>SUMIFS('Fuel Log'!$G$4:$G$52,'Fuel Log'!$C$4:$C$52,$A8,'Fuel Log'!$A$4:$A$52,D$3)</f>
        <v>0</v>
      </c>
      <c r="E8" s="4">
        <f>SUMIFS('Fuel Log'!$G$4:$G$52,'Fuel Log'!$C$4:$C$52,$A8,'Fuel Log'!$A$4:$A$52,E$3)</f>
        <v>10</v>
      </c>
      <c r="F8" s="21">
        <f t="shared" si="0"/>
        <v>10</v>
      </c>
      <c r="G8" s="4">
        <f>COUNTIFS('Fuel Log'!$C$4:$C$52,$A8)</f>
        <v>1</v>
      </c>
    </row>
    <row r="9" spans="1:7" x14ac:dyDescent="0.3">
      <c r="A9" s="5" t="s">
        <v>89</v>
      </c>
      <c r="B9" s="5" t="s">
        <v>25</v>
      </c>
      <c r="C9" s="4">
        <f>SUMIFS('Fuel Log'!$G$4:$G$52,'Fuel Log'!$C$4:$C$52,$A9,'Fuel Log'!$A$4:$A$52,C$3)</f>
        <v>0</v>
      </c>
      <c r="D9" s="4">
        <f>SUMIFS('Fuel Log'!$G$4:$G$52,'Fuel Log'!$C$4:$C$52,$A9,'Fuel Log'!$A$4:$A$52,D$3)</f>
        <v>0</v>
      </c>
      <c r="E9" s="4">
        <f>SUMIFS('Fuel Log'!$G$4:$G$52,'Fuel Log'!$C$4:$C$52,$A9,'Fuel Log'!$A$4:$A$52,E$3)</f>
        <v>20</v>
      </c>
      <c r="F9" s="21">
        <f t="shared" si="0"/>
        <v>20</v>
      </c>
      <c r="G9" s="4">
        <f>COUNTIFS('Fuel Log'!$C$4:$C$52,$A9)</f>
        <v>1</v>
      </c>
    </row>
    <row r="10" spans="1:7" x14ac:dyDescent="0.3">
      <c r="A10" s="5" t="s">
        <v>51</v>
      </c>
      <c r="B10" s="5" t="s">
        <v>52</v>
      </c>
      <c r="C10" s="4">
        <f>SUMIFS('Fuel Log'!$G$4:$G$52,'Fuel Log'!$C$4:$C$52,$A10,'Fuel Log'!$A$4:$A$52,C$3)</f>
        <v>10</v>
      </c>
      <c r="D10" s="4">
        <f>SUMIFS('Fuel Log'!$G$4:$G$52,'Fuel Log'!$C$4:$C$52,$A10,'Fuel Log'!$A$4:$A$52,D$3)</f>
        <v>0</v>
      </c>
      <c r="E10" s="4">
        <f>SUMIFS('Fuel Log'!$G$4:$G$52,'Fuel Log'!$C$4:$C$52,$A10,'Fuel Log'!$A$4:$A$52,E$3)</f>
        <v>5</v>
      </c>
      <c r="F10" s="21">
        <f t="shared" si="0"/>
        <v>15</v>
      </c>
      <c r="G10" s="4">
        <f>COUNTIFS('Fuel Log'!$C$4:$C$52,$A10)</f>
        <v>2</v>
      </c>
    </row>
    <row r="11" spans="1:7" x14ac:dyDescent="0.3">
      <c r="A11" s="5" t="s">
        <v>66</v>
      </c>
      <c r="B11" s="5" t="s">
        <v>52</v>
      </c>
      <c r="C11" s="4">
        <f>SUMIFS('Fuel Log'!$G$4:$G$52,'Fuel Log'!$C$4:$C$52,$A11,'Fuel Log'!$A$4:$A$52,C$3)</f>
        <v>0</v>
      </c>
      <c r="D11" s="4">
        <f>SUMIFS('Fuel Log'!$G$4:$G$52,'Fuel Log'!$C$4:$C$52,$A11,'Fuel Log'!$A$4:$A$52,D$3)</f>
        <v>10</v>
      </c>
      <c r="E11" s="4">
        <f>SUMIFS('Fuel Log'!$G$4:$G$52,'Fuel Log'!$C$4:$C$52,$A11,'Fuel Log'!$A$4:$A$52,E$3)</f>
        <v>10</v>
      </c>
      <c r="F11" s="21">
        <f t="shared" si="0"/>
        <v>20</v>
      </c>
      <c r="G11" s="4">
        <f>COUNTIFS('Fuel Log'!$C$4:$C$52,$A11)</f>
        <v>2</v>
      </c>
    </row>
    <row r="12" spans="1:7" x14ac:dyDescent="0.3">
      <c r="A12" s="5" t="s">
        <v>56</v>
      </c>
      <c r="B12" s="5" t="s">
        <v>57</v>
      </c>
      <c r="C12" s="4">
        <f>SUMIFS('Fuel Log'!$G$4:$G$52,'Fuel Log'!$C$4:$C$52,$A12,'Fuel Log'!$A$4:$A$52,C$3)</f>
        <v>20</v>
      </c>
      <c r="D12" s="4">
        <f>SUMIFS('Fuel Log'!$G$4:$G$52,'Fuel Log'!$C$4:$C$52,$A12,'Fuel Log'!$A$4:$A$52,D$3)</f>
        <v>50</v>
      </c>
      <c r="E12" s="4">
        <f>SUMIFS('Fuel Log'!$G$4:$G$52,'Fuel Log'!$C$4:$C$52,$A12,'Fuel Log'!$A$4:$A$52,E$3)</f>
        <v>40</v>
      </c>
      <c r="F12" s="21">
        <f t="shared" si="0"/>
        <v>110</v>
      </c>
      <c r="G12" s="4">
        <f>COUNTIFS('Fuel Log'!$C$4:$C$52,$A12)</f>
        <v>3</v>
      </c>
    </row>
    <row r="13" spans="1:7" x14ac:dyDescent="0.3">
      <c r="A13" s="5" t="s">
        <v>70</v>
      </c>
      <c r="B13" s="5" t="s">
        <v>71</v>
      </c>
      <c r="C13" s="4">
        <f>SUMIFS('Fuel Log'!$G$4:$G$52,'Fuel Log'!$C$4:$C$52,$A13,'Fuel Log'!$A$4:$A$52,C$3)</f>
        <v>0</v>
      </c>
      <c r="D13" s="4">
        <f>SUMIFS('Fuel Log'!$G$4:$G$52,'Fuel Log'!$C$4:$C$52,$A13,'Fuel Log'!$A$4:$A$52,D$3)</f>
        <v>25</v>
      </c>
      <c r="E13" s="4">
        <f>SUMIFS('Fuel Log'!$G$4:$G$52,'Fuel Log'!$C$4:$C$52,$A13,'Fuel Log'!$A$4:$A$52,E$3)</f>
        <v>0</v>
      </c>
      <c r="F13" s="21">
        <f t="shared" si="0"/>
        <v>25</v>
      </c>
      <c r="G13" s="4">
        <f>COUNTIFS('Fuel Log'!$C$4:$C$52,$A13)</f>
        <v>1</v>
      </c>
    </row>
    <row r="14" spans="1:7" x14ac:dyDescent="0.3">
      <c r="A14" s="5" t="s">
        <v>32</v>
      </c>
      <c r="B14" s="5" t="s">
        <v>29</v>
      </c>
      <c r="C14" s="4">
        <f>SUMIFS('Fuel Log'!$G$4:$G$52,'Fuel Log'!$C$4:$C$52,$A14,'Fuel Log'!$A$4:$A$52,C$3)</f>
        <v>10</v>
      </c>
      <c r="D14" s="4">
        <f>SUMIFS('Fuel Log'!$G$4:$G$52,'Fuel Log'!$C$4:$C$52,$A14,'Fuel Log'!$A$4:$A$52,D$3)</f>
        <v>10</v>
      </c>
      <c r="E14" s="4">
        <f>SUMIFS('Fuel Log'!$G$4:$G$52,'Fuel Log'!$C$4:$C$52,$A14,'Fuel Log'!$A$4:$A$52,E$3)</f>
        <v>15</v>
      </c>
      <c r="F14" s="21">
        <f t="shared" si="0"/>
        <v>35</v>
      </c>
      <c r="G14" s="4">
        <f>COUNTIFS('Fuel Log'!$C$4:$C$52,$A14)</f>
        <v>3</v>
      </c>
    </row>
    <row r="15" spans="1:7" x14ac:dyDescent="0.3">
      <c r="A15" s="5" t="s">
        <v>60</v>
      </c>
      <c r="B15" s="5" t="s">
        <v>18</v>
      </c>
      <c r="C15" s="4">
        <f>SUMIFS('Fuel Log'!$G$4:$G$52,'Fuel Log'!$C$4:$C$52,$A15,'Fuel Log'!$A$4:$A$52,C$3)</f>
        <v>25</v>
      </c>
      <c r="D15" s="4">
        <f>SUMIFS('Fuel Log'!$G$4:$G$52,'Fuel Log'!$C$4:$C$52,$A15,'Fuel Log'!$A$4:$A$52,D$3)</f>
        <v>25</v>
      </c>
      <c r="E15" s="4">
        <f>SUMIFS('Fuel Log'!$G$4:$G$52,'Fuel Log'!$C$4:$C$52,$A15,'Fuel Log'!$A$4:$A$52,E$3)</f>
        <v>0</v>
      </c>
      <c r="F15" s="21">
        <f t="shared" si="0"/>
        <v>50</v>
      </c>
      <c r="G15" s="4">
        <f>COUNTIFS('Fuel Log'!$C$4:$C$52,$A15)</f>
        <v>2</v>
      </c>
    </row>
    <row r="16" spans="1:7" x14ac:dyDescent="0.3">
      <c r="A16" s="5" t="s">
        <v>63</v>
      </c>
      <c r="B16" s="5" t="s">
        <v>22</v>
      </c>
      <c r="C16" s="4">
        <f>SUMIFS('Fuel Log'!$G$4:$G$52,'Fuel Log'!$C$4:$C$52,$A16,'Fuel Log'!$A$4:$A$52,C$3)</f>
        <v>0</v>
      </c>
      <c r="D16" s="4">
        <f>SUMIFS('Fuel Log'!$G$4:$G$52,'Fuel Log'!$C$4:$C$52,$A16,'Fuel Log'!$A$4:$A$52,D$3)</f>
        <v>15</v>
      </c>
      <c r="E16" s="4">
        <f>SUMIFS('Fuel Log'!$G$4:$G$52,'Fuel Log'!$C$4:$C$52,$A16,'Fuel Log'!$A$4:$A$52,E$3)</f>
        <v>0</v>
      </c>
      <c r="F16" s="21">
        <f t="shared" si="0"/>
        <v>15</v>
      </c>
      <c r="G16" s="4">
        <f>COUNTIFS('Fuel Log'!$C$4:$C$52,$A16)</f>
        <v>1</v>
      </c>
    </row>
    <row r="17" spans="1:7" x14ac:dyDescent="0.3">
      <c r="A17" s="5" t="s">
        <v>21</v>
      </c>
      <c r="B17" s="5" t="s">
        <v>22</v>
      </c>
      <c r="C17" s="4">
        <f>SUMIFS('Fuel Log'!$G$4:$G$52,'Fuel Log'!$C$4:$C$52,$A17,'Fuel Log'!$A$4:$A$52,C$3)</f>
        <v>10</v>
      </c>
      <c r="D17" s="4">
        <f>SUMIFS('Fuel Log'!$G$4:$G$52,'Fuel Log'!$C$4:$C$52,$A17,'Fuel Log'!$A$4:$A$52,D$3)</f>
        <v>0</v>
      </c>
      <c r="E17" s="4">
        <f>SUMIFS('Fuel Log'!$G$4:$G$52,'Fuel Log'!$C$4:$C$52,$A17,'Fuel Log'!$A$4:$A$52,E$3)</f>
        <v>20</v>
      </c>
      <c r="F17" s="21">
        <f t="shared" si="0"/>
        <v>30</v>
      </c>
      <c r="G17" s="4">
        <f>COUNTIFS('Fuel Log'!$C$4:$C$52,$A17)</f>
        <v>2</v>
      </c>
    </row>
    <row r="18" spans="1:7" x14ac:dyDescent="0.3">
      <c r="A18" s="5" t="s">
        <v>82</v>
      </c>
      <c r="B18" s="5"/>
      <c r="C18" s="4">
        <f>SUMIFS('Fuel Log'!$G$4:$G$52,'Fuel Log'!$C$4:$C$52,$A18,'Fuel Log'!$A$4:$A$52,C$3)</f>
        <v>0</v>
      </c>
      <c r="D18" s="4">
        <f>SUMIFS('Fuel Log'!$G$4:$G$52,'Fuel Log'!$C$4:$C$52,$A18,'Fuel Log'!$A$4:$A$52,D$3)</f>
        <v>20</v>
      </c>
      <c r="E18" s="4">
        <f>SUMIFS('Fuel Log'!$G$4:$G$52,'Fuel Log'!$C$4:$C$52,$A18,'Fuel Log'!$A$4:$A$52,E$3)</f>
        <v>0</v>
      </c>
      <c r="F18" s="21">
        <f t="shared" si="0"/>
        <v>20</v>
      </c>
      <c r="G18" s="4">
        <f>COUNTIFS('Fuel Log'!$C$4:$C$52,$A18)</f>
        <v>1</v>
      </c>
    </row>
    <row r="19" spans="1:7" x14ac:dyDescent="0.3">
      <c r="A19" s="5" t="s">
        <v>28</v>
      </c>
      <c r="B19" s="5" t="s">
        <v>29</v>
      </c>
      <c r="C19" s="4">
        <f>SUMIFS('Fuel Log'!$G$4:$G$52,'Fuel Log'!$C$4:$C$52,$A19,'Fuel Log'!$A$4:$A$52,C$3)</f>
        <v>20</v>
      </c>
      <c r="D19" s="4">
        <f>SUMIFS('Fuel Log'!$G$4:$G$52,'Fuel Log'!$C$4:$C$52,$A19,'Fuel Log'!$A$4:$A$52,D$3)</f>
        <v>15</v>
      </c>
      <c r="E19" s="4">
        <f>SUMIFS('Fuel Log'!$G$4:$G$52,'Fuel Log'!$C$4:$C$52,$A19,'Fuel Log'!$A$4:$A$52,E$3)</f>
        <v>0</v>
      </c>
      <c r="F19" s="21">
        <f t="shared" si="0"/>
        <v>35</v>
      </c>
      <c r="G19" s="4">
        <f>COUNTIFS('Fuel Log'!$C$4:$C$52,$A19)</f>
        <v>2</v>
      </c>
    </row>
    <row r="20" spans="1:7" x14ac:dyDescent="0.3">
      <c r="A20" s="5" t="s">
        <v>17</v>
      </c>
      <c r="B20" s="5" t="s">
        <v>18</v>
      </c>
      <c r="C20" s="4">
        <f>SUMIFS('Fuel Log'!$G$4:$G$52,'Fuel Log'!$C$4:$C$52,$A20,'Fuel Log'!$A$4:$A$52,C$3)</f>
        <v>15</v>
      </c>
      <c r="D20" s="4">
        <f>SUMIFS('Fuel Log'!$G$4:$G$52,'Fuel Log'!$C$4:$C$52,$A20,'Fuel Log'!$A$4:$A$52,D$3)</f>
        <v>25</v>
      </c>
      <c r="E20" s="4">
        <f>SUMIFS('Fuel Log'!$G$4:$G$52,'Fuel Log'!$C$4:$C$52,$A20,'Fuel Log'!$A$4:$A$52,E$3)</f>
        <v>25</v>
      </c>
      <c r="F20" s="21">
        <f t="shared" si="0"/>
        <v>65</v>
      </c>
      <c r="G20" s="4">
        <f>COUNTIFS('Fuel Log'!$C$4:$C$52,$A20)</f>
        <v>3</v>
      </c>
    </row>
    <row r="21" spans="1:7" x14ac:dyDescent="0.3">
      <c r="A21" s="5" t="s">
        <v>49</v>
      </c>
      <c r="B21" s="5" t="s">
        <v>50</v>
      </c>
      <c r="C21" s="4">
        <f>SUMIFS('Fuel Log'!$G$4:$G$52,'Fuel Log'!$C$4:$C$52,$A21,'Fuel Log'!$A$4:$A$52,C$3)</f>
        <v>15</v>
      </c>
      <c r="D21" s="4">
        <f>SUMIFS('Fuel Log'!$G$4:$G$52,'Fuel Log'!$C$4:$C$52,$A21,'Fuel Log'!$A$4:$A$52,D$3)</f>
        <v>0</v>
      </c>
      <c r="E21" s="4">
        <f>SUMIFS('Fuel Log'!$G$4:$G$52,'Fuel Log'!$C$4:$C$52,$A21,'Fuel Log'!$A$4:$A$52,E$3)</f>
        <v>0</v>
      </c>
      <c r="F21" s="21">
        <f t="shared" si="0"/>
        <v>15</v>
      </c>
      <c r="G21" s="4">
        <f>COUNTIFS('Fuel Log'!$C$4:$C$52,$A21)</f>
        <v>1</v>
      </c>
    </row>
    <row r="22" spans="1:7" x14ac:dyDescent="0.3">
      <c r="A22" s="5" t="s">
        <v>24</v>
      </c>
      <c r="B22" s="5" t="s">
        <v>25</v>
      </c>
      <c r="C22" s="4">
        <f>SUMIFS('Fuel Log'!$G$4:$G$52,'Fuel Log'!$C$4:$C$52,$A22,'Fuel Log'!$A$4:$A$52,C$3)</f>
        <v>10</v>
      </c>
      <c r="D22" s="4">
        <f>SUMIFS('Fuel Log'!$G$4:$G$52,'Fuel Log'!$C$4:$C$52,$A22,'Fuel Log'!$A$4:$A$52,D$3)</f>
        <v>20</v>
      </c>
      <c r="E22" s="4">
        <f>SUMIFS('Fuel Log'!$G$4:$G$52,'Fuel Log'!$C$4:$C$52,$A22,'Fuel Log'!$A$4:$A$52,E$3)</f>
        <v>10</v>
      </c>
      <c r="F22" s="21">
        <f t="shared" si="0"/>
        <v>40</v>
      </c>
      <c r="G22" s="4">
        <f>COUNTIFS('Fuel Log'!$C$4:$C$52,$A22)</f>
        <v>3</v>
      </c>
    </row>
    <row r="23" spans="1:7" x14ac:dyDescent="0.3">
      <c r="A23" s="5" t="s">
        <v>37</v>
      </c>
      <c r="B23" s="5" t="s">
        <v>38</v>
      </c>
      <c r="C23" s="4">
        <f>SUMIFS('Fuel Log'!$G$4:$G$52,'Fuel Log'!$C$4:$C$52,$A23,'Fuel Log'!$A$4:$A$52,C$3)</f>
        <v>10</v>
      </c>
      <c r="D23" s="4">
        <f>SUMIFS('Fuel Log'!$G$4:$G$52,'Fuel Log'!$C$4:$C$52,$A23,'Fuel Log'!$A$4:$A$52,D$3)</f>
        <v>0</v>
      </c>
      <c r="E23" s="4">
        <f>SUMIFS('Fuel Log'!$G$4:$G$52,'Fuel Log'!$C$4:$C$52,$A23,'Fuel Log'!$A$4:$A$52,E$3)</f>
        <v>0</v>
      </c>
      <c r="F23" s="21">
        <f t="shared" si="0"/>
        <v>10</v>
      </c>
      <c r="G23" s="4">
        <f>COUNTIFS('Fuel Log'!$C$4:$C$52,$A23)</f>
        <v>1</v>
      </c>
    </row>
    <row r="24" spans="1:7" x14ac:dyDescent="0.3">
      <c r="A24" s="5" t="s">
        <v>92</v>
      </c>
      <c r="B24" s="5" t="s">
        <v>38</v>
      </c>
      <c r="C24" s="4">
        <f>SUMIFS('Fuel Log'!$G$4:$G$52,'Fuel Log'!$C$4:$C$52,$A24,'Fuel Log'!$A$4:$A$52,C$3)</f>
        <v>0</v>
      </c>
      <c r="D24" s="4">
        <f>SUMIFS('Fuel Log'!$G$4:$G$52,'Fuel Log'!$C$4:$C$52,$A24,'Fuel Log'!$A$4:$A$52,D$3)</f>
        <v>0</v>
      </c>
      <c r="E24" s="4">
        <f>SUMIFS('Fuel Log'!$G$4:$G$52,'Fuel Log'!$C$4:$C$52,$A24,'Fuel Log'!$A$4:$A$52,E$3)</f>
        <v>20</v>
      </c>
      <c r="F24" s="21">
        <f t="shared" si="0"/>
        <v>20</v>
      </c>
      <c r="G24" s="4">
        <f>COUNTIFS('Fuel Log'!$C$4:$C$52,$A24)</f>
        <v>1</v>
      </c>
    </row>
    <row r="25" spans="1:7" x14ac:dyDescent="0.3">
      <c r="A25" s="5" t="s">
        <v>42</v>
      </c>
      <c r="B25" s="5" t="s">
        <v>43</v>
      </c>
      <c r="C25" s="4">
        <f>SUMIFS('Fuel Log'!$G$4:$G$52,'Fuel Log'!$C$4:$C$52,$A25,'Fuel Log'!$A$4:$A$52,C$3)</f>
        <v>15</v>
      </c>
      <c r="D25" s="4">
        <f>SUMIFS('Fuel Log'!$G$4:$G$52,'Fuel Log'!$C$4:$C$52,$A25,'Fuel Log'!$A$4:$A$52,D$3)</f>
        <v>15</v>
      </c>
      <c r="E25" s="4">
        <f>SUMIFS('Fuel Log'!$G$4:$G$52,'Fuel Log'!$C$4:$C$52,$A25,'Fuel Log'!$A$4:$A$52,E$3)</f>
        <v>0</v>
      </c>
      <c r="F25" s="21">
        <f t="shared" si="0"/>
        <v>30</v>
      </c>
      <c r="G25" s="4">
        <f>COUNTIFS('Fuel Log'!$C$4:$C$52,$A25)</f>
        <v>2</v>
      </c>
    </row>
    <row r="26" spans="1:7" x14ac:dyDescent="0.3">
      <c r="A26" s="5" t="s">
        <v>78</v>
      </c>
      <c r="B26" s="5" t="s">
        <v>79</v>
      </c>
      <c r="C26" s="4">
        <f>SUMIFS('Fuel Log'!$G$4:$G$52,'Fuel Log'!$C$4:$C$52,$A26,'Fuel Log'!$A$4:$A$52,C$3)</f>
        <v>0</v>
      </c>
      <c r="D26" s="4">
        <f>SUMIFS('Fuel Log'!$G$4:$G$52,'Fuel Log'!$C$4:$C$52,$A26,'Fuel Log'!$A$4:$A$52,D$3)</f>
        <v>15</v>
      </c>
      <c r="E26" s="4">
        <f>SUMIFS('Fuel Log'!$G$4:$G$52,'Fuel Log'!$C$4:$C$52,$A26,'Fuel Log'!$A$4:$A$52,E$3)</f>
        <v>0</v>
      </c>
      <c r="F26" s="21">
        <f t="shared" si="0"/>
        <v>15</v>
      </c>
      <c r="G26" s="4">
        <f>COUNTIFS('Fuel Log'!$C$4:$C$52,$A26)</f>
        <v>1</v>
      </c>
    </row>
    <row r="27" spans="1:7" x14ac:dyDescent="0.3">
      <c r="A27" s="5" t="s">
        <v>45</v>
      </c>
      <c r="B27" s="5" t="s">
        <v>46</v>
      </c>
      <c r="C27" s="4">
        <f>SUMIFS('Fuel Log'!$G$4:$G$52,'Fuel Log'!$C$4:$C$52,$A27,'Fuel Log'!$A$4:$A$52,C$3)</f>
        <v>5</v>
      </c>
      <c r="D27" s="4">
        <f>SUMIFS('Fuel Log'!$G$4:$G$52,'Fuel Log'!$C$4:$C$52,$A27,'Fuel Log'!$A$4:$A$52,D$3)</f>
        <v>5</v>
      </c>
      <c r="E27" s="4">
        <f>SUMIFS('Fuel Log'!$G$4:$G$52,'Fuel Log'!$C$4:$C$52,$A27,'Fuel Log'!$A$4:$A$52,E$3)</f>
        <v>0</v>
      </c>
      <c r="F27" s="21">
        <f t="shared" si="0"/>
        <v>10</v>
      </c>
      <c r="G27" s="4">
        <f>COUNTIFS('Fuel Log'!$C$4:$C$52,$A27)</f>
        <v>2</v>
      </c>
    </row>
    <row r="28" spans="1:7" x14ac:dyDescent="0.3">
      <c r="A28" s="5" t="s">
        <v>76</v>
      </c>
      <c r="B28" s="5"/>
      <c r="C28" s="4">
        <f>SUMIFS('Fuel Log'!$G$4:$G$52,'Fuel Log'!$C$4:$C$52,$A28,'Fuel Log'!$A$4:$A$52,C$3)</f>
        <v>0</v>
      </c>
      <c r="D28" s="4">
        <f>SUMIFS('Fuel Log'!$G$4:$G$52,'Fuel Log'!$C$4:$C$52,$A28,'Fuel Log'!$A$4:$A$52,D$3)</f>
        <v>20</v>
      </c>
      <c r="E28" s="4">
        <f>SUMIFS('Fuel Log'!$G$4:$G$52,'Fuel Log'!$C$4:$C$52,$A28,'Fuel Log'!$A$4:$A$52,E$3)</f>
        <v>0</v>
      </c>
      <c r="F28" s="21">
        <f t="shared" si="0"/>
        <v>20</v>
      </c>
      <c r="G28" s="4">
        <f>COUNTIFS('Fuel Log'!$C$4:$C$52,$A28)</f>
        <v>1</v>
      </c>
    </row>
    <row r="29" spans="1:7" x14ac:dyDescent="0.3">
      <c r="A29" s="5" t="s">
        <v>85</v>
      </c>
      <c r="B29" s="5" t="s">
        <v>35</v>
      </c>
      <c r="C29" s="4">
        <f>SUMIFS('Fuel Log'!$G$4:$G$52,'Fuel Log'!$C$4:$C$52,$A29,'Fuel Log'!$A$4:$A$52,C$3)</f>
        <v>0</v>
      </c>
      <c r="D29" s="4">
        <f>SUMIFS('Fuel Log'!$G$4:$G$52,'Fuel Log'!$C$4:$C$52,$A29,'Fuel Log'!$A$4:$A$52,D$3)</f>
        <v>0</v>
      </c>
      <c r="E29" s="4">
        <f>SUMIFS('Fuel Log'!$G$4:$G$52,'Fuel Log'!$C$4:$C$52,$A29,'Fuel Log'!$A$4:$A$52,E$3)</f>
        <v>30</v>
      </c>
      <c r="F29" s="21">
        <f t="shared" si="0"/>
        <v>30</v>
      </c>
      <c r="G29" s="4">
        <f>COUNTIFS('Fuel Log'!$C$4:$C$52,$A29)</f>
        <v>1</v>
      </c>
    </row>
    <row r="30" spans="1:7" x14ac:dyDescent="0.3">
      <c r="A30" s="5" t="s">
        <v>34</v>
      </c>
      <c r="B30" s="5" t="s">
        <v>35</v>
      </c>
      <c r="C30" s="4">
        <f>SUMIFS('Fuel Log'!$G$4:$G$52,'Fuel Log'!$C$4:$C$52,$A30,'Fuel Log'!$A$4:$A$52,C$3)</f>
        <v>15</v>
      </c>
      <c r="D30" s="4">
        <f>SUMIFS('Fuel Log'!$G$4:$G$52,'Fuel Log'!$C$4:$C$52,$A30,'Fuel Log'!$A$4:$A$52,D$3)</f>
        <v>10</v>
      </c>
      <c r="E30" s="4">
        <f>SUMIFS('Fuel Log'!$G$4:$G$52,'Fuel Log'!$C$4:$C$52,$A30,'Fuel Log'!$A$4:$A$52,E$3)</f>
        <v>0</v>
      </c>
      <c r="F30" s="21">
        <f t="shared" si="0"/>
        <v>25</v>
      </c>
      <c r="G30" s="4">
        <f>COUNTIFS('Fuel Log'!$C$4:$C$52,$A30)</f>
        <v>2</v>
      </c>
    </row>
    <row r="31" spans="1:7" x14ac:dyDescent="0.3">
      <c r="A31" s="5" t="s">
        <v>74</v>
      </c>
      <c r="B31" s="5" t="s">
        <v>35</v>
      </c>
      <c r="C31" s="4">
        <f>SUMIFS('Fuel Log'!$G$4:$G$52,'Fuel Log'!$C$4:$C$52,$A31,'Fuel Log'!$A$4:$A$52,C$3)</f>
        <v>0</v>
      </c>
      <c r="D31" s="4">
        <f>SUMIFS('Fuel Log'!$G$4:$G$52,'Fuel Log'!$C$4:$C$52,$A31,'Fuel Log'!$A$4:$A$52,D$3)</f>
        <v>5</v>
      </c>
      <c r="E31" s="4">
        <f>SUMIFS('Fuel Log'!$G$4:$G$52,'Fuel Log'!$C$4:$C$52,$A31,'Fuel Log'!$A$4:$A$52,E$3)</f>
        <v>0</v>
      </c>
      <c r="F31" s="21">
        <f t="shared" si="0"/>
        <v>5</v>
      </c>
      <c r="G31" s="4">
        <f>COUNTIFS('Fuel Log'!$C$4:$C$52,$A31)</f>
        <v>1</v>
      </c>
    </row>
    <row r="32" spans="1:7" x14ac:dyDescent="0.3">
      <c r="A32" s="5" t="s">
        <v>40</v>
      </c>
      <c r="B32" s="5" t="s">
        <v>35</v>
      </c>
      <c r="C32" s="4">
        <f>SUMIFS('Fuel Log'!$G$4:$G$52,'Fuel Log'!$C$4:$C$52,$A32,'Fuel Log'!$A$4:$A$52,C$3)</f>
        <v>25</v>
      </c>
      <c r="D32" s="4">
        <f>SUMIFS('Fuel Log'!$G$4:$G$52,'Fuel Log'!$C$4:$C$52,$A32,'Fuel Log'!$A$4:$A$52,D$3)</f>
        <v>30</v>
      </c>
      <c r="E32" s="4">
        <f>SUMIFS('Fuel Log'!$G$4:$G$52,'Fuel Log'!$C$4:$C$52,$A32,'Fuel Log'!$A$4:$A$52,E$3)</f>
        <v>20</v>
      </c>
      <c r="F32" s="21">
        <f t="shared" si="0"/>
        <v>75</v>
      </c>
      <c r="G32" s="4">
        <f>COUNTIFS('Fuel Log'!$C$4:$C$52,$A32)</f>
        <v>3</v>
      </c>
    </row>
    <row r="33" spans="1:7" x14ac:dyDescent="0.3">
      <c r="A33" s="15" t="s">
        <v>106</v>
      </c>
      <c r="B33" s="15"/>
      <c r="C33" s="16">
        <f>SUM(C4:C32)</f>
        <v>220</v>
      </c>
      <c r="D33" s="16">
        <f>SUM(D4:D32)</f>
        <v>330</v>
      </c>
      <c r="E33" s="16">
        <f>SUM(E4:E32)</f>
        <v>285</v>
      </c>
      <c r="F33" s="16">
        <f>SUM(F4:F32)</f>
        <v>835</v>
      </c>
      <c r="G33" s="16">
        <f>SUM(G4:G32)</f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105" customWidth="1"/>
  </cols>
  <sheetData>
    <row r="1" spans="1:2" ht="16.8" x14ac:dyDescent="0.3">
      <c r="A1" s="18" t="s">
        <v>111</v>
      </c>
    </row>
    <row r="3" spans="1:2" x14ac:dyDescent="0.3">
      <c r="A3" s="22" t="s">
        <v>112</v>
      </c>
      <c r="B3" s="22" t="s">
        <v>113</v>
      </c>
    </row>
    <row r="4" spans="1:2" ht="30" customHeight="1" x14ac:dyDescent="0.3">
      <c r="A4" s="23" t="s">
        <v>114</v>
      </c>
      <c r="B4" s="24" t="s">
        <v>115</v>
      </c>
    </row>
    <row r="5" spans="1:2" ht="30" customHeight="1" x14ac:dyDescent="0.3">
      <c r="A5" s="23" t="s">
        <v>116</v>
      </c>
      <c r="B5" s="24" t="s">
        <v>117</v>
      </c>
    </row>
    <row r="6" spans="1:2" ht="30" customHeight="1" x14ac:dyDescent="0.3">
      <c r="A6" s="23" t="s">
        <v>118</v>
      </c>
      <c r="B6" s="24" t="s">
        <v>119</v>
      </c>
    </row>
    <row r="7" spans="1:2" ht="30" customHeight="1" x14ac:dyDescent="0.3">
      <c r="A7" s="23" t="s">
        <v>120</v>
      </c>
      <c r="B7" s="24" t="s">
        <v>121</v>
      </c>
    </row>
    <row r="8" spans="1:2" ht="30" customHeight="1" x14ac:dyDescent="0.3">
      <c r="A8" s="23" t="s">
        <v>122</v>
      </c>
      <c r="B8" s="24" t="s">
        <v>123</v>
      </c>
    </row>
    <row r="9" spans="1:2" ht="30" customHeight="1" x14ac:dyDescent="0.3">
      <c r="A9" s="23" t="s">
        <v>124</v>
      </c>
      <c r="B9" s="24" t="s">
        <v>125</v>
      </c>
    </row>
    <row r="10" spans="1:2" ht="30" customHeight="1" x14ac:dyDescent="0.3">
      <c r="A10" s="23" t="s">
        <v>126</v>
      </c>
      <c r="B10" s="24" t="s">
        <v>127</v>
      </c>
    </row>
    <row r="11" spans="1:2" ht="30" customHeight="1" x14ac:dyDescent="0.3">
      <c r="A11" s="23" t="s">
        <v>128</v>
      </c>
      <c r="B11" s="24" t="s">
        <v>129</v>
      </c>
    </row>
    <row r="12" spans="1:2" ht="30" customHeight="1" x14ac:dyDescent="0.3">
      <c r="A12" s="23" t="s">
        <v>130</v>
      </c>
      <c r="B12" s="24" t="s">
        <v>131</v>
      </c>
    </row>
    <row r="13" spans="1:2" ht="30" customHeight="1" x14ac:dyDescent="0.3">
      <c r="A13" s="23" t="s">
        <v>132</v>
      </c>
      <c r="B13" s="24" t="s">
        <v>133</v>
      </c>
    </row>
    <row r="14" spans="1:2" ht="30" customHeight="1" x14ac:dyDescent="0.3">
      <c r="A14" s="23" t="s">
        <v>134</v>
      </c>
      <c r="B14" s="24" t="s">
        <v>135</v>
      </c>
    </row>
    <row r="15" spans="1:2" ht="30" customHeight="1" x14ac:dyDescent="0.3">
      <c r="A15" s="23" t="s">
        <v>136</v>
      </c>
      <c r="B15" s="24" t="s">
        <v>137</v>
      </c>
    </row>
    <row r="16" spans="1:2" ht="30" customHeight="1" x14ac:dyDescent="0.3">
      <c r="A16" s="23" t="s">
        <v>138</v>
      </c>
      <c r="B16" s="24" t="s">
        <v>139</v>
      </c>
    </row>
    <row r="17" spans="1:2" ht="30" customHeight="1" x14ac:dyDescent="0.3">
      <c r="A17" s="23" t="s">
        <v>140</v>
      </c>
      <c r="B17" s="24" t="s">
        <v>141</v>
      </c>
    </row>
    <row r="18" spans="1:2" ht="30" customHeight="1" x14ac:dyDescent="0.3">
      <c r="A18" s="23" t="s">
        <v>142</v>
      </c>
      <c r="B18" s="24" t="s">
        <v>143</v>
      </c>
    </row>
    <row r="19" spans="1:2" ht="30" customHeight="1" x14ac:dyDescent="0.3">
      <c r="A19" s="23" t="s">
        <v>144</v>
      </c>
      <c r="B19" s="24" t="s">
        <v>145</v>
      </c>
    </row>
    <row r="20" spans="1:2" ht="30" customHeight="1" x14ac:dyDescent="0.3">
      <c r="A20" s="23" t="s">
        <v>146</v>
      </c>
      <c r="B20" s="24" t="s">
        <v>147</v>
      </c>
    </row>
    <row r="21" spans="1:2" ht="30" customHeight="1" x14ac:dyDescent="0.3">
      <c r="A21" s="23" t="s">
        <v>148</v>
      </c>
      <c r="B21" s="24" t="s">
        <v>149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Fuel Log</vt:lpstr>
      <vt:lpstr>Daily Summary</vt:lpstr>
      <vt:lpstr>Vehicle Summary</vt:lpstr>
      <vt:lpstr>Transcription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2026-08-07T11:13:26Z</dcterms:created>
  <dcterms:modified xsi:type="dcterms:W3CDTF">2026-08-07T11:18:48Z</dcterms:modified>
  <dc:language>en-US</dc:language>
</cp:coreProperties>
</file>