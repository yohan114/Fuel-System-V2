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15545C9D-AB46-4044-BD00-B5DF79F13A15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January 2026" sheetId="1" r:id="rId1"/>
    <sheet name="February 2026" sheetId="3" r:id="rId2"/>
    <sheet name="March 2026" sheetId="4" r:id="rId3"/>
    <sheet name="April 2026" sheetId="5" r:id="rId4"/>
    <sheet name="may2026" sheetId="6" r:id="rId5"/>
    <sheet name="June 2026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2" i="8" l="1"/>
  <c r="AK17" i="8"/>
  <c r="AC13" i="8"/>
  <c r="AP5" i="8" l="1"/>
  <c r="E52" i="8"/>
  <c r="AT51" i="8"/>
  <c r="AS44" i="8"/>
  <c r="AM44" i="8"/>
  <c r="AL44" i="8"/>
  <c r="AJ44" i="8"/>
  <c r="AJ48" i="8" s="1"/>
  <c r="AI44" i="8"/>
  <c r="AI48" i="8" s="1"/>
  <c r="AH44" i="8"/>
  <c r="AH48" i="8" s="1"/>
  <c r="AG44" i="8"/>
  <c r="AG48" i="8" s="1"/>
  <c r="AF44" i="8"/>
  <c r="AF48" i="8" s="1"/>
  <c r="AE44" i="8"/>
  <c r="AE48" i="8" s="1"/>
  <c r="AD44" i="8"/>
  <c r="AD48" i="8" s="1"/>
  <c r="AC44" i="8"/>
  <c r="AC48" i="8" s="1"/>
  <c r="AB44" i="8"/>
  <c r="AB48" i="8" s="1"/>
  <c r="AA44" i="8"/>
  <c r="AA48" i="8" s="1"/>
  <c r="Z44" i="8"/>
  <c r="Z48" i="8" s="1"/>
  <c r="Y44" i="8"/>
  <c r="Y48" i="8" s="1"/>
  <c r="X44" i="8"/>
  <c r="X48" i="8" s="1"/>
  <c r="W44" i="8"/>
  <c r="W48" i="8" s="1"/>
  <c r="V44" i="8"/>
  <c r="V48" i="8" s="1"/>
  <c r="U44" i="8"/>
  <c r="U48" i="8" s="1"/>
  <c r="T44" i="8"/>
  <c r="T48" i="8" s="1"/>
  <c r="S44" i="8"/>
  <c r="S48" i="8" s="1"/>
  <c r="R44" i="8"/>
  <c r="R48" i="8" s="1"/>
  <c r="Q44" i="8"/>
  <c r="Q48" i="8" s="1"/>
  <c r="P44" i="8"/>
  <c r="P48" i="8" s="1"/>
  <c r="O44" i="8"/>
  <c r="O48" i="8" s="1"/>
  <c r="N44" i="8"/>
  <c r="N48" i="8" s="1"/>
  <c r="M44" i="8"/>
  <c r="M48" i="8" s="1"/>
  <c r="L44" i="8"/>
  <c r="L48" i="8" s="1"/>
  <c r="K44" i="8"/>
  <c r="K48" i="8" s="1"/>
  <c r="J44" i="8"/>
  <c r="J48" i="8" s="1"/>
  <c r="I44" i="8"/>
  <c r="I48" i="8" s="1"/>
  <c r="H44" i="8"/>
  <c r="H48" i="8" s="1"/>
  <c r="G44" i="8"/>
  <c r="G48" i="8" s="1"/>
  <c r="F44" i="8"/>
  <c r="F48" i="8" s="1"/>
  <c r="F49" i="8" s="1"/>
  <c r="AK41" i="8"/>
  <c r="AT41" i="8" s="1"/>
  <c r="AK40" i="8"/>
  <c r="AT40" i="8" s="1"/>
  <c r="AK39" i="8"/>
  <c r="E27" i="8"/>
  <c r="AT26" i="8"/>
  <c r="E26" i="8"/>
  <c r="AS19" i="8"/>
  <c r="AR19" i="8"/>
  <c r="AQ19" i="8"/>
  <c r="AP19" i="8"/>
  <c r="AO19" i="8"/>
  <c r="AN19" i="8"/>
  <c r="AM19" i="8"/>
  <c r="AL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AK16" i="8"/>
  <c r="AK15" i="8"/>
  <c r="AS13" i="8"/>
  <c r="AM13" i="8"/>
  <c r="AL13" i="8"/>
  <c r="AJ13" i="8"/>
  <c r="AJ23" i="8" s="1"/>
  <c r="AI13" i="8"/>
  <c r="AI23" i="8" s="1"/>
  <c r="AH13" i="8"/>
  <c r="AH23" i="8" s="1"/>
  <c r="AG13" i="8"/>
  <c r="AG23" i="8" s="1"/>
  <c r="AF13" i="8"/>
  <c r="AE13" i="8"/>
  <c r="AE23" i="8" s="1"/>
  <c r="AD13" i="8"/>
  <c r="AC23" i="8"/>
  <c r="AB13" i="8"/>
  <c r="AA13" i="8"/>
  <c r="Z13" i="8"/>
  <c r="Y13" i="8"/>
  <c r="X13" i="8"/>
  <c r="X23" i="8" s="1"/>
  <c r="W13" i="8"/>
  <c r="V13" i="8"/>
  <c r="U13" i="8"/>
  <c r="U23" i="8" s="1"/>
  <c r="T13" i="8"/>
  <c r="T23" i="8" s="1"/>
  <c r="S13" i="8"/>
  <c r="S23" i="8" s="1"/>
  <c r="R13" i="8"/>
  <c r="R23" i="8" s="1"/>
  <c r="Q13" i="8"/>
  <c r="Q23" i="8" s="1"/>
  <c r="P13" i="8"/>
  <c r="P23" i="8" s="1"/>
  <c r="O13" i="8"/>
  <c r="O23" i="8" s="1"/>
  <c r="N13" i="8"/>
  <c r="N23" i="8" s="1"/>
  <c r="M13" i="8"/>
  <c r="M23" i="8" s="1"/>
  <c r="L13" i="8"/>
  <c r="L23" i="8" s="1"/>
  <c r="K13" i="8"/>
  <c r="J13" i="8"/>
  <c r="I13" i="8"/>
  <c r="H13" i="8"/>
  <c r="G13" i="8"/>
  <c r="G23" i="8" s="1"/>
  <c r="F13" i="8"/>
  <c r="AK10" i="8"/>
  <c r="AK9" i="8"/>
  <c r="AK8" i="8"/>
  <c r="AK7" i="8"/>
  <c r="AP6" i="8"/>
  <c r="AK6" i="8"/>
  <c r="AK5" i="8"/>
  <c r="AT5" i="8" l="1"/>
  <c r="AK13" i="8"/>
  <c r="AF23" i="8"/>
  <c r="W23" i="8"/>
  <c r="AD23" i="8"/>
  <c r="AA23" i="8"/>
  <c r="AB23" i="8"/>
  <c r="Y23" i="8"/>
  <c r="V23" i="8"/>
  <c r="Z23" i="8"/>
  <c r="AQ6" i="8"/>
  <c r="G49" i="8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AH49" i="8" s="1"/>
  <c r="AI49" i="8" s="1"/>
  <c r="AJ49" i="8" s="1"/>
  <c r="K23" i="8"/>
  <c r="J23" i="8"/>
  <c r="I23" i="8"/>
  <c r="AT6" i="8"/>
  <c r="H23" i="8"/>
  <c r="AK19" i="8"/>
  <c r="F23" i="8"/>
  <c r="F24" i="8" s="1"/>
  <c r="G24" i="8" s="1"/>
  <c r="H24" i="8" s="1"/>
  <c r="I24" i="8" s="1"/>
  <c r="J24" i="8" s="1"/>
  <c r="AK44" i="8"/>
  <c r="E53" i="8" s="1"/>
  <c r="E54" i="8" s="1"/>
  <c r="AT39" i="8"/>
  <c r="AT44" i="8" s="1"/>
  <c r="AT49" i="8" s="1"/>
  <c r="AT52" i="8" s="1"/>
  <c r="AQ5" i="8"/>
  <c r="AT15" i="8"/>
  <c r="AT19" i="8" s="1"/>
  <c r="AT13" i="8" l="1"/>
  <c r="K24" i="8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AH24" i="8" s="1"/>
  <c r="AI24" i="8" s="1"/>
  <c r="AJ24" i="8" s="1"/>
  <c r="E28" i="8"/>
  <c r="E29" i="8" s="1"/>
  <c r="AT23" i="8"/>
  <c r="AT27" i="8" s="1"/>
  <c r="AK6" i="6" l="1"/>
  <c r="AQ6" i="4"/>
  <c r="AQ7" i="4"/>
  <c r="AQ5" i="4"/>
  <c r="E49" i="6" l="1"/>
  <c r="AT48" i="6"/>
  <c r="AS41" i="6"/>
  <c r="AM41" i="6"/>
  <c r="AL41" i="6"/>
  <c r="AJ41" i="6"/>
  <c r="AJ45" i="6" s="1"/>
  <c r="AI41" i="6"/>
  <c r="AI45" i="6" s="1"/>
  <c r="AH41" i="6"/>
  <c r="AH45" i="6" s="1"/>
  <c r="AG41" i="6"/>
  <c r="AG45" i="6" s="1"/>
  <c r="AF41" i="6"/>
  <c r="AF45" i="6" s="1"/>
  <c r="AE41" i="6"/>
  <c r="AE45" i="6" s="1"/>
  <c r="AD41" i="6"/>
  <c r="AD45" i="6" s="1"/>
  <c r="AC41" i="6"/>
  <c r="AC45" i="6" s="1"/>
  <c r="AB41" i="6"/>
  <c r="AB45" i="6" s="1"/>
  <c r="AA41" i="6"/>
  <c r="AA45" i="6" s="1"/>
  <c r="Z41" i="6"/>
  <c r="Z45" i="6" s="1"/>
  <c r="Y41" i="6"/>
  <c r="Y45" i="6" s="1"/>
  <c r="X41" i="6"/>
  <c r="X45" i="6" s="1"/>
  <c r="W41" i="6"/>
  <c r="W45" i="6" s="1"/>
  <c r="V41" i="6"/>
  <c r="V45" i="6" s="1"/>
  <c r="U41" i="6"/>
  <c r="U45" i="6" s="1"/>
  <c r="T41" i="6"/>
  <c r="T45" i="6" s="1"/>
  <c r="S41" i="6"/>
  <c r="S45" i="6" s="1"/>
  <c r="R41" i="6"/>
  <c r="R45" i="6" s="1"/>
  <c r="Q41" i="6"/>
  <c r="Q45" i="6" s="1"/>
  <c r="P41" i="6"/>
  <c r="P45" i="6" s="1"/>
  <c r="O41" i="6"/>
  <c r="O45" i="6" s="1"/>
  <c r="N41" i="6"/>
  <c r="N45" i="6" s="1"/>
  <c r="M41" i="6"/>
  <c r="M45" i="6" s="1"/>
  <c r="L41" i="6"/>
  <c r="L45" i="6" s="1"/>
  <c r="K41" i="6"/>
  <c r="K45" i="6" s="1"/>
  <c r="J41" i="6"/>
  <c r="J45" i="6" s="1"/>
  <c r="I41" i="6"/>
  <c r="I45" i="6" s="1"/>
  <c r="H41" i="6"/>
  <c r="H45" i="6" s="1"/>
  <c r="G41" i="6"/>
  <c r="G45" i="6" s="1"/>
  <c r="F41" i="6"/>
  <c r="F45" i="6" s="1"/>
  <c r="F46" i="6" s="1"/>
  <c r="G46" i="6" s="1"/>
  <c r="AK39" i="6"/>
  <c r="AT39" i="6" s="1"/>
  <c r="AK38" i="6"/>
  <c r="AT38" i="6" s="1"/>
  <c r="AK37" i="6"/>
  <c r="E25" i="6"/>
  <c r="AT24" i="6"/>
  <c r="E24" i="6"/>
  <c r="AS17" i="6"/>
  <c r="AR17" i="6"/>
  <c r="AQ17" i="6"/>
  <c r="AP17" i="6"/>
  <c r="AO17" i="6"/>
  <c r="AN17" i="6"/>
  <c r="AM17" i="6"/>
  <c r="AL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AK15" i="6"/>
  <c r="AK14" i="6"/>
  <c r="AS12" i="6"/>
  <c r="AM12" i="6"/>
  <c r="AL12" i="6"/>
  <c r="AJ12" i="6"/>
  <c r="AJ21" i="6" s="1"/>
  <c r="AI12" i="6"/>
  <c r="AI21" i="6" s="1"/>
  <c r="AH12" i="6"/>
  <c r="AH21" i="6" s="1"/>
  <c r="AG12" i="6"/>
  <c r="AG21" i="6" s="1"/>
  <c r="AF12" i="6"/>
  <c r="AE12" i="6"/>
  <c r="AD12" i="6"/>
  <c r="AD21" i="6" s="1"/>
  <c r="AC12" i="6"/>
  <c r="AC21" i="6" s="1"/>
  <c r="AB12" i="6"/>
  <c r="AB21" i="6" s="1"/>
  <c r="AA12" i="6"/>
  <c r="AA21" i="6" s="1"/>
  <c r="Z12" i="6"/>
  <c r="Z21" i="6" s="1"/>
  <c r="Y12" i="6"/>
  <c r="Y21" i="6" s="1"/>
  <c r="X12" i="6"/>
  <c r="X21" i="6" s="1"/>
  <c r="W12" i="6"/>
  <c r="W21" i="6" s="1"/>
  <c r="V12" i="6"/>
  <c r="V21" i="6" s="1"/>
  <c r="U12" i="6"/>
  <c r="U21" i="6" s="1"/>
  <c r="T12" i="6"/>
  <c r="T21" i="6" s="1"/>
  <c r="S12" i="6"/>
  <c r="S21" i="6" s="1"/>
  <c r="R12" i="6"/>
  <c r="R21" i="6" s="1"/>
  <c r="Q12" i="6"/>
  <c r="Q21" i="6" s="1"/>
  <c r="P12" i="6"/>
  <c r="P21" i="6" s="1"/>
  <c r="O12" i="6"/>
  <c r="N12" i="6"/>
  <c r="N21" i="6" s="1"/>
  <c r="M12" i="6"/>
  <c r="M21" i="6" s="1"/>
  <c r="L12" i="6"/>
  <c r="L21" i="6" s="1"/>
  <c r="K12" i="6"/>
  <c r="K21" i="6" s="1"/>
  <c r="J12" i="6"/>
  <c r="J21" i="6" s="1"/>
  <c r="I12" i="6"/>
  <c r="I21" i="6" s="1"/>
  <c r="H12" i="6"/>
  <c r="H21" i="6" s="1"/>
  <c r="G12" i="6"/>
  <c r="G21" i="6" s="1"/>
  <c r="F12" i="6"/>
  <c r="AK10" i="6"/>
  <c r="AK9" i="6"/>
  <c r="AK8" i="6"/>
  <c r="AK7" i="6"/>
  <c r="AP6" i="6"/>
  <c r="AP5" i="6"/>
  <c r="AK5" i="6"/>
  <c r="AT5" i="6" s="1"/>
  <c r="F22" i="5"/>
  <c r="AP11" i="4"/>
  <c r="AP6" i="5"/>
  <c r="AT25" i="5"/>
  <c r="E50" i="5"/>
  <c r="AT49" i="5"/>
  <c r="AS42" i="5"/>
  <c r="AM42" i="5"/>
  <c r="AL42" i="5"/>
  <c r="AJ42" i="5"/>
  <c r="AJ46" i="5" s="1"/>
  <c r="AI42" i="5"/>
  <c r="AI46" i="5" s="1"/>
  <c r="AH42" i="5"/>
  <c r="AH46" i="5" s="1"/>
  <c r="AG42" i="5"/>
  <c r="AG46" i="5" s="1"/>
  <c r="AF42" i="5"/>
  <c r="AF46" i="5" s="1"/>
  <c r="AE42" i="5"/>
  <c r="AE46" i="5" s="1"/>
  <c r="AD42" i="5"/>
  <c r="AD46" i="5" s="1"/>
  <c r="AC42" i="5"/>
  <c r="AC46" i="5" s="1"/>
  <c r="AB42" i="5"/>
  <c r="AB46" i="5" s="1"/>
  <c r="AA42" i="5"/>
  <c r="AA46" i="5" s="1"/>
  <c r="Z42" i="5"/>
  <c r="Z46" i="5" s="1"/>
  <c r="Y42" i="5"/>
  <c r="Y46" i="5" s="1"/>
  <c r="X42" i="5"/>
  <c r="X46" i="5" s="1"/>
  <c r="W42" i="5"/>
  <c r="W46" i="5" s="1"/>
  <c r="V42" i="5"/>
  <c r="V46" i="5" s="1"/>
  <c r="U42" i="5"/>
  <c r="U46" i="5" s="1"/>
  <c r="T42" i="5"/>
  <c r="T46" i="5" s="1"/>
  <c r="S42" i="5"/>
  <c r="S46" i="5" s="1"/>
  <c r="R42" i="5"/>
  <c r="R46" i="5" s="1"/>
  <c r="Q42" i="5"/>
  <c r="Q46" i="5" s="1"/>
  <c r="P42" i="5"/>
  <c r="P46" i="5" s="1"/>
  <c r="O42" i="5"/>
  <c r="O46" i="5" s="1"/>
  <c r="N42" i="5"/>
  <c r="N46" i="5" s="1"/>
  <c r="M42" i="5"/>
  <c r="M46" i="5" s="1"/>
  <c r="L42" i="5"/>
  <c r="L46" i="5" s="1"/>
  <c r="K42" i="5"/>
  <c r="K46" i="5" s="1"/>
  <c r="J42" i="5"/>
  <c r="J46" i="5" s="1"/>
  <c r="I42" i="5"/>
  <c r="I46" i="5" s="1"/>
  <c r="H42" i="5"/>
  <c r="H46" i="5" s="1"/>
  <c r="G42" i="5"/>
  <c r="G46" i="5" s="1"/>
  <c r="F42" i="5"/>
  <c r="F46" i="5" s="1"/>
  <c r="F47" i="5" s="1"/>
  <c r="G47" i="5" s="1"/>
  <c r="AK40" i="5"/>
  <c r="AT40" i="5" s="1"/>
  <c r="AK39" i="5"/>
  <c r="AT39" i="5" s="1"/>
  <c r="AK38" i="5"/>
  <c r="AT38" i="5" s="1"/>
  <c r="E25" i="5"/>
  <c r="Q22" i="5"/>
  <c r="E26" i="5"/>
  <c r="AS18" i="5"/>
  <c r="AR18" i="5"/>
  <c r="AQ18" i="5"/>
  <c r="AP18" i="5"/>
  <c r="AO18" i="5"/>
  <c r="AN18" i="5"/>
  <c r="AM18" i="5"/>
  <c r="AL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AK16" i="5"/>
  <c r="AK15" i="5"/>
  <c r="AS13" i="5"/>
  <c r="AM13" i="5"/>
  <c r="AL13" i="5"/>
  <c r="AJ13" i="5"/>
  <c r="AJ22" i="5" s="1"/>
  <c r="AI13" i="5"/>
  <c r="AI22" i="5" s="1"/>
  <c r="AH13" i="5"/>
  <c r="AH22" i="5" s="1"/>
  <c r="AG13" i="5"/>
  <c r="AG22" i="5" s="1"/>
  <c r="AF13" i="5"/>
  <c r="AF22" i="5" s="1"/>
  <c r="AE13" i="5"/>
  <c r="AE22" i="5" s="1"/>
  <c r="AD13" i="5"/>
  <c r="AD22" i="5" s="1"/>
  <c r="AC13" i="5"/>
  <c r="AC22" i="5" s="1"/>
  <c r="AB13" i="5"/>
  <c r="AB22" i="5" s="1"/>
  <c r="AA13" i="5"/>
  <c r="AA22" i="5" s="1"/>
  <c r="Z13" i="5"/>
  <c r="Z22" i="5" s="1"/>
  <c r="Y13" i="5"/>
  <c r="Y22" i="5" s="1"/>
  <c r="X13" i="5"/>
  <c r="X22" i="5" s="1"/>
  <c r="W13" i="5"/>
  <c r="W22" i="5" s="1"/>
  <c r="V13" i="5"/>
  <c r="V22" i="5" s="1"/>
  <c r="U13" i="5"/>
  <c r="U22" i="5" s="1"/>
  <c r="T13" i="5"/>
  <c r="T22" i="5" s="1"/>
  <c r="S13" i="5"/>
  <c r="S22" i="5" s="1"/>
  <c r="R13" i="5"/>
  <c r="R22" i="5" s="1"/>
  <c r="Q13" i="5"/>
  <c r="P13" i="5"/>
  <c r="P22" i="5" s="1"/>
  <c r="O13" i="5"/>
  <c r="O22" i="5" s="1"/>
  <c r="N13" i="5"/>
  <c r="N22" i="5" s="1"/>
  <c r="M13" i="5"/>
  <c r="M22" i="5" s="1"/>
  <c r="L13" i="5"/>
  <c r="L22" i="5" s="1"/>
  <c r="K13" i="5"/>
  <c r="K22" i="5" s="1"/>
  <c r="J13" i="5"/>
  <c r="J22" i="5" s="1"/>
  <c r="I13" i="5"/>
  <c r="I22" i="5" s="1"/>
  <c r="H13" i="5"/>
  <c r="H22" i="5" s="1"/>
  <c r="G13" i="5"/>
  <c r="G22" i="5" s="1"/>
  <c r="F13" i="5"/>
  <c r="F23" i="5" s="1"/>
  <c r="AK11" i="5"/>
  <c r="AK10" i="5"/>
  <c r="AK9" i="5"/>
  <c r="AK8" i="5"/>
  <c r="AK7" i="5"/>
  <c r="AK6" i="5"/>
  <c r="AT6" i="5" s="1"/>
  <c r="AP5" i="5"/>
  <c r="AK5" i="5"/>
  <c r="AP10" i="4"/>
  <c r="AE21" i="4"/>
  <c r="AK11" i="4"/>
  <c r="AF21" i="6" l="1"/>
  <c r="AK17" i="6"/>
  <c r="F21" i="6"/>
  <c r="F22" i="6" s="1"/>
  <c r="G22" i="6" s="1"/>
  <c r="H22" i="6" s="1"/>
  <c r="I22" i="6" s="1"/>
  <c r="J22" i="6" s="1"/>
  <c r="K22" i="6" s="1"/>
  <c r="L22" i="6" s="1"/>
  <c r="M22" i="6" s="1"/>
  <c r="N22" i="6" s="1"/>
  <c r="AE21" i="6"/>
  <c r="AT6" i="6"/>
  <c r="AT12" i="6" s="1"/>
  <c r="AQ6" i="6"/>
  <c r="H46" i="6"/>
  <c r="I46" i="6" s="1"/>
  <c r="J46" i="6" s="1"/>
  <c r="K46" i="6" s="1"/>
  <c r="L46" i="6" s="1"/>
  <c r="M46" i="6" s="1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AG46" i="6" s="1"/>
  <c r="AH46" i="6" s="1"/>
  <c r="AI46" i="6" s="1"/>
  <c r="AJ46" i="6" s="1"/>
  <c r="AK41" i="6"/>
  <c r="E50" i="6" s="1"/>
  <c r="E51" i="6" s="1"/>
  <c r="AT42" i="5"/>
  <c r="AT47" i="5" s="1"/>
  <c r="AT50" i="5" s="1"/>
  <c r="H47" i="5"/>
  <c r="I47" i="5" s="1"/>
  <c r="J47" i="5" s="1"/>
  <c r="K47" i="5" s="1"/>
  <c r="L47" i="5" s="1"/>
  <c r="M47" i="5" s="1"/>
  <c r="N47" i="5" s="1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AC47" i="5" s="1"/>
  <c r="AD47" i="5" s="1"/>
  <c r="AE47" i="5" s="1"/>
  <c r="AF47" i="5" s="1"/>
  <c r="AG47" i="5" s="1"/>
  <c r="AH47" i="5" s="1"/>
  <c r="AI47" i="5" s="1"/>
  <c r="AJ47" i="5" s="1"/>
  <c r="AT14" i="6"/>
  <c r="AT17" i="6" s="1"/>
  <c r="O21" i="6"/>
  <c r="AQ6" i="5"/>
  <c r="AK12" i="6"/>
  <c r="AQ5" i="6"/>
  <c r="AT37" i="6"/>
  <c r="AT41" i="6" s="1"/>
  <c r="AT46" i="6" s="1"/>
  <c r="AT49" i="6" s="1"/>
  <c r="AK42" i="5"/>
  <c r="E51" i="5" s="1"/>
  <c r="E52" i="5" s="1"/>
  <c r="AQ5" i="5"/>
  <c r="AQ11" i="4"/>
  <c r="AK18" i="5"/>
  <c r="AK13" i="5"/>
  <c r="E27" i="5" s="1"/>
  <c r="E28" i="5" s="1"/>
  <c r="G23" i="5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T15" i="5"/>
  <c r="AT18" i="5" s="1"/>
  <c r="AT5" i="5"/>
  <c r="AT13" i="5" s="1"/>
  <c r="R42" i="4"/>
  <c r="S42" i="4"/>
  <c r="T42" i="4"/>
  <c r="U42" i="4"/>
  <c r="V42" i="4"/>
  <c r="W42" i="4"/>
  <c r="X42" i="4"/>
  <c r="Y42" i="4"/>
  <c r="Q42" i="4"/>
  <c r="E26" i="6" l="1"/>
  <c r="E27" i="6" s="1"/>
  <c r="O22" i="6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T21" i="6"/>
  <c r="AT25" i="6" s="1"/>
  <c r="AT22" i="5"/>
  <c r="AT26" i="5" s="1"/>
  <c r="AK8" i="4"/>
  <c r="AK9" i="4"/>
  <c r="AK16" i="4"/>
  <c r="AS58" i="3"/>
  <c r="AT46" i="3"/>
  <c r="AT8" i="3"/>
  <c r="AJ45" i="1" l="1"/>
  <c r="E47" i="3"/>
  <c r="E50" i="4"/>
  <c r="AP5" i="4"/>
  <c r="AT49" i="4"/>
  <c r="AS42" i="4"/>
  <c r="AM42" i="4"/>
  <c r="AL42" i="4"/>
  <c r="AJ42" i="4"/>
  <c r="AJ46" i="4" s="1"/>
  <c r="AI42" i="4"/>
  <c r="AI46" i="4" s="1"/>
  <c r="AH42" i="4"/>
  <c r="AH46" i="4" s="1"/>
  <c r="AG42" i="4"/>
  <c r="AG46" i="4" s="1"/>
  <c r="AF42" i="4"/>
  <c r="AF46" i="4" s="1"/>
  <c r="AE42" i="4"/>
  <c r="AE46" i="4" s="1"/>
  <c r="AD42" i="4"/>
  <c r="AD46" i="4" s="1"/>
  <c r="AC42" i="4"/>
  <c r="AC46" i="4" s="1"/>
  <c r="AB42" i="4"/>
  <c r="AB46" i="4" s="1"/>
  <c r="AA42" i="4"/>
  <c r="AA46" i="4" s="1"/>
  <c r="Z42" i="4"/>
  <c r="Z46" i="4" s="1"/>
  <c r="Y46" i="4"/>
  <c r="X46" i="4"/>
  <c r="W46" i="4"/>
  <c r="V46" i="4"/>
  <c r="U46" i="4"/>
  <c r="T46" i="4"/>
  <c r="S46" i="4"/>
  <c r="R46" i="4"/>
  <c r="Q46" i="4"/>
  <c r="P42" i="4"/>
  <c r="P46" i="4" s="1"/>
  <c r="O42" i="4"/>
  <c r="O46" i="4" s="1"/>
  <c r="N42" i="4"/>
  <c r="N46" i="4" s="1"/>
  <c r="M42" i="4"/>
  <c r="M46" i="4" s="1"/>
  <c r="L42" i="4"/>
  <c r="L46" i="4" s="1"/>
  <c r="K42" i="4"/>
  <c r="K46" i="4" s="1"/>
  <c r="J42" i="4"/>
  <c r="J46" i="4" s="1"/>
  <c r="I42" i="4"/>
  <c r="I46" i="4" s="1"/>
  <c r="H42" i="4"/>
  <c r="H46" i="4" s="1"/>
  <c r="G42" i="4"/>
  <c r="G46" i="4" s="1"/>
  <c r="F42" i="4"/>
  <c r="F46" i="4" s="1"/>
  <c r="F47" i="4" s="1"/>
  <c r="G47" i="4" s="1"/>
  <c r="AK40" i="4"/>
  <c r="AT40" i="4" s="1"/>
  <c r="AK39" i="4"/>
  <c r="AT39" i="4" s="1"/>
  <c r="AK38" i="4"/>
  <c r="E26" i="4"/>
  <c r="AT25" i="4"/>
  <c r="E25" i="4"/>
  <c r="AS18" i="4"/>
  <c r="AR18" i="4"/>
  <c r="AQ18" i="4"/>
  <c r="AP18" i="4"/>
  <c r="AO18" i="4"/>
  <c r="AN18" i="4"/>
  <c r="AM18" i="4"/>
  <c r="AL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AK15" i="4"/>
  <c r="AK18" i="4" s="1"/>
  <c r="AS13" i="4"/>
  <c r="AM13" i="4"/>
  <c r="AL13" i="4"/>
  <c r="AJ13" i="4"/>
  <c r="AJ22" i="4" s="1"/>
  <c r="AI13" i="4"/>
  <c r="AH13" i="4"/>
  <c r="AG13" i="4"/>
  <c r="AF13" i="4"/>
  <c r="AF22" i="4" s="1"/>
  <c r="AE13" i="4"/>
  <c r="AD13" i="4"/>
  <c r="AC13" i="4"/>
  <c r="AB13" i="4"/>
  <c r="AB22" i="4" s="1"/>
  <c r="AA13" i="4"/>
  <c r="Z13" i="4"/>
  <c r="Y13" i="4"/>
  <c r="X13" i="4"/>
  <c r="X22" i="4" s="1"/>
  <c r="W13" i="4"/>
  <c r="V13" i="4"/>
  <c r="U13" i="4"/>
  <c r="T13" i="4"/>
  <c r="T22" i="4" s="1"/>
  <c r="S13" i="4"/>
  <c r="R13" i="4"/>
  <c r="Q13" i="4"/>
  <c r="P13" i="4"/>
  <c r="P22" i="4" s="1"/>
  <c r="O13" i="4"/>
  <c r="N13" i="4"/>
  <c r="M13" i="4"/>
  <c r="L13" i="4"/>
  <c r="L22" i="4" s="1"/>
  <c r="K13" i="4"/>
  <c r="J13" i="4"/>
  <c r="I13" i="4"/>
  <c r="H13" i="4"/>
  <c r="H22" i="4" s="1"/>
  <c r="G13" i="4"/>
  <c r="F13" i="4"/>
  <c r="AK10" i="4"/>
  <c r="AQ10" i="4" s="1"/>
  <c r="AP7" i="4"/>
  <c r="AK7" i="4"/>
  <c r="AP6" i="4"/>
  <c r="AK6" i="4"/>
  <c r="AK5" i="4"/>
  <c r="AQ8" i="3"/>
  <c r="AP8" i="3"/>
  <c r="AQ7" i="3"/>
  <c r="AP7" i="3"/>
  <c r="AQ7" i="1"/>
  <c r="AQ8" i="1"/>
  <c r="AP8" i="1"/>
  <c r="AK13" i="4" l="1"/>
  <c r="E27" i="4" s="1"/>
  <c r="E28" i="4" s="1"/>
  <c r="AT6" i="4"/>
  <c r="R22" i="4"/>
  <c r="AD22" i="4"/>
  <c r="G22" i="4"/>
  <c r="K22" i="4"/>
  <c r="O22" i="4"/>
  <c r="S22" i="4"/>
  <c r="W22" i="4"/>
  <c r="AA22" i="4"/>
  <c r="AE22" i="4"/>
  <c r="AI22" i="4"/>
  <c r="AK42" i="4"/>
  <c r="E51" i="4" s="1"/>
  <c r="E52" i="4" s="1"/>
  <c r="H47" i="4"/>
  <c r="I47" i="4" s="1"/>
  <c r="J47" i="4" s="1"/>
  <c r="K47" i="4" s="1"/>
  <c r="L47" i="4" s="1"/>
  <c r="M47" i="4" s="1"/>
  <c r="N47" i="4" s="1"/>
  <c r="O47" i="4" s="1"/>
  <c r="P47" i="4" s="1"/>
  <c r="Q47" i="4" s="1"/>
  <c r="R47" i="4" s="1"/>
  <c r="S47" i="4" s="1"/>
  <c r="T47" i="4" s="1"/>
  <c r="U47" i="4" s="1"/>
  <c r="V47" i="4" s="1"/>
  <c r="W47" i="4" s="1"/>
  <c r="X47" i="4" s="1"/>
  <c r="Y47" i="4" s="1"/>
  <c r="Z47" i="4" s="1"/>
  <c r="AA47" i="4" s="1"/>
  <c r="AB47" i="4" s="1"/>
  <c r="AC47" i="4" s="1"/>
  <c r="AD47" i="4" s="1"/>
  <c r="AE47" i="4" s="1"/>
  <c r="AF47" i="4" s="1"/>
  <c r="AG47" i="4" s="1"/>
  <c r="AH47" i="4" s="1"/>
  <c r="AI47" i="4" s="1"/>
  <c r="AJ47" i="4" s="1"/>
  <c r="F22" i="4"/>
  <c r="F23" i="4" s="1"/>
  <c r="J22" i="4"/>
  <c r="N22" i="4"/>
  <c r="V22" i="4"/>
  <c r="Z22" i="4"/>
  <c r="AH22" i="4"/>
  <c r="AG22" i="4"/>
  <c r="I22" i="4"/>
  <c r="M22" i="4"/>
  <c r="Q22" i="4"/>
  <c r="U22" i="4"/>
  <c r="Y22" i="4"/>
  <c r="AC22" i="4"/>
  <c r="AT38" i="4"/>
  <c r="AT42" i="4" s="1"/>
  <c r="AT47" i="4" s="1"/>
  <c r="AT50" i="4" s="1"/>
  <c r="AT5" i="4"/>
  <c r="AT15" i="4"/>
  <c r="AT18" i="4" s="1"/>
  <c r="AK8" i="3"/>
  <c r="AK9" i="3"/>
  <c r="E23" i="3"/>
  <c r="E22" i="3"/>
  <c r="AT13" i="4" l="1"/>
  <c r="AT22" i="4" s="1"/>
  <c r="AT26" i="4" s="1"/>
  <c r="G23" i="4"/>
  <c r="H23" i="4" s="1"/>
  <c r="I23" i="4" s="1"/>
  <c r="J23" i="4" s="1"/>
  <c r="K23" i="4" s="1"/>
  <c r="L23" i="4" s="1"/>
  <c r="M23" i="4" s="1"/>
  <c r="N23" i="4" s="1"/>
  <c r="O23" i="4" l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M39" i="3"/>
  <c r="AL39" i="3"/>
  <c r="AJ39" i="3"/>
  <c r="AJ43" i="3" s="1"/>
  <c r="AI39" i="3"/>
  <c r="AI43" i="3" s="1"/>
  <c r="AH39" i="3"/>
  <c r="AH43" i="3" s="1"/>
  <c r="AG39" i="3"/>
  <c r="AG43" i="3" s="1"/>
  <c r="AF39" i="3"/>
  <c r="AF43" i="3" s="1"/>
  <c r="AE39" i="3"/>
  <c r="AE43" i="3" s="1"/>
  <c r="AD39" i="3"/>
  <c r="AD43" i="3" s="1"/>
  <c r="AC39" i="3"/>
  <c r="AC43" i="3" s="1"/>
  <c r="AB39" i="3"/>
  <c r="AB43" i="3" s="1"/>
  <c r="AA39" i="3"/>
  <c r="AA43" i="3" s="1"/>
  <c r="Z39" i="3"/>
  <c r="Z43" i="3" s="1"/>
  <c r="Y39" i="3"/>
  <c r="Y43" i="3" s="1"/>
  <c r="X39" i="3"/>
  <c r="X43" i="3" s="1"/>
  <c r="W39" i="3"/>
  <c r="W43" i="3" s="1"/>
  <c r="V39" i="3"/>
  <c r="V43" i="3" s="1"/>
  <c r="U39" i="3"/>
  <c r="U43" i="3" s="1"/>
  <c r="T39" i="3"/>
  <c r="T43" i="3" s="1"/>
  <c r="S39" i="3"/>
  <c r="S43" i="3" s="1"/>
  <c r="R39" i="3"/>
  <c r="R43" i="3" s="1"/>
  <c r="Q39" i="3"/>
  <c r="Q43" i="3" s="1"/>
  <c r="P39" i="3"/>
  <c r="P43" i="3" s="1"/>
  <c r="O39" i="3"/>
  <c r="O43" i="3" s="1"/>
  <c r="N39" i="3"/>
  <c r="N43" i="3" s="1"/>
  <c r="M39" i="3"/>
  <c r="M43" i="3" s="1"/>
  <c r="L39" i="3"/>
  <c r="L43" i="3" s="1"/>
  <c r="K39" i="3"/>
  <c r="K43" i="3" s="1"/>
  <c r="J39" i="3"/>
  <c r="J43" i="3" s="1"/>
  <c r="I39" i="3"/>
  <c r="I43" i="3" s="1"/>
  <c r="H39" i="3"/>
  <c r="H43" i="3" s="1"/>
  <c r="G39" i="3"/>
  <c r="G43" i="3" s="1"/>
  <c r="F39" i="3"/>
  <c r="F43" i="3" s="1"/>
  <c r="F44" i="3" s="1"/>
  <c r="G44" i="3" s="1"/>
  <c r="AK37" i="3"/>
  <c r="AT37" i="3" s="1"/>
  <c r="AK36" i="3"/>
  <c r="AT36" i="3" s="1"/>
  <c r="AK35" i="3"/>
  <c r="AT22" i="3"/>
  <c r="AS15" i="3"/>
  <c r="AR15" i="3"/>
  <c r="AQ15" i="3"/>
  <c r="AP15" i="3"/>
  <c r="AO15" i="3"/>
  <c r="AN15" i="3"/>
  <c r="AM15" i="3"/>
  <c r="AL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AK12" i="3"/>
  <c r="AK15" i="3" s="1"/>
  <c r="AS10" i="3"/>
  <c r="AM10" i="3"/>
  <c r="AL10" i="3"/>
  <c r="AJ10" i="3"/>
  <c r="AI10" i="3"/>
  <c r="AI19" i="3" s="1"/>
  <c r="AH10" i="3"/>
  <c r="AH19" i="3" s="1"/>
  <c r="AG10" i="3"/>
  <c r="AG19" i="3" s="1"/>
  <c r="AF10" i="3"/>
  <c r="AE10" i="3"/>
  <c r="AE19" i="3" s="1"/>
  <c r="AD10" i="3"/>
  <c r="AD19" i="3" s="1"/>
  <c r="AC10" i="3"/>
  <c r="AC19" i="3" s="1"/>
  <c r="AB10" i="3"/>
  <c r="AA10" i="3"/>
  <c r="AA19" i="3" s="1"/>
  <c r="Z10" i="3"/>
  <c r="Y10" i="3"/>
  <c r="Y19" i="3" s="1"/>
  <c r="X10" i="3"/>
  <c r="W10" i="3"/>
  <c r="W19" i="3" s="1"/>
  <c r="V10" i="3"/>
  <c r="V19" i="3" s="1"/>
  <c r="U10" i="3"/>
  <c r="T10" i="3"/>
  <c r="S10" i="3"/>
  <c r="S19" i="3" s="1"/>
  <c r="R10" i="3"/>
  <c r="R19" i="3" s="1"/>
  <c r="Q10" i="3"/>
  <c r="P10" i="3"/>
  <c r="O10" i="3"/>
  <c r="O19" i="3" s="1"/>
  <c r="N10" i="3"/>
  <c r="N19" i="3" s="1"/>
  <c r="M10" i="3"/>
  <c r="M19" i="3" s="1"/>
  <c r="L10" i="3"/>
  <c r="K10" i="3"/>
  <c r="K19" i="3" s="1"/>
  <c r="J10" i="3"/>
  <c r="I10" i="3"/>
  <c r="I19" i="3" s="1"/>
  <c r="H10" i="3"/>
  <c r="G10" i="3"/>
  <c r="F10" i="3"/>
  <c r="F19" i="3" s="1"/>
  <c r="F20" i="3" s="1"/>
  <c r="AK7" i="3"/>
  <c r="AT7" i="3" s="1"/>
  <c r="AP6" i="3"/>
  <c r="AK6" i="3"/>
  <c r="AP5" i="3"/>
  <c r="AK5" i="3"/>
  <c r="AT36" i="1"/>
  <c r="AT23" i="1"/>
  <c r="AT5" i="1"/>
  <c r="AT8" i="1"/>
  <c r="AP5" i="1"/>
  <c r="AP6" i="1"/>
  <c r="AP7" i="1"/>
  <c r="AT47" i="1"/>
  <c r="AK37" i="1"/>
  <c r="AT37" i="1" s="1"/>
  <c r="AK38" i="1"/>
  <c r="AT38" i="1" s="1"/>
  <c r="AT40" i="1" l="1"/>
  <c r="AT45" i="1" s="1"/>
  <c r="AK39" i="3"/>
  <c r="E48" i="3" s="1"/>
  <c r="E49" i="3" s="1"/>
  <c r="AQ6" i="3"/>
  <c r="AQ5" i="3"/>
  <c r="Z19" i="3"/>
  <c r="U19" i="3"/>
  <c r="Q19" i="3"/>
  <c r="J19" i="3"/>
  <c r="G19" i="3"/>
  <c r="AT5" i="3"/>
  <c r="H19" i="3"/>
  <c r="L19" i="3"/>
  <c r="P19" i="3"/>
  <c r="T19" i="3"/>
  <c r="X19" i="3"/>
  <c r="AB19" i="3"/>
  <c r="AF19" i="3"/>
  <c r="AJ19" i="3"/>
  <c r="H44" i="3"/>
  <c r="I44" i="3" s="1"/>
  <c r="J44" i="3" s="1"/>
  <c r="K44" i="3" s="1"/>
  <c r="L44" i="3" s="1"/>
  <c r="M44" i="3" s="1"/>
  <c r="N44" i="3" s="1"/>
  <c r="O44" i="3" s="1"/>
  <c r="P44" i="3" s="1"/>
  <c r="Q44" i="3" s="1"/>
  <c r="R44" i="3" s="1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AG44" i="3" s="1"/>
  <c r="AH44" i="3" s="1"/>
  <c r="AI44" i="3" s="1"/>
  <c r="AJ44" i="3" s="1"/>
  <c r="AT6" i="3"/>
  <c r="AK10" i="3"/>
  <c r="E24" i="3" s="1"/>
  <c r="E25" i="3" s="1"/>
  <c r="AT12" i="3"/>
  <c r="AT15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T35" i="3"/>
  <c r="AT39" i="3" s="1"/>
  <c r="AT44" i="3" s="1"/>
  <c r="AT47" i="3" s="1"/>
  <c r="AT10" i="3" l="1"/>
  <c r="AT19" i="3" s="1"/>
  <c r="AT23" i="3" s="1"/>
  <c r="AB20" i="3"/>
  <c r="AC20" i="3" s="1"/>
  <c r="AD20" i="3" s="1"/>
  <c r="AE20" i="3" s="1"/>
  <c r="AF20" i="3" s="1"/>
  <c r="AG20" i="3" s="1"/>
  <c r="AH20" i="3" s="1"/>
  <c r="AI20" i="3" s="1"/>
  <c r="AJ20" i="3" s="1"/>
  <c r="AK6" i="1"/>
  <c r="AQ6" i="1" s="1"/>
  <c r="AK7" i="1"/>
  <c r="AK8" i="1"/>
  <c r="E50" i="1"/>
  <c r="AS40" i="1"/>
  <c r="AM40" i="1"/>
  <c r="AL40" i="1"/>
  <c r="AJ40" i="1"/>
  <c r="AJ44" i="1" s="1"/>
  <c r="AI40" i="1"/>
  <c r="AI44" i="1" s="1"/>
  <c r="AH40" i="1"/>
  <c r="AH44" i="1" s="1"/>
  <c r="AG40" i="1"/>
  <c r="AG44" i="1" s="1"/>
  <c r="AF40" i="1"/>
  <c r="AF44" i="1" s="1"/>
  <c r="AE40" i="1"/>
  <c r="AE44" i="1" s="1"/>
  <c r="AD40" i="1"/>
  <c r="AD44" i="1" s="1"/>
  <c r="AC40" i="1"/>
  <c r="AC44" i="1" s="1"/>
  <c r="AB40" i="1"/>
  <c r="AB44" i="1" s="1"/>
  <c r="AA40" i="1"/>
  <c r="AA44" i="1" s="1"/>
  <c r="Z40" i="1"/>
  <c r="Z44" i="1" s="1"/>
  <c r="Y40" i="1"/>
  <c r="Y44" i="1" s="1"/>
  <c r="X40" i="1"/>
  <c r="X44" i="1" s="1"/>
  <c r="W40" i="1"/>
  <c r="W44" i="1" s="1"/>
  <c r="V40" i="1"/>
  <c r="V44" i="1" s="1"/>
  <c r="U40" i="1"/>
  <c r="U44" i="1" s="1"/>
  <c r="T40" i="1"/>
  <c r="T44" i="1" s="1"/>
  <c r="S40" i="1"/>
  <c r="S44" i="1" s="1"/>
  <c r="R40" i="1"/>
  <c r="R44" i="1" s="1"/>
  <c r="Q40" i="1"/>
  <c r="Q44" i="1" s="1"/>
  <c r="P40" i="1"/>
  <c r="P44" i="1" s="1"/>
  <c r="O40" i="1"/>
  <c r="O44" i="1" s="1"/>
  <c r="N40" i="1"/>
  <c r="N44" i="1" s="1"/>
  <c r="M40" i="1"/>
  <c r="M44" i="1" s="1"/>
  <c r="L40" i="1"/>
  <c r="L44" i="1" s="1"/>
  <c r="K40" i="1"/>
  <c r="K44" i="1" s="1"/>
  <c r="J40" i="1"/>
  <c r="I40" i="1"/>
  <c r="I44" i="1" s="1"/>
  <c r="H40" i="1"/>
  <c r="H44" i="1" s="1"/>
  <c r="G40" i="1"/>
  <c r="G44" i="1" s="1"/>
  <c r="F40" i="1"/>
  <c r="F44" i="1" s="1"/>
  <c r="F45" i="1" s="1"/>
  <c r="AK36" i="1"/>
  <c r="E26" i="1"/>
  <c r="AS16" i="1"/>
  <c r="AR16" i="1"/>
  <c r="AQ16" i="1"/>
  <c r="AP16" i="1"/>
  <c r="AO16" i="1"/>
  <c r="AN16" i="1"/>
  <c r="AM16" i="1"/>
  <c r="AL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AK13" i="1"/>
  <c r="AK16" i="1" s="1"/>
  <c r="AS11" i="1"/>
  <c r="AM11" i="1"/>
  <c r="AL11" i="1"/>
  <c r="AJ11" i="1"/>
  <c r="AI11" i="1"/>
  <c r="AH11" i="1"/>
  <c r="AG11" i="1"/>
  <c r="AG20" i="1" s="1"/>
  <c r="AF11" i="1"/>
  <c r="AF20" i="1" s="1"/>
  <c r="AE11" i="1"/>
  <c r="AD11" i="1"/>
  <c r="AC11" i="1"/>
  <c r="AC20" i="1" s="1"/>
  <c r="AB11" i="1"/>
  <c r="AB20" i="1" s="1"/>
  <c r="AA11" i="1"/>
  <c r="Z11" i="1"/>
  <c r="Y11" i="1"/>
  <c r="Y20" i="1" s="1"/>
  <c r="X11" i="1"/>
  <c r="X20" i="1" s="1"/>
  <c r="W11" i="1"/>
  <c r="V11" i="1"/>
  <c r="U11" i="1"/>
  <c r="U20" i="1" s="1"/>
  <c r="T11" i="1"/>
  <c r="T20" i="1" s="1"/>
  <c r="S11" i="1"/>
  <c r="R11" i="1"/>
  <c r="Q11" i="1"/>
  <c r="Q20" i="1" s="1"/>
  <c r="P11" i="1"/>
  <c r="P20" i="1" s="1"/>
  <c r="O11" i="1"/>
  <c r="N11" i="1"/>
  <c r="M11" i="1"/>
  <c r="M20" i="1" s="1"/>
  <c r="L11" i="1"/>
  <c r="L20" i="1" s="1"/>
  <c r="K11" i="1"/>
  <c r="J11" i="1"/>
  <c r="I11" i="1"/>
  <c r="I20" i="1" s="1"/>
  <c r="H11" i="1"/>
  <c r="H20" i="1" s="1"/>
  <c r="G11" i="1"/>
  <c r="F11" i="1"/>
  <c r="AK5" i="1"/>
  <c r="F20" i="1" l="1"/>
  <c r="F21" i="1" s="1"/>
  <c r="G45" i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T7" i="1"/>
  <c r="AQ5" i="1"/>
  <c r="AJ20" i="1"/>
  <c r="K20" i="1"/>
  <c r="S20" i="1"/>
  <c r="W20" i="1"/>
  <c r="AA20" i="1"/>
  <c r="AE20" i="1"/>
  <c r="AI20" i="1"/>
  <c r="O20" i="1"/>
  <c r="AT6" i="1"/>
  <c r="G20" i="1"/>
  <c r="G21" i="1" s="1"/>
  <c r="H21" i="1" s="1"/>
  <c r="I21" i="1" s="1"/>
  <c r="J20" i="1"/>
  <c r="V20" i="1"/>
  <c r="Z20" i="1"/>
  <c r="AD20" i="1"/>
  <c r="AH20" i="1"/>
  <c r="N20" i="1"/>
  <c r="R20" i="1"/>
  <c r="AK11" i="1"/>
  <c r="AT48" i="1"/>
  <c r="AK40" i="1"/>
  <c r="AT13" i="1"/>
  <c r="AT16" i="1" s="1"/>
  <c r="AT11" i="1" l="1"/>
  <c r="AT20" i="1" s="1"/>
  <c r="AT24" i="1" s="1"/>
  <c r="J21" i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</calcChain>
</file>

<file path=xl/sharedStrings.xml><?xml version="1.0" encoding="utf-8"?>
<sst xmlns="http://schemas.openxmlformats.org/spreadsheetml/2006/main" count="546" uniqueCount="75">
  <si>
    <t>Edward and Christie (Pvt) Ltd</t>
  </si>
  <si>
    <t xml:space="preserve">                                                           Monthly Fuel Consumption Report (Daily/ Average)</t>
  </si>
  <si>
    <t xml:space="preserve"> </t>
  </si>
  <si>
    <t>S. No.</t>
  </si>
  <si>
    <t>Vehicle Reg. No.</t>
  </si>
  <si>
    <t>Company Code</t>
  </si>
  <si>
    <t>Type of Vehicle/ Machine</t>
  </si>
  <si>
    <t>Fuel Type</t>
  </si>
  <si>
    <t>Day</t>
  </si>
  <si>
    <t xml:space="preserve">Total ℓ from Site Tank </t>
  </si>
  <si>
    <t>Total ℓ from Outside</t>
  </si>
  <si>
    <t>Total Fuel ℓ (A)</t>
  </si>
  <si>
    <t>Opening Meter km/ hrs.</t>
  </si>
  <si>
    <t>Closing Meter km/ hrs.</t>
  </si>
  <si>
    <t>Total Running    km/ hrs.(B)</t>
  </si>
  <si>
    <t xml:space="preserve">Consumption per km or hrs. (B/A) </t>
  </si>
  <si>
    <t xml:space="preserve">Previous month consumption </t>
  </si>
  <si>
    <t>Fuel Rate Rs. (C)</t>
  </si>
  <si>
    <t xml:space="preserve">Fuel Cost Rs. (A*C) </t>
  </si>
  <si>
    <t xml:space="preserve">Total issue for the machinery (ℓ) </t>
  </si>
  <si>
    <t>Total issue for the vehicle (ℓ)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</si>
  <si>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</si>
  <si>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</si>
  <si>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</si>
  <si>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</si>
  <si>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</si>
  <si>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Total deduction (Rs.)</t>
  </si>
  <si>
    <t>Monthly Purchasing (ℓ)</t>
  </si>
  <si>
    <t>Project fuel cost (Rs.)</t>
  </si>
  <si>
    <t>Monthly Closing Balance (ℓ)</t>
  </si>
  <si>
    <t>Monthly Consumption (ℓ)</t>
  </si>
  <si>
    <t xml:space="preserve">                                                             Year and Month: 2026 - January</t>
  </si>
  <si>
    <t>JCB</t>
  </si>
  <si>
    <t>Diesel</t>
  </si>
  <si>
    <t>Genareter</t>
  </si>
  <si>
    <t>Location/ Project:Inginimitiya</t>
  </si>
  <si>
    <t>Bike</t>
  </si>
  <si>
    <t>Petrol</t>
  </si>
  <si>
    <t>BCN-9802</t>
  </si>
  <si>
    <t>BCN-9805</t>
  </si>
  <si>
    <t>Gress cutting machine</t>
  </si>
  <si>
    <t>ZA-0447</t>
  </si>
  <si>
    <t>Single cab</t>
  </si>
  <si>
    <t>ZB-1521</t>
  </si>
  <si>
    <t>DAG-1016</t>
  </si>
  <si>
    <t>LBS-01</t>
  </si>
  <si>
    <t>BOB CAT</t>
  </si>
  <si>
    <t>SL/10</t>
  </si>
  <si>
    <t>Crew cab</t>
  </si>
  <si>
    <t>PA-6399</t>
  </si>
  <si>
    <t>HCC-01</t>
  </si>
  <si>
    <t xml:space="preserve">                                                             Year and Month: 2026 - February</t>
  </si>
  <si>
    <t xml:space="preserve">                                                             Year and Month: 2026 - March</t>
  </si>
  <si>
    <t>Roller</t>
  </si>
  <si>
    <t>LO-9810</t>
  </si>
  <si>
    <t>Service cab</t>
  </si>
  <si>
    <t>Meter not work</t>
  </si>
  <si>
    <t>LP-1577</t>
  </si>
  <si>
    <t>3cube tipper</t>
  </si>
  <si>
    <t xml:space="preserve">                                                             Year and Month: 2026 - April</t>
  </si>
  <si>
    <t xml:space="preserve">                                                             Year and Month: 2026 -May</t>
  </si>
  <si>
    <t xml:space="preserve">                                                             Year and Month: 2026 - May</t>
  </si>
  <si>
    <t>PA-4879</t>
  </si>
  <si>
    <t>Board  form work</t>
  </si>
  <si>
    <t>mixcher machine</t>
  </si>
  <si>
    <t>micher machine</t>
  </si>
  <si>
    <t>Poker</t>
  </si>
  <si>
    <t xml:space="preserve">                                                             Year and Month: 2026 -June</t>
  </si>
  <si>
    <t xml:space="preserve">                                                             Year and Month: 2026 - June</t>
  </si>
  <si>
    <t>grase cutting machine</t>
  </si>
  <si>
    <t>LC-0434</t>
  </si>
  <si>
    <t>3 CUBE TIPPER</t>
  </si>
  <si>
    <t>roller</t>
  </si>
  <si>
    <t>boom shantha</t>
  </si>
  <si>
    <t>boom (nuwan)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</si>
</sst>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43" fontId="3" fillId="0" borderId="0" xfId="1" applyFont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/>
    <xf numFmtId="0" fontId="4" fillId="0" borderId="1" xfId="0" applyFont="1" applyBorder="1"/>
    <xf numFmtId="0" fontId="4" fillId="0" borderId="7" xfId="0" applyFont="1" applyBorder="1" applyAlignment="1">
      <alignment horizontal="center"/>
    </xf>
    <xf numFmtId="43" fontId="4" fillId="0" borderId="1" xfId="1" applyFont="1" applyBorder="1"/>
    <xf numFmtId="43" fontId="4" fillId="0" borderId="1" xfId="0" applyNumberFormat="1" applyFont="1" applyBorder="1"/>
    <xf numFmtId="0" fontId="4" fillId="0" borderId="0" xfId="0" applyFont="1"/>
    <xf numFmtId="2" fontId="4" fillId="0" borderId="7" xfId="0" applyNumberFormat="1" applyFont="1" applyBorder="1"/>
    <xf numFmtId="43" fontId="4" fillId="0" borderId="7" xfId="0" applyNumberFormat="1" applyFont="1" applyBorder="1"/>
    <xf numFmtId="0" fontId="4" fillId="2" borderId="7" xfId="0" applyFont="1" applyFill="1" applyBorder="1"/>
    <xf numFmtId="0" fontId="4" fillId="0" borderId="8" xfId="0" applyFont="1" applyBorder="1" applyAlignment="1">
      <alignment horizontal="center"/>
    </xf>
    <xf numFmtId="43" fontId="4" fillId="0" borderId="8" xfId="0" applyNumberFormat="1" applyFont="1" applyBorder="1"/>
    <xf numFmtId="0" fontId="4" fillId="0" borderId="12" xfId="0" applyFont="1" applyBorder="1" applyAlignment="1">
      <alignment horizontal="center"/>
    </xf>
    <xf numFmtId="43" fontId="4" fillId="0" borderId="7" xfId="1" applyFont="1" applyBorder="1"/>
    <xf numFmtId="43" fontId="4" fillId="0" borderId="12" xfId="0" applyNumberFormat="1" applyFont="1" applyBorder="1"/>
    <xf numFmtId="0" fontId="4" fillId="0" borderId="13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5" xfId="0" applyFont="1" applyBorder="1" applyAlignment="1">
      <alignment horizontal="center"/>
    </xf>
    <xf numFmtId="0" fontId="4" fillId="0" borderId="12" xfId="0" applyFont="1" applyBorder="1"/>
    <xf numFmtId="43" fontId="4" fillId="0" borderId="12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43" fontId="4" fillId="0" borderId="0" xfId="1" applyFont="1"/>
    <xf numFmtId="0" fontId="4" fillId="0" borderId="17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43" fontId="4" fillId="0" borderId="0" xfId="0" applyNumberFormat="1" applyFont="1" applyAlignment="1">
      <alignment horizontal="center"/>
    </xf>
    <xf numFmtId="164" fontId="4" fillId="0" borderId="1" xfId="0" applyNumberFormat="1" applyFont="1" applyBorder="1"/>
    <xf numFmtId="43" fontId="4" fillId="0" borderId="0" xfId="0" applyNumberFormat="1" applyFont="1"/>
    <xf numFmtId="2" fontId="4" fillId="0" borderId="17" xfId="0" applyNumberFormat="1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0" fontId="4" fillId="0" borderId="18" xfId="0" applyFont="1" applyBorder="1" applyAlignment="1">
      <alignment horizontal="center"/>
    </xf>
    <xf numFmtId="0" fontId="4" fillId="0" borderId="18" xfId="0" applyFont="1" applyBorder="1"/>
    <xf numFmtId="2" fontId="4" fillId="0" borderId="1" xfId="0" applyNumberFormat="1" applyFont="1" applyBorder="1"/>
    <xf numFmtId="43" fontId="4" fillId="0" borderId="18" xfId="0" applyNumberFormat="1" applyFont="1" applyBorder="1"/>
    <xf numFmtId="0" fontId="4" fillId="0" borderId="19" xfId="0" applyFont="1" applyBorder="1"/>
    <xf numFmtId="43" fontId="4" fillId="0" borderId="19" xfId="0" applyNumberFormat="1" applyFont="1" applyBorder="1"/>
    <xf numFmtId="0" fontId="4" fillId="0" borderId="16" xfId="0" applyFont="1" applyBorder="1"/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2" fontId="4" fillId="0" borderId="18" xfId="0" applyNumberFormat="1" applyFont="1" applyBorder="1"/>
    <xf numFmtId="2" fontId="4" fillId="0" borderId="5" xfId="0" applyNumberFormat="1" applyFont="1" applyBorder="1"/>
    <xf numFmtId="0" fontId="4" fillId="0" borderId="14" xfId="0" applyFont="1" applyBorder="1"/>
    <xf numFmtId="0" fontId="4" fillId="2" borderId="15" xfId="0" applyFont="1" applyFill="1" applyBorder="1"/>
    <xf numFmtId="0" fontId="4" fillId="0" borderId="15" xfId="0" applyFont="1" applyBorder="1"/>
    <xf numFmtId="0" fontId="4" fillId="3" borderId="1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43" fontId="4" fillId="0" borderId="18" xfId="1" applyFont="1" applyBorder="1"/>
    <xf numFmtId="2" fontId="4" fillId="0" borderId="6" xfId="0" applyNumberFormat="1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3" fontId="3" fillId="0" borderId="0" xfId="1" applyFont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4"/>
  <sheetViews>
    <sheetView zoomScale="60" zoomScaleNormal="60" workbookViewId="0">
      <selection activeCell="A8" sqref="A8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8.28515625" style="4" customWidth="1"/>
    <col min="39" max="39" width="7.28515625" style="4" customWidth="1"/>
    <col min="40" max="41" width="10.5703125" style="4" customWidth="1"/>
    <col min="42" max="42" width="10.42578125" style="4" customWidth="1"/>
    <col min="43" max="43" width="13.140625" style="2" customWidth="1"/>
    <col min="44" max="44" width="12.42578125" style="2" customWidth="1"/>
    <col min="45" max="45" width="10" style="5" customWidth="1"/>
    <col min="46" max="46" width="13.28515625" style="2" customWidth="1"/>
    <col min="47" max="16384" width="9.140625" style="2"/>
  </cols>
  <sheetData>
    <row r="1" spans="1:50" x14ac:dyDescent="0.25">
      <c r="A1" s="1" t="s">
        <v>0</v>
      </c>
      <c r="E1" s="3" t="s">
        <v>1</v>
      </c>
      <c r="R1" s="3"/>
    </row>
    <row r="2" spans="1:50" x14ac:dyDescent="0.25">
      <c r="A2" s="1" t="s">
        <v>35</v>
      </c>
      <c r="E2" s="3" t="s">
        <v>31</v>
      </c>
      <c r="R2" s="3" t="s">
        <v>2</v>
      </c>
    </row>
    <row r="3" spans="1:50" ht="15.75" customHeight="1" x14ac:dyDescent="0.25">
      <c r="A3" s="64" t="s">
        <v>3</v>
      </c>
      <c r="B3" s="64" t="s">
        <v>4</v>
      </c>
      <c r="C3" s="64" t="s">
        <v>5</v>
      </c>
      <c r="D3" s="64" t="s">
        <v>6</v>
      </c>
      <c r="E3" s="64" t="s">
        <v>7</v>
      </c>
      <c r="F3" s="75" t="s">
        <v>8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7"/>
      <c r="AK3" s="64" t="s">
        <v>9</v>
      </c>
      <c r="AL3" s="64" t="s">
        <v>10</v>
      </c>
      <c r="AM3" s="64" t="s">
        <v>11</v>
      </c>
      <c r="AN3" s="64" t="s">
        <v>12</v>
      </c>
      <c r="AO3" s="64" t="s">
        <v>13</v>
      </c>
      <c r="AP3" s="64" t="s">
        <v>14</v>
      </c>
      <c r="AQ3" s="64" t="s">
        <v>15</v>
      </c>
      <c r="AR3" s="64" t="s">
        <v>16</v>
      </c>
      <c r="AS3" s="66" t="s">
        <v>17</v>
      </c>
      <c r="AT3" s="64" t="s">
        <v>18</v>
      </c>
    </row>
    <row r="4" spans="1:50" s="7" customFormat="1" ht="27" customHeight="1" x14ac:dyDescent="0.25">
      <c r="A4" s="65"/>
      <c r="B4" s="65"/>
      <c r="C4" s="65"/>
      <c r="D4" s="65"/>
      <c r="E4" s="65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65"/>
      <c r="AL4" s="65"/>
      <c r="AM4" s="65"/>
      <c r="AN4" s="65"/>
      <c r="AO4" s="65"/>
      <c r="AP4" s="65"/>
      <c r="AQ4" s="65"/>
      <c r="AR4" s="65"/>
      <c r="AS4" s="67"/>
      <c r="AT4" s="65"/>
    </row>
    <row r="5" spans="1:50" ht="16.5" thickBot="1" x14ac:dyDescent="0.3">
      <c r="A5" s="56">
        <v>1</v>
      </c>
      <c r="B5" s="9" t="s">
        <v>41</v>
      </c>
      <c r="C5" s="9"/>
      <c r="D5" s="9" t="s">
        <v>32</v>
      </c>
      <c r="E5" s="9" t="s">
        <v>33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>
        <v>40</v>
      </c>
      <c r="AC5" s="11"/>
      <c r="AD5" s="11"/>
      <c r="AE5" s="11"/>
      <c r="AF5" s="11"/>
      <c r="AG5" s="11"/>
      <c r="AH5" s="11"/>
      <c r="AI5" s="11"/>
      <c r="AJ5" s="11"/>
      <c r="AK5" s="20">
        <f>SUM(F5:AJ5)</f>
        <v>40</v>
      </c>
      <c r="AL5" s="11"/>
      <c r="AM5" s="8"/>
      <c r="AN5" s="8">
        <v>96.7</v>
      </c>
      <c r="AO5" s="8">
        <v>100.8</v>
      </c>
      <c r="AP5" s="8">
        <f>AO5-AN5</f>
        <v>4.0999999999999943</v>
      </c>
      <c r="AQ5" s="44">
        <f>AK5/AP5</f>
        <v>9.7560975609756238</v>
      </c>
      <c r="AR5" s="10">
        <v>5.6</v>
      </c>
      <c r="AS5" s="9">
        <v>279</v>
      </c>
      <c r="AT5" s="13">
        <f>AS5*AK5</f>
        <v>11160</v>
      </c>
      <c r="AU5" s="14"/>
      <c r="AV5" s="14"/>
    </row>
    <row r="6" spans="1:50" ht="17.25" thickTop="1" thickBot="1" x14ac:dyDescent="0.3">
      <c r="A6" s="57">
        <v>2</v>
      </c>
      <c r="B6" s="9" t="s">
        <v>43</v>
      </c>
      <c r="C6" s="9" t="s">
        <v>45</v>
      </c>
      <c r="D6" s="9" t="s">
        <v>32</v>
      </c>
      <c r="E6" s="9" t="s">
        <v>33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>
        <v>30</v>
      </c>
      <c r="AI6" s="11">
        <v>20</v>
      </c>
      <c r="AJ6" s="11">
        <v>30</v>
      </c>
      <c r="AK6" s="20">
        <f t="shared" ref="AK6:AK8" si="0">SUM(F6:AJ6)</f>
        <v>80</v>
      </c>
      <c r="AL6" s="11"/>
      <c r="AM6" s="42"/>
      <c r="AN6" s="11">
        <v>4583.5</v>
      </c>
      <c r="AO6" s="11">
        <v>4599</v>
      </c>
      <c r="AP6" s="8">
        <f t="shared" ref="AP6:AP7" si="1">AO6-AN6</f>
        <v>15.5</v>
      </c>
      <c r="AQ6" s="44">
        <f t="shared" ref="AQ6" si="2">AK6/AP6</f>
        <v>5.161290322580645</v>
      </c>
      <c r="AR6" s="43"/>
      <c r="AS6" s="9">
        <v>279</v>
      </c>
      <c r="AT6" s="13">
        <f>AS6*AK6</f>
        <v>22320</v>
      </c>
      <c r="AU6" s="14"/>
      <c r="AV6" s="14"/>
    </row>
    <row r="7" spans="1:50" ht="17.25" thickTop="1" thickBot="1" x14ac:dyDescent="0.3">
      <c r="A7" s="42">
        <v>3</v>
      </c>
      <c r="B7" s="9" t="s">
        <v>44</v>
      </c>
      <c r="C7" s="9"/>
      <c r="D7" s="9" t="s">
        <v>42</v>
      </c>
      <c r="E7" s="9" t="s">
        <v>33</v>
      </c>
      <c r="F7" s="11">
        <v>20</v>
      </c>
      <c r="G7" s="11"/>
      <c r="H7" s="11"/>
      <c r="I7" s="11">
        <v>30</v>
      </c>
      <c r="J7" s="11"/>
      <c r="K7" s="11"/>
      <c r="L7" s="11"/>
      <c r="M7" s="11">
        <v>20</v>
      </c>
      <c r="N7" s="11"/>
      <c r="O7" s="11"/>
      <c r="P7" s="11">
        <v>20</v>
      </c>
      <c r="Q7" s="11"/>
      <c r="R7" s="11">
        <v>20</v>
      </c>
      <c r="S7" s="11">
        <v>20</v>
      </c>
      <c r="T7" s="11"/>
      <c r="U7" s="11"/>
      <c r="V7" s="11"/>
      <c r="W7" s="11">
        <v>20</v>
      </c>
      <c r="X7" s="11"/>
      <c r="Y7" s="11">
        <v>20</v>
      </c>
      <c r="Z7" s="11"/>
      <c r="AA7" s="11">
        <v>30</v>
      </c>
      <c r="AB7" s="11"/>
      <c r="AC7" s="11"/>
      <c r="AD7" s="11">
        <v>20</v>
      </c>
      <c r="AE7" s="11"/>
      <c r="AF7" s="11">
        <v>20</v>
      </c>
      <c r="AG7" s="11"/>
      <c r="AH7" s="11">
        <v>20</v>
      </c>
      <c r="AI7" s="11"/>
      <c r="AJ7" s="11"/>
      <c r="AK7" s="20">
        <f t="shared" si="0"/>
        <v>260</v>
      </c>
      <c r="AL7" s="11"/>
      <c r="AM7" s="42"/>
      <c r="AN7" s="11">
        <v>101411</v>
      </c>
      <c r="AO7" s="11">
        <v>104755</v>
      </c>
      <c r="AP7" s="8">
        <f t="shared" si="1"/>
        <v>3344</v>
      </c>
      <c r="AQ7" s="44">
        <f>AP7/AK7</f>
        <v>12.861538461538462</v>
      </c>
      <c r="AR7" s="45">
        <v>10.24</v>
      </c>
      <c r="AS7" s="9">
        <v>279</v>
      </c>
      <c r="AT7" s="13">
        <f>AS7*AK7</f>
        <v>72540</v>
      </c>
      <c r="AU7" s="14"/>
      <c r="AV7" s="14"/>
    </row>
    <row r="8" spans="1:50" ht="17.25" thickTop="1" thickBot="1" x14ac:dyDescent="0.3">
      <c r="A8" s="58">
        <v>4</v>
      </c>
      <c r="B8" s="9"/>
      <c r="C8" s="9" t="s">
        <v>47</v>
      </c>
      <c r="D8" s="9" t="s">
        <v>46</v>
      </c>
      <c r="E8" s="9" t="s">
        <v>33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>
        <v>20</v>
      </c>
      <c r="AK8" s="20">
        <f t="shared" si="0"/>
        <v>20</v>
      </c>
      <c r="AL8" s="11"/>
      <c r="AM8" s="11"/>
      <c r="AN8" s="11">
        <v>6536.5</v>
      </c>
      <c r="AO8" s="11">
        <v>6540.9</v>
      </c>
      <c r="AP8" s="8">
        <f t="shared" ref="AP8" si="3">AO8-AN8</f>
        <v>4.3999999999996362</v>
      </c>
      <c r="AQ8" s="44">
        <f>AK8/AP8</f>
        <v>4.5454545454549216</v>
      </c>
      <c r="AR8" s="45"/>
      <c r="AS8" s="9">
        <v>279</v>
      </c>
      <c r="AT8" s="13">
        <f>AS8*AK8</f>
        <v>5580</v>
      </c>
      <c r="AU8" s="14"/>
      <c r="AV8" s="14"/>
      <c r="AX8" s="2" t="s">
        <v>2</v>
      </c>
    </row>
    <row r="9" spans="1:50" ht="16.5" thickTop="1" x14ac:dyDescent="0.25">
      <c r="A9" s="11">
        <v>5</v>
      </c>
      <c r="B9" s="9"/>
      <c r="C9" s="17"/>
      <c r="D9" s="9"/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5"/>
      <c r="AR9" s="9"/>
      <c r="AS9" s="9"/>
      <c r="AT9" s="16"/>
      <c r="AU9" s="14"/>
      <c r="AV9" s="14"/>
    </row>
    <row r="10" spans="1:50" x14ac:dyDescent="0.25">
      <c r="A10" s="11"/>
      <c r="B10" s="9"/>
      <c r="C10" s="9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8"/>
      <c r="O10" s="18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8"/>
      <c r="AL10" s="11"/>
      <c r="AM10" s="18"/>
      <c r="AN10" s="11"/>
      <c r="AO10" s="11"/>
      <c r="AP10" s="11"/>
      <c r="AQ10" s="15"/>
      <c r="AR10" s="9"/>
      <c r="AS10" s="9"/>
      <c r="AT10" s="19"/>
      <c r="AU10" s="14"/>
      <c r="AV10" s="14"/>
    </row>
    <row r="11" spans="1:50" ht="16.5" customHeight="1" thickBot="1" x14ac:dyDescent="0.3">
      <c r="A11" s="11"/>
      <c r="B11" s="71" t="s">
        <v>20</v>
      </c>
      <c r="C11" s="72"/>
      <c r="D11" s="72"/>
      <c r="E11" s="73"/>
      <c r="F11" s="20">
        <f t="shared" ref="F11:AM11" si="4">SUM(F5:F10)</f>
        <v>20</v>
      </c>
      <c r="G11" s="20">
        <f t="shared" si="4"/>
        <v>0</v>
      </c>
      <c r="H11" s="20">
        <f t="shared" si="4"/>
        <v>0</v>
      </c>
      <c r="I11" s="20">
        <f t="shared" si="4"/>
        <v>30</v>
      </c>
      <c r="J11" s="20">
        <f t="shared" si="4"/>
        <v>0</v>
      </c>
      <c r="K11" s="20">
        <f t="shared" si="4"/>
        <v>0</v>
      </c>
      <c r="L11" s="20">
        <f t="shared" si="4"/>
        <v>0</v>
      </c>
      <c r="M11" s="20">
        <f t="shared" si="4"/>
        <v>20</v>
      </c>
      <c r="N11" s="20">
        <f t="shared" si="4"/>
        <v>0</v>
      </c>
      <c r="O11" s="20">
        <f t="shared" si="4"/>
        <v>0</v>
      </c>
      <c r="P11" s="20">
        <f t="shared" si="4"/>
        <v>20</v>
      </c>
      <c r="Q11" s="20">
        <f t="shared" si="4"/>
        <v>0</v>
      </c>
      <c r="R11" s="20">
        <f t="shared" si="4"/>
        <v>20</v>
      </c>
      <c r="S11" s="20">
        <f t="shared" si="4"/>
        <v>20</v>
      </c>
      <c r="T11" s="20">
        <f t="shared" si="4"/>
        <v>0</v>
      </c>
      <c r="U11" s="20">
        <f t="shared" si="4"/>
        <v>0</v>
      </c>
      <c r="V11" s="20">
        <f t="shared" si="4"/>
        <v>0</v>
      </c>
      <c r="W11" s="20">
        <f t="shared" si="4"/>
        <v>20</v>
      </c>
      <c r="X11" s="20">
        <f t="shared" si="4"/>
        <v>0</v>
      </c>
      <c r="Y11" s="20">
        <f t="shared" si="4"/>
        <v>20</v>
      </c>
      <c r="Z11" s="20">
        <f t="shared" si="4"/>
        <v>0</v>
      </c>
      <c r="AA11" s="20">
        <f t="shared" si="4"/>
        <v>30</v>
      </c>
      <c r="AB11" s="20">
        <f t="shared" si="4"/>
        <v>40</v>
      </c>
      <c r="AC11" s="20">
        <f t="shared" si="4"/>
        <v>0</v>
      </c>
      <c r="AD11" s="20">
        <f t="shared" si="4"/>
        <v>20</v>
      </c>
      <c r="AE11" s="20">
        <f t="shared" si="4"/>
        <v>0</v>
      </c>
      <c r="AF11" s="20">
        <f t="shared" si="4"/>
        <v>20</v>
      </c>
      <c r="AG11" s="20">
        <f t="shared" si="4"/>
        <v>0</v>
      </c>
      <c r="AH11" s="20">
        <f t="shared" si="4"/>
        <v>50</v>
      </c>
      <c r="AI11" s="20">
        <f t="shared" si="4"/>
        <v>20</v>
      </c>
      <c r="AJ11" s="20">
        <f t="shared" si="4"/>
        <v>50</v>
      </c>
      <c r="AK11" s="20">
        <f t="shared" si="4"/>
        <v>400</v>
      </c>
      <c r="AL11" s="20">
        <f t="shared" si="4"/>
        <v>0</v>
      </c>
      <c r="AM11" s="20">
        <f t="shared" si="4"/>
        <v>0</v>
      </c>
      <c r="AN11" s="22"/>
      <c r="AO11" s="22"/>
      <c r="AP11" s="22"/>
      <c r="AQ11" s="22"/>
      <c r="AR11" s="22"/>
      <c r="AS11" s="22">
        <f>SUM(AS5:AS10)</f>
        <v>1116</v>
      </c>
      <c r="AT11" s="22">
        <f>SUM(AT5:AT10)</f>
        <v>111600</v>
      </c>
      <c r="AU11" s="14"/>
      <c r="AV11" s="14"/>
    </row>
    <row r="12" spans="1:50" ht="16.5" thickTop="1" x14ac:dyDescent="0.25">
      <c r="A12" s="11"/>
      <c r="B12" s="9"/>
      <c r="C12" s="9"/>
      <c r="D12" s="9"/>
      <c r="E12" s="9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11"/>
      <c r="AL12" s="23"/>
      <c r="AM12" s="23"/>
      <c r="AN12" s="11"/>
      <c r="AO12" s="11"/>
      <c r="AP12" s="11"/>
      <c r="AQ12" s="15"/>
      <c r="AR12" s="9"/>
      <c r="AS12" s="9"/>
      <c r="AT12" s="9"/>
      <c r="AU12" s="14"/>
      <c r="AV12" s="14"/>
    </row>
    <row r="13" spans="1:50" ht="16.5" thickBot="1" x14ac:dyDescent="0.3">
      <c r="A13" s="11">
        <v>3</v>
      </c>
      <c r="B13" s="9"/>
      <c r="C13" s="9"/>
      <c r="D13" s="9" t="s">
        <v>34</v>
      </c>
      <c r="E13" s="9" t="s">
        <v>33</v>
      </c>
      <c r="F13" s="11"/>
      <c r="G13" s="11"/>
      <c r="H13" s="11"/>
      <c r="I13" s="11"/>
      <c r="J13" s="11"/>
      <c r="K13" s="11"/>
      <c r="L13" s="11"/>
      <c r="M13" s="23"/>
      <c r="N13" s="23"/>
      <c r="O13" s="23"/>
      <c r="P13" s="23"/>
      <c r="Q13" s="23"/>
      <c r="R13" s="11"/>
      <c r="S13" s="11"/>
      <c r="T13" s="11"/>
      <c r="U13" s="11"/>
      <c r="V13" s="11"/>
      <c r="W13" s="11"/>
      <c r="X13" s="23"/>
      <c r="Y13" s="23"/>
      <c r="Z13" s="23"/>
      <c r="AA13" s="23"/>
      <c r="AB13" s="23"/>
      <c r="AC13" s="11"/>
      <c r="AD13" s="11"/>
      <c r="AE13" s="11"/>
      <c r="AF13" s="11"/>
      <c r="AG13" s="24"/>
      <c r="AH13" s="24"/>
      <c r="AI13" s="24"/>
      <c r="AJ13" s="23">
        <v>20</v>
      </c>
      <c r="AK13" s="20">
        <f>SUM(F13:AJ13)</f>
        <v>20</v>
      </c>
      <c r="AL13" s="11"/>
      <c r="AM13" s="11"/>
      <c r="AN13" s="11"/>
      <c r="AO13" s="11"/>
      <c r="AP13" s="11"/>
      <c r="AQ13" s="15"/>
      <c r="AR13" s="9"/>
      <c r="AS13" s="12">
        <v>279</v>
      </c>
      <c r="AT13" s="13">
        <f>AS13*AK13</f>
        <v>5580</v>
      </c>
      <c r="AU13" s="14"/>
      <c r="AV13" s="14"/>
    </row>
    <row r="14" spans="1:50" ht="16.5" thickTop="1" x14ac:dyDescent="0.25">
      <c r="A14" s="11"/>
      <c r="B14" s="9"/>
      <c r="C14" s="9"/>
      <c r="D14" s="9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5"/>
      <c r="AR14" s="9"/>
      <c r="AS14" s="9"/>
      <c r="AT14" s="9"/>
      <c r="AU14" s="14"/>
      <c r="AV14" s="14"/>
    </row>
    <row r="15" spans="1:50" x14ac:dyDescent="0.25">
      <c r="A15" s="11"/>
      <c r="B15" s="9"/>
      <c r="C15" s="9"/>
      <c r="D15" s="9"/>
      <c r="E15" s="9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1"/>
      <c r="AO15" s="11"/>
      <c r="AP15" s="11"/>
      <c r="AQ15" s="9"/>
      <c r="AR15" s="9"/>
      <c r="AS15" s="21"/>
      <c r="AT15" s="25"/>
      <c r="AU15" s="14"/>
      <c r="AV15" s="14"/>
    </row>
    <row r="16" spans="1:50" ht="16.5" customHeight="1" thickBot="1" x14ac:dyDescent="0.3">
      <c r="A16" s="26"/>
      <c r="B16" s="68" t="s">
        <v>19</v>
      </c>
      <c r="C16" s="69"/>
      <c r="D16" s="69"/>
      <c r="E16" s="70"/>
      <c r="F16" s="27">
        <f t="shared" ref="F16:AS16" si="5">SUM(F13:F15)</f>
        <v>0</v>
      </c>
      <c r="G16" s="27">
        <f t="shared" si="5"/>
        <v>0</v>
      </c>
      <c r="H16" s="27">
        <f t="shared" si="5"/>
        <v>0</v>
      </c>
      <c r="I16" s="27">
        <f t="shared" si="5"/>
        <v>0</v>
      </c>
      <c r="J16" s="27">
        <f t="shared" si="5"/>
        <v>0</v>
      </c>
      <c r="K16" s="27">
        <f t="shared" si="5"/>
        <v>0</v>
      </c>
      <c r="L16" s="27">
        <f t="shared" si="5"/>
        <v>0</v>
      </c>
      <c r="M16" s="27">
        <f t="shared" si="5"/>
        <v>0</v>
      </c>
      <c r="N16" s="27">
        <f t="shared" si="5"/>
        <v>0</v>
      </c>
      <c r="O16" s="27">
        <f t="shared" si="5"/>
        <v>0</v>
      </c>
      <c r="P16" s="27">
        <f t="shared" si="5"/>
        <v>0</v>
      </c>
      <c r="Q16" s="27">
        <f t="shared" si="5"/>
        <v>0</v>
      </c>
      <c r="R16" s="27">
        <f t="shared" si="5"/>
        <v>0</v>
      </c>
      <c r="S16" s="27">
        <f t="shared" si="5"/>
        <v>0</v>
      </c>
      <c r="T16" s="27">
        <f t="shared" si="5"/>
        <v>0</v>
      </c>
      <c r="U16" s="27">
        <f t="shared" si="5"/>
        <v>0</v>
      </c>
      <c r="V16" s="27">
        <f t="shared" si="5"/>
        <v>0</v>
      </c>
      <c r="W16" s="27">
        <f t="shared" si="5"/>
        <v>0</v>
      </c>
      <c r="X16" s="27">
        <f t="shared" si="5"/>
        <v>0</v>
      </c>
      <c r="Y16" s="27">
        <f t="shared" si="5"/>
        <v>0</v>
      </c>
      <c r="Z16" s="27">
        <f t="shared" si="5"/>
        <v>0</v>
      </c>
      <c r="AA16" s="27">
        <f t="shared" si="5"/>
        <v>0</v>
      </c>
      <c r="AB16" s="27">
        <f t="shared" si="5"/>
        <v>0</v>
      </c>
      <c r="AC16" s="27">
        <f t="shared" si="5"/>
        <v>0</v>
      </c>
      <c r="AD16" s="27">
        <f t="shared" si="5"/>
        <v>0</v>
      </c>
      <c r="AE16" s="27">
        <f t="shared" si="5"/>
        <v>0</v>
      </c>
      <c r="AF16" s="27">
        <f t="shared" si="5"/>
        <v>0</v>
      </c>
      <c r="AG16" s="27">
        <f t="shared" si="5"/>
        <v>0</v>
      </c>
      <c r="AH16" s="27">
        <f t="shared" si="5"/>
        <v>0</v>
      </c>
      <c r="AI16" s="27">
        <f t="shared" si="5"/>
        <v>0</v>
      </c>
      <c r="AJ16" s="27">
        <f t="shared" si="5"/>
        <v>20</v>
      </c>
      <c r="AK16" s="27">
        <f t="shared" si="5"/>
        <v>20</v>
      </c>
      <c r="AL16" s="27">
        <f t="shared" si="5"/>
        <v>0</v>
      </c>
      <c r="AM16" s="27">
        <f t="shared" si="5"/>
        <v>0</v>
      </c>
      <c r="AN16" s="27">
        <f t="shared" si="5"/>
        <v>0</v>
      </c>
      <c r="AO16" s="27">
        <f t="shared" si="5"/>
        <v>0</v>
      </c>
      <c r="AP16" s="27">
        <f t="shared" si="5"/>
        <v>0</v>
      </c>
      <c r="AQ16" s="27">
        <f t="shared" si="5"/>
        <v>0</v>
      </c>
      <c r="AR16" s="27">
        <f t="shared" si="5"/>
        <v>0</v>
      </c>
      <c r="AS16" s="27">
        <f t="shared" si="5"/>
        <v>279</v>
      </c>
      <c r="AT16" s="28">
        <f>SUM(AT13:AT15)</f>
        <v>5580</v>
      </c>
      <c r="AU16" s="14"/>
      <c r="AV16" s="14"/>
    </row>
    <row r="17" spans="1:48" ht="16.5" thickTop="1" x14ac:dyDescent="0.25">
      <c r="A17" s="29"/>
      <c r="B17" s="71"/>
      <c r="C17" s="72"/>
      <c r="D17" s="72"/>
      <c r="E17" s="7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x14ac:dyDescent="0.25">
      <c r="A18" s="29"/>
      <c r="B18" s="30" t="s">
        <v>21</v>
      </c>
      <c r="C18" s="31"/>
      <c r="D18" s="31"/>
      <c r="E18" s="31"/>
      <c r="F18" s="14">
        <v>100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x14ac:dyDescent="0.25">
      <c r="A19" s="29"/>
      <c r="B19" s="30" t="s">
        <v>22</v>
      </c>
      <c r="C19" s="31"/>
      <c r="D19" s="31"/>
      <c r="E19" s="31"/>
      <c r="F19" s="14"/>
      <c r="G19" s="14"/>
      <c r="H19" s="14"/>
      <c r="I19" s="14"/>
      <c r="J19" s="14"/>
      <c r="K19" s="14"/>
      <c r="L19" s="14"/>
      <c r="M19" s="14"/>
      <c r="N19" s="14">
        <v>80</v>
      </c>
      <c r="O19" s="14"/>
      <c r="P19" s="14"/>
      <c r="Q19" s="14"/>
      <c r="R19" s="14"/>
      <c r="S19" s="14"/>
      <c r="T19" s="14"/>
      <c r="U19" s="14">
        <v>100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>
        <v>50</v>
      </c>
      <c r="AG19" s="14"/>
      <c r="AH19" s="14"/>
      <c r="AI19" s="14">
        <v>110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x14ac:dyDescent="0.25">
      <c r="A20" s="29"/>
      <c r="B20" s="14" t="s">
        <v>23</v>
      </c>
      <c r="E20" s="14"/>
      <c r="F20" s="14">
        <f t="shared" ref="F20:AJ20" si="6">F11+F16</f>
        <v>20</v>
      </c>
      <c r="G20" s="14">
        <f t="shared" si="6"/>
        <v>0</v>
      </c>
      <c r="H20" s="14">
        <f t="shared" si="6"/>
        <v>0</v>
      </c>
      <c r="I20" s="14">
        <f t="shared" si="6"/>
        <v>30</v>
      </c>
      <c r="J20" s="14">
        <f t="shared" si="6"/>
        <v>0</v>
      </c>
      <c r="K20" s="14">
        <f t="shared" si="6"/>
        <v>0</v>
      </c>
      <c r="L20" s="14">
        <f t="shared" si="6"/>
        <v>0</v>
      </c>
      <c r="M20" s="14">
        <f t="shared" si="6"/>
        <v>20</v>
      </c>
      <c r="N20" s="14">
        <f t="shared" si="6"/>
        <v>0</v>
      </c>
      <c r="O20" s="14">
        <f t="shared" si="6"/>
        <v>0</v>
      </c>
      <c r="P20" s="14">
        <f t="shared" si="6"/>
        <v>20</v>
      </c>
      <c r="Q20" s="14">
        <f t="shared" si="6"/>
        <v>0</v>
      </c>
      <c r="R20" s="14">
        <f t="shared" si="6"/>
        <v>20</v>
      </c>
      <c r="S20" s="14">
        <f t="shared" si="6"/>
        <v>20</v>
      </c>
      <c r="T20" s="14">
        <f t="shared" si="6"/>
        <v>0</v>
      </c>
      <c r="U20" s="14">
        <f t="shared" si="6"/>
        <v>0</v>
      </c>
      <c r="V20" s="14">
        <f t="shared" si="6"/>
        <v>0</v>
      </c>
      <c r="W20" s="14">
        <f t="shared" si="6"/>
        <v>20</v>
      </c>
      <c r="X20" s="14">
        <f t="shared" si="6"/>
        <v>0</v>
      </c>
      <c r="Y20" s="14">
        <f t="shared" si="6"/>
        <v>20</v>
      </c>
      <c r="Z20" s="14">
        <f t="shared" si="6"/>
        <v>0</v>
      </c>
      <c r="AA20" s="14">
        <f t="shared" si="6"/>
        <v>30</v>
      </c>
      <c r="AB20" s="14">
        <f t="shared" si="6"/>
        <v>40</v>
      </c>
      <c r="AC20" s="14">
        <f t="shared" si="6"/>
        <v>0</v>
      </c>
      <c r="AD20" s="14">
        <f t="shared" si="6"/>
        <v>20</v>
      </c>
      <c r="AE20" s="14">
        <f t="shared" si="6"/>
        <v>0</v>
      </c>
      <c r="AF20" s="14">
        <f t="shared" si="6"/>
        <v>20</v>
      </c>
      <c r="AG20" s="14">
        <f t="shared" si="6"/>
        <v>0</v>
      </c>
      <c r="AH20" s="14">
        <f t="shared" si="6"/>
        <v>50</v>
      </c>
      <c r="AI20" s="14">
        <f t="shared" si="6"/>
        <v>20</v>
      </c>
      <c r="AJ20" s="14">
        <f t="shared" si="6"/>
        <v>70</v>
      </c>
      <c r="AK20" s="14"/>
      <c r="AL20" s="14"/>
      <c r="AM20" s="14"/>
      <c r="AN20" s="14"/>
      <c r="AO20" s="14"/>
      <c r="AP20" s="14"/>
      <c r="AQ20" s="14"/>
      <c r="AR20" s="14"/>
      <c r="AS20" s="14"/>
      <c r="AT20" s="39">
        <f>AT11+AT16</f>
        <v>117180</v>
      </c>
      <c r="AU20" s="14" t="s">
        <v>2</v>
      </c>
      <c r="AV20" s="14" t="s">
        <v>2</v>
      </c>
    </row>
    <row r="21" spans="1:48" x14ac:dyDescent="0.25">
      <c r="A21" s="29"/>
      <c r="B21" s="14" t="s">
        <v>24</v>
      </c>
      <c r="E21" s="14"/>
      <c r="F21" s="14">
        <f>(F18+F19)-F20</f>
        <v>80</v>
      </c>
      <c r="G21" s="14">
        <f>(F21+G18+G19)-G20</f>
        <v>80</v>
      </c>
      <c r="H21" s="14">
        <f t="shared" ref="H21:AJ21" si="7">(G21+H18+H19)-H20</f>
        <v>80</v>
      </c>
      <c r="I21" s="14">
        <f t="shared" si="7"/>
        <v>50</v>
      </c>
      <c r="J21" s="14">
        <f t="shared" si="7"/>
        <v>50</v>
      </c>
      <c r="K21" s="14">
        <f t="shared" si="7"/>
        <v>50</v>
      </c>
      <c r="L21" s="14">
        <f t="shared" si="7"/>
        <v>50</v>
      </c>
      <c r="M21" s="14">
        <f t="shared" si="7"/>
        <v>30</v>
      </c>
      <c r="N21" s="14">
        <f t="shared" si="7"/>
        <v>110</v>
      </c>
      <c r="O21" s="14">
        <f t="shared" si="7"/>
        <v>110</v>
      </c>
      <c r="P21" s="14">
        <f t="shared" si="7"/>
        <v>90</v>
      </c>
      <c r="Q21" s="14">
        <f t="shared" si="7"/>
        <v>90</v>
      </c>
      <c r="R21" s="14">
        <f t="shared" si="7"/>
        <v>70</v>
      </c>
      <c r="S21" s="14">
        <f t="shared" si="7"/>
        <v>50</v>
      </c>
      <c r="T21" s="14">
        <f t="shared" si="7"/>
        <v>50</v>
      </c>
      <c r="U21" s="14">
        <f t="shared" si="7"/>
        <v>150</v>
      </c>
      <c r="V21" s="14">
        <f t="shared" si="7"/>
        <v>150</v>
      </c>
      <c r="W21" s="14">
        <f t="shared" si="7"/>
        <v>130</v>
      </c>
      <c r="X21" s="14">
        <f t="shared" si="7"/>
        <v>130</v>
      </c>
      <c r="Y21" s="14">
        <f t="shared" si="7"/>
        <v>110</v>
      </c>
      <c r="Z21" s="14">
        <f t="shared" si="7"/>
        <v>110</v>
      </c>
      <c r="AA21" s="14">
        <f t="shared" si="7"/>
        <v>80</v>
      </c>
      <c r="AB21" s="14">
        <f t="shared" si="7"/>
        <v>40</v>
      </c>
      <c r="AC21" s="14">
        <f t="shared" si="7"/>
        <v>40</v>
      </c>
      <c r="AD21" s="14">
        <f t="shared" si="7"/>
        <v>20</v>
      </c>
      <c r="AE21" s="14">
        <f t="shared" si="7"/>
        <v>20</v>
      </c>
      <c r="AF21" s="14">
        <f t="shared" si="7"/>
        <v>50</v>
      </c>
      <c r="AG21" s="14">
        <f t="shared" si="7"/>
        <v>50</v>
      </c>
      <c r="AH21" s="14">
        <f t="shared" si="7"/>
        <v>0</v>
      </c>
      <c r="AI21" s="14">
        <f t="shared" si="7"/>
        <v>90</v>
      </c>
      <c r="AJ21" s="14">
        <f t="shared" si="7"/>
        <v>20</v>
      </c>
      <c r="AK21" s="14"/>
      <c r="AL21" s="14"/>
      <c r="AM21" s="29"/>
      <c r="AN21" s="29"/>
      <c r="AO21" s="29"/>
      <c r="AP21" s="29"/>
      <c r="AQ21" s="14"/>
      <c r="AR21" s="14"/>
      <c r="AS21" s="32"/>
      <c r="AT21" s="14"/>
      <c r="AU21" s="14"/>
      <c r="AV21" s="14"/>
    </row>
    <row r="22" spans="1:48" x14ac:dyDescent="0.25">
      <c r="A22" s="29"/>
      <c r="B22" s="14" t="s">
        <v>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29"/>
      <c r="AL22" s="29"/>
      <c r="AM22" s="29"/>
      <c r="AN22" s="29"/>
      <c r="AO22" s="29"/>
      <c r="AP22" s="29"/>
      <c r="AQ22" s="14"/>
      <c r="AR22" s="14"/>
      <c r="AS22" s="32"/>
      <c r="AT22" s="14"/>
      <c r="AU22" s="14"/>
      <c r="AV22" s="14"/>
    </row>
    <row r="23" spans="1:48" ht="16.5" thickBot="1" x14ac:dyDescent="0.3">
      <c r="A23" s="29"/>
      <c r="B23" s="14" t="s">
        <v>25</v>
      </c>
      <c r="C23" s="14"/>
      <c r="D23" s="14"/>
      <c r="E23" s="14">
        <v>100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2"/>
      <c r="AL23" s="2"/>
      <c r="AM23" s="2"/>
      <c r="AN23" s="2"/>
      <c r="AO23" s="29"/>
      <c r="AP23" s="29"/>
      <c r="AQ23" s="2" t="s">
        <v>26</v>
      </c>
      <c r="AR23" s="29"/>
      <c r="AS23" s="29"/>
      <c r="AT23" s="40">
        <f>F18*279</f>
        <v>27900</v>
      </c>
      <c r="AU23" s="14"/>
      <c r="AV23" s="14"/>
    </row>
    <row r="24" spans="1:48" ht="16.5" thickTop="1" x14ac:dyDescent="0.25">
      <c r="A24" s="29"/>
      <c r="B24" s="14" t="s">
        <v>27</v>
      </c>
      <c r="C24" s="14"/>
      <c r="D24" s="14"/>
      <c r="E24" s="14">
        <v>340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2"/>
      <c r="AL24" s="2"/>
      <c r="AM24" s="2"/>
      <c r="AN24" s="30"/>
      <c r="AO24" s="29"/>
      <c r="AP24" s="29"/>
      <c r="AQ24" s="2" t="s">
        <v>28</v>
      </c>
      <c r="AR24" s="29"/>
      <c r="AS24" s="29"/>
      <c r="AT24" s="37">
        <f>AT20-AT23</f>
        <v>89280</v>
      </c>
      <c r="AU24" s="14"/>
      <c r="AV24" s="14"/>
    </row>
    <row r="25" spans="1:48" x14ac:dyDescent="0.25">
      <c r="A25" s="29"/>
      <c r="B25" s="14" t="s">
        <v>29</v>
      </c>
      <c r="C25" s="14"/>
      <c r="D25" s="14"/>
      <c r="E25" s="14">
        <v>420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29"/>
      <c r="AL25" s="29"/>
      <c r="AM25" s="29"/>
      <c r="AN25" s="29"/>
      <c r="AO25" s="29"/>
      <c r="AP25" s="29"/>
      <c r="AQ25" s="14"/>
      <c r="AR25" s="14"/>
      <c r="AS25" s="32"/>
      <c r="AT25" s="14"/>
      <c r="AU25" s="14"/>
      <c r="AV25" s="14"/>
    </row>
    <row r="26" spans="1:48" ht="16.5" thickBot="1" x14ac:dyDescent="0.3">
      <c r="A26" s="29"/>
      <c r="B26" s="14" t="s">
        <v>30</v>
      </c>
      <c r="C26" s="14"/>
      <c r="D26" s="14"/>
      <c r="E26" s="33">
        <f>E23+E24-E25</f>
        <v>20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29"/>
      <c r="AL26" s="29"/>
      <c r="AM26" s="29"/>
      <c r="AN26" s="29"/>
      <c r="AO26" s="29"/>
      <c r="AP26" s="29"/>
      <c r="AQ26" s="14"/>
      <c r="AR26" s="14"/>
      <c r="AS26" s="32"/>
      <c r="AT26" s="14"/>
      <c r="AU26" s="14"/>
      <c r="AV26" s="14"/>
    </row>
    <row r="27" spans="1:48" ht="16.5" thickTop="1" x14ac:dyDescent="0.25">
      <c r="A27" s="29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29"/>
      <c r="AL27" s="29"/>
      <c r="AM27" s="29"/>
      <c r="AN27" s="29"/>
      <c r="AO27" s="29"/>
      <c r="AP27" s="29"/>
      <c r="AQ27" s="14"/>
      <c r="AR27" s="14"/>
      <c r="AS27" s="32"/>
      <c r="AT27" s="14"/>
      <c r="AU27" s="14"/>
      <c r="AV27" s="14"/>
    </row>
    <row r="28" spans="1:48" x14ac:dyDescent="0.25">
      <c r="A28" s="34"/>
      <c r="C28" s="14"/>
      <c r="D28" s="14"/>
      <c r="E28" s="35"/>
      <c r="K28" s="14"/>
      <c r="M28" s="36"/>
      <c r="N28" s="14"/>
      <c r="P28" s="14"/>
      <c r="Q28" s="14"/>
      <c r="R28" s="14"/>
      <c r="U28" s="36"/>
      <c r="V28" s="14"/>
      <c r="W28" s="14"/>
      <c r="X28" s="14"/>
      <c r="Y28" s="14"/>
      <c r="Z28" s="14"/>
      <c r="AA28" s="14"/>
      <c r="AB28" s="36"/>
      <c r="AC28" s="14"/>
      <c r="AD28" s="14"/>
      <c r="AE28" s="14"/>
      <c r="AF28" s="14"/>
      <c r="AG28" s="14"/>
      <c r="AH28" s="36"/>
      <c r="AI28" s="14"/>
      <c r="AJ28" s="14"/>
      <c r="AK28" s="14"/>
      <c r="AL28" s="29"/>
      <c r="AM28" s="29"/>
      <c r="AN28" s="29"/>
      <c r="AO28" s="29"/>
      <c r="AP28" s="29"/>
      <c r="AQ28" s="14"/>
      <c r="AR28" s="14"/>
      <c r="AS28" s="32"/>
      <c r="AT28" s="14"/>
      <c r="AU28" s="14"/>
      <c r="AV28" s="14"/>
    </row>
    <row r="29" spans="1:48" x14ac:dyDescent="0.25">
      <c r="A29" s="14"/>
      <c r="C29" s="14"/>
      <c r="D29" s="14"/>
      <c r="E29" s="35"/>
      <c r="K29" s="14"/>
      <c r="M29" s="36"/>
      <c r="N29" s="14"/>
      <c r="P29" s="14"/>
      <c r="Q29" s="14"/>
      <c r="R29" s="14"/>
      <c r="U29" s="36"/>
      <c r="V29" s="14"/>
      <c r="W29" s="14"/>
      <c r="X29" s="14"/>
      <c r="Y29" s="14"/>
      <c r="Z29" s="14"/>
      <c r="AA29" s="14"/>
      <c r="AB29" s="36"/>
      <c r="AC29" s="14"/>
      <c r="AD29" s="14"/>
      <c r="AE29" s="14"/>
      <c r="AF29" s="14"/>
      <c r="AG29" s="14"/>
      <c r="AH29" s="36"/>
      <c r="AI29" s="14"/>
      <c r="AJ29" s="14"/>
      <c r="AK29" s="14"/>
      <c r="AL29" s="29"/>
      <c r="AM29" s="29"/>
      <c r="AN29" s="29"/>
      <c r="AO29" s="29"/>
      <c r="AP29" s="29"/>
      <c r="AQ29" s="14"/>
      <c r="AR29" s="14"/>
      <c r="AS29" s="32"/>
      <c r="AT29" s="14"/>
      <c r="AU29" s="14"/>
      <c r="AV29" s="14"/>
    </row>
    <row r="30" spans="1:48" x14ac:dyDescent="0.25">
      <c r="A30" s="14"/>
      <c r="C30" s="14"/>
      <c r="D30" s="14"/>
      <c r="E30" s="35"/>
      <c r="K30" s="14"/>
      <c r="M30" s="36"/>
      <c r="N30" s="14"/>
      <c r="P30" s="14"/>
      <c r="Q30" s="14"/>
      <c r="R30" s="14"/>
      <c r="U30" s="36"/>
      <c r="V30" s="14"/>
      <c r="W30" s="14"/>
      <c r="X30" s="14"/>
      <c r="Y30" s="14"/>
      <c r="Z30" s="14"/>
      <c r="AA30" s="14"/>
      <c r="AB30" s="36"/>
      <c r="AC30" s="14"/>
      <c r="AD30" s="14"/>
      <c r="AE30" s="14"/>
      <c r="AF30" s="14"/>
      <c r="AG30" s="14"/>
      <c r="AH30" s="36"/>
      <c r="AI30" s="14"/>
      <c r="AJ30" s="14"/>
      <c r="AK30" s="14"/>
      <c r="AL30" s="29"/>
      <c r="AM30" s="29"/>
      <c r="AN30" s="29"/>
      <c r="AO30" s="29"/>
      <c r="AP30" s="29"/>
      <c r="AQ30" s="14"/>
      <c r="AR30" s="14"/>
      <c r="AS30" s="32"/>
      <c r="AT30" s="14"/>
      <c r="AU30" s="14"/>
      <c r="AV30" s="14"/>
    </row>
    <row r="31" spans="1:48" x14ac:dyDescent="0.25">
      <c r="A31" s="14"/>
      <c r="C31" s="14"/>
      <c r="D31" s="14"/>
      <c r="E31" s="35"/>
      <c r="K31" s="14"/>
      <c r="M31" s="36"/>
      <c r="N31" s="14"/>
      <c r="P31" s="14"/>
      <c r="Q31" s="14"/>
      <c r="R31" s="14"/>
      <c r="U31" s="36"/>
      <c r="V31" s="14"/>
      <c r="W31" s="14"/>
      <c r="X31" s="14"/>
      <c r="Y31" s="14"/>
      <c r="Z31" s="14"/>
      <c r="AA31" s="14"/>
      <c r="AB31" s="36"/>
      <c r="AC31" s="14"/>
      <c r="AD31" s="14"/>
      <c r="AE31" s="14"/>
      <c r="AF31" s="14"/>
      <c r="AG31" s="14"/>
      <c r="AH31" s="36"/>
      <c r="AI31" s="14"/>
      <c r="AJ31" s="14"/>
      <c r="AK31" s="14"/>
      <c r="AL31" s="29"/>
      <c r="AM31" s="29"/>
      <c r="AN31" s="29"/>
      <c r="AO31" s="29"/>
      <c r="AP31" s="29"/>
      <c r="AQ31" s="14"/>
      <c r="AR31" s="14"/>
      <c r="AS31" s="32"/>
      <c r="AT31" s="14"/>
      <c r="AU31" s="14"/>
      <c r="AV31" s="14"/>
    </row>
    <row r="32" spans="1:48" x14ac:dyDescent="0.25">
      <c r="A32" s="1" t="s">
        <v>0</v>
      </c>
      <c r="E32" s="3" t="s">
        <v>1</v>
      </c>
      <c r="R32" s="3"/>
    </row>
    <row r="33" spans="1:46" x14ac:dyDescent="0.25">
      <c r="A33" s="1" t="s">
        <v>35</v>
      </c>
      <c r="E33" s="3" t="s">
        <v>31</v>
      </c>
      <c r="R33" s="3" t="s">
        <v>2</v>
      </c>
    </row>
    <row r="34" spans="1:46" ht="25.5" customHeight="1" x14ac:dyDescent="0.25">
      <c r="A34" s="64" t="s">
        <v>3</v>
      </c>
      <c r="B34" s="64" t="s">
        <v>4</v>
      </c>
      <c r="C34" s="64" t="s">
        <v>5</v>
      </c>
      <c r="D34" s="64" t="s">
        <v>6</v>
      </c>
      <c r="E34" s="64" t="s">
        <v>7</v>
      </c>
      <c r="F34" s="75" t="s">
        <v>8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7"/>
      <c r="AK34" s="64" t="s">
        <v>9</v>
      </c>
      <c r="AL34" s="64" t="s">
        <v>10</v>
      </c>
      <c r="AM34" s="64" t="s">
        <v>11</v>
      </c>
      <c r="AN34" s="64" t="s">
        <v>12</v>
      </c>
      <c r="AO34" s="64" t="s">
        <v>13</v>
      </c>
      <c r="AP34" s="64" t="s">
        <v>14</v>
      </c>
      <c r="AQ34" s="64" t="s">
        <v>15</v>
      </c>
      <c r="AR34" s="64" t="s">
        <v>16</v>
      </c>
      <c r="AS34" s="66" t="s">
        <v>17</v>
      </c>
      <c r="AT34" s="64" t="s">
        <v>18</v>
      </c>
    </row>
    <row r="35" spans="1:46" ht="42.75" customHeight="1" x14ac:dyDescent="0.25">
      <c r="A35" s="65"/>
      <c r="B35" s="65"/>
      <c r="C35" s="65"/>
      <c r="D35" s="65"/>
      <c r="E35" s="65"/>
      <c r="F35" s="6">
        <v>1</v>
      </c>
      <c r="G35" s="6">
        <v>2</v>
      </c>
      <c r="H35" s="6">
        <v>3</v>
      </c>
      <c r="I35" s="6">
        <v>4</v>
      </c>
      <c r="J35" s="6">
        <v>5</v>
      </c>
      <c r="K35" s="6">
        <v>6</v>
      </c>
      <c r="L35" s="6">
        <v>7</v>
      </c>
      <c r="M35" s="6">
        <v>8</v>
      </c>
      <c r="N35" s="6">
        <v>9</v>
      </c>
      <c r="O35" s="6">
        <v>10</v>
      </c>
      <c r="P35" s="6">
        <v>11</v>
      </c>
      <c r="Q35" s="6">
        <v>12</v>
      </c>
      <c r="R35" s="6">
        <v>13</v>
      </c>
      <c r="S35" s="6">
        <v>14</v>
      </c>
      <c r="T35" s="6">
        <v>15</v>
      </c>
      <c r="U35" s="6">
        <v>16</v>
      </c>
      <c r="V35" s="6">
        <v>17</v>
      </c>
      <c r="W35" s="6">
        <v>18</v>
      </c>
      <c r="X35" s="6">
        <v>19</v>
      </c>
      <c r="Y35" s="6">
        <v>20</v>
      </c>
      <c r="Z35" s="6">
        <v>21</v>
      </c>
      <c r="AA35" s="6">
        <v>22</v>
      </c>
      <c r="AB35" s="6">
        <v>23</v>
      </c>
      <c r="AC35" s="6">
        <v>24</v>
      </c>
      <c r="AD35" s="6">
        <v>25</v>
      </c>
      <c r="AE35" s="6">
        <v>26</v>
      </c>
      <c r="AF35" s="6">
        <v>27</v>
      </c>
      <c r="AG35" s="6">
        <v>28</v>
      </c>
      <c r="AH35" s="6">
        <v>29</v>
      </c>
      <c r="AI35" s="6">
        <v>30</v>
      </c>
      <c r="AJ35" s="6">
        <v>31</v>
      </c>
      <c r="AK35" s="65"/>
      <c r="AL35" s="65"/>
      <c r="AM35" s="65"/>
      <c r="AN35" s="65"/>
      <c r="AO35" s="65"/>
      <c r="AP35" s="65"/>
      <c r="AQ35" s="65"/>
      <c r="AR35" s="65"/>
      <c r="AS35" s="67"/>
      <c r="AT35" s="65"/>
    </row>
    <row r="36" spans="1:46" ht="16.5" thickBot="1" x14ac:dyDescent="0.3">
      <c r="A36" s="8">
        <v>1</v>
      </c>
      <c r="B36" s="9" t="s">
        <v>38</v>
      </c>
      <c r="C36" s="9"/>
      <c r="D36" s="9" t="s">
        <v>36</v>
      </c>
      <c r="E36" s="9" t="s">
        <v>37</v>
      </c>
      <c r="F36" s="11"/>
      <c r="G36" s="11"/>
      <c r="H36" s="11"/>
      <c r="I36" s="11">
        <v>1</v>
      </c>
      <c r="J36" s="11"/>
      <c r="K36" s="11">
        <v>1</v>
      </c>
      <c r="L36" s="11"/>
      <c r="M36" s="11"/>
      <c r="N36" s="11">
        <v>2</v>
      </c>
      <c r="O36" s="11"/>
      <c r="P36" s="11"/>
      <c r="Q36" s="11">
        <v>2.2000000000000002</v>
      </c>
      <c r="R36" s="11"/>
      <c r="S36" s="11"/>
      <c r="T36" s="11"/>
      <c r="U36" s="11">
        <v>2</v>
      </c>
      <c r="V36" s="11"/>
      <c r="W36" s="11"/>
      <c r="X36" s="11">
        <v>2</v>
      </c>
      <c r="Y36" s="11"/>
      <c r="Z36" s="11"/>
      <c r="AA36" s="11">
        <v>2</v>
      </c>
      <c r="AB36" s="11"/>
      <c r="AC36" s="11"/>
      <c r="AD36" s="11">
        <v>2</v>
      </c>
      <c r="AE36" s="11"/>
      <c r="AF36" s="11"/>
      <c r="AG36" s="11">
        <v>2</v>
      </c>
      <c r="AH36" s="11"/>
      <c r="AI36" s="11"/>
      <c r="AJ36" s="11">
        <v>2</v>
      </c>
      <c r="AK36" s="20">
        <f>SUM(F36:AJ36)</f>
        <v>18.2</v>
      </c>
      <c r="AL36" s="11"/>
      <c r="AM36" s="8"/>
      <c r="AN36" s="8"/>
      <c r="AO36" s="8"/>
      <c r="AP36" s="8"/>
      <c r="AQ36" s="38"/>
      <c r="AR36" s="10"/>
      <c r="AS36" s="12">
        <v>294</v>
      </c>
      <c r="AT36" s="13">
        <f>AS36*AK36</f>
        <v>5350.8</v>
      </c>
    </row>
    <row r="37" spans="1:46" ht="17.25" thickTop="1" thickBot="1" x14ac:dyDescent="0.3">
      <c r="A37" s="8">
        <v>2</v>
      </c>
      <c r="B37" s="9" t="s">
        <v>39</v>
      </c>
      <c r="C37" s="9"/>
      <c r="D37" s="9" t="s">
        <v>36</v>
      </c>
      <c r="E37" s="9" t="s">
        <v>37</v>
      </c>
      <c r="F37" s="11"/>
      <c r="G37" s="11"/>
      <c r="H37" s="11"/>
      <c r="I37" s="11">
        <v>2</v>
      </c>
      <c r="J37" s="11"/>
      <c r="K37" s="11"/>
      <c r="L37" s="11">
        <v>1.1000000000000001</v>
      </c>
      <c r="M37" s="11"/>
      <c r="N37" s="11"/>
      <c r="O37" s="11">
        <v>2</v>
      </c>
      <c r="P37" s="11"/>
      <c r="Q37" s="11"/>
      <c r="R37" s="11">
        <v>2</v>
      </c>
      <c r="S37" s="11"/>
      <c r="T37" s="11">
        <v>2</v>
      </c>
      <c r="U37" s="11"/>
      <c r="V37" s="11">
        <v>4</v>
      </c>
      <c r="W37" s="11"/>
      <c r="X37" s="11"/>
      <c r="Y37" s="11"/>
      <c r="Z37" s="11">
        <v>3</v>
      </c>
      <c r="AA37" s="11"/>
      <c r="AB37" s="11"/>
      <c r="AC37" s="11">
        <v>2</v>
      </c>
      <c r="AD37" s="11"/>
      <c r="AE37" s="11"/>
      <c r="AF37" s="11">
        <v>2</v>
      </c>
      <c r="AG37" s="11"/>
      <c r="AH37" s="11">
        <v>1.1000000000000001</v>
      </c>
      <c r="AI37" s="11"/>
      <c r="AJ37" s="11">
        <v>1.1000000000000001</v>
      </c>
      <c r="AK37" s="20">
        <f t="shared" ref="AK37:AK38" si="8">SUM(F37:AJ37)</f>
        <v>22.300000000000004</v>
      </c>
      <c r="AL37" s="11"/>
      <c r="AM37" s="11"/>
      <c r="AN37" s="11"/>
      <c r="AO37" s="11"/>
      <c r="AP37" s="11"/>
      <c r="AQ37" s="15"/>
      <c r="AR37" s="9"/>
      <c r="AS37" s="12">
        <v>294</v>
      </c>
      <c r="AT37" s="13">
        <f t="shared" ref="AT37:AT38" si="9">AS37*AK37</f>
        <v>6556.2000000000016</v>
      </c>
    </row>
    <row r="38" spans="1:46" ht="17.25" thickTop="1" thickBot="1" x14ac:dyDescent="0.3">
      <c r="A38" s="11">
        <v>3</v>
      </c>
      <c r="B38" s="9" t="s">
        <v>40</v>
      </c>
      <c r="C38" s="17"/>
      <c r="D38" s="9"/>
      <c r="E38" s="9" t="s">
        <v>37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>
        <v>1.4</v>
      </c>
      <c r="AF38" s="11"/>
      <c r="AG38" s="11">
        <v>1</v>
      </c>
      <c r="AH38" s="11">
        <v>1</v>
      </c>
      <c r="AI38" s="11">
        <v>1</v>
      </c>
      <c r="AJ38" s="11">
        <v>1</v>
      </c>
      <c r="AK38" s="20">
        <f t="shared" si="8"/>
        <v>5.4</v>
      </c>
      <c r="AL38" s="11"/>
      <c r="AM38" s="11"/>
      <c r="AN38" s="11"/>
      <c r="AO38" s="11"/>
      <c r="AP38" s="11"/>
      <c r="AQ38" s="15"/>
      <c r="AR38" s="9"/>
      <c r="AS38" s="12">
        <v>294</v>
      </c>
      <c r="AT38" s="13">
        <f t="shared" si="9"/>
        <v>1587.6000000000001</v>
      </c>
    </row>
    <row r="39" spans="1:46" ht="16.5" thickTop="1" x14ac:dyDescent="0.25">
      <c r="A39" s="11"/>
      <c r="B39" s="9"/>
      <c r="C39" s="9"/>
      <c r="D39" s="9"/>
      <c r="E39" s="9"/>
      <c r="F39" s="11"/>
      <c r="G39" s="11"/>
      <c r="H39" s="11"/>
      <c r="I39" s="11"/>
      <c r="J39" s="11"/>
      <c r="K39" s="11"/>
      <c r="L39" s="11"/>
      <c r="M39" s="11"/>
      <c r="N39" s="18"/>
      <c r="O39" s="18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8"/>
      <c r="AL39" s="11"/>
      <c r="AM39" s="18"/>
      <c r="AN39" s="11"/>
      <c r="AO39" s="11"/>
      <c r="AP39" s="11"/>
      <c r="AQ39" s="15"/>
      <c r="AR39" s="9"/>
      <c r="AS39" s="9"/>
      <c r="AT39" s="19"/>
    </row>
    <row r="40" spans="1:46" ht="16.5" customHeight="1" thickBot="1" x14ac:dyDescent="0.3">
      <c r="A40" s="11"/>
      <c r="B40" s="68" t="s">
        <v>19</v>
      </c>
      <c r="C40" s="69"/>
      <c r="D40" s="69"/>
      <c r="E40" s="70"/>
      <c r="F40" s="20">
        <f t="shared" ref="F40:AM40" si="10">SUM(F36:F39)</f>
        <v>0</v>
      </c>
      <c r="G40" s="20">
        <f t="shared" si="10"/>
        <v>0</v>
      </c>
      <c r="H40" s="20">
        <f t="shared" si="10"/>
        <v>0</v>
      </c>
      <c r="I40" s="20">
        <f t="shared" si="10"/>
        <v>3</v>
      </c>
      <c r="J40" s="20">
        <f t="shared" si="10"/>
        <v>0</v>
      </c>
      <c r="K40" s="20">
        <f t="shared" si="10"/>
        <v>1</v>
      </c>
      <c r="L40" s="20">
        <f t="shared" si="10"/>
        <v>1.1000000000000001</v>
      </c>
      <c r="M40" s="20">
        <f t="shared" si="10"/>
        <v>0</v>
      </c>
      <c r="N40" s="20">
        <f t="shared" si="10"/>
        <v>2</v>
      </c>
      <c r="O40" s="20">
        <f t="shared" si="10"/>
        <v>2</v>
      </c>
      <c r="P40" s="20">
        <f t="shared" si="10"/>
        <v>0</v>
      </c>
      <c r="Q40" s="20">
        <f t="shared" si="10"/>
        <v>2.2000000000000002</v>
      </c>
      <c r="R40" s="20">
        <f t="shared" si="10"/>
        <v>2</v>
      </c>
      <c r="S40" s="20">
        <f t="shared" si="10"/>
        <v>0</v>
      </c>
      <c r="T40" s="20">
        <f t="shared" si="10"/>
        <v>2</v>
      </c>
      <c r="U40" s="20">
        <f t="shared" si="10"/>
        <v>2</v>
      </c>
      <c r="V40" s="20">
        <f t="shared" si="10"/>
        <v>4</v>
      </c>
      <c r="W40" s="20">
        <f t="shared" si="10"/>
        <v>0</v>
      </c>
      <c r="X40" s="20">
        <f t="shared" si="10"/>
        <v>2</v>
      </c>
      <c r="Y40" s="20">
        <f t="shared" si="10"/>
        <v>0</v>
      </c>
      <c r="Z40" s="20">
        <f t="shared" si="10"/>
        <v>3</v>
      </c>
      <c r="AA40" s="20">
        <f t="shared" si="10"/>
        <v>2</v>
      </c>
      <c r="AB40" s="20">
        <f t="shared" si="10"/>
        <v>0</v>
      </c>
      <c r="AC40" s="20">
        <f t="shared" si="10"/>
        <v>2</v>
      </c>
      <c r="AD40" s="20">
        <f t="shared" si="10"/>
        <v>2</v>
      </c>
      <c r="AE40" s="20">
        <f t="shared" si="10"/>
        <v>1.4</v>
      </c>
      <c r="AF40" s="20">
        <f t="shared" si="10"/>
        <v>2</v>
      </c>
      <c r="AG40" s="20">
        <f t="shared" si="10"/>
        <v>3</v>
      </c>
      <c r="AH40" s="20">
        <f t="shared" si="10"/>
        <v>2.1</v>
      </c>
      <c r="AI40" s="20">
        <f t="shared" si="10"/>
        <v>1</v>
      </c>
      <c r="AJ40" s="20">
        <f t="shared" si="10"/>
        <v>4.0999999999999996</v>
      </c>
      <c r="AK40" s="20">
        <f t="shared" si="10"/>
        <v>45.9</v>
      </c>
      <c r="AL40" s="20">
        <f t="shared" si="10"/>
        <v>0</v>
      </c>
      <c r="AM40" s="20">
        <f t="shared" si="10"/>
        <v>0</v>
      </c>
      <c r="AN40" s="22"/>
      <c r="AO40" s="22"/>
      <c r="AP40" s="22"/>
      <c r="AQ40" s="22"/>
      <c r="AR40" s="22"/>
      <c r="AS40" s="22">
        <f>SUM(AS36:AS39)</f>
        <v>882</v>
      </c>
      <c r="AT40" s="22">
        <f>SUM(AT36:AT39)</f>
        <v>13494.600000000002</v>
      </c>
    </row>
    <row r="41" spans="1:46" ht="16.5" thickTop="1" x14ac:dyDescent="0.25">
      <c r="A41" s="11"/>
      <c r="B41" s="9"/>
      <c r="C41" s="9"/>
      <c r="D41" s="9"/>
      <c r="E41" s="9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11"/>
      <c r="AL41" s="23"/>
      <c r="AM41" s="23"/>
      <c r="AN41" s="11"/>
      <c r="AO41" s="11"/>
      <c r="AP41" s="11"/>
      <c r="AQ41" s="15"/>
      <c r="AR41" s="9"/>
      <c r="AS41" s="9"/>
      <c r="AT41" s="9"/>
    </row>
    <row r="42" spans="1:46" x14ac:dyDescent="0.25">
      <c r="A42" s="29"/>
      <c r="B42" s="30" t="s">
        <v>21</v>
      </c>
      <c r="C42" s="31"/>
      <c r="D42" s="31"/>
      <c r="E42" s="31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</row>
    <row r="43" spans="1:46" x14ac:dyDescent="0.25">
      <c r="A43" s="29"/>
      <c r="B43" s="30" t="s">
        <v>22</v>
      </c>
      <c r="C43" s="31"/>
      <c r="D43" s="31"/>
      <c r="E43" s="31"/>
      <c r="F43" s="14"/>
      <c r="G43" s="14"/>
      <c r="H43" s="14"/>
      <c r="I43" s="14">
        <v>5.0999999999999996</v>
      </c>
      <c r="J43" s="14"/>
      <c r="K43" s="14"/>
      <c r="L43" s="14"/>
      <c r="M43" s="14"/>
      <c r="N43" s="14">
        <v>10.199999999999999</v>
      </c>
      <c r="O43" s="14"/>
      <c r="P43" s="14"/>
      <c r="Q43" s="14"/>
      <c r="R43" s="14"/>
      <c r="S43" s="14"/>
      <c r="T43" s="14"/>
      <c r="U43" s="14">
        <v>15.3</v>
      </c>
      <c r="V43" s="14"/>
      <c r="W43" s="14"/>
      <c r="X43" s="14"/>
      <c r="Y43" s="14">
        <v>6.2</v>
      </c>
      <c r="Z43" s="14"/>
      <c r="AA43" s="14"/>
      <c r="AB43" s="14"/>
      <c r="AC43" s="14"/>
      <c r="AD43" s="14"/>
      <c r="AE43" s="14"/>
      <c r="AF43" s="14">
        <v>5.0999999999999996</v>
      </c>
      <c r="AG43" s="14"/>
      <c r="AH43" s="14"/>
      <c r="AI43" s="14">
        <v>5.0999999999999996</v>
      </c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</row>
    <row r="44" spans="1:46" x14ac:dyDescent="0.25">
      <c r="A44" s="29"/>
      <c r="B44" s="14" t="s">
        <v>23</v>
      </c>
      <c r="E44" s="14"/>
      <c r="F44" s="14">
        <f>F40</f>
        <v>0</v>
      </c>
      <c r="G44" s="14">
        <f t="shared" ref="G44:AJ44" si="11">G40</f>
        <v>0</v>
      </c>
      <c r="H44" s="14">
        <f t="shared" si="11"/>
        <v>0</v>
      </c>
      <c r="I44" s="14">
        <f>I40</f>
        <v>3</v>
      </c>
      <c r="J44" s="14"/>
      <c r="K44" s="14">
        <f>K40</f>
        <v>1</v>
      </c>
      <c r="L44" s="14">
        <f t="shared" si="11"/>
        <v>1.1000000000000001</v>
      </c>
      <c r="M44" s="14">
        <f t="shared" si="11"/>
        <v>0</v>
      </c>
      <c r="N44" s="14">
        <f t="shared" si="11"/>
        <v>2</v>
      </c>
      <c r="O44" s="14">
        <f t="shared" si="11"/>
        <v>2</v>
      </c>
      <c r="P44" s="14">
        <f t="shared" si="11"/>
        <v>0</v>
      </c>
      <c r="Q44" s="14">
        <f t="shared" si="11"/>
        <v>2.2000000000000002</v>
      </c>
      <c r="R44" s="14">
        <f t="shared" si="11"/>
        <v>2</v>
      </c>
      <c r="S44" s="14">
        <f t="shared" si="11"/>
        <v>0</v>
      </c>
      <c r="T44" s="14">
        <f t="shared" si="11"/>
        <v>2</v>
      </c>
      <c r="U44" s="14">
        <f t="shared" si="11"/>
        <v>2</v>
      </c>
      <c r="V44" s="14">
        <f t="shared" si="11"/>
        <v>4</v>
      </c>
      <c r="W44" s="14">
        <f t="shared" si="11"/>
        <v>0</v>
      </c>
      <c r="X44" s="14">
        <f t="shared" si="11"/>
        <v>2</v>
      </c>
      <c r="Y44" s="14">
        <f t="shared" si="11"/>
        <v>0</v>
      </c>
      <c r="Z44" s="14">
        <f t="shared" si="11"/>
        <v>3</v>
      </c>
      <c r="AA44" s="14">
        <f t="shared" si="11"/>
        <v>2</v>
      </c>
      <c r="AB44" s="14">
        <f t="shared" si="11"/>
        <v>0</v>
      </c>
      <c r="AC44" s="14">
        <f t="shared" si="11"/>
        <v>2</v>
      </c>
      <c r="AD44" s="14">
        <f t="shared" si="11"/>
        <v>2</v>
      </c>
      <c r="AE44" s="14">
        <f t="shared" si="11"/>
        <v>1.4</v>
      </c>
      <c r="AF44" s="14">
        <f t="shared" si="11"/>
        <v>2</v>
      </c>
      <c r="AG44" s="14">
        <f t="shared" si="11"/>
        <v>3</v>
      </c>
      <c r="AH44" s="14">
        <f t="shared" si="11"/>
        <v>2.1</v>
      </c>
      <c r="AI44" s="14">
        <f t="shared" si="11"/>
        <v>1</v>
      </c>
      <c r="AJ44" s="14">
        <f t="shared" si="11"/>
        <v>4.0999999999999996</v>
      </c>
      <c r="AK44" s="14"/>
      <c r="AL44" s="14"/>
      <c r="AM44" s="14"/>
      <c r="AN44" s="14"/>
      <c r="AO44" s="14"/>
      <c r="AP44" s="14"/>
      <c r="AQ44" s="14"/>
      <c r="AR44" s="14"/>
      <c r="AS44" s="14"/>
      <c r="AT44" s="14"/>
    </row>
    <row r="45" spans="1:46" x14ac:dyDescent="0.25">
      <c r="A45" s="29"/>
      <c r="B45" s="14" t="s">
        <v>24</v>
      </c>
      <c r="E45" s="14"/>
      <c r="F45" s="14">
        <f>(F42+F43)-F44</f>
        <v>0</v>
      </c>
      <c r="G45" s="14">
        <f>(F45+G42+G43)-G44</f>
        <v>0</v>
      </c>
      <c r="H45" s="14">
        <f t="shared" ref="H45:AI45" si="12">(G45+H42+H43)-H44</f>
        <v>0</v>
      </c>
      <c r="I45" s="14">
        <f>(H45+I42+I43)-I44</f>
        <v>2.0999999999999996</v>
      </c>
      <c r="J45" s="14">
        <f>(I45+J42+J43)-J44</f>
        <v>2.0999999999999996</v>
      </c>
      <c r="K45" s="14">
        <f>(J45+K42+K43)-K44</f>
        <v>1.0999999999999996</v>
      </c>
      <c r="L45" s="14">
        <f>(K45+L42+L43)-L44</f>
        <v>0</v>
      </c>
      <c r="M45" s="14">
        <f t="shared" si="12"/>
        <v>0</v>
      </c>
      <c r="N45" s="14">
        <f t="shared" si="12"/>
        <v>8.1999999999999993</v>
      </c>
      <c r="O45" s="14">
        <f t="shared" si="12"/>
        <v>6.1999999999999993</v>
      </c>
      <c r="P45" s="14">
        <f t="shared" si="12"/>
        <v>6.1999999999999993</v>
      </c>
      <c r="Q45" s="14">
        <f t="shared" si="12"/>
        <v>3.9999999999999991</v>
      </c>
      <c r="R45" s="14">
        <f t="shared" si="12"/>
        <v>1.9999999999999991</v>
      </c>
      <c r="S45" s="14">
        <f t="shared" si="12"/>
        <v>1.9999999999999991</v>
      </c>
      <c r="T45" s="14">
        <f t="shared" si="12"/>
        <v>0</v>
      </c>
      <c r="U45" s="14">
        <f t="shared" si="12"/>
        <v>13.3</v>
      </c>
      <c r="V45" s="14">
        <f t="shared" si="12"/>
        <v>9.3000000000000007</v>
      </c>
      <c r="W45" s="14">
        <f t="shared" si="12"/>
        <v>9.3000000000000007</v>
      </c>
      <c r="X45" s="14">
        <f t="shared" si="12"/>
        <v>7.3000000000000007</v>
      </c>
      <c r="Y45" s="14">
        <f t="shared" si="12"/>
        <v>13.5</v>
      </c>
      <c r="Z45" s="14">
        <f t="shared" si="12"/>
        <v>10.5</v>
      </c>
      <c r="AA45" s="14">
        <f t="shared" si="12"/>
        <v>8.5</v>
      </c>
      <c r="AB45" s="14">
        <f t="shared" si="12"/>
        <v>8.5</v>
      </c>
      <c r="AC45" s="14">
        <f t="shared" si="12"/>
        <v>6.5</v>
      </c>
      <c r="AD45" s="14">
        <f t="shared" si="12"/>
        <v>4.5</v>
      </c>
      <c r="AE45" s="14">
        <f t="shared" si="12"/>
        <v>3.1</v>
      </c>
      <c r="AF45" s="14">
        <f t="shared" si="12"/>
        <v>6.1999999999999993</v>
      </c>
      <c r="AG45" s="14">
        <f t="shared" si="12"/>
        <v>3.1999999999999993</v>
      </c>
      <c r="AH45" s="14">
        <f t="shared" si="12"/>
        <v>1.0999999999999992</v>
      </c>
      <c r="AI45" s="14">
        <f t="shared" si="12"/>
        <v>5.1999999999999993</v>
      </c>
      <c r="AJ45" s="14">
        <f>(AI45+AJ42+AJ43)-AJ44</f>
        <v>1.0999999999999996</v>
      </c>
      <c r="AK45" s="14"/>
      <c r="AL45" s="14"/>
      <c r="AM45" s="29"/>
      <c r="AN45" s="29"/>
      <c r="AO45" s="29"/>
      <c r="AP45" s="29"/>
      <c r="AQ45" s="14"/>
      <c r="AR45" s="14"/>
      <c r="AS45" s="32"/>
      <c r="AT45" s="39">
        <f>AT40</f>
        <v>13494.600000000002</v>
      </c>
    </row>
    <row r="46" spans="1:46" x14ac:dyDescent="0.25">
      <c r="A46" s="29"/>
      <c r="B46" s="14" t="s">
        <v>2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29"/>
      <c r="AL46" s="29"/>
      <c r="AM46" s="29"/>
      <c r="AN46" s="29"/>
      <c r="AO46" s="29"/>
      <c r="AP46" s="29"/>
      <c r="AQ46" s="14"/>
      <c r="AR46" s="14"/>
      <c r="AS46" s="32"/>
      <c r="AT46" s="14"/>
    </row>
    <row r="47" spans="1:46" ht="16.5" thickBot="1" x14ac:dyDescent="0.3">
      <c r="A47" s="29"/>
      <c r="B47" s="14" t="s">
        <v>25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2"/>
      <c r="AL47" s="2"/>
      <c r="AM47" s="2"/>
      <c r="AN47" s="2"/>
      <c r="AO47" s="29"/>
      <c r="AP47" s="29"/>
      <c r="AQ47" s="2" t="s">
        <v>26</v>
      </c>
      <c r="AR47" s="29"/>
      <c r="AS47" s="29"/>
      <c r="AT47" s="41">
        <f>F42*294</f>
        <v>0</v>
      </c>
    </row>
    <row r="48" spans="1:46" ht="16.5" thickTop="1" x14ac:dyDescent="0.25">
      <c r="A48" s="29"/>
      <c r="B48" s="14" t="s">
        <v>27</v>
      </c>
      <c r="C48" s="14"/>
      <c r="D48" s="14"/>
      <c r="E48" s="14">
        <v>47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2"/>
      <c r="AL48" s="2"/>
      <c r="AM48" s="2"/>
      <c r="AN48" s="30"/>
      <c r="AO48" s="29"/>
      <c r="AP48" s="29"/>
      <c r="AQ48" s="2" t="s">
        <v>28</v>
      </c>
      <c r="AR48" s="29"/>
      <c r="AS48" s="29"/>
      <c r="AT48" s="37">
        <f>AT45-AT47</f>
        <v>13494.600000000002</v>
      </c>
    </row>
    <row r="49" spans="1:46" x14ac:dyDescent="0.25">
      <c r="A49" s="29"/>
      <c r="B49" s="14" t="s">
        <v>29</v>
      </c>
      <c r="C49" s="14"/>
      <c r="D49" s="14"/>
      <c r="E49" s="14">
        <v>45.9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29"/>
      <c r="AL49" s="29"/>
      <c r="AM49" s="29"/>
      <c r="AN49" s="29"/>
      <c r="AO49" s="29"/>
      <c r="AP49" s="29"/>
      <c r="AQ49" s="14"/>
      <c r="AR49" s="14"/>
      <c r="AS49" s="32"/>
      <c r="AT49" s="14"/>
    </row>
    <row r="50" spans="1:46" ht="16.5" thickBot="1" x14ac:dyDescent="0.3">
      <c r="A50" s="29"/>
      <c r="B50" s="14" t="s">
        <v>30</v>
      </c>
      <c r="C50" s="14"/>
      <c r="D50" s="14"/>
      <c r="E50" s="33">
        <f>E47+E48-E49</f>
        <v>1.1000000000000014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29"/>
      <c r="AL50" s="29"/>
      <c r="AM50" s="29"/>
      <c r="AN50" s="29"/>
      <c r="AO50" s="29"/>
      <c r="AP50" s="29"/>
      <c r="AQ50" s="14"/>
      <c r="AR50" s="14"/>
      <c r="AS50" s="32"/>
      <c r="AT50" s="14"/>
    </row>
    <row r="51" spans="1:46" ht="16.5" thickTop="1" x14ac:dyDescent="0.25">
      <c r="A51" s="29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29"/>
      <c r="AL51" s="29"/>
      <c r="AM51" s="29"/>
      <c r="AN51" s="29"/>
      <c r="AO51" s="29"/>
      <c r="AP51" s="29"/>
      <c r="AQ51" s="14"/>
      <c r="AR51" s="14"/>
      <c r="AS51" s="32"/>
      <c r="AT51" s="14"/>
    </row>
    <row r="52" spans="1:46" x14ac:dyDescent="0.25">
      <c r="A52" s="34"/>
      <c r="C52" s="14"/>
      <c r="D52" s="14"/>
      <c r="E52" s="35"/>
      <c r="K52" s="14"/>
      <c r="M52" s="36"/>
      <c r="N52" s="14"/>
      <c r="P52" s="14"/>
      <c r="Q52" s="14"/>
      <c r="R52" s="14"/>
      <c r="U52" s="36"/>
      <c r="V52" s="14"/>
      <c r="W52" s="14"/>
      <c r="X52" s="14"/>
      <c r="Y52" s="14"/>
      <c r="Z52" s="14"/>
      <c r="AA52" s="14"/>
      <c r="AB52" s="36"/>
      <c r="AC52" s="14"/>
      <c r="AD52" s="14"/>
      <c r="AE52" s="14"/>
      <c r="AF52" s="14"/>
      <c r="AG52" s="14"/>
      <c r="AH52" s="36"/>
      <c r="AI52" s="14"/>
      <c r="AJ52" s="14"/>
      <c r="AK52" s="14"/>
      <c r="AL52" s="29"/>
      <c r="AM52" s="29"/>
      <c r="AN52" s="29"/>
      <c r="AO52" s="29"/>
      <c r="AP52" s="29"/>
      <c r="AQ52" s="14"/>
      <c r="AR52" s="14"/>
      <c r="AS52" s="32"/>
      <c r="AT52" s="14"/>
    </row>
    <row r="53" spans="1:46" x14ac:dyDescent="0.25">
      <c r="A53" s="14"/>
      <c r="C53" s="14"/>
      <c r="D53" s="14"/>
      <c r="E53" s="35"/>
      <c r="K53" s="14"/>
      <c r="M53" s="36"/>
      <c r="N53" s="14"/>
      <c r="P53" s="14"/>
      <c r="Q53" s="14"/>
      <c r="R53" s="14"/>
      <c r="U53" s="36"/>
      <c r="V53" s="14"/>
      <c r="W53" s="14"/>
      <c r="X53" s="14"/>
      <c r="Y53" s="14"/>
      <c r="Z53" s="14"/>
      <c r="AA53" s="14"/>
      <c r="AB53" s="36"/>
      <c r="AC53" s="14"/>
      <c r="AD53" s="14"/>
      <c r="AE53" s="14"/>
      <c r="AF53" s="14"/>
      <c r="AG53" s="14"/>
      <c r="AH53" s="36"/>
      <c r="AI53" s="14"/>
      <c r="AJ53" s="14"/>
      <c r="AK53" s="14"/>
      <c r="AL53" s="29"/>
      <c r="AM53" s="29"/>
      <c r="AN53" s="29"/>
      <c r="AO53" s="29"/>
      <c r="AP53" s="29"/>
      <c r="AQ53" s="14"/>
      <c r="AR53" s="14"/>
      <c r="AS53" s="32"/>
      <c r="AT53" s="14"/>
    </row>
    <row r="54" spans="1:46" x14ac:dyDescent="0.25">
      <c r="A54" s="14"/>
      <c r="C54" s="14"/>
      <c r="D54" s="14"/>
      <c r="E54" s="35"/>
      <c r="K54" s="14"/>
      <c r="M54" s="36"/>
      <c r="N54" s="14"/>
      <c r="P54" s="14"/>
      <c r="Q54" s="14"/>
      <c r="R54" s="14"/>
      <c r="U54" s="36"/>
      <c r="V54" s="14"/>
      <c r="W54" s="14"/>
      <c r="X54" s="14"/>
      <c r="Y54" s="14"/>
      <c r="Z54" s="14"/>
      <c r="AA54" s="14"/>
      <c r="AB54" s="36"/>
      <c r="AC54" s="14"/>
      <c r="AD54" s="14"/>
      <c r="AE54" s="14"/>
      <c r="AF54" s="14"/>
      <c r="AG54" s="14"/>
      <c r="AH54" s="36"/>
      <c r="AI54" s="14"/>
      <c r="AJ54" s="14"/>
      <c r="AK54" s="14"/>
      <c r="AL54" s="29"/>
      <c r="AM54" s="29"/>
      <c r="AN54" s="29"/>
      <c r="AO54" s="29"/>
      <c r="AP54" s="29"/>
      <c r="AQ54" s="14"/>
      <c r="AR54" s="14"/>
      <c r="AS54" s="32"/>
      <c r="AT54" s="14"/>
    </row>
  </sheetData>
  <mergeCells count="36">
    <mergeCell ref="AQ3:AQ4"/>
    <mergeCell ref="AR3:AR4"/>
    <mergeCell ref="AS3:AS4"/>
    <mergeCell ref="AT3:AT4"/>
    <mergeCell ref="B16:E16"/>
    <mergeCell ref="AK3:AK4"/>
    <mergeCell ref="AL3:AL4"/>
    <mergeCell ref="AM3:AM4"/>
    <mergeCell ref="AN3:AN4"/>
    <mergeCell ref="AO3:AO4"/>
    <mergeCell ref="AP3:AP4"/>
    <mergeCell ref="F3:AJ3"/>
    <mergeCell ref="B11:E11"/>
    <mergeCell ref="A3:A4"/>
    <mergeCell ref="B3:B4"/>
    <mergeCell ref="C3:C4"/>
    <mergeCell ref="D3:D4"/>
    <mergeCell ref="E3:E4"/>
    <mergeCell ref="B17:E17"/>
    <mergeCell ref="A34:A35"/>
    <mergeCell ref="B34:B35"/>
    <mergeCell ref="C34:C35"/>
    <mergeCell ref="D34:D35"/>
    <mergeCell ref="E34:E35"/>
    <mergeCell ref="AT34:AT35"/>
    <mergeCell ref="B40:E40"/>
    <mergeCell ref="AO34:AO35"/>
    <mergeCell ref="AP34:AP35"/>
    <mergeCell ref="AQ34:AQ35"/>
    <mergeCell ref="AR34:AR35"/>
    <mergeCell ref="AS34:AS35"/>
    <mergeCell ref="F34:AJ34"/>
    <mergeCell ref="AK34:AK35"/>
    <mergeCell ref="AL34:AL35"/>
    <mergeCell ref="AM34:AM35"/>
    <mergeCell ref="AN34:AN35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576E-8638-49FB-9B08-E4EC7D320431}">
  <dimension ref="A1:AX59"/>
  <sheetViews>
    <sheetView zoomScale="60" zoomScaleNormal="60" workbookViewId="0">
      <selection activeCell="AQ7" sqref="AQ7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8.28515625" style="4" customWidth="1"/>
    <col min="39" max="39" width="7.28515625" style="4" customWidth="1"/>
    <col min="40" max="41" width="10.5703125" style="4" customWidth="1"/>
    <col min="42" max="42" width="10.42578125" style="4" customWidth="1"/>
    <col min="43" max="43" width="13.140625" style="2" customWidth="1"/>
    <col min="44" max="44" width="12.42578125" style="2" customWidth="1"/>
    <col min="45" max="45" width="10" style="5" customWidth="1"/>
    <col min="46" max="46" width="13.28515625" style="2" customWidth="1"/>
    <col min="47" max="16384" width="9.140625" style="2"/>
  </cols>
  <sheetData>
    <row r="1" spans="1:50" x14ac:dyDescent="0.25">
      <c r="A1" s="1" t="s">
        <v>0</v>
      </c>
      <c r="E1" s="3" t="s">
        <v>1</v>
      </c>
      <c r="R1" s="3"/>
    </row>
    <row r="2" spans="1:50" x14ac:dyDescent="0.25">
      <c r="A2" s="1" t="s">
        <v>35</v>
      </c>
      <c r="E2" s="74" t="s">
        <v>51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50" ht="15.75" customHeight="1" x14ac:dyDescent="0.25">
      <c r="A3" s="64" t="s">
        <v>3</v>
      </c>
      <c r="B3" s="64" t="s">
        <v>4</v>
      </c>
      <c r="C3" s="64" t="s">
        <v>5</v>
      </c>
      <c r="D3" s="64" t="s">
        <v>6</v>
      </c>
      <c r="E3" s="64" t="s">
        <v>7</v>
      </c>
      <c r="F3" s="75" t="s">
        <v>8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7"/>
      <c r="AK3" s="64" t="s">
        <v>9</v>
      </c>
      <c r="AL3" s="64" t="s">
        <v>10</v>
      </c>
      <c r="AM3" s="64" t="s">
        <v>11</v>
      </c>
      <c r="AN3" s="64" t="s">
        <v>12</v>
      </c>
      <c r="AO3" s="64" t="s">
        <v>13</v>
      </c>
      <c r="AP3" s="64" t="s">
        <v>14</v>
      </c>
      <c r="AQ3" s="64" t="s">
        <v>15</v>
      </c>
      <c r="AR3" s="64" t="s">
        <v>16</v>
      </c>
      <c r="AS3" s="66" t="s">
        <v>17</v>
      </c>
      <c r="AT3" s="64" t="s">
        <v>18</v>
      </c>
    </row>
    <row r="4" spans="1:50" s="7" customFormat="1" ht="27" customHeight="1" x14ac:dyDescent="0.25">
      <c r="A4" s="65"/>
      <c r="B4" s="65"/>
      <c r="C4" s="65"/>
      <c r="D4" s="65"/>
      <c r="E4" s="65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65"/>
      <c r="AL4" s="65"/>
      <c r="AM4" s="65"/>
      <c r="AN4" s="65"/>
      <c r="AO4" s="65"/>
      <c r="AP4" s="78"/>
      <c r="AQ4" s="78"/>
      <c r="AR4" s="65"/>
      <c r="AS4" s="67"/>
      <c r="AT4" s="65"/>
    </row>
    <row r="5" spans="1:50" ht="16.5" thickBot="1" x14ac:dyDescent="0.3">
      <c r="A5" s="57">
        <v>1</v>
      </c>
      <c r="B5" s="9" t="s">
        <v>43</v>
      </c>
      <c r="C5" s="9" t="s">
        <v>45</v>
      </c>
      <c r="D5" s="9" t="s">
        <v>32</v>
      </c>
      <c r="E5" s="9" t="s">
        <v>33</v>
      </c>
      <c r="F5" s="11"/>
      <c r="G5" s="11">
        <v>40</v>
      </c>
      <c r="H5" s="11"/>
      <c r="I5" s="11">
        <v>40</v>
      </c>
      <c r="J5" s="11"/>
      <c r="K5" s="11"/>
      <c r="L5" s="11"/>
      <c r="M5" s="11">
        <v>40</v>
      </c>
      <c r="N5" s="11"/>
      <c r="O5" s="11">
        <v>40</v>
      </c>
      <c r="P5" s="11"/>
      <c r="Q5" s="11">
        <v>40</v>
      </c>
      <c r="R5" s="11">
        <v>20</v>
      </c>
      <c r="S5" s="11">
        <v>40</v>
      </c>
      <c r="T5" s="11"/>
      <c r="U5" s="11">
        <v>40</v>
      </c>
      <c r="V5" s="11">
        <v>20</v>
      </c>
      <c r="W5" s="11">
        <v>40</v>
      </c>
      <c r="X5" s="11"/>
      <c r="Y5" s="11">
        <v>20</v>
      </c>
      <c r="Z5" s="11">
        <v>40</v>
      </c>
      <c r="AA5" s="11">
        <v>20</v>
      </c>
      <c r="AB5" s="11"/>
      <c r="AC5" s="11">
        <v>40</v>
      </c>
      <c r="AD5" s="11">
        <v>40</v>
      </c>
      <c r="AE5" s="11">
        <v>30</v>
      </c>
      <c r="AF5" s="11">
        <v>60</v>
      </c>
      <c r="AG5" s="11"/>
      <c r="AH5" s="11"/>
      <c r="AI5" s="11"/>
      <c r="AJ5" s="11"/>
      <c r="AK5" s="20">
        <f t="shared" ref="AK5:AK9" si="0">SUM(F5:AJ5)</f>
        <v>610</v>
      </c>
      <c r="AL5" s="11"/>
      <c r="AM5" s="42"/>
      <c r="AN5" s="11">
        <v>4599</v>
      </c>
      <c r="AO5" s="49">
        <v>4722.3999999999996</v>
      </c>
      <c r="AP5" s="8">
        <f t="shared" ref="AP5:AP6" si="1">AO5-AN5</f>
        <v>123.39999999999964</v>
      </c>
      <c r="AQ5" s="44">
        <f t="shared" ref="AQ5:AQ7" si="2">AK5/AP5</f>
        <v>4.9432739059967732</v>
      </c>
      <c r="AR5" s="46">
        <v>5.16</v>
      </c>
      <c r="AS5" s="9">
        <v>277</v>
      </c>
      <c r="AT5" s="13">
        <f>AS5*AK5</f>
        <v>168970</v>
      </c>
      <c r="AU5" s="14"/>
      <c r="AV5" s="14"/>
    </row>
    <row r="6" spans="1:50" ht="17.25" thickTop="1" thickBot="1" x14ac:dyDescent="0.3">
      <c r="A6" s="42">
        <v>2</v>
      </c>
      <c r="B6" s="9" t="s">
        <v>44</v>
      </c>
      <c r="C6" s="9"/>
      <c r="D6" s="9" t="s">
        <v>42</v>
      </c>
      <c r="E6" s="9" t="s">
        <v>33</v>
      </c>
      <c r="F6" s="11">
        <v>20</v>
      </c>
      <c r="G6" s="11"/>
      <c r="H6" s="11">
        <v>30</v>
      </c>
      <c r="I6" s="11"/>
      <c r="J6" s="11"/>
      <c r="K6" s="11">
        <v>20</v>
      </c>
      <c r="L6" s="11"/>
      <c r="M6" s="11"/>
      <c r="N6" s="11">
        <v>20</v>
      </c>
      <c r="O6" s="11"/>
      <c r="P6" s="11">
        <v>20</v>
      </c>
      <c r="Q6" s="11"/>
      <c r="R6" s="11"/>
      <c r="S6" s="11"/>
      <c r="T6" s="11">
        <v>20</v>
      </c>
      <c r="U6" s="11"/>
      <c r="V6" s="11"/>
      <c r="W6" s="11"/>
      <c r="X6" s="11">
        <v>20</v>
      </c>
      <c r="Y6" s="11"/>
      <c r="Z6" s="11"/>
      <c r="AA6" s="11"/>
      <c r="AB6" s="11">
        <v>20</v>
      </c>
      <c r="AC6" s="11"/>
      <c r="AD6" s="11"/>
      <c r="AE6" s="11"/>
      <c r="AF6" s="11"/>
      <c r="AG6" s="11"/>
      <c r="AH6" s="11"/>
      <c r="AI6" s="11"/>
      <c r="AJ6" s="11"/>
      <c r="AK6" s="20">
        <f t="shared" si="0"/>
        <v>170</v>
      </c>
      <c r="AL6" s="11"/>
      <c r="AM6" s="42"/>
      <c r="AN6" s="11">
        <v>104755</v>
      </c>
      <c r="AO6" s="11">
        <v>107095</v>
      </c>
      <c r="AP6" s="42">
        <f t="shared" si="1"/>
        <v>2340</v>
      </c>
      <c r="AQ6" s="51">
        <f>AP6/AK6</f>
        <v>13.764705882352942</v>
      </c>
      <c r="AR6" s="47">
        <v>12.86</v>
      </c>
      <c r="AS6" s="9">
        <v>277</v>
      </c>
      <c r="AT6" s="13">
        <f>AS6*AK6</f>
        <v>47090</v>
      </c>
      <c r="AU6" s="14"/>
      <c r="AV6" s="14"/>
    </row>
    <row r="7" spans="1:50" ht="17.25" thickTop="1" thickBot="1" x14ac:dyDescent="0.3">
      <c r="A7" s="58">
        <v>3</v>
      </c>
      <c r="B7" s="9"/>
      <c r="C7" s="9" t="s">
        <v>47</v>
      </c>
      <c r="D7" s="9" t="s">
        <v>46</v>
      </c>
      <c r="E7" s="9" t="s">
        <v>33</v>
      </c>
      <c r="F7" s="11"/>
      <c r="G7" s="11">
        <v>20</v>
      </c>
      <c r="H7" s="11"/>
      <c r="I7" s="11"/>
      <c r="J7" s="11"/>
      <c r="K7" s="11"/>
      <c r="L7" s="11"/>
      <c r="M7" s="11">
        <v>20</v>
      </c>
      <c r="N7" s="11"/>
      <c r="O7" s="11"/>
      <c r="P7" s="11"/>
      <c r="Q7" s="11"/>
      <c r="R7" s="11"/>
      <c r="S7" s="11"/>
      <c r="T7" s="11">
        <v>20</v>
      </c>
      <c r="U7" s="11"/>
      <c r="V7" s="11"/>
      <c r="W7" s="11"/>
      <c r="X7" s="11">
        <v>20</v>
      </c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20">
        <f t="shared" si="0"/>
        <v>80</v>
      </c>
      <c r="AL7" s="11"/>
      <c r="AM7" s="11"/>
      <c r="AN7" s="11">
        <v>6540.9</v>
      </c>
      <c r="AO7" s="11">
        <v>6559.9</v>
      </c>
      <c r="AP7" s="42">
        <f t="shared" ref="AP7:AP8" si="3">AO7-AN7</f>
        <v>19</v>
      </c>
      <c r="AQ7" s="51">
        <f t="shared" si="2"/>
        <v>4.2105263157894735</v>
      </c>
      <c r="AR7" s="48">
        <v>4.55</v>
      </c>
      <c r="AS7" s="9">
        <v>277</v>
      </c>
      <c r="AT7" s="13">
        <f>AS7*AK7</f>
        <v>22160</v>
      </c>
      <c r="AU7" s="14"/>
      <c r="AV7" s="14"/>
      <c r="AX7" s="2" t="s">
        <v>2</v>
      </c>
    </row>
    <row r="8" spans="1:50" ht="17.25" thickTop="1" thickBot="1" x14ac:dyDescent="0.3">
      <c r="A8" s="58">
        <v>4</v>
      </c>
      <c r="B8" s="9" t="s">
        <v>49</v>
      </c>
      <c r="C8" s="17" t="s">
        <v>50</v>
      </c>
      <c r="D8" s="9" t="s">
        <v>48</v>
      </c>
      <c r="E8" s="9" t="s">
        <v>33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>
        <v>30</v>
      </c>
      <c r="R8" s="11"/>
      <c r="S8" s="11">
        <v>30</v>
      </c>
      <c r="T8" s="11"/>
      <c r="U8" s="11">
        <v>20</v>
      </c>
      <c r="V8" s="11">
        <v>10</v>
      </c>
      <c r="W8" s="11">
        <v>20</v>
      </c>
      <c r="X8" s="11"/>
      <c r="Y8" s="11">
        <v>20</v>
      </c>
      <c r="Z8" s="11"/>
      <c r="AA8" s="11">
        <v>20</v>
      </c>
      <c r="AB8" s="11">
        <v>30</v>
      </c>
      <c r="AC8" s="11"/>
      <c r="AD8" s="11">
        <v>20</v>
      </c>
      <c r="AE8" s="11"/>
      <c r="AF8" s="11">
        <v>50</v>
      </c>
      <c r="AG8" s="11">
        <v>30</v>
      </c>
      <c r="AH8" s="11"/>
      <c r="AI8" s="11"/>
      <c r="AJ8" s="11"/>
      <c r="AK8" s="20">
        <f t="shared" si="0"/>
        <v>280</v>
      </c>
      <c r="AL8" s="11"/>
      <c r="AM8" s="11"/>
      <c r="AN8" s="11">
        <v>412698</v>
      </c>
      <c r="AO8" s="11">
        <v>415448</v>
      </c>
      <c r="AP8" s="42">
        <f t="shared" si="3"/>
        <v>2750</v>
      </c>
      <c r="AQ8" s="51">
        <f>AP8/AK8</f>
        <v>9.8214285714285712</v>
      </c>
      <c r="AR8" s="48"/>
      <c r="AS8" s="9">
        <v>277</v>
      </c>
      <c r="AT8" s="13">
        <f>AS8*AK8</f>
        <v>77560</v>
      </c>
      <c r="AU8" s="14"/>
      <c r="AV8" s="14"/>
    </row>
    <row r="9" spans="1:50" ht="17.25" thickTop="1" thickBot="1" x14ac:dyDescent="0.3">
      <c r="A9" s="11"/>
      <c r="B9" s="9"/>
      <c r="C9" s="9"/>
      <c r="D9" s="9"/>
      <c r="E9" s="9"/>
      <c r="F9" s="11"/>
      <c r="G9" s="11"/>
      <c r="H9" s="11"/>
      <c r="I9" s="11"/>
      <c r="J9" s="11"/>
      <c r="K9" s="11"/>
      <c r="L9" s="11"/>
      <c r="M9" s="11"/>
      <c r="N9" s="18"/>
      <c r="O9" s="18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20">
        <f t="shared" si="0"/>
        <v>0</v>
      </c>
      <c r="AL9" s="11"/>
      <c r="AM9" s="18"/>
      <c r="AN9" s="11"/>
      <c r="AO9" s="50"/>
      <c r="AP9" s="26"/>
      <c r="AQ9" s="52"/>
      <c r="AR9" s="48"/>
      <c r="AS9" s="9"/>
      <c r="AT9" s="19"/>
      <c r="AU9" s="14"/>
      <c r="AV9" s="14"/>
    </row>
    <row r="10" spans="1:50" ht="16.5" customHeight="1" thickTop="1" thickBot="1" x14ac:dyDescent="0.3">
      <c r="A10" s="11"/>
      <c r="B10" s="71" t="s">
        <v>20</v>
      </c>
      <c r="C10" s="72"/>
      <c r="D10" s="72"/>
      <c r="E10" s="73"/>
      <c r="F10" s="20">
        <f t="shared" ref="F10:AM10" si="4">SUM(F5:F9)</f>
        <v>20</v>
      </c>
      <c r="G10" s="20">
        <f t="shared" si="4"/>
        <v>60</v>
      </c>
      <c r="H10" s="20">
        <f t="shared" si="4"/>
        <v>30</v>
      </c>
      <c r="I10" s="20">
        <f t="shared" si="4"/>
        <v>40</v>
      </c>
      <c r="J10" s="20">
        <f t="shared" si="4"/>
        <v>0</v>
      </c>
      <c r="K10" s="20">
        <f t="shared" si="4"/>
        <v>20</v>
      </c>
      <c r="L10" s="20">
        <f t="shared" si="4"/>
        <v>0</v>
      </c>
      <c r="M10" s="20">
        <f t="shared" si="4"/>
        <v>60</v>
      </c>
      <c r="N10" s="20">
        <f t="shared" si="4"/>
        <v>20</v>
      </c>
      <c r="O10" s="20">
        <f t="shared" si="4"/>
        <v>40</v>
      </c>
      <c r="P10" s="20">
        <f t="shared" si="4"/>
        <v>20</v>
      </c>
      <c r="Q10" s="20">
        <f t="shared" si="4"/>
        <v>70</v>
      </c>
      <c r="R10" s="20">
        <f t="shared" si="4"/>
        <v>20</v>
      </c>
      <c r="S10" s="20">
        <f t="shared" si="4"/>
        <v>70</v>
      </c>
      <c r="T10" s="20">
        <f t="shared" si="4"/>
        <v>40</v>
      </c>
      <c r="U10" s="20">
        <f t="shared" si="4"/>
        <v>60</v>
      </c>
      <c r="V10" s="20">
        <f t="shared" si="4"/>
        <v>30</v>
      </c>
      <c r="W10" s="20">
        <f t="shared" si="4"/>
        <v>60</v>
      </c>
      <c r="X10" s="20">
        <f t="shared" si="4"/>
        <v>40</v>
      </c>
      <c r="Y10" s="20">
        <f t="shared" si="4"/>
        <v>40</v>
      </c>
      <c r="Z10" s="20">
        <f t="shared" si="4"/>
        <v>40</v>
      </c>
      <c r="AA10" s="20">
        <f t="shared" si="4"/>
        <v>40</v>
      </c>
      <c r="AB10" s="20">
        <f t="shared" si="4"/>
        <v>50</v>
      </c>
      <c r="AC10" s="20">
        <f t="shared" si="4"/>
        <v>40</v>
      </c>
      <c r="AD10" s="20">
        <f t="shared" si="4"/>
        <v>60</v>
      </c>
      <c r="AE10" s="20">
        <f t="shared" si="4"/>
        <v>30</v>
      </c>
      <c r="AF10" s="20">
        <f t="shared" si="4"/>
        <v>110</v>
      </c>
      <c r="AG10" s="20">
        <f t="shared" si="4"/>
        <v>30</v>
      </c>
      <c r="AH10" s="20">
        <f t="shared" si="4"/>
        <v>0</v>
      </c>
      <c r="AI10" s="20">
        <f t="shared" si="4"/>
        <v>0</v>
      </c>
      <c r="AJ10" s="20">
        <f t="shared" si="4"/>
        <v>0</v>
      </c>
      <c r="AK10" s="20">
        <f t="shared" si="4"/>
        <v>1140</v>
      </c>
      <c r="AL10" s="20">
        <f t="shared" si="4"/>
        <v>0</v>
      </c>
      <c r="AM10" s="20">
        <f t="shared" si="4"/>
        <v>0</v>
      </c>
      <c r="AN10" s="22"/>
      <c r="AO10" s="22"/>
      <c r="AP10" s="22"/>
      <c r="AQ10" s="22"/>
      <c r="AR10" s="22"/>
      <c r="AS10" s="22">
        <f>SUM(AS5:AS9)</f>
        <v>1108</v>
      </c>
      <c r="AT10" s="22">
        <f>SUM(AT5:AT9)</f>
        <v>315780</v>
      </c>
      <c r="AU10" s="14"/>
      <c r="AV10" s="14"/>
    </row>
    <row r="11" spans="1:50" ht="16.5" thickTop="1" x14ac:dyDescent="0.25">
      <c r="A11" s="11"/>
      <c r="B11" s="9"/>
      <c r="C11" s="9"/>
      <c r="D11" s="9"/>
      <c r="E11" s="9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1"/>
      <c r="AL11" s="23"/>
      <c r="AM11" s="23"/>
      <c r="AN11" s="11"/>
      <c r="AO11" s="11"/>
      <c r="AP11" s="11"/>
      <c r="AQ11" s="15"/>
      <c r="AR11" s="9"/>
      <c r="AS11" s="9"/>
      <c r="AT11" s="9"/>
      <c r="AU11" s="14"/>
      <c r="AV11" s="14"/>
    </row>
    <row r="12" spans="1:50" ht="16.5" thickBot="1" x14ac:dyDescent="0.3">
      <c r="A12" s="11">
        <v>3</v>
      </c>
      <c r="B12" s="9"/>
      <c r="C12" s="9"/>
      <c r="D12" s="9" t="s">
        <v>34</v>
      </c>
      <c r="E12" s="9" t="s">
        <v>33</v>
      </c>
      <c r="F12" s="11"/>
      <c r="G12" s="11">
        <v>10</v>
      </c>
      <c r="H12" s="11"/>
      <c r="I12" s="11"/>
      <c r="J12" s="11">
        <v>10</v>
      </c>
      <c r="K12" s="11"/>
      <c r="L12" s="11"/>
      <c r="M12" s="23"/>
      <c r="N12" s="23"/>
      <c r="O12" s="23"/>
      <c r="P12" s="23"/>
      <c r="Q12" s="23">
        <v>10</v>
      </c>
      <c r="R12" s="11"/>
      <c r="S12" s="11"/>
      <c r="T12" s="11"/>
      <c r="U12" s="11">
        <v>10</v>
      </c>
      <c r="V12" s="11"/>
      <c r="W12" s="11"/>
      <c r="X12" s="23">
        <v>10</v>
      </c>
      <c r="Y12" s="23"/>
      <c r="Z12" s="23">
        <v>10</v>
      </c>
      <c r="AA12" s="23"/>
      <c r="AB12" s="23"/>
      <c r="AC12" s="11"/>
      <c r="AD12" s="11"/>
      <c r="AE12" s="11"/>
      <c r="AF12" s="11"/>
      <c r="AG12" s="24"/>
      <c r="AH12" s="24"/>
      <c r="AI12" s="24"/>
      <c r="AJ12" s="23"/>
      <c r="AK12" s="20">
        <f>SUM(F12:AJ12)</f>
        <v>60</v>
      </c>
      <c r="AL12" s="11"/>
      <c r="AM12" s="11"/>
      <c r="AN12" s="11"/>
      <c r="AO12" s="11"/>
      <c r="AP12" s="11"/>
      <c r="AQ12" s="15"/>
      <c r="AR12" s="9"/>
      <c r="AS12" s="12">
        <v>277</v>
      </c>
      <c r="AT12" s="13">
        <f>AS12*AK12</f>
        <v>16620</v>
      </c>
      <c r="AU12" s="14"/>
      <c r="AV12" s="14"/>
    </row>
    <row r="13" spans="1:50" ht="16.5" thickTop="1" x14ac:dyDescent="0.25">
      <c r="A13" s="11"/>
      <c r="B13" s="9"/>
      <c r="C13" s="9"/>
      <c r="D13" s="9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5"/>
      <c r="AR13" s="9"/>
      <c r="AS13" s="9"/>
      <c r="AT13" s="9"/>
      <c r="AU13" s="14"/>
      <c r="AV13" s="14"/>
    </row>
    <row r="14" spans="1:50" x14ac:dyDescent="0.25">
      <c r="A14" s="11"/>
      <c r="B14" s="9"/>
      <c r="C14" s="9"/>
      <c r="D14" s="9"/>
      <c r="E14" s="9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1"/>
      <c r="AO14" s="11"/>
      <c r="AP14" s="11"/>
      <c r="AQ14" s="9"/>
      <c r="AR14" s="9"/>
      <c r="AS14" s="21"/>
      <c r="AT14" s="25"/>
      <c r="AU14" s="14"/>
      <c r="AV14" s="14"/>
    </row>
    <row r="15" spans="1:50" ht="16.5" customHeight="1" thickBot="1" x14ac:dyDescent="0.3">
      <c r="A15" s="26"/>
      <c r="B15" s="68" t="s">
        <v>19</v>
      </c>
      <c r="C15" s="69"/>
      <c r="D15" s="69"/>
      <c r="E15" s="70"/>
      <c r="F15" s="27">
        <f t="shared" ref="F15:AS15" si="5">SUM(F12:F14)</f>
        <v>0</v>
      </c>
      <c r="G15" s="27">
        <f t="shared" si="5"/>
        <v>10</v>
      </c>
      <c r="H15" s="27">
        <f t="shared" si="5"/>
        <v>0</v>
      </c>
      <c r="I15" s="27">
        <f t="shared" si="5"/>
        <v>0</v>
      </c>
      <c r="J15" s="27">
        <f t="shared" si="5"/>
        <v>10</v>
      </c>
      <c r="K15" s="27">
        <f t="shared" si="5"/>
        <v>0</v>
      </c>
      <c r="L15" s="27">
        <f t="shared" si="5"/>
        <v>0</v>
      </c>
      <c r="M15" s="27">
        <f t="shared" si="5"/>
        <v>0</v>
      </c>
      <c r="N15" s="27">
        <f t="shared" si="5"/>
        <v>0</v>
      </c>
      <c r="O15" s="27">
        <f t="shared" si="5"/>
        <v>0</v>
      </c>
      <c r="P15" s="27">
        <f t="shared" si="5"/>
        <v>0</v>
      </c>
      <c r="Q15" s="27">
        <f t="shared" si="5"/>
        <v>10</v>
      </c>
      <c r="R15" s="27">
        <f t="shared" si="5"/>
        <v>0</v>
      </c>
      <c r="S15" s="27">
        <f t="shared" si="5"/>
        <v>0</v>
      </c>
      <c r="T15" s="27">
        <f t="shared" si="5"/>
        <v>0</v>
      </c>
      <c r="U15" s="27">
        <f t="shared" si="5"/>
        <v>10</v>
      </c>
      <c r="V15" s="27">
        <f t="shared" si="5"/>
        <v>0</v>
      </c>
      <c r="W15" s="27">
        <f t="shared" si="5"/>
        <v>0</v>
      </c>
      <c r="X15" s="27">
        <f t="shared" si="5"/>
        <v>10</v>
      </c>
      <c r="Y15" s="27">
        <f t="shared" si="5"/>
        <v>0</v>
      </c>
      <c r="Z15" s="27">
        <f t="shared" si="5"/>
        <v>10</v>
      </c>
      <c r="AA15" s="27">
        <f t="shared" si="5"/>
        <v>0</v>
      </c>
      <c r="AB15" s="27">
        <f t="shared" si="5"/>
        <v>0</v>
      </c>
      <c r="AC15" s="27">
        <f t="shared" si="5"/>
        <v>0</v>
      </c>
      <c r="AD15" s="27">
        <f t="shared" si="5"/>
        <v>0</v>
      </c>
      <c r="AE15" s="27">
        <f t="shared" si="5"/>
        <v>0</v>
      </c>
      <c r="AF15" s="27">
        <f t="shared" si="5"/>
        <v>0</v>
      </c>
      <c r="AG15" s="27">
        <f t="shared" si="5"/>
        <v>0</v>
      </c>
      <c r="AH15" s="27">
        <f t="shared" si="5"/>
        <v>0</v>
      </c>
      <c r="AI15" s="27">
        <f t="shared" si="5"/>
        <v>0</v>
      </c>
      <c r="AJ15" s="27">
        <f t="shared" si="5"/>
        <v>0</v>
      </c>
      <c r="AK15" s="27">
        <f t="shared" si="5"/>
        <v>60</v>
      </c>
      <c r="AL15" s="27">
        <f t="shared" si="5"/>
        <v>0</v>
      </c>
      <c r="AM15" s="27">
        <f t="shared" si="5"/>
        <v>0</v>
      </c>
      <c r="AN15" s="27">
        <f t="shared" si="5"/>
        <v>0</v>
      </c>
      <c r="AO15" s="27">
        <f t="shared" si="5"/>
        <v>0</v>
      </c>
      <c r="AP15" s="27">
        <f t="shared" si="5"/>
        <v>0</v>
      </c>
      <c r="AQ15" s="27">
        <f t="shared" si="5"/>
        <v>0</v>
      </c>
      <c r="AR15" s="27">
        <f t="shared" si="5"/>
        <v>0</v>
      </c>
      <c r="AS15" s="27">
        <f t="shared" si="5"/>
        <v>277</v>
      </c>
      <c r="AT15" s="28">
        <f>SUM(AT12:AT14)</f>
        <v>16620</v>
      </c>
      <c r="AU15" s="14"/>
      <c r="AV15" s="14"/>
    </row>
    <row r="16" spans="1:50" ht="16.5" thickTop="1" x14ac:dyDescent="0.25">
      <c r="A16" s="29"/>
      <c r="B16" s="71"/>
      <c r="C16" s="72"/>
      <c r="D16" s="72"/>
      <c r="E16" s="7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x14ac:dyDescent="0.25">
      <c r="A17" s="29"/>
      <c r="B17" s="30" t="s">
        <v>21</v>
      </c>
      <c r="C17" s="31"/>
      <c r="D17" s="31"/>
      <c r="E17" s="31"/>
      <c r="F17" s="14">
        <v>20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x14ac:dyDescent="0.25">
      <c r="A18" s="29"/>
      <c r="B18" s="30" t="s">
        <v>22</v>
      </c>
      <c r="C18" s="31"/>
      <c r="D18" s="31"/>
      <c r="E18" s="31"/>
      <c r="F18" s="14"/>
      <c r="G18" s="14">
        <v>150</v>
      </c>
      <c r="H18" s="14"/>
      <c r="I18" s="14"/>
      <c r="J18" s="14"/>
      <c r="K18" s="14">
        <v>80</v>
      </c>
      <c r="L18" s="14"/>
      <c r="M18" s="14"/>
      <c r="N18" s="14">
        <v>80</v>
      </c>
      <c r="O18" s="14"/>
      <c r="P18" s="14"/>
      <c r="Q18" s="14">
        <v>220</v>
      </c>
      <c r="R18" s="14"/>
      <c r="S18" s="14"/>
      <c r="T18" s="14"/>
      <c r="U18" s="14">
        <v>170</v>
      </c>
      <c r="V18" s="14"/>
      <c r="W18" s="14"/>
      <c r="X18" s="14">
        <v>180</v>
      </c>
      <c r="Y18" s="14"/>
      <c r="Z18" s="14"/>
      <c r="AA18" s="14"/>
      <c r="AB18" s="14">
        <v>110</v>
      </c>
      <c r="AC18" s="14"/>
      <c r="AD18" s="14"/>
      <c r="AE18" s="14">
        <v>227.7</v>
      </c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x14ac:dyDescent="0.25">
      <c r="A19" s="29"/>
      <c r="B19" s="14" t="s">
        <v>23</v>
      </c>
      <c r="E19" s="14"/>
      <c r="F19" s="14">
        <f t="shared" ref="F19:AJ19" si="6">F10+F15</f>
        <v>20</v>
      </c>
      <c r="G19" s="14">
        <f t="shared" si="6"/>
        <v>70</v>
      </c>
      <c r="H19" s="14">
        <f t="shared" si="6"/>
        <v>30</v>
      </c>
      <c r="I19" s="14">
        <f t="shared" si="6"/>
        <v>40</v>
      </c>
      <c r="J19" s="14">
        <f t="shared" si="6"/>
        <v>10</v>
      </c>
      <c r="K19" s="14">
        <f t="shared" si="6"/>
        <v>20</v>
      </c>
      <c r="L19" s="14">
        <f t="shared" si="6"/>
        <v>0</v>
      </c>
      <c r="M19" s="14">
        <f t="shared" si="6"/>
        <v>60</v>
      </c>
      <c r="N19" s="14">
        <f t="shared" si="6"/>
        <v>20</v>
      </c>
      <c r="O19" s="14">
        <f t="shared" si="6"/>
        <v>40</v>
      </c>
      <c r="P19" s="14">
        <f t="shared" si="6"/>
        <v>20</v>
      </c>
      <c r="Q19" s="14">
        <f t="shared" si="6"/>
        <v>80</v>
      </c>
      <c r="R19" s="14">
        <f t="shared" si="6"/>
        <v>20</v>
      </c>
      <c r="S19" s="14">
        <f t="shared" si="6"/>
        <v>70</v>
      </c>
      <c r="T19" s="14">
        <f t="shared" si="6"/>
        <v>40</v>
      </c>
      <c r="U19" s="14">
        <f t="shared" si="6"/>
        <v>70</v>
      </c>
      <c r="V19" s="14">
        <f t="shared" si="6"/>
        <v>30</v>
      </c>
      <c r="W19" s="14">
        <f t="shared" si="6"/>
        <v>60</v>
      </c>
      <c r="X19" s="14">
        <f t="shared" si="6"/>
        <v>50</v>
      </c>
      <c r="Y19" s="14">
        <f t="shared" si="6"/>
        <v>40</v>
      </c>
      <c r="Z19" s="14">
        <f t="shared" si="6"/>
        <v>50</v>
      </c>
      <c r="AA19" s="14">
        <f t="shared" si="6"/>
        <v>40</v>
      </c>
      <c r="AB19" s="14">
        <f t="shared" si="6"/>
        <v>50</v>
      </c>
      <c r="AC19" s="14">
        <f t="shared" si="6"/>
        <v>40</v>
      </c>
      <c r="AD19" s="14">
        <f t="shared" si="6"/>
        <v>60</v>
      </c>
      <c r="AE19" s="14">
        <f t="shared" si="6"/>
        <v>30</v>
      </c>
      <c r="AF19" s="14">
        <f t="shared" si="6"/>
        <v>110</v>
      </c>
      <c r="AG19" s="14">
        <f t="shared" si="6"/>
        <v>30</v>
      </c>
      <c r="AH19" s="14">
        <f t="shared" si="6"/>
        <v>0</v>
      </c>
      <c r="AI19" s="14">
        <f t="shared" si="6"/>
        <v>0</v>
      </c>
      <c r="AJ19" s="14">
        <f t="shared" si="6"/>
        <v>0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39">
        <f>AT10+AT15</f>
        <v>332400</v>
      </c>
      <c r="AU19" s="14" t="s">
        <v>2</v>
      </c>
      <c r="AV19" s="14" t="s">
        <v>2</v>
      </c>
    </row>
    <row r="20" spans="1:48" x14ac:dyDescent="0.25">
      <c r="A20" s="29"/>
      <c r="B20" s="14" t="s">
        <v>24</v>
      </c>
      <c r="E20" s="14"/>
      <c r="F20" s="14">
        <f>(F17+F18)-F19</f>
        <v>0</v>
      </c>
      <c r="G20" s="14">
        <f>(F20+G17+G18)-G19</f>
        <v>80</v>
      </c>
      <c r="H20" s="14">
        <f t="shared" ref="H20:AJ20" si="7">(G20+H17+H18)-H19</f>
        <v>50</v>
      </c>
      <c r="I20" s="14">
        <f t="shared" si="7"/>
        <v>10</v>
      </c>
      <c r="J20" s="14">
        <f t="shared" si="7"/>
        <v>0</v>
      </c>
      <c r="K20" s="14">
        <f t="shared" si="7"/>
        <v>60</v>
      </c>
      <c r="L20" s="14">
        <f t="shared" si="7"/>
        <v>60</v>
      </c>
      <c r="M20" s="14">
        <f t="shared" si="7"/>
        <v>0</v>
      </c>
      <c r="N20" s="14">
        <f t="shared" si="7"/>
        <v>60</v>
      </c>
      <c r="O20" s="14">
        <f t="shared" si="7"/>
        <v>20</v>
      </c>
      <c r="P20" s="14">
        <f t="shared" si="7"/>
        <v>0</v>
      </c>
      <c r="Q20" s="14">
        <f t="shared" si="7"/>
        <v>140</v>
      </c>
      <c r="R20" s="14">
        <f t="shared" si="7"/>
        <v>120</v>
      </c>
      <c r="S20" s="14">
        <f t="shared" si="7"/>
        <v>50</v>
      </c>
      <c r="T20" s="14">
        <f t="shared" si="7"/>
        <v>10</v>
      </c>
      <c r="U20" s="14">
        <f t="shared" si="7"/>
        <v>110</v>
      </c>
      <c r="V20" s="14">
        <f t="shared" si="7"/>
        <v>80</v>
      </c>
      <c r="W20" s="14">
        <f t="shared" si="7"/>
        <v>20</v>
      </c>
      <c r="X20" s="14">
        <f t="shared" si="7"/>
        <v>150</v>
      </c>
      <c r="Y20" s="14">
        <f t="shared" si="7"/>
        <v>110</v>
      </c>
      <c r="Z20" s="14">
        <f t="shared" si="7"/>
        <v>60</v>
      </c>
      <c r="AA20" s="14">
        <f t="shared" si="7"/>
        <v>20</v>
      </c>
      <c r="AB20" s="14">
        <f t="shared" si="7"/>
        <v>80</v>
      </c>
      <c r="AC20" s="14">
        <f t="shared" si="7"/>
        <v>40</v>
      </c>
      <c r="AD20" s="14">
        <f t="shared" si="7"/>
        <v>-20</v>
      </c>
      <c r="AE20" s="14">
        <f t="shared" si="7"/>
        <v>177.7</v>
      </c>
      <c r="AF20" s="14">
        <f t="shared" si="7"/>
        <v>67.699999999999989</v>
      </c>
      <c r="AG20" s="14">
        <f t="shared" si="7"/>
        <v>37.699999999999989</v>
      </c>
      <c r="AH20" s="14">
        <f t="shared" si="7"/>
        <v>37.699999999999989</v>
      </c>
      <c r="AI20" s="14">
        <f t="shared" si="7"/>
        <v>37.699999999999989</v>
      </c>
      <c r="AJ20" s="14">
        <f t="shared" si="7"/>
        <v>37.699999999999989</v>
      </c>
      <c r="AK20" s="14"/>
      <c r="AL20" s="14"/>
      <c r="AM20" s="29"/>
      <c r="AN20" s="29"/>
      <c r="AO20" s="29"/>
      <c r="AP20" s="29"/>
      <c r="AQ20" s="14"/>
      <c r="AR20" s="14"/>
      <c r="AS20" s="32"/>
      <c r="AT20" s="14"/>
      <c r="AU20" s="14"/>
      <c r="AV20" s="14"/>
    </row>
    <row r="21" spans="1:48" x14ac:dyDescent="0.25">
      <c r="A21" s="29"/>
      <c r="B21" s="14" t="s">
        <v>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29"/>
      <c r="AL21" s="29"/>
      <c r="AM21" s="29"/>
      <c r="AN21" s="29"/>
      <c r="AO21" s="29"/>
      <c r="AP21" s="29"/>
      <c r="AQ21" s="14"/>
      <c r="AR21" s="14"/>
      <c r="AS21" s="32"/>
      <c r="AT21" s="14"/>
      <c r="AU21" s="14"/>
      <c r="AV21" s="14"/>
    </row>
    <row r="22" spans="1:48" ht="16.5" thickBot="1" x14ac:dyDescent="0.3">
      <c r="A22" s="29"/>
      <c r="B22" s="14" t="s">
        <v>25</v>
      </c>
      <c r="C22" s="14"/>
      <c r="D22" s="14"/>
      <c r="E22" s="14">
        <f>F17</f>
        <v>20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2"/>
      <c r="AL22" s="2"/>
      <c r="AM22" s="2"/>
      <c r="AN22" s="2"/>
      <c r="AO22" s="29"/>
      <c r="AP22" s="29"/>
      <c r="AQ22" s="2" t="s">
        <v>26</v>
      </c>
      <c r="AR22" s="29"/>
      <c r="AS22" s="29"/>
      <c r="AT22" s="40">
        <f>F17*279</f>
        <v>5580</v>
      </c>
      <c r="AU22" s="14"/>
      <c r="AV22" s="14"/>
    </row>
    <row r="23" spans="1:48" ht="16.5" thickTop="1" x14ac:dyDescent="0.25">
      <c r="A23" s="29"/>
      <c r="B23" s="14" t="s">
        <v>27</v>
      </c>
      <c r="C23" s="14"/>
      <c r="D23" s="14"/>
      <c r="E23" s="14">
        <f>SUM(F18:AJ18)</f>
        <v>1217.7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2"/>
      <c r="AL23" s="2"/>
      <c r="AM23" s="2"/>
      <c r="AN23" s="30"/>
      <c r="AO23" s="29"/>
      <c r="AP23" s="29"/>
      <c r="AQ23" s="2" t="s">
        <v>28</v>
      </c>
      <c r="AR23" s="29"/>
      <c r="AS23" s="29"/>
      <c r="AT23" s="37">
        <f>AT19-AT22</f>
        <v>326820</v>
      </c>
      <c r="AU23" s="14"/>
      <c r="AV23" s="14"/>
    </row>
    <row r="24" spans="1:48" x14ac:dyDescent="0.25">
      <c r="A24" s="29"/>
      <c r="B24" s="14" t="s">
        <v>29</v>
      </c>
      <c r="C24" s="14"/>
      <c r="D24" s="14"/>
      <c r="E24" s="14">
        <f>AK10+AK15</f>
        <v>1200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29"/>
      <c r="AL24" s="29"/>
      <c r="AM24" s="29"/>
      <c r="AN24" s="29"/>
      <c r="AO24" s="29"/>
      <c r="AP24" s="29"/>
      <c r="AQ24" s="14"/>
      <c r="AR24" s="14"/>
      <c r="AS24" s="32"/>
      <c r="AT24" s="14"/>
      <c r="AU24" s="14"/>
      <c r="AV24" s="14"/>
    </row>
    <row r="25" spans="1:48" ht="16.5" thickBot="1" x14ac:dyDescent="0.3">
      <c r="A25" s="29"/>
      <c r="B25" s="14" t="s">
        <v>30</v>
      </c>
      <c r="C25" s="14"/>
      <c r="D25" s="14"/>
      <c r="E25" s="33">
        <f>E22+E23-E24</f>
        <v>37.700000000000045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29"/>
      <c r="AL25" s="29"/>
      <c r="AM25" s="29"/>
      <c r="AN25" s="29"/>
      <c r="AO25" s="29"/>
      <c r="AP25" s="29"/>
      <c r="AQ25" s="14"/>
      <c r="AR25" s="14"/>
      <c r="AS25" s="32"/>
      <c r="AT25" s="14"/>
      <c r="AU25" s="14"/>
      <c r="AV25" s="14"/>
    </row>
    <row r="26" spans="1:48" ht="16.5" thickTop="1" x14ac:dyDescent="0.25">
      <c r="A26" s="29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29"/>
      <c r="AL26" s="29"/>
      <c r="AM26" s="29"/>
      <c r="AN26" s="29"/>
      <c r="AO26" s="29"/>
      <c r="AP26" s="29"/>
      <c r="AQ26" s="14"/>
      <c r="AR26" s="14"/>
      <c r="AS26" s="32"/>
      <c r="AT26" s="14"/>
      <c r="AU26" s="14"/>
      <c r="AV26" s="14"/>
    </row>
    <row r="27" spans="1:48" x14ac:dyDescent="0.25">
      <c r="A27" s="34"/>
      <c r="C27" s="14"/>
      <c r="D27" s="14"/>
      <c r="E27" s="35"/>
      <c r="K27" s="14"/>
      <c r="M27" s="36"/>
      <c r="N27" s="14"/>
      <c r="P27" s="14"/>
      <c r="Q27" s="14"/>
      <c r="R27" s="14"/>
      <c r="U27" s="36"/>
      <c r="V27" s="14"/>
      <c r="W27" s="14"/>
      <c r="X27" s="14"/>
      <c r="Y27" s="14"/>
      <c r="Z27" s="14"/>
      <c r="AA27" s="14"/>
      <c r="AB27" s="36"/>
      <c r="AC27" s="14"/>
      <c r="AD27" s="14"/>
      <c r="AE27" s="14"/>
      <c r="AF27" s="14"/>
      <c r="AG27" s="14"/>
      <c r="AH27" s="36"/>
      <c r="AI27" s="14"/>
      <c r="AJ27" s="14"/>
      <c r="AK27" s="14"/>
      <c r="AL27" s="29"/>
      <c r="AM27" s="29"/>
      <c r="AN27" s="29"/>
      <c r="AO27" s="29"/>
      <c r="AP27" s="29"/>
      <c r="AQ27" s="14"/>
      <c r="AR27" s="14"/>
      <c r="AS27" s="32"/>
      <c r="AT27" s="14"/>
      <c r="AU27" s="14"/>
      <c r="AV27" s="14"/>
    </row>
    <row r="28" spans="1:48" x14ac:dyDescent="0.25">
      <c r="A28" s="14"/>
      <c r="C28" s="14"/>
      <c r="D28" s="14"/>
      <c r="E28" s="35"/>
      <c r="K28" s="14"/>
      <c r="M28" s="36"/>
      <c r="N28" s="14"/>
      <c r="P28" s="14"/>
      <c r="Q28" s="14"/>
      <c r="R28" s="14"/>
      <c r="U28" s="36"/>
      <c r="V28" s="14"/>
      <c r="W28" s="14"/>
      <c r="X28" s="14"/>
      <c r="Y28" s="14"/>
      <c r="Z28" s="14"/>
      <c r="AA28" s="14"/>
      <c r="AB28" s="36"/>
      <c r="AC28" s="14"/>
      <c r="AD28" s="14"/>
      <c r="AE28" s="14"/>
      <c r="AF28" s="14"/>
      <c r="AG28" s="14"/>
      <c r="AH28" s="36"/>
      <c r="AI28" s="14"/>
      <c r="AJ28" s="14"/>
      <c r="AK28" s="14"/>
      <c r="AL28" s="29"/>
      <c r="AM28" s="29"/>
      <c r="AN28" s="29"/>
      <c r="AO28" s="29"/>
      <c r="AP28" s="29"/>
      <c r="AQ28" s="14"/>
      <c r="AR28" s="14"/>
      <c r="AS28" s="32"/>
      <c r="AT28" s="14"/>
      <c r="AU28" s="14"/>
      <c r="AV28" s="14"/>
    </row>
    <row r="29" spans="1:48" x14ac:dyDescent="0.25">
      <c r="A29" s="14"/>
      <c r="C29" s="14"/>
      <c r="D29" s="14"/>
      <c r="E29" s="35"/>
      <c r="K29" s="14"/>
      <c r="M29" s="36"/>
      <c r="N29" s="14"/>
      <c r="P29" s="14"/>
      <c r="Q29" s="14"/>
      <c r="R29" s="14"/>
      <c r="U29" s="36"/>
      <c r="V29" s="14"/>
      <c r="W29" s="14"/>
      <c r="X29" s="14"/>
      <c r="Y29" s="14"/>
      <c r="Z29" s="14"/>
      <c r="AA29" s="14"/>
      <c r="AB29" s="36"/>
      <c r="AC29" s="14"/>
      <c r="AD29" s="14"/>
      <c r="AE29" s="14"/>
      <c r="AF29" s="14"/>
      <c r="AG29" s="14"/>
      <c r="AH29" s="36"/>
      <c r="AI29" s="14"/>
      <c r="AJ29" s="14"/>
      <c r="AK29" s="14"/>
      <c r="AL29" s="29"/>
      <c r="AM29" s="29"/>
      <c r="AN29" s="29"/>
      <c r="AO29" s="29"/>
      <c r="AP29" s="29"/>
      <c r="AQ29" s="14"/>
      <c r="AR29" s="14"/>
      <c r="AS29" s="32"/>
      <c r="AT29" s="14"/>
      <c r="AU29" s="14"/>
      <c r="AV29" s="14"/>
    </row>
    <row r="30" spans="1:48" x14ac:dyDescent="0.25">
      <c r="A30" s="14"/>
      <c r="C30" s="14"/>
      <c r="D30" s="14"/>
      <c r="E30" s="35"/>
      <c r="K30" s="14"/>
      <c r="M30" s="36"/>
      <c r="N30" s="14"/>
      <c r="P30" s="14"/>
      <c r="Q30" s="14"/>
      <c r="R30" s="14"/>
      <c r="U30" s="36"/>
      <c r="V30" s="14"/>
      <c r="W30" s="14"/>
      <c r="X30" s="14"/>
      <c r="Y30" s="14"/>
      <c r="Z30" s="14"/>
      <c r="AA30" s="14"/>
      <c r="AB30" s="36"/>
      <c r="AC30" s="14"/>
      <c r="AD30" s="14"/>
      <c r="AE30" s="14"/>
      <c r="AF30" s="14"/>
      <c r="AG30" s="14"/>
      <c r="AH30" s="36"/>
      <c r="AI30" s="14"/>
      <c r="AJ30" s="14"/>
      <c r="AK30" s="14"/>
      <c r="AL30" s="29"/>
      <c r="AM30" s="29"/>
      <c r="AN30" s="29"/>
      <c r="AO30" s="29"/>
      <c r="AP30" s="29"/>
      <c r="AQ30" s="14"/>
      <c r="AR30" s="14"/>
      <c r="AS30" s="32"/>
      <c r="AT30" s="14"/>
      <c r="AU30" s="14"/>
      <c r="AV30" s="14"/>
    </row>
    <row r="31" spans="1:48" x14ac:dyDescent="0.25">
      <c r="A31" s="1" t="s">
        <v>0</v>
      </c>
      <c r="E31" s="3" t="s">
        <v>1</v>
      </c>
      <c r="R31" s="3"/>
    </row>
    <row r="32" spans="1:48" x14ac:dyDescent="0.25">
      <c r="A32" s="1" t="s">
        <v>35</v>
      </c>
      <c r="E32" s="74" t="s">
        <v>51</v>
      </c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</row>
    <row r="33" spans="1:46" ht="25.5" customHeight="1" x14ac:dyDescent="0.25">
      <c r="A33" s="64" t="s">
        <v>3</v>
      </c>
      <c r="B33" s="64" t="s">
        <v>4</v>
      </c>
      <c r="C33" s="64" t="s">
        <v>5</v>
      </c>
      <c r="D33" s="64" t="s">
        <v>6</v>
      </c>
      <c r="E33" s="64" t="s">
        <v>7</v>
      </c>
      <c r="F33" s="75" t="s">
        <v>8</v>
      </c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7"/>
      <c r="AK33" s="64" t="s">
        <v>9</v>
      </c>
      <c r="AL33" s="64" t="s">
        <v>10</v>
      </c>
      <c r="AM33" s="64" t="s">
        <v>11</v>
      </c>
      <c r="AN33" s="64" t="s">
        <v>12</v>
      </c>
      <c r="AO33" s="64" t="s">
        <v>13</v>
      </c>
      <c r="AP33" s="64" t="s">
        <v>14</v>
      </c>
      <c r="AQ33" s="64" t="s">
        <v>15</v>
      </c>
      <c r="AR33" s="64" t="s">
        <v>16</v>
      </c>
      <c r="AS33" s="66" t="s">
        <v>17</v>
      </c>
      <c r="AT33" s="64" t="s">
        <v>18</v>
      </c>
    </row>
    <row r="34" spans="1:46" ht="42.75" customHeight="1" x14ac:dyDescent="0.25">
      <c r="A34" s="65"/>
      <c r="B34" s="65"/>
      <c r="C34" s="65"/>
      <c r="D34" s="65"/>
      <c r="E34" s="65"/>
      <c r="F34" s="6">
        <v>1</v>
      </c>
      <c r="G34" s="6">
        <v>2</v>
      </c>
      <c r="H34" s="6">
        <v>3</v>
      </c>
      <c r="I34" s="6">
        <v>4</v>
      </c>
      <c r="J34" s="6">
        <v>5</v>
      </c>
      <c r="K34" s="6">
        <v>6</v>
      </c>
      <c r="L34" s="6">
        <v>7</v>
      </c>
      <c r="M34" s="6">
        <v>8</v>
      </c>
      <c r="N34" s="6">
        <v>9</v>
      </c>
      <c r="O34" s="6">
        <v>10</v>
      </c>
      <c r="P34" s="6">
        <v>11</v>
      </c>
      <c r="Q34" s="6">
        <v>12</v>
      </c>
      <c r="R34" s="6">
        <v>13</v>
      </c>
      <c r="S34" s="6">
        <v>14</v>
      </c>
      <c r="T34" s="6">
        <v>15</v>
      </c>
      <c r="U34" s="6">
        <v>16</v>
      </c>
      <c r="V34" s="6">
        <v>17</v>
      </c>
      <c r="W34" s="6">
        <v>18</v>
      </c>
      <c r="X34" s="6">
        <v>19</v>
      </c>
      <c r="Y34" s="6">
        <v>20</v>
      </c>
      <c r="Z34" s="6">
        <v>21</v>
      </c>
      <c r="AA34" s="6">
        <v>22</v>
      </c>
      <c r="AB34" s="6">
        <v>23</v>
      </c>
      <c r="AC34" s="6">
        <v>24</v>
      </c>
      <c r="AD34" s="6">
        <v>25</v>
      </c>
      <c r="AE34" s="6">
        <v>26</v>
      </c>
      <c r="AF34" s="6">
        <v>27</v>
      </c>
      <c r="AG34" s="6">
        <v>28</v>
      </c>
      <c r="AH34" s="6">
        <v>29</v>
      </c>
      <c r="AI34" s="6">
        <v>30</v>
      </c>
      <c r="AJ34" s="6">
        <v>31</v>
      </c>
      <c r="AK34" s="65"/>
      <c r="AL34" s="65"/>
      <c r="AM34" s="65"/>
      <c r="AN34" s="65"/>
      <c r="AO34" s="65"/>
      <c r="AP34" s="65"/>
      <c r="AQ34" s="65"/>
      <c r="AR34" s="65"/>
      <c r="AS34" s="67"/>
      <c r="AT34" s="65"/>
    </row>
    <row r="35" spans="1:46" ht="16.5" thickBot="1" x14ac:dyDescent="0.3">
      <c r="A35" s="8">
        <v>1</v>
      </c>
      <c r="B35" s="9" t="s">
        <v>38</v>
      </c>
      <c r="C35" s="9"/>
      <c r="D35" s="9" t="s">
        <v>36</v>
      </c>
      <c r="E35" s="9" t="s">
        <v>37</v>
      </c>
      <c r="F35" s="11"/>
      <c r="G35" s="11"/>
      <c r="H35" s="11"/>
      <c r="I35" s="11"/>
      <c r="J35" s="11">
        <v>2.1</v>
      </c>
      <c r="K35" s="11"/>
      <c r="L35" s="11"/>
      <c r="M35" s="11">
        <v>1</v>
      </c>
      <c r="N35" s="11"/>
      <c r="O35" s="11">
        <v>2</v>
      </c>
      <c r="P35" s="11"/>
      <c r="Q35" s="11"/>
      <c r="R35" s="11">
        <v>3.1</v>
      </c>
      <c r="S35" s="11"/>
      <c r="T35" s="11">
        <v>2</v>
      </c>
      <c r="U35" s="11"/>
      <c r="V35" s="11"/>
      <c r="W35" s="11">
        <v>3</v>
      </c>
      <c r="X35" s="11"/>
      <c r="Y35" s="11"/>
      <c r="Z35" s="11">
        <v>3</v>
      </c>
      <c r="AA35" s="11"/>
      <c r="AB35" s="11"/>
      <c r="AC35" s="11">
        <v>2</v>
      </c>
      <c r="AD35" s="11"/>
      <c r="AE35" s="11"/>
      <c r="AF35" s="11"/>
      <c r="AG35" s="11"/>
      <c r="AH35" s="11"/>
      <c r="AI35" s="11"/>
      <c r="AJ35" s="11"/>
      <c r="AK35" s="20">
        <f>SUM(F35:AJ35)</f>
        <v>18.2</v>
      </c>
      <c r="AL35" s="11"/>
      <c r="AM35" s="8"/>
      <c r="AN35" s="8"/>
      <c r="AO35" s="8"/>
      <c r="AP35" s="8"/>
      <c r="AQ35" s="38"/>
      <c r="AR35" s="10"/>
      <c r="AS35" s="12">
        <v>292</v>
      </c>
      <c r="AT35" s="13">
        <f>AS35*AK35</f>
        <v>5314.4</v>
      </c>
    </row>
    <row r="36" spans="1:46" ht="17.25" thickTop="1" thickBot="1" x14ac:dyDescent="0.3">
      <c r="A36" s="8">
        <v>2</v>
      </c>
      <c r="B36" s="9" t="s">
        <v>39</v>
      </c>
      <c r="C36" s="9"/>
      <c r="D36" s="9" t="s">
        <v>36</v>
      </c>
      <c r="E36" s="9" t="s">
        <v>37</v>
      </c>
      <c r="F36" s="11">
        <v>1.1000000000000001</v>
      </c>
      <c r="G36" s="11"/>
      <c r="H36" s="11"/>
      <c r="I36" s="11">
        <v>3</v>
      </c>
      <c r="J36" s="11"/>
      <c r="K36" s="11">
        <v>2.1</v>
      </c>
      <c r="L36" s="11"/>
      <c r="M36" s="11">
        <v>2</v>
      </c>
      <c r="N36" s="11"/>
      <c r="O36" s="11">
        <v>2</v>
      </c>
      <c r="P36" s="11">
        <v>1.1000000000000001</v>
      </c>
      <c r="Q36" s="11"/>
      <c r="R36" s="11">
        <v>2</v>
      </c>
      <c r="S36" s="11"/>
      <c r="T36" s="11"/>
      <c r="U36" s="11">
        <v>3</v>
      </c>
      <c r="V36" s="11"/>
      <c r="W36" s="11"/>
      <c r="X36" s="11">
        <v>2.8</v>
      </c>
      <c r="Y36" s="11"/>
      <c r="Z36" s="11"/>
      <c r="AA36" s="11"/>
      <c r="AB36" s="11"/>
      <c r="AC36" s="11"/>
      <c r="AD36" s="11">
        <v>3</v>
      </c>
      <c r="AE36" s="11"/>
      <c r="AF36" s="11"/>
      <c r="AG36" s="11"/>
      <c r="AH36" s="11"/>
      <c r="AI36" s="11"/>
      <c r="AJ36" s="11"/>
      <c r="AK36" s="20">
        <f t="shared" ref="AK36:AK37" si="8">SUM(F36:AJ36)</f>
        <v>22.099999999999998</v>
      </c>
      <c r="AL36" s="11"/>
      <c r="AM36" s="11"/>
      <c r="AN36" s="11"/>
      <c r="AO36" s="11"/>
      <c r="AP36" s="11"/>
      <c r="AQ36" s="15"/>
      <c r="AR36" s="9"/>
      <c r="AS36" s="12">
        <v>292</v>
      </c>
      <c r="AT36" s="13">
        <f t="shared" ref="AT36:AT37" si="9">AS36*AK36</f>
        <v>6453.2</v>
      </c>
    </row>
    <row r="37" spans="1:46" ht="17.25" thickTop="1" thickBot="1" x14ac:dyDescent="0.3">
      <c r="A37" s="11"/>
      <c r="B37" s="9"/>
      <c r="C37" s="17"/>
      <c r="D37" s="9"/>
      <c r="E37" s="9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20">
        <f t="shared" si="8"/>
        <v>0</v>
      </c>
      <c r="AL37" s="11"/>
      <c r="AM37" s="11"/>
      <c r="AN37" s="11"/>
      <c r="AO37" s="11"/>
      <c r="AP37" s="11"/>
      <c r="AQ37" s="15"/>
      <c r="AR37" s="9"/>
      <c r="AS37" s="12"/>
      <c r="AT37" s="13">
        <f t="shared" si="9"/>
        <v>0</v>
      </c>
    </row>
    <row r="38" spans="1:46" ht="16.5" thickTop="1" x14ac:dyDescent="0.25">
      <c r="A38" s="11"/>
      <c r="B38" s="9"/>
      <c r="C38" s="9"/>
      <c r="D38" s="9"/>
      <c r="E38" s="9"/>
      <c r="F38" s="11"/>
      <c r="G38" s="11"/>
      <c r="H38" s="11"/>
      <c r="I38" s="11"/>
      <c r="J38" s="11"/>
      <c r="K38" s="11"/>
      <c r="L38" s="11"/>
      <c r="M38" s="11"/>
      <c r="N38" s="18"/>
      <c r="O38" s="18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8"/>
      <c r="AL38" s="11"/>
      <c r="AM38" s="18"/>
      <c r="AN38" s="11"/>
      <c r="AO38" s="11"/>
      <c r="AP38" s="11"/>
      <c r="AQ38" s="15"/>
      <c r="AR38" s="9"/>
      <c r="AS38" s="9"/>
      <c r="AT38" s="19"/>
    </row>
    <row r="39" spans="1:46" ht="16.5" customHeight="1" thickBot="1" x14ac:dyDescent="0.3">
      <c r="A39" s="11"/>
      <c r="B39" s="68" t="s">
        <v>19</v>
      </c>
      <c r="C39" s="69"/>
      <c r="D39" s="69"/>
      <c r="E39" s="70"/>
      <c r="F39" s="20">
        <f t="shared" ref="F39:AM39" si="10">SUM(F35:F38)</f>
        <v>1.1000000000000001</v>
      </c>
      <c r="G39" s="20">
        <f t="shared" si="10"/>
        <v>0</v>
      </c>
      <c r="H39" s="20">
        <f t="shared" si="10"/>
        <v>0</v>
      </c>
      <c r="I39" s="20">
        <f t="shared" si="10"/>
        <v>3</v>
      </c>
      <c r="J39" s="20">
        <f t="shared" si="10"/>
        <v>2.1</v>
      </c>
      <c r="K39" s="20">
        <f t="shared" si="10"/>
        <v>2.1</v>
      </c>
      <c r="L39" s="20">
        <f t="shared" si="10"/>
        <v>0</v>
      </c>
      <c r="M39" s="20">
        <f t="shared" si="10"/>
        <v>3</v>
      </c>
      <c r="N39" s="20">
        <f t="shared" si="10"/>
        <v>0</v>
      </c>
      <c r="O39" s="20">
        <f t="shared" si="10"/>
        <v>4</v>
      </c>
      <c r="P39" s="20">
        <f t="shared" si="10"/>
        <v>1.1000000000000001</v>
      </c>
      <c r="Q39" s="20">
        <f t="shared" si="10"/>
        <v>0</v>
      </c>
      <c r="R39" s="20">
        <f t="shared" si="10"/>
        <v>5.0999999999999996</v>
      </c>
      <c r="S39" s="20">
        <f t="shared" si="10"/>
        <v>0</v>
      </c>
      <c r="T39" s="20">
        <f t="shared" si="10"/>
        <v>2</v>
      </c>
      <c r="U39" s="20">
        <f t="shared" si="10"/>
        <v>3</v>
      </c>
      <c r="V39" s="20">
        <f t="shared" si="10"/>
        <v>0</v>
      </c>
      <c r="W39" s="20">
        <f t="shared" si="10"/>
        <v>3</v>
      </c>
      <c r="X39" s="20">
        <f t="shared" si="10"/>
        <v>2.8</v>
      </c>
      <c r="Y39" s="20">
        <f t="shared" si="10"/>
        <v>0</v>
      </c>
      <c r="Z39" s="20">
        <f t="shared" si="10"/>
        <v>3</v>
      </c>
      <c r="AA39" s="20">
        <f t="shared" si="10"/>
        <v>0</v>
      </c>
      <c r="AB39" s="20">
        <f t="shared" si="10"/>
        <v>0</v>
      </c>
      <c r="AC39" s="20">
        <f t="shared" si="10"/>
        <v>2</v>
      </c>
      <c r="AD39" s="20">
        <f t="shared" si="10"/>
        <v>3</v>
      </c>
      <c r="AE39" s="20">
        <f t="shared" si="10"/>
        <v>0</v>
      </c>
      <c r="AF39" s="20">
        <f t="shared" si="10"/>
        <v>0</v>
      </c>
      <c r="AG39" s="20">
        <f t="shared" si="10"/>
        <v>0</v>
      </c>
      <c r="AH39" s="20">
        <f t="shared" si="10"/>
        <v>0</v>
      </c>
      <c r="AI39" s="20">
        <f t="shared" si="10"/>
        <v>0</v>
      </c>
      <c r="AJ39" s="20">
        <f t="shared" si="10"/>
        <v>0</v>
      </c>
      <c r="AK39" s="20">
        <f t="shared" si="10"/>
        <v>40.299999999999997</v>
      </c>
      <c r="AL39" s="20">
        <f t="shared" si="10"/>
        <v>0</v>
      </c>
      <c r="AM39" s="20">
        <f t="shared" si="10"/>
        <v>0</v>
      </c>
      <c r="AN39" s="22"/>
      <c r="AO39" s="22"/>
      <c r="AP39" s="22"/>
      <c r="AQ39" s="22"/>
      <c r="AR39" s="22"/>
      <c r="AS39" s="22"/>
      <c r="AT39" s="22">
        <f>SUM(AT35:AT38)</f>
        <v>11767.599999999999</v>
      </c>
    </row>
    <row r="40" spans="1:46" ht="16.5" thickTop="1" x14ac:dyDescent="0.25">
      <c r="A40" s="11"/>
      <c r="B40" s="9"/>
      <c r="C40" s="9"/>
      <c r="D40" s="9"/>
      <c r="E40" s="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11"/>
      <c r="AL40" s="23"/>
      <c r="AM40" s="23"/>
      <c r="AN40" s="11"/>
      <c r="AO40" s="11"/>
      <c r="AP40" s="11"/>
      <c r="AQ40" s="15"/>
      <c r="AR40" s="9"/>
      <c r="AS40" s="9"/>
      <c r="AT40" s="9"/>
    </row>
    <row r="41" spans="1:46" x14ac:dyDescent="0.25">
      <c r="A41" s="29"/>
      <c r="B41" s="30" t="s">
        <v>21</v>
      </c>
      <c r="C41" s="31"/>
      <c r="D41" s="31"/>
      <c r="E41" s="31"/>
      <c r="F41" s="14">
        <v>1.1000000000000001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</row>
    <row r="42" spans="1:46" x14ac:dyDescent="0.25">
      <c r="A42" s="29"/>
      <c r="B42" s="30" t="s">
        <v>22</v>
      </c>
      <c r="C42" s="31"/>
      <c r="D42" s="31"/>
      <c r="E42" s="31"/>
      <c r="F42" s="14"/>
      <c r="G42" s="14">
        <v>5.0999999999999996</v>
      </c>
      <c r="H42" s="14"/>
      <c r="I42" s="14"/>
      <c r="J42" s="14"/>
      <c r="K42" s="14">
        <v>10.199999999999999</v>
      </c>
      <c r="L42" s="14"/>
      <c r="M42" s="14"/>
      <c r="N42" s="14"/>
      <c r="O42" s="14"/>
      <c r="P42" s="14"/>
      <c r="Q42" s="14"/>
      <c r="R42" s="14">
        <v>10.199999999999999</v>
      </c>
      <c r="S42" s="14"/>
      <c r="T42" s="14"/>
      <c r="U42" s="14"/>
      <c r="V42" s="14"/>
      <c r="W42" s="14">
        <v>8.6</v>
      </c>
      <c r="X42" s="14"/>
      <c r="Y42" s="14">
        <v>5.0999999999999996</v>
      </c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</row>
    <row r="43" spans="1:46" x14ac:dyDescent="0.25">
      <c r="A43" s="29"/>
      <c r="B43" s="14" t="s">
        <v>23</v>
      </c>
      <c r="E43" s="14"/>
      <c r="F43" s="14">
        <f>F39</f>
        <v>1.1000000000000001</v>
      </c>
      <c r="G43" s="14">
        <f t="shared" ref="G43:AJ43" si="11">G39</f>
        <v>0</v>
      </c>
      <c r="H43" s="14">
        <f t="shared" si="11"/>
        <v>0</v>
      </c>
      <c r="I43" s="14">
        <f>I39</f>
        <v>3</v>
      </c>
      <c r="J43" s="14">
        <f t="shared" ref="J43:K43" si="12">J39</f>
        <v>2.1</v>
      </c>
      <c r="K43" s="14">
        <f t="shared" si="12"/>
        <v>2.1</v>
      </c>
      <c r="L43" s="14">
        <f t="shared" si="11"/>
        <v>0</v>
      </c>
      <c r="M43" s="14">
        <f t="shared" si="11"/>
        <v>3</v>
      </c>
      <c r="N43" s="14">
        <f t="shared" si="11"/>
        <v>0</v>
      </c>
      <c r="O43" s="14">
        <f t="shared" si="11"/>
        <v>4</v>
      </c>
      <c r="P43" s="14">
        <f t="shared" si="11"/>
        <v>1.1000000000000001</v>
      </c>
      <c r="Q43" s="14">
        <f t="shared" si="11"/>
        <v>0</v>
      </c>
      <c r="R43" s="14">
        <f t="shared" si="11"/>
        <v>5.0999999999999996</v>
      </c>
      <c r="S43" s="14">
        <f t="shared" si="11"/>
        <v>0</v>
      </c>
      <c r="T43" s="14">
        <f t="shared" si="11"/>
        <v>2</v>
      </c>
      <c r="U43" s="14">
        <f t="shared" si="11"/>
        <v>3</v>
      </c>
      <c r="V43" s="14">
        <f t="shared" si="11"/>
        <v>0</v>
      </c>
      <c r="W43" s="14">
        <f t="shared" si="11"/>
        <v>3</v>
      </c>
      <c r="X43" s="14">
        <f t="shared" si="11"/>
        <v>2.8</v>
      </c>
      <c r="Y43" s="14">
        <f t="shared" si="11"/>
        <v>0</v>
      </c>
      <c r="Z43" s="14">
        <f t="shared" si="11"/>
        <v>3</v>
      </c>
      <c r="AA43" s="14">
        <f t="shared" si="11"/>
        <v>0</v>
      </c>
      <c r="AB43" s="14">
        <f t="shared" si="11"/>
        <v>0</v>
      </c>
      <c r="AC43" s="14">
        <f t="shared" si="11"/>
        <v>2</v>
      </c>
      <c r="AD43" s="14">
        <f t="shared" si="11"/>
        <v>3</v>
      </c>
      <c r="AE43" s="14">
        <f t="shared" si="11"/>
        <v>0</v>
      </c>
      <c r="AF43" s="14">
        <f t="shared" si="11"/>
        <v>0</v>
      </c>
      <c r="AG43" s="14">
        <f t="shared" si="11"/>
        <v>0</v>
      </c>
      <c r="AH43" s="14">
        <f t="shared" si="11"/>
        <v>0</v>
      </c>
      <c r="AI43" s="14">
        <f t="shared" si="11"/>
        <v>0</v>
      </c>
      <c r="AJ43" s="14">
        <f t="shared" si="11"/>
        <v>0</v>
      </c>
      <c r="AK43" s="14"/>
      <c r="AL43" s="14"/>
      <c r="AM43" s="14"/>
      <c r="AN43" s="14"/>
      <c r="AO43" s="14"/>
      <c r="AP43" s="14"/>
      <c r="AQ43" s="14"/>
      <c r="AR43" s="14"/>
      <c r="AS43" s="14"/>
      <c r="AT43" s="14"/>
    </row>
    <row r="44" spans="1:46" x14ac:dyDescent="0.25">
      <c r="A44" s="29"/>
      <c r="B44" s="14" t="s">
        <v>24</v>
      </c>
      <c r="E44" s="14"/>
      <c r="F44" s="14">
        <f>(F41+F42)-F43</f>
        <v>0</v>
      </c>
      <c r="G44" s="14">
        <f>(F44+G41+G42)-G43</f>
        <v>5.0999999999999996</v>
      </c>
      <c r="H44" s="14">
        <f t="shared" ref="H44:AJ44" si="13">(G44+H41+H42)-H43</f>
        <v>5.0999999999999996</v>
      </c>
      <c r="I44" s="14">
        <f>(H44+I41+I42)-I43</f>
        <v>2.0999999999999996</v>
      </c>
      <c r="J44" s="14">
        <f>(I44+J41+J42)-J43</f>
        <v>0</v>
      </c>
      <c r="K44" s="14">
        <f>(J44+K41+K42)-K43</f>
        <v>8.1</v>
      </c>
      <c r="L44" s="14">
        <f>(K44+L41+L42)-L43</f>
        <v>8.1</v>
      </c>
      <c r="M44" s="14">
        <f t="shared" si="13"/>
        <v>5.0999999999999996</v>
      </c>
      <c r="N44" s="14">
        <f t="shared" si="13"/>
        <v>5.0999999999999996</v>
      </c>
      <c r="O44" s="14">
        <f t="shared" si="13"/>
        <v>1.0999999999999996</v>
      </c>
      <c r="P44" s="14">
        <f t="shared" si="13"/>
        <v>0</v>
      </c>
      <c r="Q44" s="14">
        <f t="shared" si="13"/>
        <v>0</v>
      </c>
      <c r="R44" s="14">
        <f t="shared" si="13"/>
        <v>5.0999999999999996</v>
      </c>
      <c r="S44" s="14">
        <f t="shared" si="13"/>
        <v>5.0999999999999996</v>
      </c>
      <c r="T44" s="14">
        <f t="shared" si="13"/>
        <v>3.0999999999999996</v>
      </c>
      <c r="U44" s="14">
        <f t="shared" si="13"/>
        <v>9.9999999999999645E-2</v>
      </c>
      <c r="V44" s="14">
        <f t="shared" si="13"/>
        <v>9.9999999999999645E-2</v>
      </c>
      <c r="W44" s="14">
        <f t="shared" si="13"/>
        <v>5.6999999999999993</v>
      </c>
      <c r="X44" s="14">
        <f t="shared" si="13"/>
        <v>2.8999999999999995</v>
      </c>
      <c r="Y44" s="14">
        <f t="shared" si="13"/>
        <v>7.9999999999999991</v>
      </c>
      <c r="Z44" s="14">
        <f t="shared" si="13"/>
        <v>4.9999999999999991</v>
      </c>
      <c r="AA44" s="14">
        <f t="shared" si="13"/>
        <v>4.9999999999999991</v>
      </c>
      <c r="AB44" s="14">
        <f t="shared" si="13"/>
        <v>4.9999999999999991</v>
      </c>
      <c r="AC44" s="14">
        <f t="shared" si="13"/>
        <v>2.9999999999999991</v>
      </c>
      <c r="AD44" s="14">
        <f t="shared" si="13"/>
        <v>0</v>
      </c>
      <c r="AE44" s="14">
        <f t="shared" si="13"/>
        <v>0</v>
      </c>
      <c r="AF44" s="14">
        <f t="shared" si="13"/>
        <v>0</v>
      </c>
      <c r="AG44" s="14">
        <f t="shared" si="13"/>
        <v>0</v>
      </c>
      <c r="AH44" s="14">
        <f t="shared" si="13"/>
        <v>0</v>
      </c>
      <c r="AI44" s="14">
        <f t="shared" si="13"/>
        <v>0</v>
      </c>
      <c r="AJ44" s="14">
        <f t="shared" si="13"/>
        <v>0</v>
      </c>
      <c r="AK44" s="14"/>
      <c r="AL44" s="14"/>
      <c r="AM44" s="29"/>
      <c r="AN44" s="29"/>
      <c r="AO44" s="29"/>
      <c r="AP44" s="29"/>
      <c r="AQ44" s="14"/>
      <c r="AR44" s="14"/>
      <c r="AS44" s="32"/>
      <c r="AT44" s="39">
        <f>AT39</f>
        <v>11767.599999999999</v>
      </c>
    </row>
    <row r="45" spans="1:46" x14ac:dyDescent="0.25">
      <c r="A45" s="29"/>
      <c r="B45" s="14" t="s">
        <v>2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29"/>
      <c r="AL45" s="29"/>
      <c r="AM45" s="29"/>
      <c r="AN45" s="29"/>
      <c r="AO45" s="29"/>
      <c r="AP45" s="29"/>
      <c r="AQ45" s="14"/>
      <c r="AR45" s="14"/>
      <c r="AS45" s="32"/>
      <c r="AT45" s="14"/>
    </row>
    <row r="46" spans="1:46" ht="16.5" thickBot="1" x14ac:dyDescent="0.3">
      <c r="A46" s="29"/>
      <c r="B46" s="14" t="s">
        <v>25</v>
      </c>
      <c r="C46" s="14"/>
      <c r="D46" s="14"/>
      <c r="E46" s="14">
        <v>1.1000000000000001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2"/>
      <c r="AL46" s="2"/>
      <c r="AM46" s="2"/>
      <c r="AN46" s="2"/>
      <c r="AO46" s="29"/>
      <c r="AP46" s="29"/>
      <c r="AQ46" s="2" t="s">
        <v>26</v>
      </c>
      <c r="AR46" s="29"/>
      <c r="AS46" s="29"/>
      <c r="AT46" s="41">
        <f>F41*294</f>
        <v>323.40000000000003</v>
      </c>
    </row>
    <row r="47" spans="1:46" ht="16.5" thickTop="1" x14ac:dyDescent="0.25">
      <c r="A47" s="29"/>
      <c r="B47" s="14" t="s">
        <v>27</v>
      </c>
      <c r="C47" s="14"/>
      <c r="D47" s="14"/>
      <c r="E47" s="14">
        <f>SUM(F42:AJ42)</f>
        <v>39.200000000000003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2"/>
      <c r="AL47" s="2"/>
      <c r="AM47" s="2"/>
      <c r="AN47" s="30"/>
      <c r="AO47" s="29"/>
      <c r="AP47" s="29"/>
      <c r="AQ47" s="2" t="s">
        <v>28</v>
      </c>
      <c r="AR47" s="29"/>
      <c r="AS47" s="29"/>
      <c r="AT47" s="37">
        <f>AT44-AT46</f>
        <v>11444.199999999999</v>
      </c>
    </row>
    <row r="48" spans="1:46" x14ac:dyDescent="0.25">
      <c r="A48" s="29"/>
      <c r="B48" s="14" t="s">
        <v>29</v>
      </c>
      <c r="C48" s="14"/>
      <c r="D48" s="14"/>
      <c r="E48" s="14">
        <f>AK34+AK39</f>
        <v>40.299999999999997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29"/>
      <c r="AL48" s="29"/>
      <c r="AM48" s="29"/>
      <c r="AN48" s="29"/>
      <c r="AO48" s="29"/>
      <c r="AP48" s="29"/>
      <c r="AQ48" s="14"/>
      <c r="AR48" s="14"/>
      <c r="AS48" s="32"/>
      <c r="AT48" s="14"/>
    </row>
    <row r="49" spans="1:46" ht="16.5" thickBot="1" x14ac:dyDescent="0.3">
      <c r="A49" s="29"/>
      <c r="B49" s="14" t="s">
        <v>30</v>
      </c>
      <c r="C49" s="14"/>
      <c r="D49" s="14"/>
      <c r="E49" s="33">
        <f>E46+E47-E48</f>
        <v>0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29"/>
      <c r="AL49" s="29"/>
      <c r="AM49" s="29"/>
      <c r="AN49" s="29"/>
      <c r="AO49" s="29"/>
      <c r="AP49" s="29"/>
      <c r="AQ49" s="14"/>
      <c r="AR49" s="14"/>
      <c r="AS49" s="32"/>
      <c r="AT49" s="14"/>
    </row>
    <row r="50" spans="1:46" ht="16.5" thickTop="1" x14ac:dyDescent="0.25">
      <c r="A50" s="29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29"/>
      <c r="AL50" s="29"/>
      <c r="AM50" s="29"/>
      <c r="AN50" s="29"/>
      <c r="AO50" s="29"/>
      <c r="AP50" s="29"/>
      <c r="AQ50" s="14"/>
      <c r="AR50" s="14"/>
      <c r="AS50" s="32"/>
      <c r="AT50" s="14"/>
    </row>
    <row r="51" spans="1:46" x14ac:dyDescent="0.25">
      <c r="A51" s="34"/>
      <c r="C51" s="14"/>
      <c r="D51" s="14"/>
      <c r="E51" s="35"/>
      <c r="K51" s="14"/>
      <c r="M51" s="36"/>
      <c r="N51" s="14"/>
      <c r="P51" s="14"/>
      <c r="Q51" s="14"/>
      <c r="R51" s="14"/>
      <c r="U51" s="36"/>
      <c r="V51" s="14"/>
      <c r="W51" s="14"/>
      <c r="X51" s="14"/>
      <c r="Y51" s="14"/>
      <c r="Z51" s="14"/>
      <c r="AA51" s="14"/>
      <c r="AB51" s="36"/>
      <c r="AC51" s="14"/>
      <c r="AD51" s="14"/>
      <c r="AE51" s="14"/>
      <c r="AF51" s="14"/>
      <c r="AG51" s="14"/>
      <c r="AH51" s="36"/>
      <c r="AI51" s="14"/>
      <c r="AJ51" s="14"/>
      <c r="AK51" s="14"/>
      <c r="AL51" s="29"/>
      <c r="AM51" s="29"/>
      <c r="AN51" s="29"/>
      <c r="AO51" s="29"/>
      <c r="AP51" s="29"/>
      <c r="AQ51" s="14"/>
      <c r="AR51" s="14"/>
      <c r="AS51" s="32"/>
      <c r="AT51" s="14"/>
    </row>
    <row r="52" spans="1:46" x14ac:dyDescent="0.25">
      <c r="A52" s="14"/>
      <c r="C52" s="14"/>
      <c r="D52" s="14"/>
      <c r="E52" s="35"/>
      <c r="K52" s="14"/>
      <c r="M52" s="36"/>
      <c r="N52" s="14"/>
      <c r="P52" s="14"/>
      <c r="Q52" s="14"/>
      <c r="R52" s="14"/>
      <c r="U52" s="36"/>
      <c r="V52" s="14"/>
      <c r="W52" s="14"/>
      <c r="X52" s="14"/>
      <c r="Y52" s="14"/>
      <c r="Z52" s="14"/>
      <c r="AA52" s="14"/>
      <c r="AB52" s="36"/>
      <c r="AC52" s="14"/>
      <c r="AD52" s="14"/>
      <c r="AE52" s="14"/>
      <c r="AF52" s="14"/>
      <c r="AG52" s="14"/>
      <c r="AH52" s="36"/>
      <c r="AI52" s="14"/>
      <c r="AJ52" s="14"/>
      <c r="AK52" s="14"/>
      <c r="AL52" s="29"/>
      <c r="AM52" s="29"/>
      <c r="AN52" s="29"/>
      <c r="AO52" s="29"/>
      <c r="AP52" s="29"/>
      <c r="AQ52" s="14"/>
      <c r="AR52" s="14"/>
      <c r="AS52" s="32"/>
      <c r="AT52" s="14"/>
    </row>
    <row r="53" spans="1:46" x14ac:dyDescent="0.25">
      <c r="A53" s="14"/>
      <c r="C53" s="14"/>
      <c r="D53" s="14"/>
      <c r="E53" s="35"/>
      <c r="K53" s="14"/>
      <c r="M53" s="36"/>
      <c r="N53" s="14"/>
      <c r="P53" s="14"/>
      <c r="Q53" s="14"/>
      <c r="R53" s="14"/>
      <c r="U53" s="36"/>
      <c r="V53" s="14"/>
      <c r="W53" s="14"/>
      <c r="X53" s="14"/>
      <c r="Y53" s="14"/>
      <c r="Z53" s="14"/>
      <c r="AA53" s="14"/>
      <c r="AB53" s="36"/>
      <c r="AC53" s="14"/>
      <c r="AD53" s="14"/>
      <c r="AE53" s="14"/>
      <c r="AF53" s="14"/>
      <c r="AG53" s="14"/>
      <c r="AH53" s="36"/>
      <c r="AI53" s="14"/>
      <c r="AJ53" s="14"/>
      <c r="AK53" s="14"/>
      <c r="AL53" s="29"/>
      <c r="AM53" s="29"/>
      <c r="AN53" s="29"/>
      <c r="AO53" s="29"/>
      <c r="AP53" s="29"/>
      <c r="AQ53" s="14"/>
      <c r="AR53" s="14"/>
      <c r="AS53" s="32"/>
      <c r="AT53" s="14"/>
    </row>
    <row r="58" spans="1:46" x14ac:dyDescent="0.25">
      <c r="AS58" s="80">
        <f>11444.2+326820</f>
        <v>338264.2</v>
      </c>
      <c r="AT58" s="80"/>
    </row>
    <row r="59" spans="1:46" x14ac:dyDescent="0.25">
      <c r="AS59" s="80"/>
      <c r="AT59" s="80"/>
    </row>
  </sheetData>
  <mergeCells count="39">
    <mergeCell ref="E2:U2"/>
    <mergeCell ref="E32:U32"/>
    <mergeCell ref="AS58:AT59"/>
    <mergeCell ref="AP33:AP34"/>
    <mergeCell ref="AQ33:AQ34"/>
    <mergeCell ref="AR33:AR34"/>
    <mergeCell ref="AS33:AS34"/>
    <mergeCell ref="AT33:AT34"/>
    <mergeCell ref="B39:E39"/>
    <mergeCell ref="F33:AJ33"/>
    <mergeCell ref="AK33:AK34"/>
    <mergeCell ref="AL33:AL34"/>
    <mergeCell ref="AM33:AM34"/>
    <mergeCell ref="AN33:AN34"/>
    <mergeCell ref="AO33:AO34"/>
    <mergeCell ref="B16:E16"/>
    <mergeCell ref="A33:A34"/>
    <mergeCell ref="B33:B34"/>
    <mergeCell ref="C33:C34"/>
    <mergeCell ref="D33:D34"/>
    <mergeCell ref="E33:E34"/>
    <mergeCell ref="AQ3:AQ4"/>
    <mergeCell ref="AR3:AR4"/>
    <mergeCell ref="AS3:AS4"/>
    <mergeCell ref="AT3:AT4"/>
    <mergeCell ref="B10:E10"/>
    <mergeCell ref="AO3:AO4"/>
    <mergeCell ref="AP3:AP4"/>
    <mergeCell ref="B15:E15"/>
    <mergeCell ref="AK3:AK4"/>
    <mergeCell ref="AL3:AL4"/>
    <mergeCell ref="AM3:AM4"/>
    <mergeCell ref="AN3:AN4"/>
    <mergeCell ref="F3:AJ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0474-1281-4C1D-B112-531F7ACF8F51}">
  <dimension ref="A1:AX56"/>
  <sheetViews>
    <sheetView topLeftCell="A3" zoomScale="60" zoomScaleNormal="60" workbookViewId="0">
      <selection activeCell="AE30" sqref="AE30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6.4257812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8.28515625" style="4" customWidth="1"/>
    <col min="39" max="39" width="7.28515625" style="4" customWidth="1"/>
    <col min="40" max="41" width="10.5703125" style="4" customWidth="1"/>
    <col min="42" max="42" width="10.42578125" style="4" customWidth="1"/>
    <col min="43" max="43" width="13.140625" style="2" customWidth="1"/>
    <col min="44" max="44" width="12.42578125" style="2" customWidth="1"/>
    <col min="45" max="45" width="10" style="5" customWidth="1"/>
    <col min="46" max="46" width="13.28515625" style="2" customWidth="1"/>
    <col min="47" max="16384" width="9.140625" style="2"/>
  </cols>
  <sheetData>
    <row r="1" spans="1:50" x14ac:dyDescent="0.25">
      <c r="A1" s="1" t="s">
        <v>0</v>
      </c>
      <c r="E1" s="79" t="s">
        <v>1</v>
      </c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</row>
    <row r="2" spans="1:50" x14ac:dyDescent="0.25">
      <c r="A2" s="1" t="s">
        <v>35</v>
      </c>
      <c r="E2" s="74" t="s">
        <v>52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</row>
    <row r="3" spans="1:50" ht="15.75" customHeight="1" x14ac:dyDescent="0.25">
      <c r="A3" s="64" t="s">
        <v>3</v>
      </c>
      <c r="B3" s="64" t="s">
        <v>4</v>
      </c>
      <c r="C3" s="64" t="s">
        <v>5</v>
      </c>
      <c r="D3" s="64" t="s">
        <v>6</v>
      </c>
      <c r="E3" s="64" t="s">
        <v>7</v>
      </c>
      <c r="F3" s="75" t="s">
        <v>8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7"/>
      <c r="AK3" s="64" t="s">
        <v>9</v>
      </c>
      <c r="AL3" s="64" t="s">
        <v>10</v>
      </c>
      <c r="AM3" s="64" t="s">
        <v>11</v>
      </c>
      <c r="AN3" s="64" t="s">
        <v>12</v>
      </c>
      <c r="AO3" s="64" t="s">
        <v>13</v>
      </c>
      <c r="AP3" s="64" t="s">
        <v>14</v>
      </c>
      <c r="AQ3" s="64" t="s">
        <v>15</v>
      </c>
      <c r="AR3" s="64" t="s">
        <v>16</v>
      </c>
      <c r="AS3" s="66" t="s">
        <v>17</v>
      </c>
      <c r="AT3" s="64" t="s">
        <v>18</v>
      </c>
    </row>
    <row r="4" spans="1:50" s="7" customFormat="1" ht="27" customHeight="1" x14ac:dyDescent="0.25">
      <c r="A4" s="65"/>
      <c r="B4" s="65"/>
      <c r="C4" s="65"/>
      <c r="D4" s="65"/>
      <c r="E4" s="65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65"/>
      <c r="AL4" s="65"/>
      <c r="AM4" s="65"/>
      <c r="AN4" s="65"/>
      <c r="AO4" s="65"/>
      <c r="AP4" s="78"/>
      <c r="AQ4" s="78"/>
      <c r="AR4" s="65"/>
      <c r="AS4" s="67"/>
      <c r="AT4" s="65"/>
    </row>
    <row r="5" spans="1:50" ht="16.5" thickBot="1" x14ac:dyDescent="0.3">
      <c r="A5" s="42">
        <v>1</v>
      </c>
      <c r="B5" s="9" t="s">
        <v>43</v>
      </c>
      <c r="C5" s="9" t="s">
        <v>45</v>
      </c>
      <c r="D5" s="9" t="s">
        <v>32</v>
      </c>
      <c r="E5" s="9" t="s">
        <v>33</v>
      </c>
      <c r="F5" s="11"/>
      <c r="G5" s="11"/>
      <c r="H5" s="11"/>
      <c r="I5" s="11">
        <v>53.38</v>
      </c>
      <c r="J5" s="11">
        <v>40</v>
      </c>
      <c r="K5" s="11">
        <v>30</v>
      </c>
      <c r="L5" s="11">
        <v>40</v>
      </c>
      <c r="M5" s="11">
        <v>30</v>
      </c>
      <c r="N5" s="11">
        <v>30</v>
      </c>
      <c r="O5" s="11"/>
      <c r="P5" s="11">
        <v>20</v>
      </c>
      <c r="Q5" s="11"/>
      <c r="R5" s="11">
        <v>60</v>
      </c>
      <c r="S5" s="11"/>
      <c r="T5" s="11">
        <v>20</v>
      </c>
      <c r="U5" s="11">
        <v>20</v>
      </c>
      <c r="V5" s="11"/>
      <c r="W5" s="11">
        <v>40</v>
      </c>
      <c r="X5" s="11">
        <v>40</v>
      </c>
      <c r="Y5" s="11">
        <v>40</v>
      </c>
      <c r="Z5" s="11"/>
      <c r="AA5" s="11">
        <v>40</v>
      </c>
      <c r="AB5" s="11"/>
      <c r="AC5" s="11">
        <v>40</v>
      </c>
      <c r="AD5" s="11"/>
      <c r="AE5" s="11"/>
      <c r="AF5" s="11">
        <v>62</v>
      </c>
      <c r="AG5" s="11">
        <v>20</v>
      </c>
      <c r="AH5" s="11"/>
      <c r="AI5" s="11">
        <v>37</v>
      </c>
      <c r="AJ5" s="11"/>
      <c r="AK5" s="20">
        <f t="shared" ref="AK5:AK11" si="0">SUM(F5:AJ5)</f>
        <v>662.38</v>
      </c>
      <c r="AL5" s="11"/>
      <c r="AM5" s="42"/>
      <c r="AN5" s="49">
        <v>4722.3999999999996</v>
      </c>
      <c r="AO5" s="49">
        <v>4855.7</v>
      </c>
      <c r="AP5" s="8">
        <f>AO5-AN5</f>
        <v>133.30000000000018</v>
      </c>
      <c r="AQ5" s="44">
        <f>AK5/AP5</f>
        <v>4.9690922730682603</v>
      </c>
      <c r="AR5" s="46">
        <v>4.9400000000000004</v>
      </c>
      <c r="AS5" s="9">
        <v>281</v>
      </c>
      <c r="AT5" s="13">
        <f>AS5*AK5</f>
        <v>186128.78</v>
      </c>
      <c r="AU5" s="14"/>
      <c r="AV5" s="14"/>
    </row>
    <row r="6" spans="1:50" ht="17.25" thickTop="1" thickBot="1" x14ac:dyDescent="0.3">
      <c r="A6" s="11">
        <v>3</v>
      </c>
      <c r="B6" s="9"/>
      <c r="C6" s="9" t="s">
        <v>47</v>
      </c>
      <c r="D6" s="9" t="s">
        <v>46</v>
      </c>
      <c r="E6" s="9" t="s">
        <v>33</v>
      </c>
      <c r="F6" s="11"/>
      <c r="G6" s="11">
        <v>5</v>
      </c>
      <c r="H6" s="11"/>
      <c r="I6" s="11"/>
      <c r="J6" s="11"/>
      <c r="K6" s="11"/>
      <c r="L6" s="11"/>
      <c r="M6" s="11"/>
      <c r="N6" s="11">
        <v>10</v>
      </c>
      <c r="O6" s="11"/>
      <c r="P6" s="11"/>
      <c r="Q6" s="11"/>
      <c r="R6" s="11"/>
      <c r="S6" s="11"/>
      <c r="T6" s="11"/>
      <c r="U6" s="11">
        <v>10</v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20">
        <f t="shared" si="0"/>
        <v>25</v>
      </c>
      <c r="AL6" s="11"/>
      <c r="AM6" s="11"/>
      <c r="AN6" s="11">
        <v>6559.9</v>
      </c>
      <c r="AO6" s="11">
        <v>6566.5</v>
      </c>
      <c r="AP6" s="42">
        <f t="shared" ref="AP6:AP7" si="1">AO6-AN6</f>
        <v>6.6000000000003638</v>
      </c>
      <c r="AQ6" s="51">
        <f t="shared" ref="AQ6" si="2">AK6/AP6</f>
        <v>3.7878787878785789</v>
      </c>
      <c r="AR6" s="48">
        <v>4.2</v>
      </c>
      <c r="AS6" s="9">
        <v>281</v>
      </c>
      <c r="AT6" s="13">
        <f>AS6*AK6</f>
        <v>7025</v>
      </c>
      <c r="AU6" s="14"/>
      <c r="AV6" s="14"/>
      <c r="AX6" s="2" t="s">
        <v>2</v>
      </c>
    </row>
    <row r="7" spans="1:50" ht="17.25" thickTop="1" thickBot="1" x14ac:dyDescent="0.3">
      <c r="A7" s="11">
        <v>4</v>
      </c>
      <c r="B7" s="9" t="s">
        <v>49</v>
      </c>
      <c r="C7" s="17"/>
      <c r="D7" s="9" t="s">
        <v>48</v>
      </c>
      <c r="E7" s="9" t="s">
        <v>33</v>
      </c>
      <c r="F7" s="11">
        <v>18.7</v>
      </c>
      <c r="G7" s="11"/>
      <c r="H7" s="11">
        <v>31</v>
      </c>
      <c r="I7" s="11">
        <v>30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20">
        <f t="shared" si="0"/>
        <v>79.7</v>
      </c>
      <c r="AL7" s="11"/>
      <c r="AM7" s="11"/>
      <c r="AN7" s="11">
        <v>415447</v>
      </c>
      <c r="AO7" s="11">
        <v>416165</v>
      </c>
      <c r="AP7" s="42">
        <f t="shared" si="1"/>
        <v>718</v>
      </c>
      <c r="AQ7" s="51">
        <f>AP7/AK7</f>
        <v>9.0087829360100375</v>
      </c>
      <c r="AR7" s="48">
        <v>9.82</v>
      </c>
      <c r="AS7" s="9"/>
      <c r="AT7" s="16"/>
      <c r="AU7" s="14"/>
      <c r="AV7" s="14"/>
    </row>
    <row r="8" spans="1:50" ht="17.25" thickTop="1" thickBot="1" x14ac:dyDescent="0.3">
      <c r="A8" s="11" t="s">
        <v>2</v>
      </c>
      <c r="B8" s="9" t="s">
        <v>62</v>
      </c>
      <c r="C8" s="17" t="s">
        <v>50</v>
      </c>
      <c r="D8" s="9" t="s">
        <v>48</v>
      </c>
      <c r="E8" s="9" t="s">
        <v>33</v>
      </c>
      <c r="F8" s="11"/>
      <c r="G8" s="11"/>
      <c r="H8" s="11"/>
      <c r="I8" s="11"/>
      <c r="J8" s="11"/>
      <c r="K8" s="11"/>
      <c r="L8" s="11">
        <v>30</v>
      </c>
      <c r="M8" s="11">
        <v>30</v>
      </c>
      <c r="N8" s="18">
        <v>30</v>
      </c>
      <c r="O8" s="18"/>
      <c r="P8" s="11"/>
      <c r="Q8" s="11"/>
      <c r="R8" s="11">
        <v>30</v>
      </c>
      <c r="S8" s="11"/>
      <c r="T8" s="11"/>
      <c r="U8" s="11">
        <v>20</v>
      </c>
      <c r="V8" s="11"/>
      <c r="W8" s="11">
        <v>30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20">
        <f t="shared" si="0"/>
        <v>170</v>
      </c>
      <c r="AL8" s="11"/>
      <c r="AM8" s="18"/>
      <c r="AN8" s="81" t="s">
        <v>56</v>
      </c>
      <c r="AO8" s="82"/>
      <c r="AP8" s="83"/>
      <c r="AQ8" s="51"/>
      <c r="AR8" s="48"/>
      <c r="AS8" s="9"/>
      <c r="AT8" s="19"/>
      <c r="AU8" s="14"/>
      <c r="AV8" s="14"/>
    </row>
    <row r="9" spans="1:50" ht="17.25" thickTop="1" thickBot="1" x14ac:dyDescent="0.3">
      <c r="A9" s="11"/>
      <c r="B9" s="9" t="s">
        <v>54</v>
      </c>
      <c r="C9" s="17"/>
      <c r="D9" s="9" t="s">
        <v>55</v>
      </c>
      <c r="E9" s="9" t="s">
        <v>33</v>
      </c>
      <c r="F9" s="11"/>
      <c r="G9" s="11"/>
      <c r="H9" s="11"/>
      <c r="I9" s="11"/>
      <c r="J9" s="11"/>
      <c r="K9" s="11"/>
      <c r="L9" s="11"/>
      <c r="M9" s="11"/>
      <c r="N9" s="18">
        <v>20</v>
      </c>
      <c r="O9" s="18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20">
        <f t="shared" si="0"/>
        <v>20</v>
      </c>
      <c r="AL9" s="11"/>
      <c r="AM9" s="18"/>
      <c r="AN9" s="18"/>
      <c r="AO9" s="18"/>
      <c r="AP9" s="18"/>
      <c r="AQ9" s="18"/>
      <c r="AR9" s="48"/>
      <c r="AS9" s="9"/>
      <c r="AT9" s="19"/>
      <c r="AU9" s="14"/>
      <c r="AV9" s="14"/>
    </row>
    <row r="10" spans="1:50" ht="17.25" thickTop="1" thickBot="1" x14ac:dyDescent="0.3">
      <c r="A10" s="11"/>
      <c r="B10" s="9" t="s">
        <v>49</v>
      </c>
      <c r="C10" s="17"/>
      <c r="D10" s="9" t="s">
        <v>48</v>
      </c>
      <c r="E10" s="9" t="s">
        <v>33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>
        <v>30</v>
      </c>
      <c r="Z10" s="11">
        <v>30</v>
      </c>
      <c r="AA10" s="11"/>
      <c r="AB10" s="11"/>
      <c r="AC10" s="11">
        <v>36.6</v>
      </c>
      <c r="AD10" s="11">
        <v>14</v>
      </c>
      <c r="AE10" s="11">
        <v>20</v>
      </c>
      <c r="AF10" s="11">
        <v>31</v>
      </c>
      <c r="AG10" s="11"/>
      <c r="AH10" s="11">
        <v>30</v>
      </c>
      <c r="AI10" s="11">
        <v>30</v>
      </c>
      <c r="AJ10" s="11">
        <v>18</v>
      </c>
      <c r="AK10" s="20">
        <f t="shared" si="0"/>
        <v>239.6</v>
      </c>
      <c r="AL10" s="11"/>
      <c r="AM10" s="18"/>
      <c r="AN10" s="11">
        <v>417180</v>
      </c>
      <c r="AO10" s="11">
        <v>419332</v>
      </c>
      <c r="AP10" s="42">
        <f t="shared" ref="AP10" si="3">AO10-AN10</f>
        <v>2152</v>
      </c>
      <c r="AQ10" s="51">
        <f>AP10/AK10</f>
        <v>8.9816360601001666</v>
      </c>
      <c r="AR10" s="48"/>
      <c r="AS10" s="9"/>
      <c r="AT10" s="19"/>
      <c r="AU10" s="14"/>
      <c r="AV10" s="14"/>
    </row>
    <row r="11" spans="1:50" ht="17.25" thickTop="1" thickBot="1" x14ac:dyDescent="0.3">
      <c r="A11" s="11"/>
      <c r="B11" s="9" t="s">
        <v>57</v>
      </c>
      <c r="C11" s="17"/>
      <c r="D11" s="9" t="s">
        <v>58</v>
      </c>
      <c r="E11" s="9" t="s">
        <v>33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42">
        <v>155</v>
      </c>
      <c r="AE11" s="11"/>
      <c r="AF11" s="11"/>
      <c r="AG11" s="42">
        <v>125</v>
      </c>
      <c r="AH11" s="11"/>
      <c r="AI11" s="11"/>
      <c r="AJ11" s="11">
        <v>175</v>
      </c>
      <c r="AK11" s="20">
        <f t="shared" si="0"/>
        <v>455</v>
      </c>
      <c r="AL11" s="11"/>
      <c r="AM11" s="18"/>
      <c r="AN11" s="11">
        <v>38463</v>
      </c>
      <c r="AO11" s="18">
        <v>39647</v>
      </c>
      <c r="AP11" s="42">
        <f t="shared" ref="AP11" si="4">AO11-AN11</f>
        <v>1184</v>
      </c>
      <c r="AQ11" s="51">
        <f>AP11/AK11</f>
        <v>2.6021978021978023</v>
      </c>
      <c r="AR11" s="46"/>
      <c r="AS11" s="43"/>
      <c r="AT11" s="45"/>
      <c r="AU11" s="14"/>
      <c r="AV11" s="14"/>
    </row>
    <row r="12" spans="1:50" ht="17.25" thickTop="1" thickBot="1" x14ac:dyDescent="0.3">
      <c r="A12" s="11"/>
      <c r="B12" s="53"/>
      <c r="C12" s="54"/>
      <c r="D12" s="55"/>
      <c r="E12" s="48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11"/>
      <c r="AC12" s="11"/>
      <c r="AD12" s="11"/>
      <c r="AE12" s="11"/>
      <c r="AF12" s="11"/>
      <c r="AG12" s="11"/>
      <c r="AH12" s="11"/>
      <c r="AI12" s="11"/>
      <c r="AJ12" s="11"/>
      <c r="AK12" s="20"/>
      <c r="AL12" s="11"/>
      <c r="AM12" s="18"/>
      <c r="AN12" s="11"/>
      <c r="AO12" s="18"/>
      <c r="AP12" s="11"/>
      <c r="AQ12" s="18"/>
      <c r="AR12" s="46"/>
      <c r="AS12" s="43"/>
      <c r="AT12" s="45"/>
      <c r="AU12" s="14"/>
      <c r="AV12" s="14"/>
    </row>
    <row r="13" spans="1:50" ht="16.5" customHeight="1" thickTop="1" thickBot="1" x14ac:dyDescent="0.3">
      <c r="A13" s="11"/>
      <c r="B13" s="71" t="s">
        <v>20</v>
      </c>
      <c r="C13" s="72"/>
      <c r="D13" s="72"/>
      <c r="E13" s="73"/>
      <c r="F13" s="20">
        <f t="shared" ref="F13:AJ13" si="5">SUM(F5:F10)</f>
        <v>18.7</v>
      </c>
      <c r="G13" s="20">
        <f t="shared" si="5"/>
        <v>5</v>
      </c>
      <c r="H13" s="20">
        <f t="shared" si="5"/>
        <v>31</v>
      </c>
      <c r="I13" s="20">
        <f t="shared" si="5"/>
        <v>83.38</v>
      </c>
      <c r="J13" s="20">
        <f t="shared" si="5"/>
        <v>40</v>
      </c>
      <c r="K13" s="20">
        <f t="shared" si="5"/>
        <v>30</v>
      </c>
      <c r="L13" s="20">
        <f t="shared" si="5"/>
        <v>70</v>
      </c>
      <c r="M13" s="20">
        <f>SUM(M5:M11)</f>
        <v>60</v>
      </c>
      <c r="N13" s="20">
        <f>SUM(N5:N11)</f>
        <v>90</v>
      </c>
      <c r="O13" s="20">
        <f t="shared" si="5"/>
        <v>0</v>
      </c>
      <c r="P13" s="20">
        <f t="shared" si="5"/>
        <v>20</v>
      </c>
      <c r="Q13" s="20">
        <f t="shared" si="5"/>
        <v>0</v>
      </c>
      <c r="R13" s="20">
        <f t="shared" si="5"/>
        <v>90</v>
      </c>
      <c r="S13" s="20">
        <f t="shared" si="5"/>
        <v>0</v>
      </c>
      <c r="T13" s="20">
        <f t="shared" si="5"/>
        <v>20</v>
      </c>
      <c r="U13" s="20">
        <f t="shared" si="5"/>
        <v>50</v>
      </c>
      <c r="V13" s="20">
        <f t="shared" si="5"/>
        <v>0</v>
      </c>
      <c r="W13" s="20">
        <f t="shared" si="5"/>
        <v>70</v>
      </c>
      <c r="X13" s="20">
        <f t="shared" si="5"/>
        <v>40</v>
      </c>
      <c r="Y13" s="20">
        <f t="shared" si="5"/>
        <v>70</v>
      </c>
      <c r="Z13" s="20">
        <f t="shared" si="5"/>
        <v>30</v>
      </c>
      <c r="AA13" s="20">
        <f t="shared" si="5"/>
        <v>40</v>
      </c>
      <c r="AB13" s="20">
        <f t="shared" si="5"/>
        <v>0</v>
      </c>
      <c r="AC13" s="20">
        <f t="shared" si="5"/>
        <v>76.599999999999994</v>
      </c>
      <c r="AD13" s="20">
        <f t="shared" si="5"/>
        <v>14</v>
      </c>
      <c r="AE13" s="20">
        <f t="shared" si="5"/>
        <v>20</v>
      </c>
      <c r="AF13" s="20">
        <f t="shared" si="5"/>
        <v>93</v>
      </c>
      <c r="AG13" s="20">
        <f t="shared" si="5"/>
        <v>20</v>
      </c>
      <c r="AH13" s="20">
        <f t="shared" si="5"/>
        <v>30</v>
      </c>
      <c r="AI13" s="20">
        <f t="shared" si="5"/>
        <v>67</v>
      </c>
      <c r="AJ13" s="20">
        <f t="shared" si="5"/>
        <v>18</v>
      </c>
      <c r="AK13" s="20">
        <f>SUM(AK5:AK12)</f>
        <v>1651.68</v>
      </c>
      <c r="AL13" s="20">
        <f>SUM(AL5:AL10)</f>
        <v>0</v>
      </c>
      <c r="AM13" s="20">
        <f>SUM(AM5:AM10)</f>
        <v>0</v>
      </c>
      <c r="AN13" s="22"/>
      <c r="AO13" s="22"/>
      <c r="AP13" s="22"/>
      <c r="AQ13" s="22"/>
      <c r="AR13" s="22"/>
      <c r="AS13" s="22">
        <f>SUM(AS5:AS10)</f>
        <v>562</v>
      </c>
      <c r="AT13" s="22">
        <f>SUM(AT5:AT10)</f>
        <v>193153.78</v>
      </c>
      <c r="AU13" s="14"/>
      <c r="AV13" s="14"/>
    </row>
    <row r="14" spans="1:50" ht="16.5" thickTop="1" x14ac:dyDescent="0.25">
      <c r="A14" s="11"/>
      <c r="B14" s="9"/>
      <c r="C14" s="9"/>
      <c r="D14" s="9"/>
      <c r="E14" s="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11"/>
      <c r="AL14" s="23"/>
      <c r="AM14" s="23"/>
      <c r="AN14" s="11"/>
      <c r="AO14" s="11"/>
      <c r="AP14" s="11"/>
      <c r="AQ14" s="15"/>
      <c r="AR14" s="9"/>
      <c r="AS14" s="9"/>
      <c r="AT14" s="9"/>
      <c r="AU14" s="14"/>
      <c r="AV14" s="14"/>
    </row>
    <row r="15" spans="1:50" ht="16.5" thickBot="1" x14ac:dyDescent="0.3">
      <c r="A15" s="11">
        <v>3</v>
      </c>
      <c r="B15" s="9"/>
      <c r="C15" s="9"/>
      <c r="D15" s="9" t="s">
        <v>34</v>
      </c>
      <c r="E15" s="9" t="s">
        <v>33</v>
      </c>
      <c r="F15" s="11"/>
      <c r="G15" s="11">
        <v>10</v>
      </c>
      <c r="H15" s="11"/>
      <c r="I15" s="11"/>
      <c r="J15" s="11">
        <v>5</v>
      </c>
      <c r="K15" s="11"/>
      <c r="L15" s="11"/>
      <c r="M15" s="23">
        <v>6</v>
      </c>
      <c r="N15" s="23">
        <v>10</v>
      </c>
      <c r="O15" s="23"/>
      <c r="P15" s="23"/>
      <c r="Q15" s="23"/>
      <c r="R15" s="11"/>
      <c r="S15" s="11"/>
      <c r="T15" s="11"/>
      <c r="U15" s="11"/>
      <c r="V15" s="11"/>
      <c r="W15" s="11"/>
      <c r="X15" s="23"/>
      <c r="Y15" s="23"/>
      <c r="Z15" s="23"/>
      <c r="AA15" s="23"/>
      <c r="AB15" s="23"/>
      <c r="AC15" s="11"/>
      <c r="AD15" s="11"/>
      <c r="AE15" s="11"/>
      <c r="AF15" s="11"/>
      <c r="AG15" s="24"/>
      <c r="AH15" s="24"/>
      <c r="AI15" s="24"/>
      <c r="AJ15" s="23"/>
      <c r="AK15" s="20">
        <f>SUM(F15:AJ15)</f>
        <v>31</v>
      </c>
      <c r="AL15" s="11"/>
      <c r="AM15" s="11"/>
      <c r="AN15" s="11"/>
      <c r="AO15" s="11"/>
      <c r="AP15" s="11"/>
      <c r="AQ15" s="15"/>
      <c r="AR15" s="9"/>
      <c r="AS15" s="12">
        <v>279</v>
      </c>
      <c r="AT15" s="13">
        <f>AS15*AK15</f>
        <v>8649</v>
      </c>
      <c r="AU15" s="14"/>
      <c r="AV15" s="14"/>
    </row>
    <row r="16" spans="1:50" ht="17.25" thickTop="1" thickBot="1" x14ac:dyDescent="0.3">
      <c r="A16" s="11"/>
      <c r="B16" s="9"/>
      <c r="C16" s="9"/>
      <c r="D16" s="9" t="s">
        <v>53</v>
      </c>
      <c r="E16" s="10" t="s">
        <v>33</v>
      </c>
      <c r="F16" s="11"/>
      <c r="G16" s="11"/>
      <c r="H16" s="11"/>
      <c r="I16" s="11"/>
      <c r="J16" s="11"/>
      <c r="K16" s="11"/>
      <c r="L16" s="11"/>
      <c r="M16" s="11">
        <v>0.62</v>
      </c>
      <c r="N16" s="11">
        <v>2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20">
        <f>SUM(F16:AJ16)</f>
        <v>2.62</v>
      </c>
      <c r="AL16" s="11"/>
      <c r="AM16" s="11"/>
      <c r="AN16" s="11"/>
      <c r="AO16" s="11"/>
      <c r="AP16" s="11"/>
      <c r="AQ16" s="15"/>
      <c r="AR16" s="9"/>
      <c r="AS16" s="9"/>
      <c r="AT16" s="9"/>
      <c r="AU16" s="14"/>
      <c r="AV16" s="14"/>
    </row>
    <row r="17" spans="1:48" ht="16.5" thickTop="1" x14ac:dyDescent="0.25">
      <c r="A17" s="11"/>
      <c r="B17" s="9"/>
      <c r="C17" s="9"/>
      <c r="D17" s="9"/>
      <c r="E17" s="9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1"/>
      <c r="AO17" s="11"/>
      <c r="AP17" s="11"/>
      <c r="AQ17" s="9"/>
      <c r="AR17" s="9"/>
      <c r="AS17" s="21"/>
      <c r="AT17" s="25"/>
      <c r="AU17" s="14"/>
      <c r="AV17" s="14"/>
    </row>
    <row r="18" spans="1:48" ht="16.5" customHeight="1" thickBot="1" x14ac:dyDescent="0.3">
      <c r="A18" s="26"/>
      <c r="B18" s="68" t="s">
        <v>19</v>
      </c>
      <c r="C18" s="69"/>
      <c r="D18" s="69"/>
      <c r="E18" s="70"/>
      <c r="F18" s="27">
        <f t="shared" ref="F18:AS18" si="6">SUM(F15:F17)</f>
        <v>0</v>
      </c>
      <c r="G18" s="27">
        <f t="shared" si="6"/>
        <v>10</v>
      </c>
      <c r="H18" s="27">
        <f t="shared" si="6"/>
        <v>0</v>
      </c>
      <c r="I18" s="27">
        <f t="shared" si="6"/>
        <v>0</v>
      </c>
      <c r="J18" s="27">
        <f t="shared" si="6"/>
        <v>5</v>
      </c>
      <c r="K18" s="27">
        <f t="shared" si="6"/>
        <v>0</v>
      </c>
      <c r="L18" s="27">
        <f t="shared" si="6"/>
        <v>0</v>
      </c>
      <c r="M18" s="27">
        <f t="shared" si="6"/>
        <v>6.62</v>
      </c>
      <c r="N18" s="27">
        <f t="shared" si="6"/>
        <v>12</v>
      </c>
      <c r="O18" s="27">
        <f t="shared" si="6"/>
        <v>0</v>
      </c>
      <c r="P18" s="27">
        <f t="shared" si="6"/>
        <v>0</v>
      </c>
      <c r="Q18" s="27">
        <f t="shared" si="6"/>
        <v>0</v>
      </c>
      <c r="R18" s="27">
        <f t="shared" si="6"/>
        <v>0</v>
      </c>
      <c r="S18" s="27">
        <f t="shared" si="6"/>
        <v>0</v>
      </c>
      <c r="T18" s="27">
        <f t="shared" si="6"/>
        <v>0</v>
      </c>
      <c r="U18" s="27">
        <f t="shared" si="6"/>
        <v>0</v>
      </c>
      <c r="V18" s="27">
        <f t="shared" si="6"/>
        <v>0</v>
      </c>
      <c r="W18" s="27">
        <f t="shared" si="6"/>
        <v>0</v>
      </c>
      <c r="X18" s="27">
        <f t="shared" si="6"/>
        <v>0</v>
      </c>
      <c r="Y18" s="27">
        <f t="shared" si="6"/>
        <v>0</v>
      </c>
      <c r="Z18" s="27">
        <f t="shared" si="6"/>
        <v>0</v>
      </c>
      <c r="AA18" s="27">
        <f t="shared" si="6"/>
        <v>0</v>
      </c>
      <c r="AB18" s="27">
        <f t="shared" si="6"/>
        <v>0</v>
      </c>
      <c r="AC18" s="27">
        <f t="shared" si="6"/>
        <v>0</v>
      </c>
      <c r="AD18" s="27">
        <f t="shared" si="6"/>
        <v>0</v>
      </c>
      <c r="AE18" s="27">
        <f t="shared" si="6"/>
        <v>0</v>
      </c>
      <c r="AF18" s="27">
        <f t="shared" si="6"/>
        <v>0</v>
      </c>
      <c r="AG18" s="27">
        <f t="shared" si="6"/>
        <v>0</v>
      </c>
      <c r="AH18" s="27">
        <f t="shared" si="6"/>
        <v>0</v>
      </c>
      <c r="AI18" s="27">
        <f t="shared" si="6"/>
        <v>0</v>
      </c>
      <c r="AJ18" s="27">
        <f t="shared" si="6"/>
        <v>0</v>
      </c>
      <c r="AK18" s="27">
        <f t="shared" si="6"/>
        <v>33.619999999999997</v>
      </c>
      <c r="AL18" s="27">
        <f t="shared" si="6"/>
        <v>0</v>
      </c>
      <c r="AM18" s="27">
        <f t="shared" si="6"/>
        <v>0</v>
      </c>
      <c r="AN18" s="27">
        <f t="shared" si="6"/>
        <v>0</v>
      </c>
      <c r="AO18" s="27">
        <f t="shared" si="6"/>
        <v>0</v>
      </c>
      <c r="AP18" s="27">
        <f t="shared" si="6"/>
        <v>0</v>
      </c>
      <c r="AQ18" s="27">
        <f t="shared" si="6"/>
        <v>0</v>
      </c>
      <c r="AR18" s="27">
        <f t="shared" si="6"/>
        <v>0</v>
      </c>
      <c r="AS18" s="27">
        <f t="shared" si="6"/>
        <v>279</v>
      </c>
      <c r="AT18" s="28">
        <f>SUM(AT15:AT17)</f>
        <v>8649</v>
      </c>
      <c r="AU18" s="14"/>
      <c r="AV18" s="14"/>
    </row>
    <row r="19" spans="1:48" ht="16.5" thickTop="1" x14ac:dyDescent="0.25">
      <c r="A19" s="29"/>
      <c r="B19" s="71"/>
      <c r="C19" s="72"/>
      <c r="D19" s="72"/>
      <c r="E19" s="7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x14ac:dyDescent="0.25">
      <c r="A20" s="29"/>
      <c r="B20" s="30" t="s">
        <v>21</v>
      </c>
      <c r="C20" s="31"/>
      <c r="D20" s="31"/>
      <c r="E20" s="31"/>
      <c r="F20" s="14">
        <v>37.700000000000003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x14ac:dyDescent="0.25">
      <c r="A21" s="29"/>
      <c r="B21" s="30" t="s">
        <v>22</v>
      </c>
      <c r="C21" s="31"/>
      <c r="D21" s="31"/>
      <c r="E21" s="31"/>
      <c r="F21" s="14"/>
      <c r="G21" s="14"/>
      <c r="H21" s="14">
        <v>114</v>
      </c>
      <c r="I21" s="14"/>
      <c r="J21" s="14">
        <v>210</v>
      </c>
      <c r="K21" s="14"/>
      <c r="L21" s="14"/>
      <c r="M21" s="14"/>
      <c r="N21" s="14">
        <v>160</v>
      </c>
      <c r="O21" s="14"/>
      <c r="P21" s="14"/>
      <c r="Q21" s="14"/>
      <c r="R21" s="14">
        <v>80</v>
      </c>
      <c r="S21" s="14"/>
      <c r="T21" s="14"/>
      <c r="U21" s="14">
        <v>150</v>
      </c>
      <c r="V21" s="14"/>
      <c r="W21" s="14"/>
      <c r="X21" s="14"/>
      <c r="Y21" s="14">
        <v>140</v>
      </c>
      <c r="Z21" s="14"/>
      <c r="AA21" s="14"/>
      <c r="AB21" s="14">
        <v>245.6</v>
      </c>
      <c r="AC21" s="14"/>
      <c r="AD21" s="14"/>
      <c r="AE21" s="14">
        <f>30+295</f>
        <v>325</v>
      </c>
      <c r="AF21" s="14"/>
      <c r="AG21" s="14"/>
      <c r="AH21" s="14"/>
      <c r="AI21" s="14">
        <v>293</v>
      </c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x14ac:dyDescent="0.25">
      <c r="A22" s="29"/>
      <c r="B22" s="14" t="s">
        <v>23</v>
      </c>
      <c r="E22" s="14"/>
      <c r="F22" s="14">
        <f t="shared" ref="F22:AJ22" si="7">F13+F18</f>
        <v>18.7</v>
      </c>
      <c r="G22" s="14">
        <f t="shared" si="7"/>
        <v>15</v>
      </c>
      <c r="H22" s="14">
        <f t="shared" si="7"/>
        <v>31</v>
      </c>
      <c r="I22" s="14">
        <f t="shared" si="7"/>
        <v>83.38</v>
      </c>
      <c r="J22" s="14">
        <f t="shared" si="7"/>
        <v>45</v>
      </c>
      <c r="K22" s="14">
        <f t="shared" si="7"/>
        <v>30</v>
      </c>
      <c r="L22" s="14">
        <f t="shared" si="7"/>
        <v>70</v>
      </c>
      <c r="M22" s="14">
        <f t="shared" si="7"/>
        <v>66.62</v>
      </c>
      <c r="N22" s="14">
        <f t="shared" si="7"/>
        <v>102</v>
      </c>
      <c r="O22" s="14">
        <f t="shared" si="7"/>
        <v>0</v>
      </c>
      <c r="P22" s="14">
        <f>P13+P18</f>
        <v>20</v>
      </c>
      <c r="Q22" s="14">
        <f t="shared" si="7"/>
        <v>0</v>
      </c>
      <c r="R22" s="14">
        <f t="shared" si="7"/>
        <v>90</v>
      </c>
      <c r="S22" s="14">
        <f t="shared" si="7"/>
        <v>0</v>
      </c>
      <c r="T22" s="14">
        <f t="shared" si="7"/>
        <v>20</v>
      </c>
      <c r="U22" s="14">
        <f t="shared" si="7"/>
        <v>50</v>
      </c>
      <c r="V22" s="14">
        <f t="shared" si="7"/>
        <v>0</v>
      </c>
      <c r="W22" s="14">
        <f t="shared" si="7"/>
        <v>70</v>
      </c>
      <c r="X22" s="14">
        <f t="shared" si="7"/>
        <v>40</v>
      </c>
      <c r="Y22" s="14">
        <f t="shared" si="7"/>
        <v>70</v>
      </c>
      <c r="Z22" s="14">
        <f t="shared" si="7"/>
        <v>30</v>
      </c>
      <c r="AA22" s="14">
        <f t="shared" si="7"/>
        <v>40</v>
      </c>
      <c r="AB22" s="14">
        <f t="shared" si="7"/>
        <v>0</v>
      </c>
      <c r="AC22" s="14">
        <f t="shared" si="7"/>
        <v>76.599999999999994</v>
      </c>
      <c r="AD22" s="14">
        <f t="shared" si="7"/>
        <v>14</v>
      </c>
      <c r="AE22" s="14">
        <f t="shared" si="7"/>
        <v>20</v>
      </c>
      <c r="AF22" s="14">
        <f t="shared" si="7"/>
        <v>93</v>
      </c>
      <c r="AG22" s="14">
        <f t="shared" si="7"/>
        <v>20</v>
      </c>
      <c r="AH22" s="14">
        <f t="shared" si="7"/>
        <v>30</v>
      </c>
      <c r="AI22" s="14">
        <f t="shared" si="7"/>
        <v>67</v>
      </c>
      <c r="AJ22" s="14">
        <f t="shared" si="7"/>
        <v>18</v>
      </c>
      <c r="AK22" s="14"/>
      <c r="AL22" s="14"/>
      <c r="AM22" s="14"/>
      <c r="AN22" s="14"/>
      <c r="AO22" s="14"/>
      <c r="AP22" s="14"/>
      <c r="AQ22" s="14"/>
      <c r="AR22" s="14"/>
      <c r="AS22" s="14"/>
      <c r="AT22" s="39">
        <f>AT13+AT18</f>
        <v>201802.78</v>
      </c>
      <c r="AU22" s="14" t="s">
        <v>2</v>
      </c>
      <c r="AV22" s="14" t="s">
        <v>2</v>
      </c>
    </row>
    <row r="23" spans="1:48" x14ac:dyDescent="0.25">
      <c r="A23" s="29"/>
      <c r="B23" s="14" t="s">
        <v>24</v>
      </c>
      <c r="E23" s="14"/>
      <c r="F23" s="14">
        <f>(F20+F21)-F22</f>
        <v>19.000000000000004</v>
      </c>
      <c r="G23" s="14">
        <f>(F23+G20+G21)-G22</f>
        <v>4.0000000000000036</v>
      </c>
      <c r="H23" s="14">
        <f t="shared" ref="H23:AJ23" si="8">(G23+H20+H21)-H22</f>
        <v>87</v>
      </c>
      <c r="I23" s="14">
        <f t="shared" si="8"/>
        <v>3.6200000000000045</v>
      </c>
      <c r="J23" s="14">
        <f t="shared" si="8"/>
        <v>168.62</v>
      </c>
      <c r="K23" s="14">
        <f t="shared" si="8"/>
        <v>138.62</v>
      </c>
      <c r="L23" s="14">
        <f t="shared" si="8"/>
        <v>68.62</v>
      </c>
      <c r="M23" s="14">
        <f t="shared" si="8"/>
        <v>2</v>
      </c>
      <c r="N23" s="14">
        <f t="shared" si="8"/>
        <v>60</v>
      </c>
      <c r="O23" s="14">
        <f>(N23+O20+O21)-O22</f>
        <v>60</v>
      </c>
      <c r="P23" s="14">
        <f>(O23+P20+P21)-P22</f>
        <v>40</v>
      </c>
      <c r="Q23" s="14">
        <f t="shared" si="8"/>
        <v>40</v>
      </c>
      <c r="R23" s="14">
        <f t="shared" si="8"/>
        <v>30</v>
      </c>
      <c r="S23" s="14">
        <f t="shared" si="8"/>
        <v>30</v>
      </c>
      <c r="T23" s="14">
        <f t="shared" si="8"/>
        <v>10</v>
      </c>
      <c r="U23" s="14">
        <f t="shared" si="8"/>
        <v>110</v>
      </c>
      <c r="V23" s="14">
        <f t="shared" si="8"/>
        <v>110</v>
      </c>
      <c r="W23" s="14">
        <f t="shared" si="8"/>
        <v>40</v>
      </c>
      <c r="X23" s="14">
        <f t="shared" si="8"/>
        <v>0</v>
      </c>
      <c r="Y23" s="14">
        <f t="shared" si="8"/>
        <v>70</v>
      </c>
      <c r="Z23" s="14">
        <f t="shared" si="8"/>
        <v>40</v>
      </c>
      <c r="AA23" s="14">
        <f t="shared" si="8"/>
        <v>0</v>
      </c>
      <c r="AB23" s="14">
        <f t="shared" si="8"/>
        <v>245.6</v>
      </c>
      <c r="AC23" s="14">
        <f t="shared" si="8"/>
        <v>169</v>
      </c>
      <c r="AD23" s="14">
        <f t="shared" si="8"/>
        <v>155</v>
      </c>
      <c r="AE23" s="14">
        <f t="shared" si="8"/>
        <v>460</v>
      </c>
      <c r="AF23" s="14">
        <f t="shared" si="8"/>
        <v>367</v>
      </c>
      <c r="AG23" s="14">
        <f t="shared" si="8"/>
        <v>347</v>
      </c>
      <c r="AH23" s="14">
        <f t="shared" si="8"/>
        <v>317</v>
      </c>
      <c r="AI23" s="14">
        <f t="shared" si="8"/>
        <v>543</v>
      </c>
      <c r="AJ23" s="14">
        <f t="shared" si="8"/>
        <v>525</v>
      </c>
      <c r="AK23" s="14"/>
      <c r="AL23" s="14"/>
      <c r="AM23" s="29"/>
      <c r="AN23" s="29"/>
      <c r="AO23" s="29"/>
      <c r="AP23" s="29"/>
      <c r="AQ23" s="14"/>
      <c r="AR23" s="14"/>
      <c r="AS23" s="32"/>
      <c r="AT23" s="14"/>
      <c r="AU23" s="14"/>
      <c r="AV23" s="14"/>
    </row>
    <row r="24" spans="1:48" x14ac:dyDescent="0.25">
      <c r="A24" s="29"/>
      <c r="B24" s="14" t="s">
        <v>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29"/>
      <c r="AL24" s="29"/>
      <c r="AM24" s="29"/>
      <c r="AN24" s="29"/>
      <c r="AO24" s="29"/>
      <c r="AP24" s="29"/>
      <c r="AQ24" s="14"/>
      <c r="AR24" s="14"/>
      <c r="AS24" s="32"/>
      <c r="AT24" s="14"/>
      <c r="AU24" s="14"/>
      <c r="AV24" s="14"/>
    </row>
    <row r="25" spans="1:48" ht="16.5" thickBot="1" x14ac:dyDescent="0.3">
      <c r="A25" s="29"/>
      <c r="B25" s="14" t="s">
        <v>25</v>
      </c>
      <c r="C25" s="14"/>
      <c r="D25" s="14"/>
      <c r="E25" s="14">
        <f>F20</f>
        <v>37.700000000000003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2"/>
      <c r="AL25" s="2"/>
      <c r="AM25" s="2"/>
      <c r="AN25" s="2"/>
      <c r="AO25" s="29"/>
      <c r="AP25" s="29"/>
      <c r="AQ25" s="2" t="s">
        <v>26</v>
      </c>
      <c r="AR25" s="29"/>
      <c r="AS25" s="29"/>
      <c r="AT25" s="40">
        <f>F20*279</f>
        <v>10518.300000000001</v>
      </c>
      <c r="AU25" s="14"/>
      <c r="AV25" s="14"/>
    </row>
    <row r="26" spans="1:48" ht="16.5" thickTop="1" x14ac:dyDescent="0.25">
      <c r="A26" s="29"/>
      <c r="B26" s="14" t="s">
        <v>27</v>
      </c>
      <c r="C26" s="14"/>
      <c r="D26" s="14"/>
      <c r="E26" s="14">
        <f>SUM(F21:AJ21)</f>
        <v>1717.6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2"/>
      <c r="AL26" s="2"/>
      <c r="AM26" s="2"/>
      <c r="AN26" s="30"/>
      <c r="AO26" s="29"/>
      <c r="AP26" s="29"/>
      <c r="AQ26" s="2" t="s">
        <v>28</v>
      </c>
      <c r="AR26" s="29"/>
      <c r="AS26" s="29"/>
      <c r="AT26" s="37">
        <f>AT22-AT25</f>
        <v>191284.48000000001</v>
      </c>
      <c r="AU26" s="14"/>
      <c r="AV26" s="14"/>
    </row>
    <row r="27" spans="1:48" x14ac:dyDescent="0.25">
      <c r="A27" s="29"/>
      <c r="B27" s="14" t="s">
        <v>29</v>
      </c>
      <c r="C27" s="14"/>
      <c r="D27" s="14"/>
      <c r="E27" s="14">
        <f>AK13+AK18</f>
        <v>1685.3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29"/>
      <c r="AL27" s="29"/>
      <c r="AM27" s="29"/>
      <c r="AN27" s="29"/>
      <c r="AO27" s="29"/>
      <c r="AP27" s="29"/>
      <c r="AQ27" s="14"/>
      <c r="AR27" s="14"/>
      <c r="AS27" s="32"/>
      <c r="AT27" s="14"/>
      <c r="AU27" s="14"/>
      <c r="AV27" s="14"/>
    </row>
    <row r="28" spans="1:48" ht="16.5" thickBot="1" x14ac:dyDescent="0.3">
      <c r="A28" s="29"/>
      <c r="B28" s="14" t="s">
        <v>30</v>
      </c>
      <c r="C28" s="14"/>
      <c r="D28" s="14"/>
      <c r="E28" s="33">
        <f>E25+E26-E27</f>
        <v>70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29"/>
      <c r="AL28" s="29"/>
      <c r="AM28" s="29"/>
      <c r="AN28" s="29"/>
      <c r="AO28" s="29"/>
      <c r="AP28" s="29"/>
      <c r="AQ28" s="14"/>
      <c r="AR28" s="14"/>
      <c r="AS28" s="32"/>
      <c r="AT28" s="14"/>
      <c r="AU28" s="14"/>
      <c r="AV28" s="14"/>
    </row>
    <row r="29" spans="1:48" ht="16.5" thickTop="1" x14ac:dyDescent="0.25">
      <c r="A29" s="29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29"/>
      <c r="AL29" s="29"/>
      <c r="AM29" s="29"/>
      <c r="AN29" s="29"/>
      <c r="AO29" s="29"/>
      <c r="AP29" s="29"/>
      <c r="AQ29" s="14"/>
      <c r="AR29" s="14"/>
      <c r="AS29" s="32"/>
      <c r="AT29" s="14"/>
      <c r="AU29" s="14"/>
      <c r="AV29" s="14"/>
    </row>
    <row r="30" spans="1:48" x14ac:dyDescent="0.25">
      <c r="A30" s="34"/>
      <c r="C30" s="14"/>
      <c r="D30" s="14"/>
      <c r="E30" s="35"/>
      <c r="K30" s="14"/>
      <c r="M30" s="36"/>
      <c r="N30" s="14"/>
      <c r="P30" s="14"/>
      <c r="Q30" s="14"/>
      <c r="R30" s="14"/>
      <c r="U30" s="36"/>
      <c r="V30" s="14"/>
      <c r="W30" s="14"/>
      <c r="X30" s="14"/>
      <c r="Y30" s="14"/>
      <c r="Z30" s="14"/>
      <c r="AA30" s="14"/>
      <c r="AB30" s="36"/>
      <c r="AC30" s="14"/>
      <c r="AD30" s="14"/>
      <c r="AE30" s="14"/>
      <c r="AF30" s="14"/>
      <c r="AG30" s="14"/>
      <c r="AH30" s="36"/>
      <c r="AI30" s="14"/>
      <c r="AJ30" s="14"/>
      <c r="AK30" s="14"/>
      <c r="AL30" s="29"/>
      <c r="AM30" s="29"/>
      <c r="AN30" s="29"/>
      <c r="AO30" s="29"/>
      <c r="AP30" s="29"/>
      <c r="AQ30" s="14"/>
      <c r="AR30" s="14"/>
      <c r="AS30" s="32"/>
      <c r="AT30" s="14"/>
      <c r="AU30" s="14"/>
      <c r="AV30" s="14"/>
    </row>
    <row r="31" spans="1:48" x14ac:dyDescent="0.25">
      <c r="A31" s="14"/>
      <c r="C31" s="14"/>
      <c r="D31" s="14"/>
      <c r="E31" s="35"/>
      <c r="K31" s="14"/>
      <c r="M31" s="36"/>
      <c r="N31" s="14"/>
      <c r="P31" s="14"/>
      <c r="Q31" s="14"/>
      <c r="R31" s="14"/>
      <c r="U31" s="36"/>
      <c r="V31" s="14"/>
      <c r="W31" s="14"/>
      <c r="X31" s="14"/>
      <c r="Y31" s="14"/>
      <c r="Z31" s="14"/>
      <c r="AA31" s="14"/>
      <c r="AB31" s="36"/>
      <c r="AC31" s="14"/>
      <c r="AD31" s="14"/>
      <c r="AE31" s="14"/>
      <c r="AF31" s="14"/>
      <c r="AG31" s="14"/>
      <c r="AH31" s="36"/>
      <c r="AI31" s="14"/>
      <c r="AJ31" s="14"/>
      <c r="AK31" s="14"/>
      <c r="AL31" s="29"/>
      <c r="AM31" s="29"/>
      <c r="AN31" s="29"/>
      <c r="AO31" s="29"/>
      <c r="AP31" s="29"/>
      <c r="AQ31" s="14"/>
      <c r="AR31" s="14"/>
      <c r="AS31" s="32"/>
      <c r="AT31" s="14"/>
      <c r="AU31" s="14"/>
      <c r="AV31" s="14"/>
    </row>
    <row r="32" spans="1:48" x14ac:dyDescent="0.25">
      <c r="A32" s="14"/>
      <c r="C32" s="14"/>
      <c r="D32" s="14"/>
      <c r="E32" s="35"/>
      <c r="K32" s="14"/>
      <c r="M32" s="36"/>
      <c r="N32" s="14"/>
      <c r="P32" s="14"/>
      <c r="Q32" s="14"/>
      <c r="R32" s="14"/>
      <c r="U32" s="36"/>
      <c r="V32" s="14"/>
      <c r="W32" s="14"/>
      <c r="X32" s="14"/>
      <c r="Y32" s="14"/>
      <c r="Z32" s="14"/>
      <c r="AA32" s="14"/>
      <c r="AB32" s="36"/>
      <c r="AC32" s="14"/>
      <c r="AD32" s="14"/>
      <c r="AE32" s="14"/>
      <c r="AF32" s="14"/>
      <c r="AG32" s="14"/>
      <c r="AH32" s="36"/>
      <c r="AI32" s="14"/>
      <c r="AJ32" s="14"/>
      <c r="AK32" s="14"/>
      <c r="AL32" s="29"/>
      <c r="AM32" s="29"/>
      <c r="AN32" s="29"/>
      <c r="AO32" s="29"/>
      <c r="AP32" s="29"/>
      <c r="AQ32" s="14"/>
      <c r="AR32" s="14"/>
      <c r="AS32" s="32"/>
      <c r="AT32" s="14"/>
      <c r="AU32" s="14"/>
      <c r="AV32" s="14"/>
    </row>
    <row r="33" spans="1:48" x14ac:dyDescent="0.25">
      <c r="A33" s="14"/>
      <c r="C33" s="14"/>
      <c r="D33" s="14"/>
      <c r="E33" s="35"/>
      <c r="K33" s="14"/>
      <c r="M33" s="36"/>
      <c r="N33" s="14"/>
      <c r="P33" s="14"/>
      <c r="Q33" s="14"/>
      <c r="R33" s="14"/>
      <c r="U33" s="36"/>
      <c r="V33" s="14"/>
      <c r="W33" s="14"/>
      <c r="X33" s="14"/>
      <c r="Y33" s="14"/>
      <c r="Z33" s="14"/>
      <c r="AA33" s="14"/>
      <c r="AB33" s="36"/>
      <c r="AC33" s="14"/>
      <c r="AD33" s="14"/>
      <c r="AE33" s="14"/>
      <c r="AF33" s="14"/>
      <c r="AG33" s="14"/>
      <c r="AH33" s="36"/>
      <c r="AI33" s="14"/>
      <c r="AJ33" s="14"/>
      <c r="AK33" s="14"/>
      <c r="AL33" s="29"/>
      <c r="AM33" s="29"/>
      <c r="AN33" s="29"/>
      <c r="AO33" s="29"/>
      <c r="AP33" s="29"/>
      <c r="AQ33" s="14"/>
      <c r="AR33" s="14"/>
      <c r="AS33" s="32"/>
      <c r="AT33" s="14"/>
      <c r="AU33" s="14"/>
      <c r="AV33" s="14"/>
    </row>
    <row r="34" spans="1:48" x14ac:dyDescent="0.25">
      <c r="A34" s="1" t="s">
        <v>0</v>
      </c>
      <c r="E34" s="3" t="s">
        <v>1</v>
      </c>
      <c r="R34" s="3"/>
    </row>
    <row r="35" spans="1:48" x14ac:dyDescent="0.25">
      <c r="A35" s="1" t="s">
        <v>35</v>
      </c>
      <c r="E35" s="74" t="s">
        <v>52</v>
      </c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</row>
    <row r="36" spans="1:48" ht="25.5" customHeight="1" x14ac:dyDescent="0.25">
      <c r="A36" s="64" t="s">
        <v>3</v>
      </c>
      <c r="B36" s="64" t="s">
        <v>4</v>
      </c>
      <c r="C36" s="64" t="s">
        <v>5</v>
      </c>
      <c r="D36" s="64" t="s">
        <v>6</v>
      </c>
      <c r="E36" s="64" t="s">
        <v>7</v>
      </c>
      <c r="F36" s="75" t="s">
        <v>8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7"/>
      <c r="AK36" s="64" t="s">
        <v>9</v>
      </c>
      <c r="AL36" s="64" t="s">
        <v>10</v>
      </c>
      <c r="AM36" s="64" t="s">
        <v>11</v>
      </c>
      <c r="AN36" s="64" t="s">
        <v>12</v>
      </c>
      <c r="AO36" s="64" t="s">
        <v>13</v>
      </c>
      <c r="AP36" s="64" t="s">
        <v>14</v>
      </c>
      <c r="AQ36" s="64" t="s">
        <v>15</v>
      </c>
      <c r="AR36" s="64" t="s">
        <v>16</v>
      </c>
      <c r="AS36" s="66" t="s">
        <v>17</v>
      </c>
      <c r="AT36" s="64" t="s">
        <v>18</v>
      </c>
    </row>
    <row r="37" spans="1:48" ht="42.75" customHeight="1" x14ac:dyDescent="0.25">
      <c r="A37" s="65"/>
      <c r="B37" s="65"/>
      <c r="C37" s="65"/>
      <c r="D37" s="65"/>
      <c r="E37" s="65"/>
      <c r="F37" s="6">
        <v>1</v>
      </c>
      <c r="G37" s="6">
        <v>2</v>
      </c>
      <c r="H37" s="6">
        <v>3</v>
      </c>
      <c r="I37" s="6">
        <v>4</v>
      </c>
      <c r="J37" s="6">
        <v>5</v>
      </c>
      <c r="K37" s="6">
        <v>6</v>
      </c>
      <c r="L37" s="6">
        <v>7</v>
      </c>
      <c r="M37" s="6">
        <v>8</v>
      </c>
      <c r="N37" s="6">
        <v>9</v>
      </c>
      <c r="O37" s="6">
        <v>10</v>
      </c>
      <c r="P37" s="6">
        <v>11</v>
      </c>
      <c r="Q37" s="6">
        <v>12</v>
      </c>
      <c r="R37" s="6">
        <v>13</v>
      </c>
      <c r="S37" s="6">
        <v>14</v>
      </c>
      <c r="T37" s="6">
        <v>15</v>
      </c>
      <c r="U37" s="6">
        <v>16</v>
      </c>
      <c r="V37" s="6">
        <v>17</v>
      </c>
      <c r="W37" s="6">
        <v>18</v>
      </c>
      <c r="X37" s="6">
        <v>19</v>
      </c>
      <c r="Y37" s="6">
        <v>20</v>
      </c>
      <c r="Z37" s="6">
        <v>21</v>
      </c>
      <c r="AA37" s="6">
        <v>22</v>
      </c>
      <c r="AB37" s="6">
        <v>23</v>
      </c>
      <c r="AC37" s="6">
        <v>24</v>
      </c>
      <c r="AD37" s="6">
        <v>25</v>
      </c>
      <c r="AE37" s="6">
        <v>26</v>
      </c>
      <c r="AF37" s="6">
        <v>27</v>
      </c>
      <c r="AG37" s="6">
        <v>28</v>
      </c>
      <c r="AH37" s="6">
        <v>29</v>
      </c>
      <c r="AI37" s="6">
        <v>30</v>
      </c>
      <c r="AJ37" s="6">
        <v>31</v>
      </c>
      <c r="AK37" s="65"/>
      <c r="AL37" s="65"/>
      <c r="AM37" s="65"/>
      <c r="AN37" s="65"/>
      <c r="AO37" s="65"/>
      <c r="AP37" s="65"/>
      <c r="AQ37" s="65"/>
      <c r="AR37" s="65"/>
      <c r="AS37" s="67"/>
      <c r="AT37" s="65"/>
    </row>
    <row r="38" spans="1:48" ht="16.5" thickBot="1" x14ac:dyDescent="0.3">
      <c r="A38" s="8">
        <v>1</v>
      </c>
      <c r="B38" s="9" t="s">
        <v>38</v>
      </c>
      <c r="C38" s="9"/>
      <c r="D38" s="9" t="s">
        <v>36</v>
      </c>
      <c r="E38" s="9" t="s">
        <v>37</v>
      </c>
      <c r="F38" s="11"/>
      <c r="G38" s="11"/>
      <c r="H38" s="11">
        <v>3</v>
      </c>
      <c r="I38" s="11"/>
      <c r="J38" s="11"/>
      <c r="K38" s="11">
        <v>2</v>
      </c>
      <c r="L38" s="11"/>
      <c r="M38" s="11"/>
      <c r="N38" s="11">
        <v>3</v>
      </c>
      <c r="O38" s="11">
        <v>2</v>
      </c>
      <c r="P38" s="11"/>
      <c r="Q38" s="11"/>
      <c r="R38" s="11">
        <v>3</v>
      </c>
      <c r="S38" s="11"/>
      <c r="T38" s="11"/>
      <c r="U38" s="11">
        <v>3</v>
      </c>
      <c r="V38" s="11"/>
      <c r="W38" s="11"/>
      <c r="X38" s="11">
        <v>3</v>
      </c>
      <c r="Y38" s="11"/>
      <c r="Z38" s="11"/>
      <c r="AA38" s="11">
        <v>3</v>
      </c>
      <c r="AB38" s="11"/>
      <c r="AC38" s="11"/>
      <c r="AD38" s="11">
        <v>2</v>
      </c>
      <c r="AE38" s="11"/>
      <c r="AF38" s="11"/>
      <c r="AG38" s="11">
        <v>3</v>
      </c>
      <c r="AH38" s="11"/>
      <c r="AI38" s="11">
        <v>2</v>
      </c>
      <c r="AJ38" s="11"/>
      <c r="AK38" s="20">
        <f>SUM(F38:AJ38)</f>
        <v>29</v>
      </c>
      <c r="AL38" s="11"/>
      <c r="AM38" s="8"/>
      <c r="AN38" s="8"/>
      <c r="AO38" s="8"/>
      <c r="AP38" s="8"/>
      <c r="AQ38" s="38"/>
      <c r="AR38" s="10"/>
      <c r="AS38" s="12">
        <v>294</v>
      </c>
      <c r="AT38" s="13">
        <f>AS38*AK38</f>
        <v>8526</v>
      </c>
    </row>
    <row r="39" spans="1:48" ht="17.25" thickTop="1" thickBot="1" x14ac:dyDescent="0.3">
      <c r="A39" s="8">
        <v>2</v>
      </c>
      <c r="B39" s="9" t="s">
        <v>39</v>
      </c>
      <c r="C39" s="9"/>
      <c r="D39" s="9" t="s">
        <v>36</v>
      </c>
      <c r="E39" s="9" t="s">
        <v>37</v>
      </c>
      <c r="F39" s="11"/>
      <c r="G39" s="11"/>
      <c r="H39" s="11">
        <v>2</v>
      </c>
      <c r="I39" s="11"/>
      <c r="J39" s="11">
        <v>2</v>
      </c>
      <c r="K39" s="11"/>
      <c r="L39" s="11">
        <v>3</v>
      </c>
      <c r="M39" s="11"/>
      <c r="N39" s="11">
        <v>3</v>
      </c>
      <c r="O39" s="11"/>
      <c r="P39" s="11">
        <v>4.9000000000000004</v>
      </c>
      <c r="Q39" s="11"/>
      <c r="R39" s="11"/>
      <c r="S39" s="11">
        <v>3</v>
      </c>
      <c r="T39" s="11"/>
      <c r="U39" s="11"/>
      <c r="V39" s="11">
        <v>3</v>
      </c>
      <c r="W39" s="11"/>
      <c r="X39" s="11">
        <v>1.7</v>
      </c>
      <c r="Y39" s="11"/>
      <c r="Z39" s="11"/>
      <c r="AA39" s="11">
        <v>3</v>
      </c>
      <c r="AB39" s="11"/>
      <c r="AC39" s="11">
        <v>2</v>
      </c>
      <c r="AD39" s="11"/>
      <c r="AE39" s="11">
        <v>3</v>
      </c>
      <c r="AF39" s="11"/>
      <c r="AG39" s="11"/>
      <c r="AH39" s="11">
        <v>3</v>
      </c>
      <c r="AI39" s="11"/>
      <c r="AJ39" s="11"/>
      <c r="AK39" s="20">
        <f t="shared" ref="AK39:AK40" si="9">SUM(F39:AJ39)</f>
        <v>33.599999999999994</v>
      </c>
      <c r="AL39" s="11"/>
      <c r="AM39" s="11"/>
      <c r="AN39" s="11"/>
      <c r="AO39" s="11"/>
      <c r="AP39" s="11"/>
      <c r="AQ39" s="15"/>
      <c r="AR39" s="9"/>
      <c r="AS39" s="12">
        <v>294</v>
      </c>
      <c r="AT39" s="13">
        <f t="shared" ref="AT39:AT40" si="10">AS39*AK39</f>
        <v>9878.3999999999978</v>
      </c>
    </row>
    <row r="40" spans="1:48" ht="17.25" thickTop="1" thickBot="1" x14ac:dyDescent="0.3">
      <c r="A40" s="11"/>
      <c r="B40" s="9"/>
      <c r="C40" s="17"/>
      <c r="D40" s="9"/>
      <c r="E40" s="9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20">
        <f t="shared" si="9"/>
        <v>0</v>
      </c>
      <c r="AL40" s="11"/>
      <c r="AM40" s="11"/>
      <c r="AN40" s="11"/>
      <c r="AO40" s="11"/>
      <c r="AP40" s="11"/>
      <c r="AQ40" s="15"/>
      <c r="AR40" s="9"/>
      <c r="AS40" s="12">
        <v>294</v>
      </c>
      <c r="AT40" s="13">
        <f t="shared" si="10"/>
        <v>0</v>
      </c>
    </row>
    <row r="41" spans="1:48" ht="16.5" thickTop="1" x14ac:dyDescent="0.25">
      <c r="A41" s="11"/>
      <c r="B41" s="9"/>
      <c r="C41" s="9"/>
      <c r="D41" s="9"/>
      <c r="E41" s="9"/>
      <c r="F41" s="11"/>
      <c r="G41" s="11"/>
      <c r="H41" s="11"/>
      <c r="I41" s="11"/>
      <c r="J41" s="11"/>
      <c r="K41" s="11"/>
      <c r="L41" s="11"/>
      <c r="M41" s="11"/>
      <c r="N41" s="18"/>
      <c r="O41" s="18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8"/>
      <c r="AL41" s="11"/>
      <c r="AM41" s="18"/>
      <c r="AN41" s="11"/>
      <c r="AO41" s="11"/>
      <c r="AP41" s="11"/>
      <c r="AQ41" s="15"/>
      <c r="AR41" s="9"/>
      <c r="AS41" s="9"/>
      <c r="AT41" s="19"/>
    </row>
    <row r="42" spans="1:48" ht="16.5" customHeight="1" thickBot="1" x14ac:dyDescent="0.3">
      <c r="A42" s="11"/>
      <c r="B42" s="68" t="s">
        <v>19</v>
      </c>
      <c r="C42" s="69"/>
      <c r="D42" s="69"/>
      <c r="E42" s="70"/>
      <c r="F42" s="20">
        <f t="shared" ref="F42:AM42" si="11">SUM(F38:F41)</f>
        <v>0</v>
      </c>
      <c r="G42" s="20">
        <f t="shared" si="11"/>
        <v>0</v>
      </c>
      <c r="H42" s="20">
        <f t="shared" si="11"/>
        <v>5</v>
      </c>
      <c r="I42" s="20">
        <f t="shared" si="11"/>
        <v>0</v>
      </c>
      <c r="J42" s="20">
        <f t="shared" si="11"/>
        <v>2</v>
      </c>
      <c r="K42" s="20">
        <f t="shared" si="11"/>
        <v>2</v>
      </c>
      <c r="L42" s="20">
        <f t="shared" si="11"/>
        <v>3</v>
      </c>
      <c r="M42" s="20">
        <f t="shared" si="11"/>
        <v>0</v>
      </c>
      <c r="N42" s="20">
        <f t="shared" si="11"/>
        <v>6</v>
      </c>
      <c r="O42" s="20">
        <f t="shared" si="11"/>
        <v>2</v>
      </c>
      <c r="P42" s="20">
        <f t="shared" si="11"/>
        <v>4.9000000000000004</v>
      </c>
      <c r="Q42" s="20">
        <f>SUM(Q38:Q41)</f>
        <v>0</v>
      </c>
      <c r="R42" s="20">
        <f t="shared" ref="R42:Y42" si="12">SUM(R38:R41)</f>
        <v>3</v>
      </c>
      <c r="S42" s="20">
        <f t="shared" si="12"/>
        <v>3</v>
      </c>
      <c r="T42" s="20">
        <f t="shared" si="12"/>
        <v>0</v>
      </c>
      <c r="U42" s="20">
        <f t="shared" si="12"/>
        <v>3</v>
      </c>
      <c r="V42" s="20">
        <f t="shared" si="12"/>
        <v>3</v>
      </c>
      <c r="W42" s="20">
        <f t="shared" si="12"/>
        <v>0</v>
      </c>
      <c r="X42" s="20">
        <f t="shared" si="12"/>
        <v>4.7</v>
      </c>
      <c r="Y42" s="20">
        <f t="shared" si="12"/>
        <v>0</v>
      </c>
      <c r="Z42" s="20">
        <f t="shared" si="11"/>
        <v>0</v>
      </c>
      <c r="AA42" s="20">
        <f t="shared" si="11"/>
        <v>6</v>
      </c>
      <c r="AB42" s="20">
        <f t="shared" si="11"/>
        <v>0</v>
      </c>
      <c r="AC42" s="20">
        <f t="shared" si="11"/>
        <v>2</v>
      </c>
      <c r="AD42" s="20">
        <f t="shared" si="11"/>
        <v>2</v>
      </c>
      <c r="AE42" s="20">
        <f t="shared" si="11"/>
        <v>3</v>
      </c>
      <c r="AF42" s="20">
        <f t="shared" si="11"/>
        <v>0</v>
      </c>
      <c r="AG42" s="20">
        <f t="shared" si="11"/>
        <v>3</v>
      </c>
      <c r="AH42" s="20">
        <f t="shared" si="11"/>
        <v>3</v>
      </c>
      <c r="AI42" s="20">
        <f t="shared" si="11"/>
        <v>2</v>
      </c>
      <c r="AJ42" s="20">
        <f t="shared" si="11"/>
        <v>0</v>
      </c>
      <c r="AK42" s="20">
        <f t="shared" si="11"/>
        <v>62.599999999999994</v>
      </c>
      <c r="AL42" s="20">
        <f t="shared" si="11"/>
        <v>0</v>
      </c>
      <c r="AM42" s="20">
        <f t="shared" si="11"/>
        <v>0</v>
      </c>
      <c r="AN42" s="22"/>
      <c r="AO42" s="22"/>
      <c r="AP42" s="22"/>
      <c r="AQ42" s="22"/>
      <c r="AR42" s="22"/>
      <c r="AS42" s="22">
        <f>SUM(AS38:AS41)</f>
        <v>882</v>
      </c>
      <c r="AT42" s="22">
        <f>SUM(AT38:AT41)</f>
        <v>18404.399999999998</v>
      </c>
    </row>
    <row r="43" spans="1:48" ht="16.5" thickTop="1" x14ac:dyDescent="0.25">
      <c r="A43" s="11"/>
      <c r="B43" s="9"/>
      <c r="C43" s="9"/>
      <c r="D43" s="9"/>
      <c r="E43" s="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11"/>
      <c r="AL43" s="23"/>
      <c r="AM43" s="23"/>
      <c r="AN43" s="11"/>
      <c r="AO43" s="11"/>
      <c r="AP43" s="11"/>
      <c r="AQ43" s="15"/>
      <c r="AR43" s="9"/>
      <c r="AS43" s="9"/>
      <c r="AT43" s="9"/>
    </row>
    <row r="44" spans="1:48" x14ac:dyDescent="0.25">
      <c r="A44" s="29"/>
      <c r="B44" s="30" t="s">
        <v>21</v>
      </c>
      <c r="C44" s="31"/>
      <c r="D44" s="31"/>
      <c r="E44" s="31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</row>
    <row r="45" spans="1:48" x14ac:dyDescent="0.25">
      <c r="A45" s="29"/>
      <c r="B45" s="30" t="s">
        <v>22</v>
      </c>
      <c r="C45" s="31"/>
      <c r="D45" s="31"/>
      <c r="E45" s="31"/>
      <c r="F45" s="14"/>
      <c r="G45" s="14"/>
      <c r="H45" s="14">
        <v>10</v>
      </c>
      <c r="I45" s="14"/>
      <c r="J45" s="14">
        <v>10</v>
      </c>
      <c r="K45" s="14"/>
      <c r="L45" s="14"/>
      <c r="M45" s="14"/>
      <c r="N45" s="14">
        <v>14.9</v>
      </c>
      <c r="O45" s="14"/>
      <c r="P45" s="14"/>
      <c r="Q45" s="14"/>
      <c r="R45" s="14">
        <v>4.7300000000000004</v>
      </c>
      <c r="S45" s="14"/>
      <c r="T45" s="14"/>
      <c r="U45" s="14">
        <v>9.6999999999999993</v>
      </c>
      <c r="V45" s="14"/>
      <c r="W45" s="14"/>
      <c r="X45" s="14"/>
      <c r="Y45" s="14">
        <v>10</v>
      </c>
      <c r="Z45" s="14"/>
      <c r="AA45" s="14"/>
      <c r="AB45" s="14"/>
      <c r="AC45" s="14"/>
      <c r="AD45" s="14"/>
      <c r="AE45" s="14">
        <v>6</v>
      </c>
      <c r="AF45" s="14"/>
      <c r="AG45" s="14"/>
      <c r="AH45" s="14"/>
      <c r="AI45" s="14">
        <v>2</v>
      </c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</row>
    <row r="46" spans="1:48" x14ac:dyDescent="0.25">
      <c r="A46" s="29"/>
      <c r="B46" s="14" t="s">
        <v>23</v>
      </c>
      <c r="E46" s="14"/>
      <c r="F46" s="14">
        <f>F42</f>
        <v>0</v>
      </c>
      <c r="G46" s="14">
        <f t="shared" ref="G46:AJ46" si="13">G42</f>
        <v>0</v>
      </c>
      <c r="H46" s="14">
        <f t="shared" si="13"/>
        <v>5</v>
      </c>
      <c r="I46" s="14">
        <f>I42</f>
        <v>0</v>
      </c>
      <c r="J46" s="14">
        <f>J42</f>
        <v>2</v>
      </c>
      <c r="K46" s="14">
        <f>K42</f>
        <v>2</v>
      </c>
      <c r="L46" s="14">
        <f t="shared" si="13"/>
        <v>3</v>
      </c>
      <c r="M46" s="14">
        <f t="shared" si="13"/>
        <v>0</v>
      </c>
      <c r="N46" s="14">
        <f t="shared" si="13"/>
        <v>6</v>
      </c>
      <c r="O46" s="14">
        <f t="shared" si="13"/>
        <v>2</v>
      </c>
      <c r="P46" s="14">
        <f>P42</f>
        <v>4.9000000000000004</v>
      </c>
      <c r="Q46" s="14">
        <f t="shared" si="13"/>
        <v>0</v>
      </c>
      <c r="R46" s="14">
        <f t="shared" si="13"/>
        <v>3</v>
      </c>
      <c r="S46" s="14">
        <f t="shared" si="13"/>
        <v>3</v>
      </c>
      <c r="T46" s="14">
        <f t="shared" si="13"/>
        <v>0</v>
      </c>
      <c r="U46" s="14">
        <f t="shared" si="13"/>
        <v>3</v>
      </c>
      <c r="V46" s="14">
        <f t="shared" si="13"/>
        <v>3</v>
      </c>
      <c r="W46" s="14">
        <f t="shared" si="13"/>
        <v>0</v>
      </c>
      <c r="X46" s="14">
        <f t="shared" si="13"/>
        <v>4.7</v>
      </c>
      <c r="Y46" s="14">
        <f t="shared" si="13"/>
        <v>0</v>
      </c>
      <c r="Z46" s="14">
        <f t="shared" si="13"/>
        <v>0</v>
      </c>
      <c r="AA46" s="14">
        <f t="shared" si="13"/>
        <v>6</v>
      </c>
      <c r="AB46" s="14">
        <f t="shared" si="13"/>
        <v>0</v>
      </c>
      <c r="AC46" s="14">
        <f t="shared" si="13"/>
        <v>2</v>
      </c>
      <c r="AD46" s="14">
        <f t="shared" si="13"/>
        <v>2</v>
      </c>
      <c r="AE46" s="14">
        <f t="shared" si="13"/>
        <v>3</v>
      </c>
      <c r="AF46" s="14">
        <f t="shared" si="13"/>
        <v>0</v>
      </c>
      <c r="AG46" s="14">
        <f t="shared" si="13"/>
        <v>3</v>
      </c>
      <c r="AH46" s="14">
        <f t="shared" si="13"/>
        <v>3</v>
      </c>
      <c r="AI46" s="14">
        <f t="shared" si="13"/>
        <v>2</v>
      </c>
      <c r="AJ46" s="14">
        <f t="shared" si="13"/>
        <v>0</v>
      </c>
      <c r="AK46" s="14"/>
      <c r="AL46" s="14"/>
      <c r="AM46" s="14"/>
      <c r="AN46" s="14"/>
      <c r="AO46" s="14"/>
      <c r="AP46" s="14"/>
      <c r="AQ46" s="14"/>
      <c r="AR46" s="14"/>
      <c r="AS46" s="14"/>
      <c r="AT46" s="14"/>
    </row>
    <row r="47" spans="1:48" x14ac:dyDescent="0.25">
      <c r="A47" s="29"/>
      <c r="B47" s="14" t="s">
        <v>24</v>
      </c>
      <c r="E47" s="14"/>
      <c r="F47" s="14">
        <f>(F44+F45)-F46</f>
        <v>0</v>
      </c>
      <c r="G47" s="14">
        <f>(F47+G44+G45)-G46</f>
        <v>0</v>
      </c>
      <c r="H47" s="14">
        <f t="shared" ref="H47:Q47" si="14">(G47+H44+H45)-H46</f>
        <v>5</v>
      </c>
      <c r="I47" s="14">
        <f>(H47+I44+I45)-I46</f>
        <v>5</v>
      </c>
      <c r="J47" s="14">
        <f>(I47+J44+J45)-J46</f>
        <v>13</v>
      </c>
      <c r="K47" s="14">
        <f>(J47+K44+K45)-K46</f>
        <v>11</v>
      </c>
      <c r="L47" s="14">
        <f>(K47+L44+L45)-L46</f>
        <v>8</v>
      </c>
      <c r="M47" s="14">
        <f t="shared" si="14"/>
        <v>8</v>
      </c>
      <c r="N47" s="14">
        <f t="shared" si="14"/>
        <v>16.899999999999999</v>
      </c>
      <c r="O47" s="14">
        <f t="shared" si="14"/>
        <v>14.899999999999999</v>
      </c>
      <c r="P47" s="14">
        <f t="shared" si="14"/>
        <v>9.9999999999999982</v>
      </c>
      <c r="Q47" s="14">
        <f t="shared" si="14"/>
        <v>9.9999999999999982</v>
      </c>
      <c r="R47" s="14">
        <f>(Q47+R44+R45)-R46</f>
        <v>11.729999999999999</v>
      </c>
      <c r="S47" s="14">
        <f t="shared" ref="S47" si="15">(R47+S44+S45)-S46</f>
        <v>8.7299999999999986</v>
      </c>
      <c r="T47" s="14">
        <f t="shared" ref="T47" si="16">(S47+T44+T45)-T46</f>
        <v>8.7299999999999986</v>
      </c>
      <c r="U47" s="14">
        <f t="shared" ref="U47" si="17">(T47+U44+U45)-U46</f>
        <v>15.43</v>
      </c>
      <c r="V47" s="14">
        <f t="shared" ref="V47" si="18">(U47+V44+V45)-V46</f>
        <v>12.43</v>
      </c>
      <c r="W47" s="14">
        <f t="shared" ref="W47" si="19">(V47+W44+W45)-W46</f>
        <v>12.43</v>
      </c>
      <c r="X47" s="14">
        <f t="shared" ref="X47" si="20">(W47+X44+X45)-X46</f>
        <v>7.7299999999999995</v>
      </c>
      <c r="Y47" s="14">
        <f t="shared" ref="Y47" si="21">(X47+Y44+Y45)-Y46</f>
        <v>17.73</v>
      </c>
      <c r="Z47" s="14">
        <f t="shared" ref="Z47" si="22">(Y47+Z44+Z45)-Z46</f>
        <v>17.73</v>
      </c>
      <c r="AA47" s="14">
        <f t="shared" ref="AA47" si="23">(Z47+AA44+AA45)-AA46</f>
        <v>11.73</v>
      </c>
      <c r="AB47" s="14">
        <f t="shared" ref="AB47" si="24">(AA47+AB44+AB45)-AB46</f>
        <v>11.73</v>
      </c>
      <c r="AC47" s="14">
        <f t="shared" ref="AC47" si="25">(AB47+AC44+AC45)-AC46</f>
        <v>9.73</v>
      </c>
      <c r="AD47" s="14">
        <f t="shared" ref="AD47" si="26">(AC47+AD44+AD45)-AD46</f>
        <v>7.73</v>
      </c>
      <c r="AE47" s="14">
        <f t="shared" ref="AE47" si="27">(AD47+AE44+AE45)-AE46</f>
        <v>10.73</v>
      </c>
      <c r="AF47" s="14">
        <f t="shared" ref="AF47" si="28">(AE47+AF44+AF45)-AF46</f>
        <v>10.73</v>
      </c>
      <c r="AG47" s="14">
        <f t="shared" ref="AG47" si="29">(AF47+AG44+AG45)-AG46</f>
        <v>7.73</v>
      </c>
      <c r="AH47" s="14">
        <f t="shared" ref="AH47" si="30">(AG47+AH44+AH45)-AH46</f>
        <v>4.7300000000000004</v>
      </c>
      <c r="AI47" s="14">
        <f t="shared" ref="AI47" si="31">(AH47+AI44+AI45)-AI46</f>
        <v>4.7300000000000004</v>
      </c>
      <c r="AJ47" s="14">
        <f t="shared" ref="AJ47" si="32">(AI47+AJ44+AJ45)-AJ46</f>
        <v>4.7300000000000004</v>
      </c>
      <c r="AK47" s="14"/>
      <c r="AL47" s="14"/>
      <c r="AM47" s="29"/>
      <c r="AN47" s="29"/>
      <c r="AO47" s="29"/>
      <c r="AP47" s="29"/>
      <c r="AQ47" s="14"/>
      <c r="AR47" s="14"/>
      <c r="AS47" s="32"/>
      <c r="AT47" s="39">
        <f>AT42</f>
        <v>18404.399999999998</v>
      </c>
    </row>
    <row r="48" spans="1:48" x14ac:dyDescent="0.25">
      <c r="A48" s="29"/>
      <c r="B48" s="14" t="s">
        <v>2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29"/>
      <c r="AL48" s="29"/>
      <c r="AM48" s="29"/>
      <c r="AN48" s="29"/>
      <c r="AO48" s="29"/>
      <c r="AP48" s="29"/>
      <c r="AQ48" s="14"/>
      <c r="AR48" s="14"/>
      <c r="AS48" s="32"/>
      <c r="AT48" s="14"/>
    </row>
    <row r="49" spans="1:46" ht="16.5" thickBot="1" x14ac:dyDescent="0.3">
      <c r="A49" s="29"/>
      <c r="B49" s="14" t="s">
        <v>25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2"/>
      <c r="AL49" s="2"/>
      <c r="AM49" s="2"/>
      <c r="AN49" s="2"/>
      <c r="AO49" s="29"/>
      <c r="AP49" s="29"/>
      <c r="AQ49" s="2" t="s">
        <v>26</v>
      </c>
      <c r="AR49" s="29"/>
      <c r="AS49" s="29"/>
      <c r="AT49" s="41">
        <f>F44*294</f>
        <v>0</v>
      </c>
    </row>
    <row r="50" spans="1:46" ht="16.5" thickTop="1" x14ac:dyDescent="0.25">
      <c r="A50" s="29"/>
      <c r="B50" s="14" t="s">
        <v>27</v>
      </c>
      <c r="C50" s="14"/>
      <c r="D50" s="14"/>
      <c r="E50" s="14">
        <f>SUM(F45:AJ45)</f>
        <v>67.33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2"/>
      <c r="AL50" s="2"/>
      <c r="AM50" s="2"/>
      <c r="AN50" s="30"/>
      <c r="AO50" s="29"/>
      <c r="AP50" s="29"/>
      <c r="AQ50" s="2" t="s">
        <v>28</v>
      </c>
      <c r="AR50" s="29"/>
      <c r="AS50" s="29"/>
      <c r="AT50" s="37">
        <f>AT47-AT49</f>
        <v>18404.399999999998</v>
      </c>
    </row>
    <row r="51" spans="1:46" x14ac:dyDescent="0.25">
      <c r="A51" s="29"/>
      <c r="B51" s="14" t="s">
        <v>29</v>
      </c>
      <c r="C51" s="14"/>
      <c r="D51" s="14"/>
      <c r="E51" s="14">
        <f>AK37+AK42</f>
        <v>62.599999999999994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29"/>
      <c r="AL51" s="29"/>
      <c r="AM51" s="29"/>
      <c r="AN51" s="29"/>
      <c r="AO51" s="29"/>
      <c r="AP51" s="29"/>
      <c r="AQ51" s="14"/>
      <c r="AR51" s="14"/>
      <c r="AS51" s="32"/>
      <c r="AT51" s="14"/>
    </row>
    <row r="52" spans="1:46" ht="16.5" thickBot="1" x14ac:dyDescent="0.3">
      <c r="A52" s="29"/>
      <c r="B52" s="14" t="s">
        <v>30</v>
      </c>
      <c r="C52" s="14"/>
      <c r="D52" s="14"/>
      <c r="E52" s="33">
        <f>E49+E50-E51</f>
        <v>4.730000000000004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29"/>
      <c r="AL52" s="29"/>
      <c r="AM52" s="29"/>
      <c r="AN52" s="29"/>
      <c r="AO52" s="29"/>
      <c r="AP52" s="29"/>
      <c r="AQ52" s="14"/>
      <c r="AR52" s="14"/>
      <c r="AS52" s="32"/>
      <c r="AT52" s="14"/>
    </row>
    <row r="53" spans="1:46" ht="16.5" thickTop="1" x14ac:dyDescent="0.25">
      <c r="A53" s="29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29"/>
      <c r="AL53" s="29"/>
      <c r="AM53" s="29"/>
      <c r="AN53" s="29"/>
      <c r="AO53" s="29"/>
      <c r="AP53" s="29"/>
      <c r="AQ53" s="14"/>
      <c r="AR53" s="14"/>
      <c r="AS53" s="32"/>
      <c r="AT53" s="14"/>
    </row>
    <row r="54" spans="1:46" x14ac:dyDescent="0.25">
      <c r="A54" s="34"/>
      <c r="C54" s="14"/>
      <c r="D54" s="14"/>
      <c r="E54" s="35"/>
      <c r="K54" s="14"/>
      <c r="M54" s="36"/>
      <c r="N54" s="14"/>
      <c r="P54" s="14"/>
      <c r="Q54" s="14"/>
      <c r="R54" s="14"/>
      <c r="U54" s="36"/>
      <c r="V54" s="14"/>
      <c r="W54" s="14"/>
      <c r="X54" s="14"/>
      <c r="Y54" s="14"/>
      <c r="Z54" s="14"/>
      <c r="AA54" s="14"/>
      <c r="AB54" s="36"/>
      <c r="AC54" s="14"/>
      <c r="AD54" s="14"/>
      <c r="AE54" s="14"/>
      <c r="AF54" s="14"/>
      <c r="AG54" s="14"/>
      <c r="AH54" s="36"/>
      <c r="AI54" s="14"/>
      <c r="AJ54" s="14"/>
      <c r="AK54" s="14"/>
      <c r="AL54" s="29"/>
      <c r="AM54" s="29"/>
      <c r="AN54" s="29"/>
      <c r="AO54" s="29"/>
      <c r="AP54" s="29"/>
      <c r="AQ54" s="14"/>
      <c r="AR54" s="14"/>
      <c r="AS54" s="32"/>
      <c r="AT54" s="14"/>
    </row>
    <row r="55" spans="1:46" x14ac:dyDescent="0.25">
      <c r="A55" s="14"/>
      <c r="C55" s="14"/>
      <c r="D55" s="14"/>
      <c r="E55" s="35"/>
      <c r="K55" s="14"/>
      <c r="M55" s="36"/>
      <c r="N55" s="14"/>
      <c r="P55" s="14"/>
      <c r="Q55" s="14"/>
      <c r="R55" s="14"/>
      <c r="U55" s="36"/>
      <c r="V55" s="14"/>
      <c r="W55" s="14"/>
      <c r="X55" s="14"/>
      <c r="Y55" s="14"/>
      <c r="Z55" s="14"/>
      <c r="AA55" s="14"/>
      <c r="AB55" s="36"/>
      <c r="AC55" s="14"/>
      <c r="AD55" s="14"/>
      <c r="AE55" s="14"/>
      <c r="AF55" s="14"/>
      <c r="AG55" s="14"/>
      <c r="AH55" s="36"/>
      <c r="AI55" s="14"/>
      <c r="AJ55" s="14"/>
      <c r="AK55" s="14"/>
      <c r="AL55" s="29"/>
      <c r="AM55" s="29"/>
      <c r="AN55" s="29"/>
      <c r="AO55" s="29"/>
      <c r="AP55" s="29"/>
      <c r="AQ55" s="14"/>
      <c r="AR55" s="14"/>
      <c r="AS55" s="32"/>
      <c r="AT55" s="14"/>
    </row>
    <row r="56" spans="1:46" x14ac:dyDescent="0.25">
      <c r="A56" s="14"/>
      <c r="C56" s="14"/>
      <c r="D56" s="14"/>
      <c r="E56" s="35"/>
      <c r="K56" s="14"/>
      <c r="M56" s="36"/>
      <c r="N56" s="14"/>
      <c r="P56" s="14"/>
      <c r="Q56" s="14"/>
      <c r="R56" s="14"/>
      <c r="U56" s="36"/>
      <c r="V56" s="14"/>
      <c r="W56" s="14"/>
      <c r="X56" s="14"/>
      <c r="Y56" s="14"/>
      <c r="Z56" s="14"/>
      <c r="AA56" s="14"/>
      <c r="AB56" s="36"/>
      <c r="AC56" s="14"/>
      <c r="AD56" s="14"/>
      <c r="AE56" s="14"/>
      <c r="AF56" s="14"/>
      <c r="AG56" s="14"/>
      <c r="AH56" s="36"/>
      <c r="AI56" s="14"/>
      <c r="AJ56" s="14"/>
      <c r="AK56" s="14"/>
      <c r="AL56" s="29"/>
      <c r="AM56" s="29"/>
      <c r="AN56" s="29"/>
      <c r="AO56" s="29"/>
      <c r="AP56" s="29"/>
      <c r="AQ56" s="14"/>
      <c r="AR56" s="14"/>
      <c r="AS56" s="32"/>
      <c r="AT56" s="14"/>
    </row>
  </sheetData>
  <mergeCells count="40">
    <mergeCell ref="E2:AJ2"/>
    <mergeCell ref="E1:AJ1"/>
    <mergeCell ref="E35:U35"/>
    <mergeCell ref="AP36:AP37"/>
    <mergeCell ref="AQ36:AQ37"/>
    <mergeCell ref="B19:E19"/>
    <mergeCell ref="AQ3:AQ4"/>
    <mergeCell ref="AR36:AR37"/>
    <mergeCell ref="AS36:AS37"/>
    <mergeCell ref="AT36:AT37"/>
    <mergeCell ref="B42:E42"/>
    <mergeCell ref="F36:AJ36"/>
    <mergeCell ref="AK36:AK37"/>
    <mergeCell ref="AL36:AL37"/>
    <mergeCell ref="AM36:AM37"/>
    <mergeCell ref="AN36:AN37"/>
    <mergeCell ref="AO36:AO37"/>
    <mergeCell ref="A36:A37"/>
    <mergeCell ref="B36:B37"/>
    <mergeCell ref="C36:C37"/>
    <mergeCell ref="D36:D37"/>
    <mergeCell ref="E36:E37"/>
    <mergeCell ref="AR3:AR4"/>
    <mergeCell ref="AS3:AS4"/>
    <mergeCell ref="AT3:AT4"/>
    <mergeCell ref="B13:E13"/>
    <mergeCell ref="B18:E18"/>
    <mergeCell ref="AK3:AK4"/>
    <mergeCell ref="AL3:AL4"/>
    <mergeCell ref="AM3:AM4"/>
    <mergeCell ref="AN3:AN4"/>
    <mergeCell ref="AO3:AO4"/>
    <mergeCell ref="AP3:AP4"/>
    <mergeCell ref="F3:AJ3"/>
    <mergeCell ref="AN8:AP8"/>
    <mergeCell ref="A3:A4"/>
    <mergeCell ref="B3:B4"/>
    <mergeCell ref="C3:C4"/>
    <mergeCell ref="D3:D4"/>
    <mergeCell ref="E3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2A0E-A0A9-4368-8F0D-FA76699691D6}">
  <dimension ref="A1:AX56"/>
  <sheetViews>
    <sheetView zoomScale="60" zoomScaleNormal="60" workbookViewId="0">
      <selection activeCell="AO6" sqref="AO6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8.28515625" style="4" customWidth="1"/>
    <col min="39" max="39" width="7.28515625" style="4" customWidth="1"/>
    <col min="40" max="41" width="10.5703125" style="4" customWidth="1"/>
    <col min="42" max="42" width="10.42578125" style="4" customWidth="1"/>
    <col min="43" max="43" width="13.140625" style="2" customWidth="1"/>
    <col min="44" max="44" width="12.42578125" style="2" customWidth="1"/>
    <col min="45" max="45" width="10" style="5" customWidth="1"/>
    <col min="46" max="46" width="13.28515625" style="2" customWidth="1"/>
    <col min="47" max="16384" width="9.140625" style="2"/>
  </cols>
  <sheetData>
    <row r="1" spans="1:50" x14ac:dyDescent="0.25">
      <c r="A1" s="1" t="s">
        <v>0</v>
      </c>
      <c r="E1" s="79" t="s">
        <v>1</v>
      </c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</row>
    <row r="2" spans="1:50" x14ac:dyDescent="0.25">
      <c r="A2" s="1" t="s">
        <v>35</v>
      </c>
      <c r="E2" s="74" t="s">
        <v>59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</row>
    <row r="3" spans="1:50" ht="15.75" customHeight="1" x14ac:dyDescent="0.25">
      <c r="A3" s="64" t="s">
        <v>3</v>
      </c>
      <c r="B3" s="64" t="s">
        <v>4</v>
      </c>
      <c r="C3" s="64" t="s">
        <v>5</v>
      </c>
      <c r="D3" s="64" t="s">
        <v>6</v>
      </c>
      <c r="E3" s="64" t="s">
        <v>7</v>
      </c>
      <c r="F3" s="75" t="s">
        <v>8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7"/>
      <c r="AK3" s="64" t="s">
        <v>9</v>
      </c>
      <c r="AL3" s="64" t="s">
        <v>10</v>
      </c>
      <c r="AM3" s="64" t="s">
        <v>11</v>
      </c>
      <c r="AN3" s="64" t="s">
        <v>12</v>
      </c>
      <c r="AO3" s="64" t="s">
        <v>13</v>
      </c>
      <c r="AP3" s="64" t="s">
        <v>14</v>
      </c>
      <c r="AQ3" s="64" t="s">
        <v>15</v>
      </c>
      <c r="AR3" s="64" t="s">
        <v>16</v>
      </c>
      <c r="AS3" s="66" t="s">
        <v>17</v>
      </c>
      <c r="AT3" s="64" t="s">
        <v>18</v>
      </c>
    </row>
    <row r="4" spans="1:50" s="7" customFormat="1" ht="27" customHeight="1" x14ac:dyDescent="0.25">
      <c r="A4" s="65"/>
      <c r="B4" s="65"/>
      <c r="C4" s="65"/>
      <c r="D4" s="65"/>
      <c r="E4" s="65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65"/>
      <c r="AL4" s="65"/>
      <c r="AM4" s="65"/>
      <c r="AN4" s="65"/>
      <c r="AO4" s="65"/>
      <c r="AP4" s="78"/>
      <c r="AQ4" s="78"/>
      <c r="AR4" s="65"/>
      <c r="AS4" s="67"/>
      <c r="AT4" s="65"/>
    </row>
    <row r="5" spans="1:50" ht="16.5" thickBot="1" x14ac:dyDescent="0.3">
      <c r="A5" s="42">
        <v>1</v>
      </c>
      <c r="B5" s="9" t="s">
        <v>43</v>
      </c>
      <c r="C5" s="9" t="s">
        <v>45</v>
      </c>
      <c r="D5" s="9" t="s">
        <v>32</v>
      </c>
      <c r="E5" s="9" t="s">
        <v>33</v>
      </c>
      <c r="F5" s="11">
        <v>40</v>
      </c>
      <c r="G5" s="11"/>
      <c r="H5" s="11"/>
      <c r="I5" s="11"/>
      <c r="J5" s="11"/>
      <c r="K5" s="11"/>
      <c r="L5" s="11">
        <v>40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>
        <v>20</v>
      </c>
      <c r="AA5" s="11"/>
      <c r="AB5" s="11"/>
      <c r="AC5" s="11"/>
      <c r="AD5" s="11">
        <v>40</v>
      </c>
      <c r="AE5" s="11"/>
      <c r="AF5" s="11">
        <v>40</v>
      </c>
      <c r="AG5" s="11"/>
      <c r="AH5" s="11"/>
      <c r="AI5" s="11"/>
      <c r="AJ5" s="11"/>
      <c r="AK5" s="20">
        <f t="shared" ref="AK5:AK11" si="0">SUM(F5:AJ5)</f>
        <v>180</v>
      </c>
      <c r="AL5" s="11"/>
      <c r="AM5" s="42"/>
      <c r="AN5" s="49">
        <v>4855.7</v>
      </c>
      <c r="AO5" s="49">
        <v>4892.3999999999996</v>
      </c>
      <c r="AP5" s="8">
        <f>AO5-AN5</f>
        <v>36.699999999999818</v>
      </c>
      <c r="AQ5" s="44">
        <f>AK5/AP5</f>
        <v>4.9046321525885803</v>
      </c>
      <c r="AR5" s="46"/>
      <c r="AS5" s="9"/>
      <c r="AT5" s="13">
        <f>AS5*AK5</f>
        <v>0</v>
      </c>
      <c r="AU5" s="14"/>
      <c r="AV5" s="14"/>
    </row>
    <row r="6" spans="1:50" ht="17.25" thickTop="1" thickBot="1" x14ac:dyDescent="0.3">
      <c r="A6" s="11">
        <v>3</v>
      </c>
      <c r="B6" s="9" t="s">
        <v>49</v>
      </c>
      <c r="C6" s="17"/>
      <c r="D6" s="9" t="s">
        <v>48</v>
      </c>
      <c r="E6" s="9" t="s">
        <v>33</v>
      </c>
      <c r="F6" s="11">
        <v>30</v>
      </c>
      <c r="G6" s="11"/>
      <c r="H6" s="11">
        <v>30</v>
      </c>
      <c r="I6" s="11"/>
      <c r="J6" s="11">
        <v>20</v>
      </c>
      <c r="K6" s="11">
        <v>30</v>
      </c>
      <c r="L6" s="11"/>
      <c r="M6" s="11">
        <v>40</v>
      </c>
      <c r="N6" s="11"/>
      <c r="O6" s="11">
        <v>20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>
        <v>15</v>
      </c>
      <c r="AA6" s="11"/>
      <c r="AB6" s="11">
        <v>15</v>
      </c>
      <c r="AC6" s="11"/>
      <c r="AD6" s="11">
        <v>30</v>
      </c>
      <c r="AE6" s="11"/>
      <c r="AF6" s="11">
        <v>20</v>
      </c>
      <c r="AG6" s="11">
        <v>30</v>
      </c>
      <c r="AH6" s="11"/>
      <c r="AI6" s="11"/>
      <c r="AJ6" s="11"/>
      <c r="AK6" s="20">
        <f t="shared" si="0"/>
        <v>280</v>
      </c>
      <c r="AL6" s="11"/>
      <c r="AM6" s="11"/>
      <c r="AN6" s="49">
        <v>419332</v>
      </c>
      <c r="AO6" s="49">
        <v>422035</v>
      </c>
      <c r="AP6" s="8">
        <f>AO6-AN6</f>
        <v>2703</v>
      </c>
      <c r="AQ6" s="44">
        <f>AP6/AK6</f>
        <v>9.6535714285714285</v>
      </c>
      <c r="AR6" s="48"/>
      <c r="AS6" s="9"/>
      <c r="AT6" s="13">
        <f>AS6*AK6</f>
        <v>0</v>
      </c>
      <c r="AU6" s="14"/>
      <c r="AV6" s="14"/>
      <c r="AX6" s="2" t="s">
        <v>2</v>
      </c>
    </row>
    <row r="7" spans="1:50" ht="17.25" thickTop="1" thickBot="1" x14ac:dyDescent="0.3">
      <c r="A7" s="11">
        <v>4</v>
      </c>
      <c r="B7" s="9"/>
      <c r="C7" s="17"/>
      <c r="D7" s="9"/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20">
        <f t="shared" si="0"/>
        <v>0</v>
      </c>
      <c r="AL7" s="11"/>
      <c r="AM7" s="11"/>
      <c r="AN7" s="49"/>
      <c r="AO7" s="49"/>
      <c r="AP7" s="8"/>
      <c r="AQ7" s="44"/>
      <c r="AR7" s="48"/>
      <c r="AS7" s="9"/>
      <c r="AT7" s="16"/>
      <c r="AU7" s="14"/>
      <c r="AV7" s="14"/>
    </row>
    <row r="8" spans="1:50" ht="17.25" thickTop="1" thickBot="1" x14ac:dyDescent="0.3">
      <c r="A8" s="11" t="s">
        <v>2</v>
      </c>
      <c r="B8" s="9"/>
      <c r="C8" s="17"/>
      <c r="D8" s="9"/>
      <c r="E8" s="9"/>
      <c r="F8" s="11"/>
      <c r="G8" s="11"/>
      <c r="H8" s="11"/>
      <c r="I8" s="11"/>
      <c r="J8" s="11"/>
      <c r="K8" s="11"/>
      <c r="L8" s="11"/>
      <c r="M8" s="11"/>
      <c r="N8" s="18"/>
      <c r="O8" s="1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 t="s">
        <v>2</v>
      </c>
      <c r="AE8" s="11"/>
      <c r="AF8" s="11"/>
      <c r="AG8" s="11"/>
      <c r="AH8" s="11"/>
      <c r="AI8" s="11"/>
      <c r="AJ8" s="11"/>
      <c r="AK8" s="20">
        <f t="shared" si="0"/>
        <v>0</v>
      </c>
      <c r="AL8" s="11"/>
      <c r="AM8" s="18"/>
      <c r="AN8" s="49"/>
      <c r="AO8" s="49"/>
      <c r="AP8" s="8"/>
      <c r="AQ8" s="44"/>
      <c r="AR8" s="48"/>
      <c r="AS8" s="9"/>
      <c r="AT8" s="19"/>
      <c r="AU8" s="14"/>
      <c r="AV8" s="14"/>
    </row>
    <row r="9" spans="1:50" ht="17.25" thickTop="1" thickBot="1" x14ac:dyDescent="0.3">
      <c r="A9" s="11"/>
      <c r="B9" s="9"/>
      <c r="C9" s="17"/>
      <c r="D9" s="9"/>
      <c r="E9" s="9"/>
      <c r="F9" s="11"/>
      <c r="G9" s="11"/>
      <c r="H9" s="11"/>
      <c r="I9" s="11"/>
      <c r="J9" s="11"/>
      <c r="K9" s="11"/>
      <c r="L9" s="11"/>
      <c r="M9" s="11"/>
      <c r="N9" s="18"/>
      <c r="O9" s="18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20">
        <f t="shared" si="0"/>
        <v>0</v>
      </c>
      <c r="AL9" s="11"/>
      <c r="AM9" s="18"/>
      <c r="AN9" s="49"/>
      <c r="AO9" s="49"/>
      <c r="AP9" s="8"/>
      <c r="AQ9" s="44"/>
      <c r="AR9" s="48"/>
      <c r="AS9" s="9"/>
      <c r="AT9" s="19"/>
      <c r="AU9" s="14"/>
      <c r="AV9" s="14"/>
    </row>
    <row r="10" spans="1:50" ht="17.25" thickTop="1" thickBot="1" x14ac:dyDescent="0.3">
      <c r="A10" s="11"/>
      <c r="B10" s="9"/>
      <c r="C10" s="17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20">
        <f t="shared" si="0"/>
        <v>0</v>
      </c>
      <c r="AL10" s="11"/>
      <c r="AM10" s="18"/>
      <c r="AN10" s="49"/>
      <c r="AO10" s="49"/>
      <c r="AP10" s="8"/>
      <c r="AQ10" s="44"/>
      <c r="AR10" s="48"/>
      <c r="AS10" s="9"/>
      <c r="AT10" s="19"/>
      <c r="AU10" s="14"/>
      <c r="AV10" s="14"/>
    </row>
    <row r="11" spans="1:50" ht="17.25" thickTop="1" thickBot="1" x14ac:dyDescent="0.3">
      <c r="A11" s="11"/>
      <c r="B11" s="9"/>
      <c r="C11" s="17"/>
      <c r="D11" s="9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42"/>
      <c r="AE11" s="11"/>
      <c r="AF11" s="11"/>
      <c r="AG11" s="42"/>
      <c r="AH11" s="11"/>
      <c r="AI11" s="11"/>
      <c r="AJ11" s="11"/>
      <c r="AK11" s="20">
        <f t="shared" si="0"/>
        <v>0</v>
      </c>
      <c r="AL11" s="11"/>
      <c r="AM11" s="18"/>
      <c r="AN11" s="11"/>
      <c r="AO11" s="18"/>
      <c r="AP11" s="11"/>
      <c r="AQ11" s="18"/>
      <c r="AR11" s="46"/>
      <c r="AS11" s="43"/>
      <c r="AT11" s="45"/>
      <c r="AU11" s="14"/>
      <c r="AV11" s="14"/>
    </row>
    <row r="12" spans="1:50" ht="17.25" thickTop="1" thickBot="1" x14ac:dyDescent="0.3">
      <c r="A12" s="11"/>
      <c r="B12" s="53"/>
      <c r="C12" s="54"/>
      <c r="D12" s="55"/>
      <c r="E12" s="48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11"/>
      <c r="AC12" s="11"/>
      <c r="AD12" s="11"/>
      <c r="AE12" s="11"/>
      <c r="AF12" s="11"/>
      <c r="AG12" s="11"/>
      <c r="AH12" s="11"/>
      <c r="AI12" s="11"/>
      <c r="AJ12" s="11"/>
      <c r="AK12" s="20"/>
      <c r="AL12" s="11"/>
      <c r="AM12" s="18"/>
      <c r="AN12" s="11"/>
      <c r="AO12" s="18"/>
      <c r="AP12" s="11"/>
      <c r="AQ12" s="18"/>
      <c r="AR12" s="46"/>
      <c r="AS12" s="43"/>
      <c r="AT12" s="45"/>
      <c r="AU12" s="14"/>
      <c r="AV12" s="14"/>
    </row>
    <row r="13" spans="1:50" ht="16.5" customHeight="1" thickTop="1" thickBot="1" x14ac:dyDescent="0.3">
      <c r="A13" s="11"/>
      <c r="B13" s="71" t="s">
        <v>20</v>
      </c>
      <c r="C13" s="72"/>
      <c r="D13" s="72"/>
      <c r="E13" s="73"/>
      <c r="F13" s="20">
        <f t="shared" ref="F13:AJ13" si="1">SUM(F5:F10)</f>
        <v>70</v>
      </c>
      <c r="G13" s="20">
        <f t="shared" si="1"/>
        <v>0</v>
      </c>
      <c r="H13" s="20">
        <f t="shared" si="1"/>
        <v>30</v>
      </c>
      <c r="I13" s="20">
        <f t="shared" si="1"/>
        <v>0</v>
      </c>
      <c r="J13" s="20">
        <f t="shared" si="1"/>
        <v>20</v>
      </c>
      <c r="K13" s="20">
        <f t="shared" si="1"/>
        <v>30</v>
      </c>
      <c r="L13" s="20">
        <f t="shared" si="1"/>
        <v>40</v>
      </c>
      <c r="M13" s="20">
        <f>SUM(M5:M11)</f>
        <v>40</v>
      </c>
      <c r="N13" s="20">
        <f>SUM(N5:N11)</f>
        <v>0</v>
      </c>
      <c r="O13" s="20">
        <f t="shared" si="1"/>
        <v>20</v>
      </c>
      <c r="P13" s="20">
        <f t="shared" si="1"/>
        <v>0</v>
      </c>
      <c r="Q13" s="20">
        <f t="shared" si="1"/>
        <v>0</v>
      </c>
      <c r="R13" s="20">
        <f t="shared" si="1"/>
        <v>0</v>
      </c>
      <c r="S13" s="20">
        <f t="shared" si="1"/>
        <v>0</v>
      </c>
      <c r="T13" s="20">
        <f t="shared" si="1"/>
        <v>0</v>
      </c>
      <c r="U13" s="20">
        <f t="shared" si="1"/>
        <v>0</v>
      </c>
      <c r="V13" s="20">
        <f t="shared" si="1"/>
        <v>0</v>
      </c>
      <c r="W13" s="20">
        <f t="shared" si="1"/>
        <v>0</v>
      </c>
      <c r="X13" s="20">
        <f t="shared" si="1"/>
        <v>0</v>
      </c>
      <c r="Y13" s="20">
        <f t="shared" si="1"/>
        <v>0</v>
      </c>
      <c r="Z13" s="20">
        <f t="shared" si="1"/>
        <v>35</v>
      </c>
      <c r="AA13" s="20">
        <f t="shared" si="1"/>
        <v>0</v>
      </c>
      <c r="AB13" s="20">
        <f t="shared" si="1"/>
        <v>15</v>
      </c>
      <c r="AC13" s="20">
        <f t="shared" si="1"/>
        <v>0</v>
      </c>
      <c r="AD13" s="20">
        <f t="shared" si="1"/>
        <v>70</v>
      </c>
      <c r="AE13" s="20">
        <f t="shared" si="1"/>
        <v>0</v>
      </c>
      <c r="AF13" s="20">
        <f t="shared" si="1"/>
        <v>60</v>
      </c>
      <c r="AG13" s="20">
        <f t="shared" si="1"/>
        <v>30</v>
      </c>
      <c r="AH13" s="20">
        <f t="shared" si="1"/>
        <v>0</v>
      </c>
      <c r="AI13" s="20">
        <f t="shared" si="1"/>
        <v>0</v>
      </c>
      <c r="AJ13" s="20">
        <f t="shared" si="1"/>
        <v>0</v>
      </c>
      <c r="AK13" s="20">
        <f>SUM(AK5:AK12)</f>
        <v>460</v>
      </c>
      <c r="AL13" s="20">
        <f>SUM(AL5:AL10)</f>
        <v>0</v>
      </c>
      <c r="AM13" s="20">
        <f>SUM(AM5:AM10)</f>
        <v>0</v>
      </c>
      <c r="AN13" s="22"/>
      <c r="AO13" s="22"/>
      <c r="AP13" s="22"/>
      <c r="AQ13" s="22"/>
      <c r="AR13" s="22"/>
      <c r="AS13" s="22">
        <f>SUM(AS5:AS10)</f>
        <v>0</v>
      </c>
      <c r="AT13" s="22">
        <f>SUM(AT5:AT10)</f>
        <v>0</v>
      </c>
      <c r="AU13" s="14"/>
      <c r="AV13" s="14"/>
    </row>
    <row r="14" spans="1:50" ht="16.5" thickTop="1" x14ac:dyDescent="0.25">
      <c r="A14" s="11"/>
      <c r="B14" s="9"/>
      <c r="C14" s="9"/>
      <c r="D14" s="9"/>
      <c r="E14" s="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11"/>
      <c r="AL14" s="23"/>
      <c r="AM14" s="23"/>
      <c r="AN14" s="11"/>
      <c r="AO14" s="11"/>
      <c r="AP14" s="11"/>
      <c r="AQ14" s="15"/>
      <c r="AR14" s="9"/>
      <c r="AS14" s="9"/>
      <c r="AT14" s="9"/>
      <c r="AU14" s="14"/>
      <c r="AV14" s="14"/>
    </row>
    <row r="15" spans="1:50" ht="16.5" thickBot="1" x14ac:dyDescent="0.3">
      <c r="A15" s="11">
        <v>3</v>
      </c>
      <c r="B15" s="9"/>
      <c r="C15" s="9"/>
      <c r="D15" s="9"/>
      <c r="E15" s="9"/>
      <c r="F15" s="11"/>
      <c r="G15" s="11"/>
      <c r="H15" s="11"/>
      <c r="I15" s="11"/>
      <c r="J15" s="11"/>
      <c r="K15" s="11"/>
      <c r="L15" s="11"/>
      <c r="M15" s="23"/>
      <c r="N15" s="23"/>
      <c r="O15" s="23"/>
      <c r="P15" s="23"/>
      <c r="Q15" s="23"/>
      <c r="R15" s="11"/>
      <c r="S15" s="11"/>
      <c r="T15" s="11"/>
      <c r="U15" s="11"/>
      <c r="V15" s="11"/>
      <c r="W15" s="11"/>
      <c r="X15" s="23"/>
      <c r="Y15" s="23"/>
      <c r="Z15" s="23"/>
      <c r="AA15" s="23"/>
      <c r="AB15" s="23"/>
      <c r="AC15" s="11"/>
      <c r="AD15" s="11"/>
      <c r="AE15" s="11"/>
      <c r="AF15" s="11"/>
      <c r="AG15" s="24"/>
      <c r="AH15" s="24"/>
      <c r="AI15" s="24"/>
      <c r="AJ15" s="23"/>
      <c r="AK15" s="20">
        <f>SUM(F15:AJ15)</f>
        <v>0</v>
      </c>
      <c r="AL15" s="11"/>
      <c r="AM15" s="11"/>
      <c r="AN15" s="11"/>
      <c r="AO15" s="11"/>
      <c r="AP15" s="11"/>
      <c r="AQ15" s="15"/>
      <c r="AR15" s="9"/>
      <c r="AS15" s="12"/>
      <c r="AT15" s="13">
        <f>AS15*AK15</f>
        <v>0</v>
      </c>
      <c r="AU15" s="14"/>
      <c r="AV15" s="14"/>
    </row>
    <row r="16" spans="1:50" ht="17.25" thickTop="1" thickBot="1" x14ac:dyDescent="0.3">
      <c r="A16" s="11"/>
      <c r="B16" s="9"/>
      <c r="C16" s="9"/>
      <c r="D16" s="9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20">
        <f>SUM(F16:AJ16)</f>
        <v>0</v>
      </c>
      <c r="AL16" s="11"/>
      <c r="AM16" s="11"/>
      <c r="AN16" s="11"/>
      <c r="AO16" s="11"/>
      <c r="AP16" s="11"/>
      <c r="AQ16" s="15"/>
      <c r="AR16" s="9"/>
      <c r="AS16" s="9"/>
      <c r="AT16" s="9"/>
      <c r="AU16" s="14"/>
      <c r="AV16" s="14"/>
    </row>
    <row r="17" spans="1:48" ht="16.5" thickTop="1" x14ac:dyDescent="0.25">
      <c r="A17" s="11"/>
      <c r="B17" s="9"/>
      <c r="C17" s="9"/>
      <c r="D17" s="9"/>
      <c r="E17" s="9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1"/>
      <c r="AO17" s="11"/>
      <c r="AP17" s="11"/>
      <c r="AQ17" s="9"/>
      <c r="AR17" s="9"/>
      <c r="AS17" s="21"/>
      <c r="AT17" s="25"/>
      <c r="AU17" s="14"/>
      <c r="AV17" s="14"/>
    </row>
    <row r="18" spans="1:48" ht="16.5" customHeight="1" thickBot="1" x14ac:dyDescent="0.3">
      <c r="A18" s="26"/>
      <c r="B18" s="68" t="s">
        <v>19</v>
      </c>
      <c r="C18" s="69"/>
      <c r="D18" s="69"/>
      <c r="E18" s="70"/>
      <c r="F18" s="27">
        <f t="shared" ref="F18:AS18" si="2">SUM(F15:F17)</f>
        <v>0</v>
      </c>
      <c r="G18" s="27">
        <f t="shared" si="2"/>
        <v>0</v>
      </c>
      <c r="H18" s="27">
        <f t="shared" si="2"/>
        <v>0</v>
      </c>
      <c r="I18" s="27">
        <f t="shared" si="2"/>
        <v>0</v>
      </c>
      <c r="J18" s="27">
        <f t="shared" si="2"/>
        <v>0</v>
      </c>
      <c r="K18" s="27">
        <f t="shared" si="2"/>
        <v>0</v>
      </c>
      <c r="L18" s="27">
        <f t="shared" si="2"/>
        <v>0</v>
      </c>
      <c r="M18" s="27">
        <f t="shared" si="2"/>
        <v>0</v>
      </c>
      <c r="N18" s="27">
        <f t="shared" si="2"/>
        <v>0</v>
      </c>
      <c r="O18" s="27">
        <f t="shared" si="2"/>
        <v>0</v>
      </c>
      <c r="P18" s="27">
        <f t="shared" si="2"/>
        <v>0</v>
      </c>
      <c r="Q18" s="27">
        <f t="shared" si="2"/>
        <v>0</v>
      </c>
      <c r="R18" s="27">
        <f t="shared" si="2"/>
        <v>0</v>
      </c>
      <c r="S18" s="27">
        <f t="shared" si="2"/>
        <v>0</v>
      </c>
      <c r="T18" s="27">
        <f t="shared" si="2"/>
        <v>0</v>
      </c>
      <c r="U18" s="27">
        <f t="shared" si="2"/>
        <v>0</v>
      </c>
      <c r="V18" s="27">
        <f t="shared" si="2"/>
        <v>0</v>
      </c>
      <c r="W18" s="27">
        <f t="shared" si="2"/>
        <v>0</v>
      </c>
      <c r="X18" s="27">
        <f t="shared" si="2"/>
        <v>0</v>
      </c>
      <c r="Y18" s="27">
        <f t="shared" si="2"/>
        <v>0</v>
      </c>
      <c r="Z18" s="27">
        <f t="shared" si="2"/>
        <v>0</v>
      </c>
      <c r="AA18" s="27">
        <f t="shared" si="2"/>
        <v>0</v>
      </c>
      <c r="AB18" s="27">
        <f t="shared" si="2"/>
        <v>0</v>
      </c>
      <c r="AC18" s="27">
        <f t="shared" si="2"/>
        <v>0</v>
      </c>
      <c r="AD18" s="27">
        <f t="shared" si="2"/>
        <v>0</v>
      </c>
      <c r="AE18" s="27">
        <f t="shared" si="2"/>
        <v>0</v>
      </c>
      <c r="AF18" s="27">
        <f t="shared" si="2"/>
        <v>0</v>
      </c>
      <c r="AG18" s="27">
        <f t="shared" si="2"/>
        <v>0</v>
      </c>
      <c r="AH18" s="27">
        <f t="shared" si="2"/>
        <v>0</v>
      </c>
      <c r="AI18" s="27">
        <f t="shared" si="2"/>
        <v>0</v>
      </c>
      <c r="AJ18" s="27">
        <f t="shared" si="2"/>
        <v>0</v>
      </c>
      <c r="AK18" s="27">
        <f t="shared" si="2"/>
        <v>0</v>
      </c>
      <c r="AL18" s="27">
        <f t="shared" si="2"/>
        <v>0</v>
      </c>
      <c r="AM18" s="27">
        <f t="shared" si="2"/>
        <v>0</v>
      </c>
      <c r="AN18" s="27">
        <f t="shared" si="2"/>
        <v>0</v>
      </c>
      <c r="AO18" s="27">
        <f t="shared" si="2"/>
        <v>0</v>
      </c>
      <c r="AP18" s="27">
        <f t="shared" si="2"/>
        <v>0</v>
      </c>
      <c r="AQ18" s="27">
        <f t="shared" si="2"/>
        <v>0</v>
      </c>
      <c r="AR18" s="27">
        <f t="shared" si="2"/>
        <v>0</v>
      </c>
      <c r="AS18" s="27">
        <f t="shared" si="2"/>
        <v>0</v>
      </c>
      <c r="AT18" s="28">
        <f>SUM(AT15:AT17)</f>
        <v>0</v>
      </c>
      <c r="AU18" s="14"/>
      <c r="AV18" s="14"/>
    </row>
    <row r="19" spans="1:48" ht="16.5" thickTop="1" x14ac:dyDescent="0.25">
      <c r="A19" s="29"/>
      <c r="B19" s="71"/>
      <c r="C19" s="72"/>
      <c r="D19" s="72"/>
      <c r="E19" s="7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x14ac:dyDescent="0.25">
      <c r="A20" s="29"/>
      <c r="B20" s="30" t="s">
        <v>21</v>
      </c>
      <c r="C20" s="31"/>
      <c r="D20" s="31"/>
      <c r="E20" s="31"/>
      <c r="F20" s="14">
        <v>70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x14ac:dyDescent="0.25">
      <c r="A21" s="29"/>
      <c r="B21" s="30" t="s">
        <v>22</v>
      </c>
      <c r="C21" s="31"/>
      <c r="D21" s="31"/>
      <c r="E21" s="31"/>
      <c r="F21" s="14"/>
      <c r="G21" s="14">
        <v>50</v>
      </c>
      <c r="H21" s="14"/>
      <c r="I21" s="14"/>
      <c r="J21" s="14"/>
      <c r="K21" s="14">
        <v>130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>
        <v>15</v>
      </c>
      <c r="AC21" s="14"/>
      <c r="AD21" s="14">
        <v>110</v>
      </c>
      <c r="AE21" s="14"/>
      <c r="AF21" s="14">
        <v>85</v>
      </c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x14ac:dyDescent="0.25">
      <c r="A22" s="29"/>
      <c r="B22" s="14" t="s">
        <v>23</v>
      </c>
      <c r="E22" s="14"/>
      <c r="F22" s="14">
        <f>F13+F18</f>
        <v>70</v>
      </c>
      <c r="G22" s="14">
        <f t="shared" ref="G22:AJ22" si="3">G13+G18</f>
        <v>0</v>
      </c>
      <c r="H22" s="14">
        <f t="shared" si="3"/>
        <v>30</v>
      </c>
      <c r="I22" s="14">
        <f t="shared" si="3"/>
        <v>0</v>
      </c>
      <c r="J22" s="14">
        <f t="shared" si="3"/>
        <v>20</v>
      </c>
      <c r="K22" s="14">
        <f t="shared" si="3"/>
        <v>30</v>
      </c>
      <c r="L22" s="14">
        <f t="shared" si="3"/>
        <v>40</v>
      </c>
      <c r="M22" s="14">
        <f t="shared" si="3"/>
        <v>40</v>
      </c>
      <c r="N22" s="14">
        <f t="shared" si="3"/>
        <v>0</v>
      </c>
      <c r="O22" s="14">
        <f t="shared" si="3"/>
        <v>20</v>
      </c>
      <c r="P22" s="14">
        <f>P13+P18</f>
        <v>0</v>
      </c>
      <c r="Q22" s="14">
        <f t="shared" si="3"/>
        <v>0</v>
      </c>
      <c r="R22" s="14">
        <f t="shared" si="3"/>
        <v>0</v>
      </c>
      <c r="S22" s="14">
        <f t="shared" si="3"/>
        <v>0</v>
      </c>
      <c r="T22" s="14">
        <f t="shared" si="3"/>
        <v>0</v>
      </c>
      <c r="U22" s="14">
        <f t="shared" si="3"/>
        <v>0</v>
      </c>
      <c r="V22" s="14">
        <f t="shared" si="3"/>
        <v>0</v>
      </c>
      <c r="W22" s="14">
        <f t="shared" si="3"/>
        <v>0</v>
      </c>
      <c r="X22" s="14">
        <f t="shared" si="3"/>
        <v>0</v>
      </c>
      <c r="Y22" s="14">
        <f t="shared" si="3"/>
        <v>0</v>
      </c>
      <c r="Z22" s="14">
        <f t="shared" si="3"/>
        <v>35</v>
      </c>
      <c r="AA22" s="14">
        <f t="shared" si="3"/>
        <v>0</v>
      </c>
      <c r="AB22" s="14">
        <f t="shared" si="3"/>
        <v>15</v>
      </c>
      <c r="AC22" s="14">
        <f t="shared" si="3"/>
        <v>0</v>
      </c>
      <c r="AD22" s="14">
        <f t="shared" si="3"/>
        <v>70</v>
      </c>
      <c r="AE22" s="14">
        <f t="shared" si="3"/>
        <v>0</v>
      </c>
      <c r="AF22" s="14">
        <f t="shared" si="3"/>
        <v>60</v>
      </c>
      <c r="AG22" s="14">
        <f t="shared" si="3"/>
        <v>30</v>
      </c>
      <c r="AH22" s="14">
        <f t="shared" si="3"/>
        <v>0</v>
      </c>
      <c r="AI22" s="14">
        <f t="shared" si="3"/>
        <v>0</v>
      </c>
      <c r="AJ22" s="14">
        <f t="shared" si="3"/>
        <v>0</v>
      </c>
      <c r="AK22" s="14"/>
      <c r="AL22" s="14"/>
      <c r="AM22" s="14"/>
      <c r="AN22" s="14"/>
      <c r="AO22" s="14"/>
      <c r="AP22" s="14"/>
      <c r="AQ22" s="14"/>
      <c r="AR22" s="14"/>
      <c r="AS22" s="14"/>
      <c r="AT22" s="39">
        <f>AT13+AT18</f>
        <v>0</v>
      </c>
      <c r="AU22" s="14" t="s">
        <v>2</v>
      </c>
      <c r="AV22" s="14" t="s">
        <v>2</v>
      </c>
    </row>
    <row r="23" spans="1:48" x14ac:dyDescent="0.25">
      <c r="A23" s="29"/>
      <c r="B23" s="14" t="s">
        <v>24</v>
      </c>
      <c r="E23" s="14"/>
      <c r="F23" s="14">
        <f>(F20+F21)-F22</f>
        <v>0</v>
      </c>
      <c r="G23" s="14">
        <f>(F23+G20+G21)-G22</f>
        <v>50</v>
      </c>
      <c r="H23" s="14">
        <f t="shared" ref="H23:AJ23" si="4">(G23+H20+H21)-H22</f>
        <v>20</v>
      </c>
      <c r="I23" s="14">
        <f t="shared" si="4"/>
        <v>20</v>
      </c>
      <c r="J23" s="14">
        <f t="shared" si="4"/>
        <v>0</v>
      </c>
      <c r="K23" s="14">
        <f t="shared" si="4"/>
        <v>100</v>
      </c>
      <c r="L23" s="14">
        <f t="shared" si="4"/>
        <v>60</v>
      </c>
      <c r="M23" s="14">
        <f t="shared" si="4"/>
        <v>20</v>
      </c>
      <c r="N23" s="14">
        <f t="shared" si="4"/>
        <v>20</v>
      </c>
      <c r="O23" s="14">
        <f>(N23+O20+O21)-O22</f>
        <v>0</v>
      </c>
      <c r="P23" s="14">
        <f>(O23+P20+P21)-P22</f>
        <v>0</v>
      </c>
      <c r="Q23" s="14">
        <f t="shared" si="4"/>
        <v>0</v>
      </c>
      <c r="R23" s="14">
        <f t="shared" si="4"/>
        <v>0</v>
      </c>
      <c r="S23" s="14">
        <f t="shared" si="4"/>
        <v>0</v>
      </c>
      <c r="T23" s="14">
        <f t="shared" si="4"/>
        <v>0</v>
      </c>
      <c r="U23" s="14">
        <f t="shared" si="4"/>
        <v>0</v>
      </c>
      <c r="V23" s="14">
        <f t="shared" si="4"/>
        <v>0</v>
      </c>
      <c r="W23" s="14">
        <f t="shared" si="4"/>
        <v>0</v>
      </c>
      <c r="X23" s="14">
        <f t="shared" si="4"/>
        <v>0</v>
      </c>
      <c r="Y23" s="14">
        <f t="shared" si="4"/>
        <v>0</v>
      </c>
      <c r="Z23" s="14">
        <f t="shared" si="4"/>
        <v>-35</v>
      </c>
      <c r="AA23" s="14">
        <f t="shared" si="4"/>
        <v>-35</v>
      </c>
      <c r="AB23" s="14">
        <f t="shared" si="4"/>
        <v>-35</v>
      </c>
      <c r="AC23" s="14">
        <f t="shared" si="4"/>
        <v>-35</v>
      </c>
      <c r="AD23" s="14">
        <f t="shared" si="4"/>
        <v>5</v>
      </c>
      <c r="AE23" s="14">
        <f t="shared" si="4"/>
        <v>5</v>
      </c>
      <c r="AF23" s="14">
        <f t="shared" si="4"/>
        <v>30</v>
      </c>
      <c r="AG23" s="14">
        <f t="shared" si="4"/>
        <v>0</v>
      </c>
      <c r="AH23" s="14">
        <f t="shared" si="4"/>
        <v>0</v>
      </c>
      <c r="AI23" s="14">
        <f t="shared" si="4"/>
        <v>0</v>
      </c>
      <c r="AJ23" s="14">
        <f t="shared" si="4"/>
        <v>0</v>
      </c>
      <c r="AK23" s="14"/>
      <c r="AL23" s="14"/>
      <c r="AM23" s="29"/>
      <c r="AN23" s="29"/>
      <c r="AO23" s="29"/>
      <c r="AP23" s="29"/>
      <c r="AQ23" s="14"/>
      <c r="AR23" s="14"/>
      <c r="AS23" s="32"/>
      <c r="AT23" s="14"/>
      <c r="AU23" s="14"/>
      <c r="AV23" s="14"/>
    </row>
    <row r="24" spans="1:48" x14ac:dyDescent="0.25">
      <c r="A24" s="29"/>
      <c r="B24" s="14" t="s">
        <v>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29"/>
      <c r="AL24" s="29"/>
      <c r="AM24" s="29"/>
      <c r="AN24" s="29"/>
      <c r="AO24" s="29"/>
      <c r="AP24" s="29"/>
      <c r="AQ24" s="14"/>
      <c r="AR24" s="14"/>
      <c r="AS24" s="32"/>
      <c r="AT24" s="14"/>
      <c r="AU24" s="14"/>
      <c r="AV24" s="14"/>
    </row>
    <row r="25" spans="1:48" ht="16.5" thickBot="1" x14ac:dyDescent="0.3">
      <c r="A25" s="29"/>
      <c r="B25" s="14" t="s">
        <v>25</v>
      </c>
      <c r="C25" s="14"/>
      <c r="D25" s="14"/>
      <c r="E25" s="14">
        <f>F20</f>
        <v>70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2"/>
      <c r="AL25" s="2"/>
      <c r="AM25" s="2"/>
      <c r="AN25" s="2"/>
      <c r="AO25" s="29"/>
      <c r="AP25" s="29"/>
      <c r="AQ25" s="2" t="s">
        <v>26</v>
      </c>
      <c r="AR25" s="29"/>
      <c r="AS25" s="29"/>
      <c r="AT25" s="40">
        <f>F20*279</f>
        <v>19530</v>
      </c>
      <c r="AU25" s="14"/>
      <c r="AV25" s="14"/>
    </row>
    <row r="26" spans="1:48" ht="16.5" thickTop="1" x14ac:dyDescent="0.25">
      <c r="A26" s="29"/>
      <c r="B26" s="14" t="s">
        <v>27</v>
      </c>
      <c r="C26" s="14"/>
      <c r="D26" s="14"/>
      <c r="E26" s="14">
        <f>SUM(F21:AJ21)</f>
        <v>390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2"/>
      <c r="AL26" s="2"/>
      <c r="AM26" s="2"/>
      <c r="AN26" s="30"/>
      <c r="AO26" s="29"/>
      <c r="AP26" s="29"/>
      <c r="AQ26" s="2" t="s">
        <v>28</v>
      </c>
      <c r="AR26" s="29"/>
      <c r="AS26" s="29"/>
      <c r="AT26" s="37">
        <f>AT22-AT25</f>
        <v>-19530</v>
      </c>
      <c r="AU26" s="14"/>
      <c r="AV26" s="14"/>
    </row>
    <row r="27" spans="1:48" x14ac:dyDescent="0.25">
      <c r="A27" s="29"/>
      <c r="B27" s="14" t="s">
        <v>29</v>
      </c>
      <c r="C27" s="14"/>
      <c r="D27" s="14"/>
      <c r="E27" s="14">
        <f>AK13+AK18</f>
        <v>460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29"/>
      <c r="AL27" s="29"/>
      <c r="AM27" s="29"/>
      <c r="AN27" s="29"/>
      <c r="AO27" s="29"/>
      <c r="AP27" s="29"/>
      <c r="AQ27" s="14"/>
      <c r="AR27" s="14"/>
      <c r="AS27" s="32"/>
      <c r="AT27" s="14"/>
      <c r="AU27" s="14"/>
      <c r="AV27" s="14"/>
    </row>
    <row r="28" spans="1:48" ht="16.5" thickBot="1" x14ac:dyDescent="0.3">
      <c r="A28" s="29"/>
      <c r="B28" s="14" t="s">
        <v>30</v>
      </c>
      <c r="C28" s="14"/>
      <c r="D28" s="14"/>
      <c r="E28" s="33">
        <f>E25+E26-E27</f>
        <v>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29"/>
      <c r="AL28" s="29"/>
      <c r="AM28" s="29"/>
      <c r="AN28" s="29"/>
      <c r="AO28" s="29"/>
      <c r="AP28" s="29"/>
      <c r="AQ28" s="14"/>
      <c r="AR28" s="14"/>
      <c r="AS28" s="32"/>
      <c r="AT28" s="14"/>
      <c r="AU28" s="14"/>
      <c r="AV28" s="14"/>
    </row>
    <row r="29" spans="1:48" ht="16.5" thickTop="1" x14ac:dyDescent="0.25">
      <c r="A29" s="29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29"/>
      <c r="AL29" s="29"/>
      <c r="AM29" s="29"/>
      <c r="AN29" s="29"/>
      <c r="AO29" s="29"/>
      <c r="AP29" s="29"/>
      <c r="AQ29" s="14"/>
      <c r="AR29" s="14"/>
      <c r="AS29" s="32"/>
      <c r="AT29" s="14"/>
      <c r="AU29" s="14"/>
      <c r="AV29" s="14"/>
    </row>
    <row r="30" spans="1:48" x14ac:dyDescent="0.25">
      <c r="A30" s="34"/>
      <c r="C30" s="14"/>
      <c r="D30" s="14"/>
      <c r="E30" s="35"/>
      <c r="K30" s="14"/>
      <c r="M30" s="36"/>
      <c r="N30" s="14"/>
      <c r="P30" s="14"/>
      <c r="Q30" s="14"/>
      <c r="R30" s="14"/>
      <c r="U30" s="36"/>
      <c r="V30" s="14"/>
      <c r="W30" s="14"/>
      <c r="X30" s="14"/>
      <c r="Y30" s="14"/>
      <c r="Z30" s="14"/>
      <c r="AA30" s="14"/>
      <c r="AB30" s="36"/>
      <c r="AC30" s="14"/>
      <c r="AD30" s="14"/>
      <c r="AE30" s="14"/>
      <c r="AF30" s="14"/>
      <c r="AG30" s="14"/>
      <c r="AH30" s="36"/>
      <c r="AI30" s="14"/>
      <c r="AJ30" s="14"/>
      <c r="AK30" s="14"/>
      <c r="AL30" s="29"/>
      <c r="AM30" s="29"/>
      <c r="AN30" s="29"/>
      <c r="AO30" s="29"/>
      <c r="AP30" s="29"/>
      <c r="AQ30" s="14"/>
      <c r="AR30" s="14"/>
      <c r="AS30" s="32"/>
      <c r="AT30" s="14"/>
      <c r="AU30" s="14"/>
      <c r="AV30" s="14"/>
    </row>
    <row r="31" spans="1:48" x14ac:dyDescent="0.25">
      <c r="A31" s="14"/>
      <c r="C31" s="14"/>
      <c r="D31" s="14"/>
      <c r="E31" s="35"/>
      <c r="K31" s="14"/>
      <c r="M31" s="36"/>
      <c r="N31" s="14"/>
      <c r="P31" s="14"/>
      <c r="Q31" s="14"/>
      <c r="R31" s="14"/>
      <c r="U31" s="36"/>
      <c r="V31" s="14"/>
      <c r="W31" s="14"/>
      <c r="X31" s="14"/>
      <c r="Y31" s="14"/>
      <c r="Z31" s="14"/>
      <c r="AA31" s="14"/>
      <c r="AB31" s="36"/>
      <c r="AC31" s="14"/>
      <c r="AD31" s="14"/>
      <c r="AE31" s="14"/>
      <c r="AF31" s="14"/>
      <c r="AG31" s="14"/>
      <c r="AH31" s="36"/>
      <c r="AI31" s="14"/>
      <c r="AJ31" s="14"/>
      <c r="AK31" s="14"/>
      <c r="AL31" s="29"/>
      <c r="AM31" s="29"/>
      <c r="AN31" s="29"/>
      <c r="AO31" s="29"/>
      <c r="AP31" s="29"/>
      <c r="AQ31" s="14"/>
      <c r="AR31" s="14"/>
      <c r="AS31" s="32"/>
      <c r="AT31" s="14"/>
      <c r="AU31" s="14"/>
      <c r="AV31" s="14"/>
    </row>
    <row r="32" spans="1:48" x14ac:dyDescent="0.25">
      <c r="A32" s="14"/>
      <c r="C32" s="14"/>
      <c r="D32" s="14"/>
      <c r="E32" s="35"/>
      <c r="K32" s="14"/>
      <c r="M32" s="36"/>
      <c r="N32" s="14"/>
      <c r="P32" s="14"/>
      <c r="Q32" s="14"/>
      <c r="R32" s="14"/>
      <c r="U32" s="36"/>
      <c r="V32" s="14"/>
      <c r="W32" s="14"/>
      <c r="X32" s="14"/>
      <c r="Y32" s="14"/>
      <c r="Z32" s="14"/>
      <c r="AA32" s="14"/>
      <c r="AB32" s="36"/>
      <c r="AC32" s="14"/>
      <c r="AD32" s="14"/>
      <c r="AE32" s="14"/>
      <c r="AF32" s="14"/>
      <c r="AG32" s="14"/>
      <c r="AH32" s="36"/>
      <c r="AI32" s="14"/>
      <c r="AJ32" s="14"/>
      <c r="AK32" s="14"/>
      <c r="AL32" s="29"/>
      <c r="AM32" s="29"/>
      <c r="AN32" s="29"/>
      <c r="AO32" s="29"/>
      <c r="AP32" s="29"/>
      <c r="AQ32" s="14"/>
      <c r="AR32" s="14"/>
      <c r="AS32" s="32"/>
      <c r="AT32" s="14"/>
      <c r="AU32" s="14"/>
      <c r="AV32" s="14"/>
    </row>
    <row r="33" spans="1:48" x14ac:dyDescent="0.25">
      <c r="A33" s="14"/>
      <c r="C33" s="14"/>
      <c r="D33" s="14"/>
      <c r="E33" s="35"/>
      <c r="K33" s="14"/>
      <c r="M33" s="36"/>
      <c r="N33" s="14"/>
      <c r="P33" s="14"/>
      <c r="Q33" s="14"/>
      <c r="R33" s="14"/>
      <c r="U33" s="36"/>
      <c r="V33" s="14"/>
      <c r="W33" s="14"/>
      <c r="X33" s="14"/>
      <c r="Y33" s="14"/>
      <c r="Z33" s="14"/>
      <c r="AA33" s="14"/>
      <c r="AB33" s="36"/>
      <c r="AC33" s="14"/>
      <c r="AD33" s="14"/>
      <c r="AE33" s="14"/>
      <c r="AF33" s="14"/>
      <c r="AG33" s="14"/>
      <c r="AH33" s="36"/>
      <c r="AI33" s="14"/>
      <c r="AJ33" s="14"/>
      <c r="AK33" s="14"/>
      <c r="AL33" s="29"/>
      <c r="AM33" s="29"/>
      <c r="AN33" s="29"/>
      <c r="AO33" s="29"/>
      <c r="AP33" s="29"/>
      <c r="AQ33" s="14"/>
      <c r="AR33" s="14"/>
      <c r="AS33" s="32"/>
      <c r="AT33" s="14"/>
      <c r="AU33" s="14"/>
      <c r="AV33" s="14"/>
    </row>
    <row r="34" spans="1:48" x14ac:dyDescent="0.25">
      <c r="A34" s="1" t="s">
        <v>0</v>
      </c>
      <c r="E34" s="3" t="s">
        <v>1</v>
      </c>
      <c r="R34" s="3"/>
    </row>
    <row r="35" spans="1:48" x14ac:dyDescent="0.25">
      <c r="A35" s="1" t="s">
        <v>35</v>
      </c>
      <c r="E35" s="74" t="s">
        <v>52</v>
      </c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</row>
    <row r="36" spans="1:48" ht="25.5" customHeight="1" x14ac:dyDescent="0.25">
      <c r="A36" s="64" t="s">
        <v>3</v>
      </c>
      <c r="B36" s="64" t="s">
        <v>4</v>
      </c>
      <c r="C36" s="64" t="s">
        <v>5</v>
      </c>
      <c r="D36" s="64" t="s">
        <v>6</v>
      </c>
      <c r="E36" s="64" t="s">
        <v>7</v>
      </c>
      <c r="F36" s="75" t="s">
        <v>8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7"/>
      <c r="AK36" s="64" t="s">
        <v>9</v>
      </c>
      <c r="AL36" s="64" t="s">
        <v>10</v>
      </c>
      <c r="AM36" s="64" t="s">
        <v>11</v>
      </c>
      <c r="AN36" s="64" t="s">
        <v>12</v>
      </c>
      <c r="AO36" s="64" t="s">
        <v>13</v>
      </c>
      <c r="AP36" s="64" t="s">
        <v>14</v>
      </c>
      <c r="AQ36" s="64" t="s">
        <v>15</v>
      </c>
      <c r="AR36" s="64" t="s">
        <v>16</v>
      </c>
      <c r="AS36" s="66" t="s">
        <v>17</v>
      </c>
      <c r="AT36" s="64" t="s">
        <v>18</v>
      </c>
    </row>
    <row r="37" spans="1:48" ht="42.75" customHeight="1" x14ac:dyDescent="0.25">
      <c r="A37" s="65"/>
      <c r="B37" s="65"/>
      <c r="C37" s="65"/>
      <c r="D37" s="65"/>
      <c r="E37" s="65"/>
      <c r="F37" s="6">
        <v>1</v>
      </c>
      <c r="G37" s="6">
        <v>2</v>
      </c>
      <c r="H37" s="6">
        <v>3</v>
      </c>
      <c r="I37" s="6">
        <v>4</v>
      </c>
      <c r="J37" s="6">
        <v>5</v>
      </c>
      <c r="K37" s="6">
        <v>6</v>
      </c>
      <c r="L37" s="6">
        <v>7</v>
      </c>
      <c r="M37" s="6">
        <v>8</v>
      </c>
      <c r="N37" s="6">
        <v>9</v>
      </c>
      <c r="O37" s="6">
        <v>10</v>
      </c>
      <c r="P37" s="6">
        <v>11</v>
      </c>
      <c r="Q37" s="6">
        <v>12</v>
      </c>
      <c r="R37" s="6">
        <v>13</v>
      </c>
      <c r="S37" s="6">
        <v>14</v>
      </c>
      <c r="T37" s="6">
        <v>15</v>
      </c>
      <c r="U37" s="6">
        <v>16</v>
      </c>
      <c r="V37" s="6">
        <v>17</v>
      </c>
      <c r="W37" s="6">
        <v>18</v>
      </c>
      <c r="X37" s="6">
        <v>19</v>
      </c>
      <c r="Y37" s="6">
        <v>20</v>
      </c>
      <c r="Z37" s="6">
        <v>21</v>
      </c>
      <c r="AA37" s="6">
        <v>22</v>
      </c>
      <c r="AB37" s="6">
        <v>23</v>
      </c>
      <c r="AC37" s="6">
        <v>24</v>
      </c>
      <c r="AD37" s="6">
        <v>25</v>
      </c>
      <c r="AE37" s="6">
        <v>26</v>
      </c>
      <c r="AF37" s="6">
        <v>27</v>
      </c>
      <c r="AG37" s="6">
        <v>28</v>
      </c>
      <c r="AH37" s="6">
        <v>29</v>
      </c>
      <c r="AI37" s="6">
        <v>30</v>
      </c>
      <c r="AJ37" s="6">
        <v>31</v>
      </c>
      <c r="AK37" s="65"/>
      <c r="AL37" s="65"/>
      <c r="AM37" s="65"/>
      <c r="AN37" s="65"/>
      <c r="AO37" s="65"/>
      <c r="AP37" s="65"/>
      <c r="AQ37" s="65"/>
      <c r="AR37" s="65"/>
      <c r="AS37" s="67"/>
      <c r="AT37" s="65"/>
    </row>
    <row r="38" spans="1:48" ht="16.5" thickBot="1" x14ac:dyDescent="0.3">
      <c r="A38" s="8">
        <v>1</v>
      </c>
      <c r="B38" s="9" t="s">
        <v>38</v>
      </c>
      <c r="C38" s="9"/>
      <c r="D38" s="9" t="s">
        <v>36</v>
      </c>
      <c r="E38" s="9" t="s">
        <v>37</v>
      </c>
      <c r="F38" s="11"/>
      <c r="G38" s="11"/>
      <c r="H38" s="11"/>
      <c r="I38" s="11">
        <v>1.7</v>
      </c>
      <c r="J38" s="11"/>
      <c r="K38" s="11"/>
      <c r="L38" s="11"/>
      <c r="M38" s="11"/>
      <c r="N38" s="11">
        <v>2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>
        <v>3</v>
      </c>
      <c r="AG38" s="11"/>
      <c r="AH38" s="11">
        <v>4</v>
      </c>
      <c r="AI38" s="11"/>
      <c r="AJ38" s="11"/>
      <c r="AK38" s="20">
        <f>SUM(F38:AJ38)</f>
        <v>10.7</v>
      </c>
      <c r="AL38" s="11"/>
      <c r="AM38" s="8"/>
      <c r="AN38" s="8"/>
      <c r="AO38" s="8"/>
      <c r="AP38" s="8"/>
      <c r="AQ38" s="38"/>
      <c r="AR38" s="10"/>
      <c r="AS38" s="12">
        <v>294</v>
      </c>
      <c r="AT38" s="13">
        <f>AS38*AK38</f>
        <v>3145.7999999999997</v>
      </c>
    </row>
    <row r="39" spans="1:48" ht="17.25" thickTop="1" thickBot="1" x14ac:dyDescent="0.3">
      <c r="A39" s="8">
        <v>2</v>
      </c>
      <c r="B39" s="9" t="s">
        <v>39</v>
      </c>
      <c r="C39" s="9"/>
      <c r="D39" s="9" t="s">
        <v>36</v>
      </c>
      <c r="E39" s="9" t="s">
        <v>37</v>
      </c>
      <c r="F39" s="11">
        <v>2</v>
      </c>
      <c r="G39" s="11"/>
      <c r="H39" s="11"/>
      <c r="I39" s="11">
        <v>1</v>
      </c>
      <c r="J39" s="11"/>
      <c r="K39" s="11"/>
      <c r="L39" s="11"/>
      <c r="M39" s="11">
        <v>2</v>
      </c>
      <c r="N39" s="11"/>
      <c r="O39" s="11">
        <v>2.5299999999999998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20">
        <f t="shared" ref="AK39:AK40" si="5">SUM(F39:AJ39)</f>
        <v>7.5299999999999994</v>
      </c>
      <c r="AL39" s="11"/>
      <c r="AM39" s="11"/>
      <c r="AN39" s="11"/>
      <c r="AO39" s="11"/>
      <c r="AP39" s="11"/>
      <c r="AQ39" s="15"/>
      <c r="AR39" s="9"/>
      <c r="AS39" s="12">
        <v>294</v>
      </c>
      <c r="AT39" s="13">
        <f t="shared" ref="AT39:AT40" si="6">AS39*AK39</f>
        <v>2213.8199999999997</v>
      </c>
    </row>
    <row r="40" spans="1:48" ht="17.25" thickTop="1" thickBot="1" x14ac:dyDescent="0.3">
      <c r="A40" s="11"/>
      <c r="B40" s="9"/>
      <c r="C40" s="17"/>
      <c r="D40" s="9"/>
      <c r="E40" s="9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20">
        <f t="shared" si="5"/>
        <v>0</v>
      </c>
      <c r="AL40" s="11"/>
      <c r="AM40" s="11"/>
      <c r="AN40" s="11"/>
      <c r="AO40" s="11"/>
      <c r="AP40" s="11"/>
      <c r="AQ40" s="15"/>
      <c r="AR40" s="9"/>
      <c r="AS40" s="12">
        <v>294</v>
      </c>
      <c r="AT40" s="13">
        <f t="shared" si="6"/>
        <v>0</v>
      </c>
    </row>
    <row r="41" spans="1:48" ht="16.5" thickTop="1" x14ac:dyDescent="0.25">
      <c r="A41" s="11"/>
      <c r="B41" s="9"/>
      <c r="C41" s="9"/>
      <c r="D41" s="9"/>
      <c r="E41" s="9"/>
      <c r="F41" s="11"/>
      <c r="G41" s="11"/>
      <c r="H41" s="11"/>
      <c r="I41" s="11"/>
      <c r="J41" s="11"/>
      <c r="K41" s="11"/>
      <c r="L41" s="11"/>
      <c r="M41" s="11"/>
      <c r="N41" s="18"/>
      <c r="O41" s="18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8"/>
      <c r="AL41" s="11"/>
      <c r="AM41" s="18"/>
      <c r="AN41" s="11"/>
      <c r="AO41" s="11"/>
      <c r="AP41" s="11"/>
      <c r="AQ41" s="15"/>
      <c r="AR41" s="9"/>
      <c r="AS41" s="9"/>
      <c r="AT41" s="19"/>
    </row>
    <row r="42" spans="1:48" ht="16.5" customHeight="1" thickBot="1" x14ac:dyDescent="0.3">
      <c r="A42" s="11"/>
      <c r="B42" s="68" t="s">
        <v>19</v>
      </c>
      <c r="C42" s="69"/>
      <c r="D42" s="69"/>
      <c r="E42" s="70"/>
      <c r="F42" s="20">
        <f t="shared" ref="F42:AM42" si="7">SUM(F38:F41)</f>
        <v>2</v>
      </c>
      <c r="G42" s="20">
        <f t="shared" si="7"/>
        <v>0</v>
      </c>
      <c r="H42" s="20">
        <f t="shared" si="7"/>
        <v>0</v>
      </c>
      <c r="I42" s="20">
        <f t="shared" si="7"/>
        <v>2.7</v>
      </c>
      <c r="J42" s="20">
        <f t="shared" si="7"/>
        <v>0</v>
      </c>
      <c r="K42" s="20">
        <f t="shared" si="7"/>
        <v>0</v>
      </c>
      <c r="L42" s="20">
        <f t="shared" si="7"/>
        <v>0</v>
      </c>
      <c r="M42" s="20">
        <f t="shared" si="7"/>
        <v>2</v>
      </c>
      <c r="N42" s="20">
        <f t="shared" si="7"/>
        <v>2</v>
      </c>
      <c r="O42" s="20">
        <f t="shared" si="7"/>
        <v>2.5299999999999998</v>
      </c>
      <c r="P42" s="20">
        <f t="shared" si="7"/>
        <v>0</v>
      </c>
      <c r="Q42" s="20">
        <f>SUM(Q38:Q41)</f>
        <v>0</v>
      </c>
      <c r="R42" s="20">
        <f t="shared" ref="R42:Y42" si="8">SUM(R38:R41)</f>
        <v>0</v>
      </c>
      <c r="S42" s="20">
        <f t="shared" si="8"/>
        <v>0</v>
      </c>
      <c r="T42" s="20">
        <f t="shared" si="8"/>
        <v>0</v>
      </c>
      <c r="U42" s="20">
        <f t="shared" si="8"/>
        <v>0</v>
      </c>
      <c r="V42" s="20">
        <f t="shared" si="8"/>
        <v>0</v>
      </c>
      <c r="W42" s="20">
        <f t="shared" si="8"/>
        <v>0</v>
      </c>
      <c r="X42" s="20">
        <f t="shared" si="8"/>
        <v>0</v>
      </c>
      <c r="Y42" s="20">
        <f t="shared" si="8"/>
        <v>0</v>
      </c>
      <c r="Z42" s="20">
        <f t="shared" si="7"/>
        <v>0</v>
      </c>
      <c r="AA42" s="20">
        <f t="shared" si="7"/>
        <v>0</v>
      </c>
      <c r="AB42" s="20">
        <f t="shared" si="7"/>
        <v>0</v>
      </c>
      <c r="AC42" s="20">
        <f t="shared" si="7"/>
        <v>0</v>
      </c>
      <c r="AD42" s="20">
        <f t="shared" si="7"/>
        <v>0</v>
      </c>
      <c r="AE42" s="20">
        <f t="shared" si="7"/>
        <v>0</v>
      </c>
      <c r="AF42" s="20">
        <f t="shared" si="7"/>
        <v>3</v>
      </c>
      <c r="AG42" s="20">
        <f t="shared" si="7"/>
        <v>0</v>
      </c>
      <c r="AH42" s="20">
        <f t="shared" si="7"/>
        <v>4</v>
      </c>
      <c r="AI42" s="20">
        <f t="shared" si="7"/>
        <v>0</v>
      </c>
      <c r="AJ42" s="20">
        <f t="shared" si="7"/>
        <v>0</v>
      </c>
      <c r="AK42" s="20">
        <f t="shared" si="7"/>
        <v>18.229999999999997</v>
      </c>
      <c r="AL42" s="20">
        <f t="shared" si="7"/>
        <v>0</v>
      </c>
      <c r="AM42" s="20">
        <f t="shared" si="7"/>
        <v>0</v>
      </c>
      <c r="AN42" s="22"/>
      <c r="AO42" s="22"/>
      <c r="AP42" s="22"/>
      <c r="AQ42" s="22"/>
      <c r="AR42" s="22"/>
      <c r="AS42" s="22">
        <f>SUM(AS38:AS41)</f>
        <v>882</v>
      </c>
      <c r="AT42" s="22">
        <f>SUM(AT38:AT41)</f>
        <v>5359.619999999999</v>
      </c>
    </row>
    <row r="43" spans="1:48" ht="16.5" thickTop="1" x14ac:dyDescent="0.25">
      <c r="A43" s="11"/>
      <c r="B43" s="9"/>
      <c r="C43" s="9"/>
      <c r="D43" s="9"/>
      <c r="E43" s="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11"/>
      <c r="AL43" s="23"/>
      <c r="AM43" s="23"/>
      <c r="AN43" s="11"/>
      <c r="AO43" s="11"/>
      <c r="AP43" s="11"/>
      <c r="AQ43" s="15"/>
      <c r="AR43" s="9"/>
      <c r="AS43" s="9"/>
      <c r="AT43" s="9"/>
    </row>
    <row r="44" spans="1:48" x14ac:dyDescent="0.25">
      <c r="A44" s="29"/>
      <c r="B44" s="30" t="s">
        <v>21</v>
      </c>
      <c r="C44" s="31"/>
      <c r="D44" s="31"/>
      <c r="E44" s="31"/>
      <c r="F44" s="14">
        <v>4.7300000000000004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</row>
    <row r="45" spans="1:48" x14ac:dyDescent="0.25">
      <c r="A45" s="29"/>
      <c r="B45" s="30" t="s">
        <v>22</v>
      </c>
      <c r="C45" s="31"/>
      <c r="D45" s="31"/>
      <c r="E45" s="31"/>
      <c r="F45" s="14"/>
      <c r="G45" s="14"/>
      <c r="H45" s="14"/>
      <c r="I45" s="14"/>
      <c r="J45" s="14"/>
      <c r="K45" s="14"/>
      <c r="L45" s="14"/>
      <c r="M45" s="14">
        <v>6.5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>
        <v>10</v>
      </c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</row>
    <row r="46" spans="1:48" x14ac:dyDescent="0.25">
      <c r="A46" s="29"/>
      <c r="B46" s="14" t="s">
        <v>23</v>
      </c>
      <c r="E46" s="14"/>
      <c r="F46" s="14">
        <f>F42</f>
        <v>2</v>
      </c>
      <c r="G46" s="14">
        <f t="shared" ref="G46:AJ46" si="9">G42</f>
        <v>0</v>
      </c>
      <c r="H46" s="14">
        <f t="shared" si="9"/>
        <v>0</v>
      </c>
      <c r="I46" s="14">
        <f>I42</f>
        <v>2.7</v>
      </c>
      <c r="J46" s="14">
        <f>J42</f>
        <v>0</v>
      </c>
      <c r="K46" s="14">
        <f>K42</f>
        <v>0</v>
      </c>
      <c r="L46" s="14">
        <f t="shared" si="9"/>
        <v>0</v>
      </c>
      <c r="M46" s="14">
        <f t="shared" si="9"/>
        <v>2</v>
      </c>
      <c r="N46" s="14">
        <f t="shared" si="9"/>
        <v>2</v>
      </c>
      <c r="O46" s="14">
        <f t="shared" si="9"/>
        <v>2.5299999999999998</v>
      </c>
      <c r="P46" s="14">
        <f>P42</f>
        <v>0</v>
      </c>
      <c r="Q46" s="14">
        <f t="shared" si="9"/>
        <v>0</v>
      </c>
      <c r="R46" s="14">
        <f t="shared" si="9"/>
        <v>0</v>
      </c>
      <c r="S46" s="14">
        <f t="shared" si="9"/>
        <v>0</v>
      </c>
      <c r="T46" s="14">
        <f t="shared" si="9"/>
        <v>0</v>
      </c>
      <c r="U46" s="14">
        <f t="shared" si="9"/>
        <v>0</v>
      </c>
      <c r="V46" s="14">
        <f t="shared" si="9"/>
        <v>0</v>
      </c>
      <c r="W46" s="14">
        <f t="shared" si="9"/>
        <v>0</v>
      </c>
      <c r="X46" s="14">
        <f t="shared" si="9"/>
        <v>0</v>
      </c>
      <c r="Y46" s="14">
        <f t="shared" si="9"/>
        <v>0</v>
      </c>
      <c r="Z46" s="14">
        <f t="shared" si="9"/>
        <v>0</v>
      </c>
      <c r="AA46" s="14">
        <f t="shared" si="9"/>
        <v>0</v>
      </c>
      <c r="AB46" s="14">
        <f t="shared" si="9"/>
        <v>0</v>
      </c>
      <c r="AC46" s="14">
        <f t="shared" si="9"/>
        <v>0</v>
      </c>
      <c r="AD46" s="14">
        <f t="shared" si="9"/>
        <v>0</v>
      </c>
      <c r="AE46" s="14">
        <f t="shared" si="9"/>
        <v>0</v>
      </c>
      <c r="AF46" s="14">
        <f t="shared" si="9"/>
        <v>3</v>
      </c>
      <c r="AG46" s="14">
        <f t="shared" si="9"/>
        <v>0</v>
      </c>
      <c r="AH46" s="14">
        <f t="shared" si="9"/>
        <v>4</v>
      </c>
      <c r="AI46" s="14">
        <f t="shared" si="9"/>
        <v>0</v>
      </c>
      <c r="AJ46" s="14">
        <f t="shared" si="9"/>
        <v>0</v>
      </c>
      <c r="AK46" s="14"/>
      <c r="AL46" s="14"/>
      <c r="AM46" s="14"/>
      <c r="AN46" s="14"/>
      <c r="AO46" s="14"/>
      <c r="AP46" s="14"/>
      <c r="AQ46" s="14"/>
      <c r="AR46" s="14"/>
      <c r="AS46" s="14"/>
      <c r="AT46" s="14"/>
    </row>
    <row r="47" spans="1:48" x14ac:dyDescent="0.25">
      <c r="A47" s="29"/>
      <c r="B47" s="14" t="s">
        <v>24</v>
      </c>
      <c r="E47" s="14"/>
      <c r="F47" s="14">
        <f>(F44+F45)-F46</f>
        <v>2.7300000000000004</v>
      </c>
      <c r="G47" s="14">
        <f>(F47+G44+G45)-G46</f>
        <v>2.7300000000000004</v>
      </c>
      <c r="H47" s="14">
        <f t="shared" ref="H47:Q47" si="10">(G47+H44+H45)-H46</f>
        <v>2.7300000000000004</v>
      </c>
      <c r="I47" s="14">
        <f>(H47+I44+I45)-I46</f>
        <v>3.0000000000000249E-2</v>
      </c>
      <c r="J47" s="14">
        <f>(I47+J44+J45)-J46</f>
        <v>3.0000000000000249E-2</v>
      </c>
      <c r="K47" s="14">
        <f>(J47+K44+K45)-K46</f>
        <v>3.0000000000000249E-2</v>
      </c>
      <c r="L47" s="14">
        <f>(K47+L44+L45)-L46</f>
        <v>3.0000000000000249E-2</v>
      </c>
      <c r="M47" s="14">
        <f t="shared" si="10"/>
        <v>4.53</v>
      </c>
      <c r="N47" s="14">
        <f t="shared" si="10"/>
        <v>2.5300000000000002</v>
      </c>
      <c r="O47" s="14">
        <f t="shared" si="10"/>
        <v>0</v>
      </c>
      <c r="P47" s="14">
        <f t="shared" si="10"/>
        <v>0</v>
      </c>
      <c r="Q47" s="14">
        <f t="shared" si="10"/>
        <v>0</v>
      </c>
      <c r="R47" s="14">
        <f>(Q47+R44+R45)-R46</f>
        <v>0</v>
      </c>
      <c r="S47" s="14">
        <f t="shared" ref="S47:AJ47" si="11">(R47+S44+S45)-S46</f>
        <v>0</v>
      </c>
      <c r="T47" s="14">
        <f t="shared" si="11"/>
        <v>0</v>
      </c>
      <c r="U47" s="14">
        <f t="shared" si="11"/>
        <v>0</v>
      </c>
      <c r="V47" s="14">
        <f t="shared" si="11"/>
        <v>0</v>
      </c>
      <c r="W47" s="14">
        <f t="shared" si="11"/>
        <v>0</v>
      </c>
      <c r="X47" s="14">
        <f t="shared" si="11"/>
        <v>0</v>
      </c>
      <c r="Y47" s="14">
        <f t="shared" si="11"/>
        <v>0</v>
      </c>
      <c r="Z47" s="14">
        <f t="shared" si="11"/>
        <v>0</v>
      </c>
      <c r="AA47" s="14">
        <f t="shared" si="11"/>
        <v>0</v>
      </c>
      <c r="AB47" s="14">
        <f t="shared" si="11"/>
        <v>0</v>
      </c>
      <c r="AC47" s="14">
        <f t="shared" si="11"/>
        <v>0</v>
      </c>
      <c r="AD47" s="14">
        <f t="shared" si="11"/>
        <v>0</v>
      </c>
      <c r="AE47" s="14">
        <f t="shared" si="11"/>
        <v>0</v>
      </c>
      <c r="AF47" s="14">
        <f t="shared" si="11"/>
        <v>7</v>
      </c>
      <c r="AG47" s="14">
        <f t="shared" si="11"/>
        <v>7</v>
      </c>
      <c r="AH47" s="14">
        <f t="shared" si="11"/>
        <v>3</v>
      </c>
      <c r="AI47" s="14">
        <f t="shared" si="11"/>
        <v>3</v>
      </c>
      <c r="AJ47" s="14">
        <f t="shared" si="11"/>
        <v>3</v>
      </c>
      <c r="AK47" s="14"/>
      <c r="AL47" s="14"/>
      <c r="AM47" s="29"/>
      <c r="AN47" s="29"/>
      <c r="AO47" s="29"/>
      <c r="AP47" s="29"/>
      <c r="AQ47" s="14"/>
      <c r="AR47" s="14"/>
      <c r="AS47" s="32"/>
      <c r="AT47" s="39">
        <f>AT42</f>
        <v>5359.619999999999</v>
      </c>
    </row>
    <row r="48" spans="1:48" x14ac:dyDescent="0.25">
      <c r="A48" s="29"/>
      <c r="B48" s="14" t="s">
        <v>2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29"/>
      <c r="AL48" s="29"/>
      <c r="AM48" s="29"/>
      <c r="AN48" s="29"/>
      <c r="AO48" s="29"/>
      <c r="AP48" s="29"/>
      <c r="AQ48" s="14"/>
      <c r="AR48" s="14"/>
      <c r="AS48" s="32"/>
      <c r="AT48" s="14"/>
    </row>
    <row r="49" spans="1:46" ht="16.5" thickBot="1" x14ac:dyDescent="0.3">
      <c r="A49" s="29"/>
      <c r="B49" s="14" t="s">
        <v>25</v>
      </c>
      <c r="C49" s="14"/>
      <c r="D49" s="14"/>
      <c r="E49" s="14">
        <v>4.7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2"/>
      <c r="AL49" s="2"/>
      <c r="AM49" s="2"/>
      <c r="AN49" s="2"/>
      <c r="AO49" s="29"/>
      <c r="AP49" s="29"/>
      <c r="AQ49" s="2" t="s">
        <v>26</v>
      </c>
      <c r="AR49" s="29"/>
      <c r="AS49" s="29"/>
      <c r="AT49" s="41">
        <f>F44*294</f>
        <v>1390.6200000000001</v>
      </c>
    </row>
    <row r="50" spans="1:46" ht="16.5" thickTop="1" x14ac:dyDescent="0.25">
      <c r="A50" s="29"/>
      <c r="B50" s="14" t="s">
        <v>27</v>
      </c>
      <c r="C50" s="14"/>
      <c r="D50" s="14"/>
      <c r="E50" s="14">
        <f>SUM(F45:AJ45)</f>
        <v>16.5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2"/>
      <c r="AL50" s="2"/>
      <c r="AM50" s="2"/>
      <c r="AN50" s="30"/>
      <c r="AO50" s="29"/>
      <c r="AP50" s="29"/>
      <c r="AQ50" s="2" t="s">
        <v>28</v>
      </c>
      <c r="AR50" s="29"/>
      <c r="AS50" s="29"/>
      <c r="AT50" s="37">
        <f>AT47-AT49</f>
        <v>3968.9999999999991</v>
      </c>
    </row>
    <row r="51" spans="1:46" x14ac:dyDescent="0.25">
      <c r="A51" s="29"/>
      <c r="B51" s="14" t="s">
        <v>29</v>
      </c>
      <c r="C51" s="14"/>
      <c r="D51" s="14"/>
      <c r="E51" s="14">
        <f>AK37+AK42</f>
        <v>18.229999999999997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29"/>
      <c r="AL51" s="29"/>
      <c r="AM51" s="29"/>
      <c r="AN51" s="29"/>
      <c r="AO51" s="29"/>
      <c r="AP51" s="29"/>
      <c r="AQ51" s="14"/>
      <c r="AR51" s="14"/>
      <c r="AS51" s="32"/>
      <c r="AT51" s="14"/>
    </row>
    <row r="52" spans="1:46" ht="16.5" thickBot="1" x14ac:dyDescent="0.3">
      <c r="A52" s="29"/>
      <c r="B52" s="14" t="s">
        <v>30</v>
      </c>
      <c r="C52" s="14"/>
      <c r="D52" s="14"/>
      <c r="E52" s="33">
        <f>E49+E50-E51</f>
        <v>2.9700000000000024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29"/>
      <c r="AL52" s="29"/>
      <c r="AM52" s="29"/>
      <c r="AN52" s="29"/>
      <c r="AO52" s="29"/>
      <c r="AP52" s="29"/>
      <c r="AQ52" s="14"/>
      <c r="AR52" s="14"/>
      <c r="AS52" s="32"/>
      <c r="AT52" s="14"/>
    </row>
    <row r="53" spans="1:46" ht="16.5" thickTop="1" x14ac:dyDescent="0.25">
      <c r="A53" s="29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29"/>
      <c r="AL53" s="29"/>
      <c r="AM53" s="29"/>
      <c r="AN53" s="29"/>
      <c r="AO53" s="29"/>
      <c r="AP53" s="29"/>
      <c r="AQ53" s="14"/>
      <c r="AR53" s="14"/>
      <c r="AS53" s="32"/>
      <c r="AT53" s="14"/>
    </row>
    <row r="54" spans="1:46" x14ac:dyDescent="0.25">
      <c r="A54" s="34"/>
      <c r="C54" s="14"/>
      <c r="D54" s="14"/>
      <c r="E54" s="35"/>
      <c r="K54" s="14"/>
      <c r="M54" s="36"/>
      <c r="N54" s="14"/>
      <c r="P54" s="14"/>
      <c r="Q54" s="14"/>
      <c r="R54" s="14"/>
      <c r="U54" s="36"/>
      <c r="V54" s="14"/>
      <c r="W54" s="14"/>
      <c r="X54" s="14"/>
      <c r="Y54" s="14"/>
      <c r="Z54" s="14"/>
      <c r="AA54" s="14"/>
      <c r="AB54" s="36"/>
      <c r="AC54" s="14"/>
      <c r="AD54" s="14"/>
      <c r="AE54" s="14"/>
      <c r="AF54" s="14"/>
      <c r="AG54" s="14"/>
      <c r="AH54" s="36"/>
      <c r="AI54" s="14"/>
      <c r="AJ54" s="14"/>
      <c r="AK54" s="14"/>
      <c r="AL54" s="29"/>
      <c r="AM54" s="29"/>
      <c r="AN54" s="29"/>
      <c r="AO54" s="29"/>
      <c r="AP54" s="29"/>
      <c r="AQ54" s="14"/>
      <c r="AR54" s="14"/>
      <c r="AS54" s="32"/>
      <c r="AT54" s="14"/>
    </row>
    <row r="55" spans="1:46" x14ac:dyDescent="0.25">
      <c r="A55" s="14"/>
      <c r="C55" s="14"/>
      <c r="D55" s="14"/>
      <c r="E55" s="35"/>
      <c r="K55" s="14"/>
      <c r="M55" s="36"/>
      <c r="N55" s="14"/>
      <c r="P55" s="14"/>
      <c r="Q55" s="14"/>
      <c r="R55" s="14"/>
      <c r="U55" s="36"/>
      <c r="V55" s="14"/>
      <c r="W55" s="14"/>
      <c r="X55" s="14"/>
      <c r="Y55" s="14"/>
      <c r="Z55" s="14"/>
      <c r="AA55" s="14"/>
      <c r="AB55" s="36"/>
      <c r="AC55" s="14"/>
      <c r="AD55" s="14"/>
      <c r="AE55" s="14"/>
      <c r="AF55" s="14"/>
      <c r="AG55" s="14"/>
      <c r="AH55" s="36"/>
      <c r="AI55" s="14"/>
      <c r="AJ55" s="14"/>
      <c r="AK55" s="14"/>
      <c r="AL55" s="29"/>
      <c r="AM55" s="29"/>
      <c r="AN55" s="29"/>
      <c r="AO55" s="29"/>
      <c r="AP55" s="29"/>
      <c r="AQ55" s="14"/>
      <c r="AR55" s="14"/>
      <c r="AS55" s="32"/>
      <c r="AT55" s="14"/>
    </row>
    <row r="56" spans="1:46" x14ac:dyDescent="0.25">
      <c r="A56" s="14"/>
      <c r="C56" s="14"/>
      <c r="D56" s="14"/>
      <c r="E56" s="35"/>
      <c r="K56" s="14"/>
      <c r="M56" s="36"/>
      <c r="N56" s="14"/>
      <c r="P56" s="14"/>
      <c r="Q56" s="14"/>
      <c r="R56" s="14"/>
      <c r="U56" s="36"/>
      <c r="V56" s="14"/>
      <c r="W56" s="14"/>
      <c r="X56" s="14"/>
      <c r="Y56" s="14"/>
      <c r="Z56" s="14"/>
      <c r="AA56" s="14"/>
      <c r="AB56" s="36"/>
      <c r="AC56" s="14"/>
      <c r="AD56" s="14"/>
      <c r="AE56" s="14"/>
      <c r="AF56" s="14"/>
      <c r="AG56" s="14"/>
      <c r="AH56" s="36"/>
      <c r="AI56" s="14"/>
      <c r="AJ56" s="14"/>
      <c r="AK56" s="14"/>
      <c r="AL56" s="29"/>
      <c r="AM56" s="29"/>
      <c r="AN56" s="29"/>
      <c r="AO56" s="29"/>
      <c r="AP56" s="29"/>
      <c r="AQ56" s="14"/>
      <c r="AR56" s="14"/>
      <c r="AS56" s="32"/>
      <c r="AT56" s="14"/>
    </row>
  </sheetData>
  <mergeCells count="39">
    <mergeCell ref="E1:AJ1"/>
    <mergeCell ref="E2:AJ2"/>
    <mergeCell ref="A3:A4"/>
    <mergeCell ref="B3:B4"/>
    <mergeCell ref="C3:C4"/>
    <mergeCell ref="D3:D4"/>
    <mergeCell ref="E3:E4"/>
    <mergeCell ref="F3:AJ3"/>
    <mergeCell ref="B13:E13"/>
    <mergeCell ref="AK3:AK4"/>
    <mergeCell ref="AL3:AL4"/>
    <mergeCell ref="AM3:AM4"/>
    <mergeCell ref="AN3:AN4"/>
    <mergeCell ref="AQ3:AQ4"/>
    <mergeCell ref="AR3:AR4"/>
    <mergeCell ref="AS3:AS4"/>
    <mergeCell ref="AT3:AT4"/>
    <mergeCell ref="AO3:AO4"/>
    <mergeCell ref="AP3:AP4"/>
    <mergeCell ref="B18:E18"/>
    <mergeCell ref="B19:E19"/>
    <mergeCell ref="E35:U35"/>
    <mergeCell ref="A36:A37"/>
    <mergeCell ref="B36:B37"/>
    <mergeCell ref="C36:C37"/>
    <mergeCell ref="D36:D37"/>
    <mergeCell ref="E36:E37"/>
    <mergeCell ref="F36:AJ36"/>
    <mergeCell ref="AQ36:AQ37"/>
    <mergeCell ref="AR36:AR37"/>
    <mergeCell ref="AS36:AS37"/>
    <mergeCell ref="AT36:AT37"/>
    <mergeCell ref="B42:E42"/>
    <mergeCell ref="AK36:AK37"/>
    <mergeCell ref="AL36:AL37"/>
    <mergeCell ref="AM36:AM37"/>
    <mergeCell ref="AN36:AN37"/>
    <mergeCell ref="AO36:AO37"/>
    <mergeCell ref="AP36:AP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4BD9-AA3A-482F-8E9C-14ED80F7DA1A}">
  <dimension ref="A1:AX55"/>
  <sheetViews>
    <sheetView topLeftCell="A3" zoomScale="60" zoomScaleNormal="60" workbookViewId="0">
      <selection activeCell="U24" sqref="U24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8.28515625" style="4" customWidth="1"/>
    <col min="39" max="39" width="7.28515625" style="4" customWidth="1"/>
    <col min="40" max="41" width="10.5703125" style="4" customWidth="1"/>
    <col min="42" max="42" width="10.42578125" style="4" customWidth="1"/>
    <col min="43" max="43" width="13.140625" style="2" customWidth="1"/>
    <col min="44" max="44" width="12.42578125" style="2" customWidth="1"/>
    <col min="45" max="45" width="10" style="5" customWidth="1"/>
    <col min="46" max="46" width="13.28515625" style="2" customWidth="1"/>
    <col min="47" max="16384" width="9.140625" style="2"/>
  </cols>
  <sheetData>
    <row r="1" spans="1:50" x14ac:dyDescent="0.25">
      <c r="A1" s="1" t="s">
        <v>0</v>
      </c>
      <c r="E1" s="79" t="s">
        <v>1</v>
      </c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</row>
    <row r="2" spans="1:50" x14ac:dyDescent="0.25">
      <c r="A2" s="1" t="s">
        <v>35</v>
      </c>
      <c r="E2" s="74" t="s">
        <v>60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</row>
    <row r="3" spans="1:50" ht="15.75" customHeight="1" x14ac:dyDescent="0.25">
      <c r="A3" s="64" t="s">
        <v>3</v>
      </c>
      <c r="B3" s="64" t="s">
        <v>4</v>
      </c>
      <c r="C3" s="64" t="s">
        <v>5</v>
      </c>
      <c r="D3" s="64" t="s">
        <v>6</v>
      </c>
      <c r="E3" s="64" t="s">
        <v>7</v>
      </c>
      <c r="F3" s="75" t="s">
        <v>8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7"/>
      <c r="AK3" s="64" t="s">
        <v>9</v>
      </c>
      <c r="AL3" s="64" t="s">
        <v>10</v>
      </c>
      <c r="AM3" s="64" t="s">
        <v>11</v>
      </c>
      <c r="AN3" s="64" t="s">
        <v>12</v>
      </c>
      <c r="AO3" s="64" t="s">
        <v>13</v>
      </c>
      <c r="AP3" s="64" t="s">
        <v>14</v>
      </c>
      <c r="AQ3" s="64" t="s">
        <v>15</v>
      </c>
      <c r="AR3" s="64" t="s">
        <v>16</v>
      </c>
      <c r="AS3" s="66" t="s">
        <v>17</v>
      </c>
      <c r="AT3" s="64" t="s">
        <v>18</v>
      </c>
    </row>
    <row r="4" spans="1:50" s="7" customFormat="1" ht="27" customHeight="1" x14ac:dyDescent="0.25">
      <c r="A4" s="65"/>
      <c r="B4" s="65"/>
      <c r="C4" s="65"/>
      <c r="D4" s="65"/>
      <c r="E4" s="65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65"/>
      <c r="AL4" s="65"/>
      <c r="AM4" s="65"/>
      <c r="AN4" s="65"/>
      <c r="AO4" s="65"/>
      <c r="AP4" s="78"/>
      <c r="AQ4" s="78"/>
      <c r="AR4" s="65"/>
      <c r="AS4" s="67"/>
      <c r="AT4" s="65"/>
    </row>
    <row r="5" spans="1:50" ht="16.5" thickBot="1" x14ac:dyDescent="0.3">
      <c r="A5" s="42">
        <v>1</v>
      </c>
      <c r="B5" s="9" t="s">
        <v>43</v>
      </c>
      <c r="C5" s="9" t="s">
        <v>45</v>
      </c>
      <c r="D5" s="9" t="s">
        <v>32</v>
      </c>
      <c r="E5" s="9" t="s">
        <v>33</v>
      </c>
      <c r="F5" s="11">
        <v>40</v>
      </c>
      <c r="G5" s="11"/>
      <c r="H5" s="11"/>
      <c r="I5" s="11">
        <v>30</v>
      </c>
      <c r="J5" s="11">
        <v>70</v>
      </c>
      <c r="K5" s="11"/>
      <c r="L5" s="11"/>
      <c r="M5" s="11">
        <v>40</v>
      </c>
      <c r="N5" s="11"/>
      <c r="O5" s="11">
        <v>40</v>
      </c>
      <c r="P5" s="11"/>
      <c r="Q5" s="11">
        <v>40</v>
      </c>
      <c r="R5" s="11"/>
      <c r="S5" s="11">
        <v>40</v>
      </c>
      <c r="T5" s="11"/>
      <c r="U5" s="11"/>
      <c r="V5" s="11"/>
      <c r="W5" s="11"/>
      <c r="X5" s="11"/>
      <c r="Y5" s="11"/>
      <c r="Z5" s="11">
        <v>30</v>
      </c>
      <c r="AA5" s="11">
        <v>40</v>
      </c>
      <c r="AB5" s="11">
        <v>40</v>
      </c>
      <c r="AC5" s="11"/>
      <c r="AD5" s="11"/>
      <c r="AE5" s="11">
        <v>20</v>
      </c>
      <c r="AF5" s="11">
        <v>10</v>
      </c>
      <c r="AG5" s="11">
        <v>20</v>
      </c>
      <c r="AH5" s="11"/>
      <c r="AI5" s="11"/>
      <c r="AJ5" s="11"/>
      <c r="AK5" s="20">
        <f t="shared" ref="AK5:AK10" si="0">SUM(F5:AJ5)</f>
        <v>460</v>
      </c>
      <c r="AL5" s="11"/>
      <c r="AM5" s="42"/>
      <c r="AN5" s="49">
        <v>4892.3999999999996</v>
      </c>
      <c r="AO5" s="49">
        <v>4982.2</v>
      </c>
      <c r="AP5" s="8">
        <f>AO5-AN5</f>
        <v>89.800000000000182</v>
      </c>
      <c r="AQ5" s="44">
        <f>AK5/AP5</f>
        <v>5.1224944320712593</v>
      </c>
      <c r="AR5" s="46">
        <v>4.9000000000000004</v>
      </c>
      <c r="AS5" s="9"/>
      <c r="AT5" s="13">
        <f>AS5*AK5</f>
        <v>0</v>
      </c>
      <c r="AU5" s="14"/>
      <c r="AV5" s="14"/>
    </row>
    <row r="6" spans="1:50" ht="17.25" thickTop="1" thickBot="1" x14ac:dyDescent="0.3">
      <c r="A6" s="42">
        <v>2</v>
      </c>
      <c r="B6" s="9" t="s">
        <v>49</v>
      </c>
      <c r="C6" s="17"/>
      <c r="D6" s="9" t="s">
        <v>48</v>
      </c>
      <c r="E6" s="9" t="s">
        <v>33</v>
      </c>
      <c r="F6" s="11">
        <v>30</v>
      </c>
      <c r="G6" s="11"/>
      <c r="H6" s="11">
        <v>20</v>
      </c>
      <c r="I6" s="11">
        <v>40</v>
      </c>
      <c r="J6" s="11">
        <v>20</v>
      </c>
      <c r="K6" s="11">
        <v>30</v>
      </c>
      <c r="L6" s="11"/>
      <c r="M6" s="11">
        <v>40</v>
      </c>
      <c r="N6" s="11">
        <v>30</v>
      </c>
      <c r="O6" s="11"/>
      <c r="P6" s="11">
        <v>10</v>
      </c>
      <c r="Q6" s="11">
        <v>30</v>
      </c>
      <c r="R6" s="11">
        <v>25</v>
      </c>
      <c r="S6" s="11"/>
      <c r="T6" s="11">
        <v>30</v>
      </c>
      <c r="U6" s="11">
        <v>20</v>
      </c>
      <c r="V6" s="11"/>
      <c r="W6" s="11"/>
      <c r="X6" s="11">
        <v>20</v>
      </c>
      <c r="Y6" s="11">
        <v>20</v>
      </c>
      <c r="Z6" s="11">
        <v>10</v>
      </c>
      <c r="AA6" s="11">
        <v>20</v>
      </c>
      <c r="AB6" s="11"/>
      <c r="AC6" s="11"/>
      <c r="AD6" s="11">
        <v>25</v>
      </c>
      <c r="AE6" s="11">
        <v>45.2</v>
      </c>
      <c r="AF6" s="11">
        <v>20</v>
      </c>
      <c r="AG6" s="11"/>
      <c r="AH6" s="11">
        <v>30</v>
      </c>
      <c r="AI6" s="11"/>
      <c r="AJ6" s="11"/>
      <c r="AK6" s="20">
        <f>SUM(F6:AJ6)</f>
        <v>515.20000000000005</v>
      </c>
      <c r="AL6" s="11"/>
      <c r="AM6" s="11"/>
      <c r="AN6" s="49">
        <v>422035</v>
      </c>
      <c r="AO6" s="49">
        <v>426778</v>
      </c>
      <c r="AP6" s="8">
        <f>AO6-AN6</f>
        <v>4743</v>
      </c>
      <c r="AQ6" s="44">
        <f>AP6/AK6</f>
        <v>9.2061335403726705</v>
      </c>
      <c r="AR6" s="48"/>
      <c r="AS6" s="9"/>
      <c r="AT6" s="13">
        <f>AS6*AK6</f>
        <v>0</v>
      </c>
      <c r="AU6" s="14"/>
      <c r="AV6" s="14"/>
      <c r="AX6" s="2" t="s">
        <v>2</v>
      </c>
    </row>
    <row r="7" spans="1:50" ht="17.25" thickTop="1" thickBot="1" x14ac:dyDescent="0.3">
      <c r="A7" s="42">
        <v>3</v>
      </c>
      <c r="B7" s="9" t="s">
        <v>57</v>
      </c>
      <c r="C7" s="17"/>
      <c r="D7" s="9" t="s">
        <v>58</v>
      </c>
      <c r="E7" s="9"/>
      <c r="F7" s="11"/>
      <c r="G7" s="11"/>
      <c r="H7" s="11"/>
      <c r="I7" s="11">
        <v>105</v>
      </c>
      <c r="J7" s="11"/>
      <c r="K7" s="11"/>
      <c r="L7" s="11"/>
      <c r="M7" s="11"/>
      <c r="N7" s="18"/>
      <c r="O7" s="18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>
        <v>120</v>
      </c>
      <c r="AE7" s="11"/>
      <c r="AF7" s="11"/>
      <c r="AG7" s="11"/>
      <c r="AH7" s="11"/>
      <c r="AI7" s="11"/>
      <c r="AJ7" s="11"/>
      <c r="AK7" s="20">
        <f t="shared" si="0"/>
        <v>225</v>
      </c>
      <c r="AL7" s="11"/>
      <c r="AM7" s="18"/>
      <c r="AN7" s="49"/>
      <c r="AO7" s="49"/>
      <c r="AP7" s="8"/>
      <c r="AQ7" s="44"/>
      <c r="AR7" s="48"/>
      <c r="AS7" s="9"/>
      <c r="AT7" s="19"/>
      <c r="AU7" s="14"/>
      <c r="AV7" s="14"/>
    </row>
    <row r="8" spans="1:50" ht="17.25" thickTop="1" thickBot="1" x14ac:dyDescent="0.3">
      <c r="A8" s="11"/>
      <c r="B8" s="9"/>
      <c r="C8" s="17"/>
      <c r="D8" s="9"/>
      <c r="E8" s="9"/>
      <c r="F8" s="11"/>
      <c r="G8" s="11"/>
      <c r="H8" s="11"/>
      <c r="I8" s="11"/>
      <c r="J8" s="11"/>
      <c r="K8" s="11"/>
      <c r="L8" s="11"/>
      <c r="M8" s="11"/>
      <c r="N8" s="18"/>
      <c r="O8" s="1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20">
        <f t="shared" si="0"/>
        <v>0</v>
      </c>
      <c r="AL8" s="11"/>
      <c r="AM8" s="18"/>
      <c r="AN8" s="49"/>
      <c r="AO8" s="49"/>
      <c r="AP8" s="8"/>
      <c r="AQ8" s="44"/>
      <c r="AR8" s="48"/>
      <c r="AS8" s="9"/>
      <c r="AT8" s="19"/>
      <c r="AU8" s="14"/>
      <c r="AV8" s="14"/>
    </row>
    <row r="9" spans="1:50" ht="17.25" thickTop="1" thickBot="1" x14ac:dyDescent="0.3">
      <c r="A9" s="11"/>
      <c r="B9" s="9"/>
      <c r="C9" s="17"/>
      <c r="D9" s="9"/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20">
        <f t="shared" si="0"/>
        <v>0</v>
      </c>
      <c r="AL9" s="11"/>
      <c r="AM9" s="18"/>
      <c r="AN9" s="49"/>
      <c r="AO9" s="49"/>
      <c r="AP9" s="8"/>
      <c r="AQ9" s="44"/>
      <c r="AR9" s="48"/>
      <c r="AS9" s="9"/>
      <c r="AT9" s="19"/>
      <c r="AU9" s="14"/>
      <c r="AV9" s="14"/>
    </row>
    <row r="10" spans="1:50" ht="17.25" thickTop="1" thickBot="1" x14ac:dyDescent="0.3">
      <c r="A10" s="11"/>
      <c r="B10" s="9"/>
      <c r="C10" s="17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42"/>
      <c r="AE10" s="11"/>
      <c r="AF10" s="11"/>
      <c r="AG10" s="42"/>
      <c r="AH10" s="11"/>
      <c r="AI10" s="11"/>
      <c r="AJ10" s="11"/>
      <c r="AK10" s="20">
        <f t="shared" si="0"/>
        <v>0</v>
      </c>
      <c r="AL10" s="11"/>
      <c r="AM10" s="18"/>
      <c r="AN10" s="11"/>
      <c r="AO10" s="18"/>
      <c r="AP10" s="11"/>
      <c r="AQ10" s="18"/>
      <c r="AR10" s="46"/>
      <c r="AS10" s="43"/>
      <c r="AT10" s="45"/>
      <c r="AU10" s="14"/>
      <c r="AV10" s="14"/>
    </row>
    <row r="11" spans="1:50" ht="17.25" thickTop="1" thickBot="1" x14ac:dyDescent="0.3">
      <c r="A11" s="11"/>
      <c r="B11" s="53"/>
      <c r="C11" s="54"/>
      <c r="D11" s="55"/>
      <c r="E11" s="48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11"/>
      <c r="AC11" s="11"/>
      <c r="AD11" s="11"/>
      <c r="AE11" s="11"/>
      <c r="AF11" s="11"/>
      <c r="AG11" s="11"/>
      <c r="AH11" s="11"/>
      <c r="AI11" s="11"/>
      <c r="AJ11" s="11"/>
      <c r="AK11" s="20"/>
      <c r="AL11" s="11"/>
      <c r="AM11" s="18"/>
      <c r="AN11" s="11"/>
      <c r="AO11" s="18"/>
      <c r="AP11" s="11"/>
      <c r="AQ11" s="18"/>
      <c r="AR11" s="46"/>
      <c r="AS11" s="43"/>
      <c r="AT11" s="45"/>
      <c r="AU11" s="14"/>
      <c r="AV11" s="14"/>
    </row>
    <row r="12" spans="1:50" ht="16.5" customHeight="1" thickTop="1" thickBot="1" x14ac:dyDescent="0.3">
      <c r="A12" s="11"/>
      <c r="B12" s="71" t="s">
        <v>20</v>
      </c>
      <c r="C12" s="72"/>
      <c r="D12" s="72"/>
      <c r="E12" s="73"/>
      <c r="F12" s="20">
        <f>SUM(F5:F9)</f>
        <v>70</v>
      </c>
      <c r="G12" s="20">
        <f>SUM(G5:G9)</f>
        <v>0</v>
      </c>
      <c r="H12" s="20">
        <f>SUM(H5:H9)</f>
        <v>20</v>
      </c>
      <c r="I12" s="20">
        <f>SUM(I5:I9)</f>
        <v>175</v>
      </c>
      <c r="J12" s="20">
        <f>SUM(J5:J9)</f>
        <v>90</v>
      </c>
      <c r="K12" s="20">
        <f>SUM(K5:K9)</f>
        <v>30</v>
      </c>
      <c r="L12" s="20">
        <f>SUM(L5:L9)</f>
        <v>0</v>
      </c>
      <c r="M12" s="20">
        <f>SUM(M5:M10)</f>
        <v>80</v>
      </c>
      <c r="N12" s="20">
        <f>SUM(N5:N10)</f>
        <v>30</v>
      </c>
      <c r="O12" s="20">
        <f>SUM(O5:O9)</f>
        <v>40</v>
      </c>
      <c r="P12" s="20">
        <f>SUM(P5:P9)</f>
        <v>10</v>
      </c>
      <c r="Q12" s="20">
        <f>SUM(Q5:Q9)</f>
        <v>70</v>
      </c>
      <c r="R12" s="20">
        <f>SUM(R5:R9)</f>
        <v>25</v>
      </c>
      <c r="S12" s="20">
        <f>SUM(S5:S9)</f>
        <v>40</v>
      </c>
      <c r="T12" s="20">
        <f>SUM(T5:T9)</f>
        <v>30</v>
      </c>
      <c r="U12" s="20">
        <f>SUM(U5:U9)</f>
        <v>20</v>
      </c>
      <c r="V12" s="20">
        <f>SUM(V5:V9)</f>
        <v>0</v>
      </c>
      <c r="W12" s="20">
        <f>SUM(W5:W9)</f>
        <v>0</v>
      </c>
      <c r="X12" s="20">
        <f>SUM(X5:X9)</f>
        <v>20</v>
      </c>
      <c r="Y12" s="20">
        <f>SUM(Y5:Y9)</f>
        <v>20</v>
      </c>
      <c r="Z12" s="20">
        <f>SUM(Z5:Z9)</f>
        <v>40</v>
      </c>
      <c r="AA12" s="20">
        <f>SUM(AA5:AA9)</f>
        <v>60</v>
      </c>
      <c r="AB12" s="20">
        <f>SUM(AB5:AB9)</f>
        <v>40</v>
      </c>
      <c r="AC12" s="20">
        <f>SUM(AC5:AC9)</f>
        <v>0</v>
      </c>
      <c r="AD12" s="20">
        <f>SUM(AD5:AD9)</f>
        <v>145</v>
      </c>
      <c r="AE12" s="20">
        <f>SUM(AE5:AE9)</f>
        <v>65.2</v>
      </c>
      <c r="AF12" s="20">
        <f>SUM(AF5:AF9)</f>
        <v>30</v>
      </c>
      <c r="AG12" s="20">
        <f>SUM(AG5:AG9)</f>
        <v>20</v>
      </c>
      <c r="AH12" s="20">
        <f>SUM(AH5:AH9)</f>
        <v>30</v>
      </c>
      <c r="AI12" s="20">
        <f>SUM(AI5:AI9)</f>
        <v>0</v>
      </c>
      <c r="AJ12" s="20">
        <f>SUM(AJ5:AJ9)</f>
        <v>0</v>
      </c>
      <c r="AK12" s="20">
        <f>SUM(AK5:AK11)</f>
        <v>1200.2</v>
      </c>
      <c r="AL12" s="20">
        <f>SUM(AL5:AL9)</f>
        <v>0</v>
      </c>
      <c r="AM12" s="20">
        <f>SUM(AM5:AM9)</f>
        <v>0</v>
      </c>
      <c r="AN12" s="22"/>
      <c r="AO12" s="22"/>
      <c r="AP12" s="22"/>
      <c r="AQ12" s="22"/>
      <c r="AR12" s="22"/>
      <c r="AS12" s="22">
        <f>SUM(AS5:AS9)</f>
        <v>0</v>
      </c>
      <c r="AT12" s="22">
        <f>SUM(AT5:AT9)</f>
        <v>0</v>
      </c>
      <c r="AU12" s="14"/>
      <c r="AV12" s="14"/>
    </row>
    <row r="13" spans="1:50" ht="16.5" thickTop="1" x14ac:dyDescent="0.25">
      <c r="A13" s="11"/>
      <c r="B13" s="9"/>
      <c r="C13" s="9"/>
      <c r="D13" s="9"/>
      <c r="E13" s="9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11"/>
      <c r="AL13" s="23"/>
      <c r="AM13" s="23"/>
      <c r="AN13" s="11"/>
      <c r="AO13" s="11"/>
      <c r="AP13" s="11"/>
      <c r="AQ13" s="15"/>
      <c r="AR13" s="9"/>
      <c r="AS13" s="9"/>
      <c r="AT13" s="9"/>
      <c r="AU13" s="14"/>
      <c r="AV13" s="14"/>
    </row>
    <row r="14" spans="1:50" ht="16.5" thickBot="1" x14ac:dyDescent="0.3">
      <c r="A14" s="11">
        <v>3</v>
      </c>
      <c r="B14" s="9"/>
      <c r="C14" s="9" t="s">
        <v>63</v>
      </c>
      <c r="D14" s="9"/>
      <c r="E14" s="9" t="s">
        <v>33</v>
      </c>
      <c r="F14" s="11"/>
      <c r="G14" s="11"/>
      <c r="H14" s="11"/>
      <c r="I14" s="11"/>
      <c r="J14" s="11"/>
      <c r="K14" s="11"/>
      <c r="L14" s="11"/>
      <c r="M14" s="23">
        <v>2</v>
      </c>
      <c r="N14" s="23"/>
      <c r="O14" s="23">
        <v>1</v>
      </c>
      <c r="P14" s="23"/>
      <c r="Q14" s="23">
        <v>2</v>
      </c>
      <c r="R14" s="11"/>
      <c r="S14" s="11"/>
      <c r="T14" s="11"/>
      <c r="U14" s="11"/>
      <c r="V14" s="11"/>
      <c r="W14" s="11"/>
      <c r="X14" s="23"/>
      <c r="Y14" s="23"/>
      <c r="Z14" s="23"/>
      <c r="AA14" s="23"/>
      <c r="AB14" s="23"/>
      <c r="AC14" s="11"/>
      <c r="AD14" s="11"/>
      <c r="AE14" s="11">
        <v>2</v>
      </c>
      <c r="AF14" s="11"/>
      <c r="AG14" s="24"/>
      <c r="AH14" s="24"/>
      <c r="AI14" s="24"/>
      <c r="AJ14" s="23"/>
      <c r="AK14" s="20">
        <f>SUM(F14:AJ14)</f>
        <v>7</v>
      </c>
      <c r="AL14" s="11"/>
      <c r="AM14" s="11"/>
      <c r="AN14" s="11"/>
      <c r="AO14" s="11"/>
      <c r="AP14" s="11"/>
      <c r="AQ14" s="15"/>
      <c r="AR14" s="9"/>
      <c r="AS14" s="12"/>
      <c r="AT14" s="13">
        <f>AS14*AK14</f>
        <v>0</v>
      </c>
      <c r="AU14" s="14"/>
      <c r="AV14" s="14"/>
    </row>
    <row r="15" spans="1:50" ht="17.25" thickTop="1" thickBot="1" x14ac:dyDescent="0.3">
      <c r="A15" s="11"/>
      <c r="B15" s="9"/>
      <c r="C15" s="9" t="s">
        <v>64</v>
      </c>
      <c r="D15" s="9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>
        <v>3</v>
      </c>
      <c r="AG15" s="11"/>
      <c r="AH15" s="11"/>
      <c r="AI15" s="11"/>
      <c r="AJ15" s="11"/>
      <c r="AK15" s="20">
        <f>SUM(F15:AJ15)</f>
        <v>3</v>
      </c>
      <c r="AL15" s="11"/>
      <c r="AM15" s="11"/>
      <c r="AN15" s="11"/>
      <c r="AO15" s="11"/>
      <c r="AP15" s="11"/>
      <c r="AQ15" s="15"/>
      <c r="AR15" s="9"/>
      <c r="AS15" s="9"/>
      <c r="AT15" s="9"/>
      <c r="AU15" s="14"/>
      <c r="AV15" s="14"/>
    </row>
    <row r="16" spans="1:50" ht="16.5" thickTop="1" x14ac:dyDescent="0.25">
      <c r="A16" s="11"/>
      <c r="B16" s="9"/>
      <c r="C16" s="9"/>
      <c r="D16" s="9"/>
      <c r="E16" s="9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1"/>
      <c r="AO16" s="11"/>
      <c r="AP16" s="11"/>
      <c r="AQ16" s="9"/>
      <c r="AR16" s="9"/>
      <c r="AS16" s="21"/>
      <c r="AT16" s="25"/>
      <c r="AU16" s="14"/>
      <c r="AV16" s="14"/>
    </row>
    <row r="17" spans="1:48" ht="16.5" customHeight="1" thickBot="1" x14ac:dyDescent="0.3">
      <c r="A17" s="26"/>
      <c r="B17" s="68" t="s">
        <v>19</v>
      </c>
      <c r="C17" s="69"/>
      <c r="D17" s="69"/>
      <c r="E17" s="70"/>
      <c r="F17" s="27">
        <f t="shared" ref="F17:AS17" si="1">SUM(F14:F16)</f>
        <v>0</v>
      </c>
      <c r="G17" s="27">
        <f t="shared" si="1"/>
        <v>0</v>
      </c>
      <c r="H17" s="27">
        <f t="shared" si="1"/>
        <v>0</v>
      </c>
      <c r="I17" s="27">
        <f t="shared" si="1"/>
        <v>0</v>
      </c>
      <c r="J17" s="27">
        <f t="shared" si="1"/>
        <v>0</v>
      </c>
      <c r="K17" s="27">
        <f t="shared" si="1"/>
        <v>0</v>
      </c>
      <c r="L17" s="27">
        <f t="shared" si="1"/>
        <v>0</v>
      </c>
      <c r="M17" s="27">
        <f t="shared" si="1"/>
        <v>2</v>
      </c>
      <c r="N17" s="27">
        <f t="shared" si="1"/>
        <v>0</v>
      </c>
      <c r="O17" s="27">
        <f t="shared" si="1"/>
        <v>1</v>
      </c>
      <c r="P17" s="27">
        <f t="shared" si="1"/>
        <v>0</v>
      </c>
      <c r="Q17" s="27">
        <f t="shared" si="1"/>
        <v>2</v>
      </c>
      <c r="R17" s="27">
        <f t="shared" si="1"/>
        <v>0</v>
      </c>
      <c r="S17" s="27">
        <f t="shared" si="1"/>
        <v>0</v>
      </c>
      <c r="T17" s="27">
        <f t="shared" si="1"/>
        <v>0</v>
      </c>
      <c r="U17" s="27">
        <f t="shared" si="1"/>
        <v>0</v>
      </c>
      <c r="V17" s="27">
        <f t="shared" si="1"/>
        <v>0</v>
      </c>
      <c r="W17" s="27">
        <f t="shared" si="1"/>
        <v>0</v>
      </c>
      <c r="X17" s="27">
        <f t="shared" si="1"/>
        <v>0</v>
      </c>
      <c r="Y17" s="27">
        <f t="shared" si="1"/>
        <v>0</v>
      </c>
      <c r="Z17" s="27">
        <f t="shared" si="1"/>
        <v>0</v>
      </c>
      <c r="AA17" s="27">
        <f t="shared" si="1"/>
        <v>0</v>
      </c>
      <c r="AB17" s="27">
        <f t="shared" si="1"/>
        <v>0</v>
      </c>
      <c r="AC17" s="27">
        <f t="shared" si="1"/>
        <v>0</v>
      </c>
      <c r="AD17" s="27">
        <f t="shared" si="1"/>
        <v>0</v>
      </c>
      <c r="AE17" s="27">
        <f t="shared" si="1"/>
        <v>2</v>
      </c>
      <c r="AF17" s="27">
        <f t="shared" si="1"/>
        <v>3</v>
      </c>
      <c r="AG17" s="27">
        <f t="shared" si="1"/>
        <v>0</v>
      </c>
      <c r="AH17" s="27">
        <f t="shared" si="1"/>
        <v>0</v>
      </c>
      <c r="AI17" s="27">
        <f t="shared" si="1"/>
        <v>0</v>
      </c>
      <c r="AJ17" s="27">
        <f t="shared" si="1"/>
        <v>0</v>
      </c>
      <c r="AK17" s="27">
        <f t="shared" si="1"/>
        <v>10</v>
      </c>
      <c r="AL17" s="27">
        <f t="shared" si="1"/>
        <v>0</v>
      </c>
      <c r="AM17" s="27">
        <f t="shared" si="1"/>
        <v>0</v>
      </c>
      <c r="AN17" s="27">
        <f t="shared" si="1"/>
        <v>0</v>
      </c>
      <c r="AO17" s="27">
        <f t="shared" si="1"/>
        <v>0</v>
      </c>
      <c r="AP17" s="27">
        <f t="shared" si="1"/>
        <v>0</v>
      </c>
      <c r="AQ17" s="27">
        <f t="shared" si="1"/>
        <v>0</v>
      </c>
      <c r="AR17" s="27">
        <f t="shared" si="1"/>
        <v>0</v>
      </c>
      <c r="AS17" s="27">
        <f t="shared" si="1"/>
        <v>0</v>
      </c>
      <c r="AT17" s="28">
        <f>SUM(AT14:AT16)</f>
        <v>0</v>
      </c>
      <c r="AU17" s="14"/>
      <c r="AV17" s="14"/>
    </row>
    <row r="18" spans="1:48" ht="16.5" thickTop="1" x14ac:dyDescent="0.25">
      <c r="A18" s="29"/>
      <c r="B18" s="71"/>
      <c r="C18" s="72"/>
      <c r="D18" s="72"/>
      <c r="E18" s="7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x14ac:dyDescent="0.25">
      <c r="A19" s="29"/>
      <c r="B19" s="30" t="s">
        <v>21</v>
      </c>
      <c r="C19" s="31"/>
      <c r="D19" s="31"/>
      <c r="E19" s="31"/>
      <c r="F19" s="14">
        <v>120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x14ac:dyDescent="0.25">
      <c r="A20" s="29"/>
      <c r="B20" s="30" t="s">
        <v>22</v>
      </c>
      <c r="C20" s="31"/>
      <c r="D20" s="31"/>
      <c r="E20" s="31"/>
      <c r="F20" s="14"/>
      <c r="G20" s="14"/>
      <c r="H20" s="14"/>
      <c r="I20" s="14">
        <v>265</v>
      </c>
      <c r="J20" s="14"/>
      <c r="K20" s="14"/>
      <c r="L20" s="14"/>
      <c r="M20" s="14">
        <v>155</v>
      </c>
      <c r="N20" s="14"/>
      <c r="O20" s="14"/>
      <c r="P20" s="14"/>
      <c r="Q20" s="14">
        <v>145</v>
      </c>
      <c r="R20" s="14"/>
      <c r="S20" s="14">
        <v>50</v>
      </c>
      <c r="T20" s="14"/>
      <c r="U20" s="14"/>
      <c r="V20" s="14"/>
      <c r="W20" s="14"/>
      <c r="X20" s="14"/>
      <c r="Y20" s="14">
        <v>80</v>
      </c>
      <c r="Z20" s="14"/>
      <c r="AA20" s="14">
        <v>100</v>
      </c>
      <c r="AB20" s="14"/>
      <c r="AC20" s="14"/>
      <c r="AD20" s="14">
        <v>245.2</v>
      </c>
      <c r="AE20" s="14"/>
      <c r="AF20" s="14"/>
      <c r="AG20" s="14">
        <v>70</v>
      </c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x14ac:dyDescent="0.25">
      <c r="A21" s="29"/>
      <c r="B21" s="14" t="s">
        <v>23</v>
      </c>
      <c r="E21" s="14"/>
      <c r="F21" s="14">
        <f>F12+F17</f>
        <v>70</v>
      </c>
      <c r="G21" s="14">
        <f>G12+G17</f>
        <v>0</v>
      </c>
      <c r="H21" s="14">
        <f t="shared" ref="H21:AJ21" si="2">H12+H17</f>
        <v>20</v>
      </c>
      <c r="I21" s="14">
        <f t="shared" si="2"/>
        <v>175</v>
      </c>
      <c r="J21" s="14">
        <f t="shared" si="2"/>
        <v>90</v>
      </c>
      <c r="K21" s="14">
        <f t="shared" si="2"/>
        <v>30</v>
      </c>
      <c r="L21" s="14">
        <f t="shared" si="2"/>
        <v>0</v>
      </c>
      <c r="M21" s="14">
        <f t="shared" si="2"/>
        <v>82</v>
      </c>
      <c r="N21" s="14">
        <f t="shared" si="2"/>
        <v>30</v>
      </c>
      <c r="O21" s="14">
        <f t="shared" si="2"/>
        <v>41</v>
      </c>
      <c r="P21" s="14">
        <f>P12+P17</f>
        <v>10</v>
      </c>
      <c r="Q21" s="14">
        <f t="shared" si="2"/>
        <v>72</v>
      </c>
      <c r="R21" s="14">
        <f t="shared" si="2"/>
        <v>25</v>
      </c>
      <c r="S21" s="14">
        <f t="shared" si="2"/>
        <v>40</v>
      </c>
      <c r="T21" s="14">
        <f t="shared" si="2"/>
        <v>30</v>
      </c>
      <c r="U21" s="14">
        <f t="shared" si="2"/>
        <v>20</v>
      </c>
      <c r="V21" s="14">
        <f t="shared" si="2"/>
        <v>0</v>
      </c>
      <c r="W21" s="14">
        <f t="shared" si="2"/>
        <v>0</v>
      </c>
      <c r="X21" s="14">
        <f t="shared" si="2"/>
        <v>20</v>
      </c>
      <c r="Y21" s="14">
        <f t="shared" si="2"/>
        <v>20</v>
      </c>
      <c r="Z21" s="14">
        <f t="shared" si="2"/>
        <v>40</v>
      </c>
      <c r="AA21" s="14">
        <f t="shared" si="2"/>
        <v>60</v>
      </c>
      <c r="AB21" s="14">
        <f t="shared" si="2"/>
        <v>40</v>
      </c>
      <c r="AC21" s="14">
        <f t="shared" si="2"/>
        <v>0</v>
      </c>
      <c r="AD21" s="14">
        <f t="shared" si="2"/>
        <v>145</v>
      </c>
      <c r="AE21" s="14">
        <f t="shared" si="2"/>
        <v>67.2</v>
      </c>
      <c r="AF21" s="14">
        <f t="shared" si="2"/>
        <v>33</v>
      </c>
      <c r="AG21" s="14">
        <f t="shared" si="2"/>
        <v>20</v>
      </c>
      <c r="AH21" s="14">
        <f t="shared" si="2"/>
        <v>30</v>
      </c>
      <c r="AI21" s="14">
        <f t="shared" si="2"/>
        <v>0</v>
      </c>
      <c r="AJ21" s="14">
        <f t="shared" si="2"/>
        <v>0</v>
      </c>
      <c r="AK21" s="14"/>
      <c r="AL21" s="14"/>
      <c r="AM21" s="14"/>
      <c r="AN21" s="14"/>
      <c r="AO21" s="14"/>
      <c r="AP21" s="14"/>
      <c r="AQ21" s="14"/>
      <c r="AR21" s="14"/>
      <c r="AS21" s="14"/>
      <c r="AT21" s="39">
        <f>AT12+AT17</f>
        <v>0</v>
      </c>
      <c r="AU21" s="14" t="s">
        <v>2</v>
      </c>
      <c r="AV21" s="14" t="s">
        <v>2</v>
      </c>
    </row>
    <row r="22" spans="1:48" x14ac:dyDescent="0.25">
      <c r="A22" s="29"/>
      <c r="B22" s="14" t="s">
        <v>24</v>
      </c>
      <c r="E22" s="14"/>
      <c r="F22" s="14">
        <f>(F19+F20)-F21</f>
        <v>50</v>
      </c>
      <c r="G22" s="14">
        <f>(F22+G19+G20)-G21</f>
        <v>50</v>
      </c>
      <c r="H22" s="14">
        <f t="shared" ref="H22:AJ22" si="3">(G22+H19+H20)-H21</f>
        <v>30</v>
      </c>
      <c r="I22" s="14">
        <f t="shared" si="3"/>
        <v>120</v>
      </c>
      <c r="J22" s="14">
        <f t="shared" si="3"/>
        <v>30</v>
      </c>
      <c r="K22" s="14">
        <f t="shared" si="3"/>
        <v>0</v>
      </c>
      <c r="L22" s="14">
        <f t="shared" si="3"/>
        <v>0</v>
      </c>
      <c r="M22" s="14">
        <f t="shared" si="3"/>
        <v>73</v>
      </c>
      <c r="N22" s="14">
        <f t="shared" si="3"/>
        <v>43</v>
      </c>
      <c r="O22" s="14">
        <f>(N22+O19+O20)-O21</f>
        <v>2</v>
      </c>
      <c r="P22" s="14">
        <f>(O22+P19+P20)-P21</f>
        <v>-8</v>
      </c>
      <c r="Q22" s="14">
        <f t="shared" si="3"/>
        <v>65</v>
      </c>
      <c r="R22" s="14">
        <f t="shared" si="3"/>
        <v>40</v>
      </c>
      <c r="S22" s="14">
        <f t="shared" si="3"/>
        <v>50</v>
      </c>
      <c r="T22" s="14">
        <f t="shared" si="3"/>
        <v>20</v>
      </c>
      <c r="U22" s="14">
        <f t="shared" si="3"/>
        <v>0</v>
      </c>
      <c r="V22" s="14">
        <f t="shared" si="3"/>
        <v>0</v>
      </c>
      <c r="W22" s="14">
        <f t="shared" si="3"/>
        <v>0</v>
      </c>
      <c r="X22" s="14">
        <f t="shared" si="3"/>
        <v>-20</v>
      </c>
      <c r="Y22" s="14">
        <f t="shared" si="3"/>
        <v>40</v>
      </c>
      <c r="Z22" s="14">
        <f t="shared" si="3"/>
        <v>0</v>
      </c>
      <c r="AA22" s="14">
        <f t="shared" si="3"/>
        <v>40</v>
      </c>
      <c r="AB22" s="14">
        <f t="shared" si="3"/>
        <v>0</v>
      </c>
      <c r="AC22" s="14">
        <f t="shared" si="3"/>
        <v>0</v>
      </c>
      <c r="AD22" s="14">
        <f t="shared" si="3"/>
        <v>100.19999999999999</v>
      </c>
      <c r="AE22" s="14">
        <f t="shared" si="3"/>
        <v>32.999999999999986</v>
      </c>
      <c r="AF22" s="14">
        <f t="shared" si="3"/>
        <v>0</v>
      </c>
      <c r="AG22" s="14">
        <f t="shared" si="3"/>
        <v>50</v>
      </c>
      <c r="AH22" s="14">
        <f t="shared" si="3"/>
        <v>20</v>
      </c>
      <c r="AI22" s="14">
        <f t="shared" si="3"/>
        <v>20</v>
      </c>
      <c r="AJ22" s="14">
        <f t="shared" si="3"/>
        <v>20</v>
      </c>
      <c r="AK22" s="14"/>
      <c r="AL22" s="14"/>
      <c r="AM22" s="29"/>
      <c r="AN22" s="29"/>
      <c r="AO22" s="29"/>
      <c r="AP22" s="29"/>
      <c r="AQ22" s="14"/>
      <c r="AR22" s="14"/>
      <c r="AS22" s="32"/>
      <c r="AT22" s="14"/>
      <c r="AU22" s="14"/>
      <c r="AV22" s="14"/>
    </row>
    <row r="23" spans="1:48" x14ac:dyDescent="0.25">
      <c r="A23" s="29"/>
      <c r="B23" s="14" t="s">
        <v>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29"/>
      <c r="AL23" s="29"/>
      <c r="AM23" s="29"/>
      <c r="AN23" s="29"/>
      <c r="AO23" s="29"/>
      <c r="AP23" s="29"/>
      <c r="AQ23" s="14"/>
      <c r="AR23" s="14"/>
      <c r="AS23" s="32"/>
      <c r="AT23" s="14"/>
      <c r="AU23" s="14"/>
      <c r="AV23" s="14"/>
    </row>
    <row r="24" spans="1:48" ht="16.5" thickBot="1" x14ac:dyDescent="0.3">
      <c r="A24" s="29"/>
      <c r="B24" s="14" t="s">
        <v>25</v>
      </c>
      <c r="C24" s="14"/>
      <c r="D24" s="14"/>
      <c r="E24" s="14">
        <f>F19</f>
        <v>120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2"/>
      <c r="AL24" s="2"/>
      <c r="AM24" s="2"/>
      <c r="AN24" s="2"/>
      <c r="AO24" s="29"/>
      <c r="AP24" s="29"/>
      <c r="AQ24" s="2" t="s">
        <v>26</v>
      </c>
      <c r="AR24" s="29"/>
      <c r="AS24" s="29"/>
      <c r="AT24" s="40">
        <f>F19*279</f>
        <v>33480</v>
      </c>
      <c r="AU24" s="14"/>
      <c r="AV24" s="14"/>
    </row>
    <row r="25" spans="1:48" ht="16.5" thickTop="1" x14ac:dyDescent="0.25">
      <c r="A25" s="29"/>
      <c r="B25" s="14" t="s">
        <v>27</v>
      </c>
      <c r="C25" s="14"/>
      <c r="D25" s="14"/>
      <c r="E25" s="14">
        <f>SUM(F20:AJ20)</f>
        <v>1110.2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2"/>
      <c r="AL25" s="2"/>
      <c r="AM25" s="2"/>
      <c r="AN25" s="30"/>
      <c r="AO25" s="29"/>
      <c r="AP25" s="29"/>
      <c r="AQ25" s="2" t="s">
        <v>28</v>
      </c>
      <c r="AR25" s="29"/>
      <c r="AS25" s="29"/>
      <c r="AT25" s="37">
        <f>AT21-AT24</f>
        <v>-33480</v>
      </c>
      <c r="AU25" s="14"/>
      <c r="AV25" s="14"/>
    </row>
    <row r="26" spans="1:48" x14ac:dyDescent="0.25">
      <c r="A26" s="29"/>
      <c r="B26" s="14" t="s">
        <v>29</v>
      </c>
      <c r="C26" s="14"/>
      <c r="D26" s="14"/>
      <c r="E26" s="14">
        <f>AK12+AK17</f>
        <v>1210.2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29"/>
      <c r="AL26" s="29"/>
      <c r="AM26" s="29"/>
      <c r="AN26" s="29"/>
      <c r="AO26" s="29"/>
      <c r="AP26" s="29"/>
      <c r="AQ26" s="14"/>
      <c r="AR26" s="14"/>
      <c r="AS26" s="32"/>
      <c r="AT26" s="14"/>
      <c r="AU26" s="14"/>
      <c r="AV26" s="14"/>
    </row>
    <row r="27" spans="1:48" ht="16.5" thickBot="1" x14ac:dyDescent="0.3">
      <c r="A27" s="29"/>
      <c r="B27" s="14" t="s">
        <v>30</v>
      </c>
      <c r="C27" s="14"/>
      <c r="D27" s="14"/>
      <c r="E27" s="33">
        <f>E24+E25-E26</f>
        <v>20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29"/>
      <c r="AL27" s="29"/>
      <c r="AM27" s="29"/>
      <c r="AN27" s="29"/>
      <c r="AO27" s="29"/>
      <c r="AP27" s="29"/>
      <c r="AQ27" s="14"/>
      <c r="AR27" s="14"/>
      <c r="AS27" s="32"/>
      <c r="AT27" s="14"/>
      <c r="AU27" s="14"/>
      <c r="AV27" s="14"/>
    </row>
    <row r="28" spans="1:48" ht="16.5" thickTop="1" x14ac:dyDescent="0.25">
      <c r="A28" s="29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29"/>
      <c r="AL28" s="29"/>
      <c r="AM28" s="29"/>
      <c r="AN28" s="29"/>
      <c r="AO28" s="29"/>
      <c r="AP28" s="29"/>
      <c r="AQ28" s="14"/>
      <c r="AR28" s="14"/>
      <c r="AS28" s="32"/>
      <c r="AT28" s="14"/>
      <c r="AU28" s="14"/>
      <c r="AV28" s="14"/>
    </row>
    <row r="29" spans="1:48" x14ac:dyDescent="0.25">
      <c r="A29" s="34"/>
      <c r="C29" s="14"/>
      <c r="D29" s="14"/>
      <c r="E29" s="35"/>
      <c r="K29" s="14"/>
      <c r="M29" s="36"/>
      <c r="N29" s="14"/>
      <c r="P29" s="14"/>
      <c r="Q29" s="14"/>
      <c r="R29" s="14"/>
      <c r="U29" s="36"/>
      <c r="V29" s="14"/>
      <c r="W29" s="14"/>
      <c r="X29" s="14"/>
      <c r="Y29" s="14"/>
      <c r="Z29" s="14"/>
      <c r="AA29" s="14"/>
      <c r="AB29" s="36"/>
      <c r="AC29" s="14"/>
      <c r="AD29" s="14"/>
      <c r="AE29" s="14"/>
      <c r="AF29" s="14"/>
      <c r="AG29" s="14"/>
      <c r="AH29" s="36"/>
      <c r="AI29" s="14"/>
      <c r="AJ29" s="14"/>
      <c r="AK29" s="14"/>
      <c r="AL29" s="29"/>
      <c r="AM29" s="29"/>
      <c r="AN29" s="29"/>
      <c r="AO29" s="29"/>
      <c r="AP29" s="29"/>
      <c r="AQ29" s="14"/>
      <c r="AR29" s="14"/>
      <c r="AS29" s="32"/>
      <c r="AT29" s="14"/>
      <c r="AU29" s="14"/>
      <c r="AV29" s="14"/>
    </row>
    <row r="30" spans="1:48" x14ac:dyDescent="0.25">
      <c r="A30" s="14"/>
      <c r="C30" s="14"/>
      <c r="D30" s="14"/>
      <c r="E30" s="35"/>
      <c r="K30" s="14"/>
      <c r="M30" s="36"/>
      <c r="N30" s="14"/>
      <c r="P30" s="14"/>
      <c r="Q30" s="14"/>
      <c r="R30" s="14"/>
      <c r="U30" s="36"/>
      <c r="V30" s="14"/>
      <c r="W30" s="14"/>
      <c r="X30" s="14"/>
      <c r="Y30" s="14"/>
      <c r="Z30" s="14"/>
      <c r="AA30" s="14"/>
      <c r="AB30" s="36"/>
      <c r="AC30" s="14"/>
      <c r="AD30" s="14"/>
      <c r="AE30" s="14"/>
      <c r="AF30" s="14"/>
      <c r="AG30" s="14"/>
      <c r="AH30" s="36"/>
      <c r="AI30" s="14"/>
      <c r="AJ30" s="14"/>
      <c r="AK30" s="14"/>
      <c r="AL30" s="29"/>
      <c r="AM30" s="29"/>
      <c r="AN30" s="29"/>
      <c r="AO30" s="29"/>
      <c r="AP30" s="29"/>
      <c r="AQ30" s="14"/>
      <c r="AR30" s="14"/>
      <c r="AS30" s="32"/>
      <c r="AT30" s="14"/>
      <c r="AU30" s="14"/>
      <c r="AV30" s="14"/>
    </row>
    <row r="31" spans="1:48" x14ac:dyDescent="0.25">
      <c r="A31" s="14"/>
      <c r="C31" s="14"/>
      <c r="D31" s="14"/>
      <c r="E31" s="35"/>
      <c r="K31" s="14"/>
      <c r="M31" s="36"/>
      <c r="N31" s="14"/>
      <c r="P31" s="14"/>
      <c r="Q31" s="14"/>
      <c r="R31" s="14"/>
      <c r="U31" s="36"/>
      <c r="V31" s="14"/>
      <c r="W31" s="14"/>
      <c r="X31" s="14"/>
      <c r="Y31" s="14"/>
      <c r="Z31" s="14"/>
      <c r="AA31" s="14"/>
      <c r="AB31" s="36"/>
      <c r="AC31" s="14"/>
      <c r="AD31" s="14"/>
      <c r="AE31" s="14"/>
      <c r="AF31" s="14"/>
      <c r="AG31" s="14"/>
      <c r="AH31" s="36"/>
      <c r="AI31" s="14"/>
      <c r="AJ31" s="14"/>
      <c r="AK31" s="14"/>
      <c r="AL31" s="29"/>
      <c r="AM31" s="29"/>
      <c r="AN31" s="29"/>
      <c r="AO31" s="29"/>
      <c r="AP31" s="29"/>
      <c r="AQ31" s="14"/>
      <c r="AR31" s="14"/>
      <c r="AS31" s="32"/>
      <c r="AT31" s="14"/>
      <c r="AU31" s="14"/>
      <c r="AV31" s="14"/>
    </row>
    <row r="32" spans="1:48" x14ac:dyDescent="0.25">
      <c r="A32" s="14"/>
      <c r="C32" s="14"/>
      <c r="D32" s="14"/>
      <c r="E32" s="35"/>
      <c r="K32" s="14"/>
      <c r="M32" s="36"/>
      <c r="N32" s="14"/>
      <c r="P32" s="14"/>
      <c r="Q32" s="14"/>
      <c r="R32" s="14"/>
      <c r="U32" s="36"/>
      <c r="V32" s="14"/>
      <c r="W32" s="14"/>
      <c r="X32" s="14"/>
      <c r="Y32" s="14"/>
      <c r="Z32" s="14"/>
      <c r="AA32" s="14"/>
      <c r="AB32" s="36"/>
      <c r="AC32" s="14"/>
      <c r="AD32" s="14"/>
      <c r="AE32" s="14"/>
      <c r="AF32" s="14"/>
      <c r="AG32" s="14"/>
      <c r="AH32" s="36"/>
      <c r="AI32" s="14"/>
      <c r="AJ32" s="14"/>
      <c r="AK32" s="14"/>
      <c r="AL32" s="29"/>
      <c r="AM32" s="29"/>
      <c r="AN32" s="29"/>
      <c r="AO32" s="29"/>
      <c r="AP32" s="29"/>
      <c r="AQ32" s="14"/>
      <c r="AR32" s="14"/>
      <c r="AS32" s="32"/>
      <c r="AT32" s="14"/>
      <c r="AU32" s="14"/>
      <c r="AV32" s="14"/>
    </row>
    <row r="33" spans="1:46" x14ac:dyDescent="0.25">
      <c r="A33" s="1" t="s">
        <v>0</v>
      </c>
      <c r="E33" s="3" t="s">
        <v>1</v>
      </c>
      <c r="R33" s="3"/>
    </row>
    <row r="34" spans="1:46" x14ac:dyDescent="0.25">
      <c r="A34" s="1" t="s">
        <v>35</v>
      </c>
      <c r="E34" s="74" t="s">
        <v>61</v>
      </c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</row>
    <row r="35" spans="1:46" ht="25.5" customHeight="1" x14ac:dyDescent="0.25">
      <c r="A35" s="64" t="s">
        <v>3</v>
      </c>
      <c r="B35" s="64" t="s">
        <v>4</v>
      </c>
      <c r="C35" s="64" t="s">
        <v>5</v>
      </c>
      <c r="D35" s="64" t="s">
        <v>6</v>
      </c>
      <c r="E35" s="64" t="s">
        <v>7</v>
      </c>
      <c r="F35" s="75" t="s">
        <v>8</v>
      </c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7"/>
      <c r="AK35" s="64" t="s">
        <v>9</v>
      </c>
      <c r="AL35" s="64" t="s">
        <v>10</v>
      </c>
      <c r="AM35" s="64" t="s">
        <v>11</v>
      </c>
      <c r="AN35" s="64" t="s">
        <v>12</v>
      </c>
      <c r="AO35" s="64" t="s">
        <v>13</v>
      </c>
      <c r="AP35" s="64" t="s">
        <v>14</v>
      </c>
      <c r="AQ35" s="64" t="s">
        <v>15</v>
      </c>
      <c r="AR35" s="64" t="s">
        <v>16</v>
      </c>
      <c r="AS35" s="66" t="s">
        <v>17</v>
      </c>
      <c r="AT35" s="64" t="s">
        <v>18</v>
      </c>
    </row>
    <row r="36" spans="1:46" ht="42.75" customHeight="1" x14ac:dyDescent="0.25">
      <c r="A36" s="65"/>
      <c r="B36" s="65"/>
      <c r="C36" s="65"/>
      <c r="D36" s="65"/>
      <c r="E36" s="65"/>
      <c r="F36" s="6">
        <v>1</v>
      </c>
      <c r="G36" s="6">
        <v>2</v>
      </c>
      <c r="H36" s="6">
        <v>3</v>
      </c>
      <c r="I36" s="6">
        <v>4</v>
      </c>
      <c r="J36" s="6">
        <v>5</v>
      </c>
      <c r="K36" s="6">
        <v>6</v>
      </c>
      <c r="L36" s="6">
        <v>7</v>
      </c>
      <c r="M36" s="6">
        <v>8</v>
      </c>
      <c r="N36" s="6">
        <v>9</v>
      </c>
      <c r="O36" s="6">
        <v>10</v>
      </c>
      <c r="P36" s="6">
        <v>11</v>
      </c>
      <c r="Q36" s="6">
        <v>12</v>
      </c>
      <c r="R36" s="6">
        <v>13</v>
      </c>
      <c r="S36" s="6">
        <v>14</v>
      </c>
      <c r="T36" s="6">
        <v>15</v>
      </c>
      <c r="U36" s="6">
        <v>16</v>
      </c>
      <c r="V36" s="6">
        <v>17</v>
      </c>
      <c r="W36" s="6">
        <v>18</v>
      </c>
      <c r="X36" s="6">
        <v>19</v>
      </c>
      <c r="Y36" s="6">
        <v>20</v>
      </c>
      <c r="Z36" s="6">
        <v>21</v>
      </c>
      <c r="AA36" s="6">
        <v>22</v>
      </c>
      <c r="AB36" s="6">
        <v>23</v>
      </c>
      <c r="AC36" s="6">
        <v>24</v>
      </c>
      <c r="AD36" s="6">
        <v>25</v>
      </c>
      <c r="AE36" s="6">
        <v>26</v>
      </c>
      <c r="AF36" s="6">
        <v>27</v>
      </c>
      <c r="AG36" s="6">
        <v>28</v>
      </c>
      <c r="AH36" s="6">
        <v>29</v>
      </c>
      <c r="AI36" s="6">
        <v>30</v>
      </c>
      <c r="AJ36" s="6">
        <v>31</v>
      </c>
      <c r="AK36" s="65"/>
      <c r="AL36" s="65"/>
      <c r="AM36" s="65"/>
      <c r="AN36" s="65"/>
      <c r="AO36" s="65"/>
      <c r="AP36" s="65"/>
      <c r="AQ36" s="65"/>
      <c r="AR36" s="65"/>
      <c r="AS36" s="67"/>
      <c r="AT36" s="65"/>
    </row>
    <row r="37" spans="1:46" ht="16.5" thickBot="1" x14ac:dyDescent="0.3">
      <c r="A37" s="8">
        <v>1</v>
      </c>
      <c r="B37" s="9" t="s">
        <v>38</v>
      </c>
      <c r="C37" s="9"/>
      <c r="D37" s="9" t="s">
        <v>36</v>
      </c>
      <c r="E37" s="9" t="s">
        <v>37</v>
      </c>
      <c r="F37" s="11">
        <v>3</v>
      </c>
      <c r="G37" s="11"/>
      <c r="H37" s="11">
        <v>2</v>
      </c>
      <c r="I37" s="11"/>
      <c r="J37" s="11"/>
      <c r="K37" s="11">
        <v>2</v>
      </c>
      <c r="L37" s="11"/>
      <c r="M37" s="11"/>
      <c r="N37" s="11">
        <v>4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20">
        <f>SUM(F37:AJ37)</f>
        <v>11</v>
      </c>
      <c r="AL37" s="11"/>
      <c r="AM37" s="8"/>
      <c r="AN37" s="8"/>
      <c r="AO37" s="8"/>
      <c r="AP37" s="8"/>
      <c r="AQ37" s="38"/>
      <c r="AR37" s="10"/>
      <c r="AS37" s="12">
        <v>294</v>
      </c>
      <c r="AT37" s="13">
        <f>AS37*AK37</f>
        <v>3234</v>
      </c>
    </row>
    <row r="38" spans="1:46" ht="17.25" thickTop="1" thickBot="1" x14ac:dyDescent="0.3">
      <c r="A38" s="8">
        <v>2</v>
      </c>
      <c r="B38" s="9" t="s">
        <v>39</v>
      </c>
      <c r="C38" s="9"/>
      <c r="D38" s="9" t="s">
        <v>36</v>
      </c>
      <c r="E38" s="9" t="s">
        <v>37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>
        <v>2.4</v>
      </c>
      <c r="AK38" s="20">
        <f t="shared" ref="AK38:AK39" si="4">SUM(F38:AJ38)</f>
        <v>2.4</v>
      </c>
      <c r="AL38" s="11"/>
      <c r="AM38" s="11"/>
      <c r="AN38" s="11"/>
      <c r="AO38" s="11"/>
      <c r="AP38" s="11"/>
      <c r="AQ38" s="15"/>
      <c r="AR38" s="9"/>
      <c r="AS38" s="12">
        <v>294</v>
      </c>
      <c r="AT38" s="13">
        <f t="shared" ref="AT38:AT39" si="5">AS38*AK38</f>
        <v>705.6</v>
      </c>
    </row>
    <row r="39" spans="1:46" ht="17.25" thickTop="1" thickBot="1" x14ac:dyDescent="0.3">
      <c r="A39" s="11"/>
      <c r="B39" s="9"/>
      <c r="C39" s="17"/>
      <c r="D39" s="9"/>
      <c r="E39" s="9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20">
        <f t="shared" si="4"/>
        <v>0</v>
      </c>
      <c r="AL39" s="11"/>
      <c r="AM39" s="11"/>
      <c r="AN39" s="11"/>
      <c r="AO39" s="11"/>
      <c r="AP39" s="11"/>
      <c r="AQ39" s="15"/>
      <c r="AR39" s="9"/>
      <c r="AS39" s="12">
        <v>294</v>
      </c>
      <c r="AT39" s="13">
        <f t="shared" si="5"/>
        <v>0</v>
      </c>
    </row>
    <row r="40" spans="1:46" ht="16.5" thickTop="1" x14ac:dyDescent="0.25">
      <c r="A40" s="11"/>
      <c r="B40" s="9"/>
      <c r="C40" s="9"/>
      <c r="D40" s="9"/>
      <c r="E40" s="9"/>
      <c r="F40" s="11"/>
      <c r="G40" s="11"/>
      <c r="H40" s="11"/>
      <c r="I40" s="11"/>
      <c r="J40" s="11"/>
      <c r="K40" s="11"/>
      <c r="L40" s="11"/>
      <c r="M40" s="11"/>
      <c r="N40" s="18"/>
      <c r="O40" s="18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8"/>
      <c r="AL40" s="11"/>
      <c r="AM40" s="18"/>
      <c r="AN40" s="11"/>
      <c r="AO40" s="11"/>
      <c r="AP40" s="11"/>
      <c r="AQ40" s="15"/>
      <c r="AR40" s="9"/>
      <c r="AS40" s="9"/>
      <c r="AT40" s="19"/>
    </row>
    <row r="41" spans="1:46" ht="16.5" customHeight="1" thickBot="1" x14ac:dyDescent="0.3">
      <c r="A41" s="11"/>
      <c r="B41" s="68" t="s">
        <v>19</v>
      </c>
      <c r="C41" s="69"/>
      <c r="D41" s="69"/>
      <c r="E41" s="70"/>
      <c r="F41" s="20">
        <f t="shared" ref="F41:AM41" si="6">SUM(F37:F40)</f>
        <v>3</v>
      </c>
      <c r="G41" s="20">
        <f t="shared" si="6"/>
        <v>0</v>
      </c>
      <c r="H41" s="20">
        <f t="shared" si="6"/>
        <v>2</v>
      </c>
      <c r="I41" s="20">
        <f t="shared" si="6"/>
        <v>0</v>
      </c>
      <c r="J41" s="20">
        <f t="shared" si="6"/>
        <v>0</v>
      </c>
      <c r="K41" s="20">
        <f t="shared" si="6"/>
        <v>2</v>
      </c>
      <c r="L41" s="20">
        <f t="shared" si="6"/>
        <v>0</v>
      </c>
      <c r="M41" s="20">
        <f t="shared" si="6"/>
        <v>0</v>
      </c>
      <c r="N41" s="20">
        <f t="shared" si="6"/>
        <v>4</v>
      </c>
      <c r="O41" s="20">
        <f t="shared" si="6"/>
        <v>0</v>
      </c>
      <c r="P41" s="20">
        <f t="shared" si="6"/>
        <v>0</v>
      </c>
      <c r="Q41" s="20">
        <f>SUM(Q37:Q40)</f>
        <v>0</v>
      </c>
      <c r="R41" s="20">
        <f t="shared" ref="R41:Y41" si="7">SUM(R37:R40)</f>
        <v>0</v>
      </c>
      <c r="S41" s="20">
        <f t="shared" si="7"/>
        <v>0</v>
      </c>
      <c r="T41" s="20">
        <f t="shared" si="7"/>
        <v>0</v>
      </c>
      <c r="U41" s="20">
        <f t="shared" si="7"/>
        <v>0</v>
      </c>
      <c r="V41" s="20">
        <f t="shared" si="7"/>
        <v>0</v>
      </c>
      <c r="W41" s="20">
        <f t="shared" si="7"/>
        <v>0</v>
      </c>
      <c r="X41" s="20">
        <f t="shared" si="7"/>
        <v>0</v>
      </c>
      <c r="Y41" s="20">
        <f t="shared" si="7"/>
        <v>0</v>
      </c>
      <c r="Z41" s="20">
        <f t="shared" si="6"/>
        <v>0</v>
      </c>
      <c r="AA41" s="20">
        <f t="shared" si="6"/>
        <v>0</v>
      </c>
      <c r="AB41" s="20">
        <f t="shared" si="6"/>
        <v>0</v>
      </c>
      <c r="AC41" s="20">
        <f t="shared" si="6"/>
        <v>0</v>
      </c>
      <c r="AD41" s="20">
        <f t="shared" si="6"/>
        <v>0</v>
      </c>
      <c r="AE41" s="20">
        <f t="shared" si="6"/>
        <v>0</v>
      </c>
      <c r="AF41" s="20">
        <f t="shared" si="6"/>
        <v>0</v>
      </c>
      <c r="AG41" s="20">
        <f t="shared" si="6"/>
        <v>0</v>
      </c>
      <c r="AH41" s="20">
        <f t="shared" si="6"/>
        <v>0</v>
      </c>
      <c r="AI41" s="20">
        <f t="shared" si="6"/>
        <v>0</v>
      </c>
      <c r="AJ41" s="20">
        <f t="shared" si="6"/>
        <v>2.4</v>
      </c>
      <c r="AK41" s="20">
        <f t="shared" si="6"/>
        <v>13.4</v>
      </c>
      <c r="AL41" s="20">
        <f t="shared" si="6"/>
        <v>0</v>
      </c>
      <c r="AM41" s="20">
        <f t="shared" si="6"/>
        <v>0</v>
      </c>
      <c r="AN41" s="22"/>
      <c r="AO41" s="22"/>
      <c r="AP41" s="22"/>
      <c r="AQ41" s="22"/>
      <c r="AR41" s="22"/>
      <c r="AS41" s="22">
        <f>SUM(AS37:AS40)</f>
        <v>882</v>
      </c>
      <c r="AT41" s="22">
        <f>SUM(AT37:AT40)</f>
        <v>3939.6</v>
      </c>
    </row>
    <row r="42" spans="1:46" ht="16.5" thickTop="1" x14ac:dyDescent="0.25">
      <c r="A42" s="11"/>
      <c r="B42" s="9"/>
      <c r="C42" s="9"/>
      <c r="D42" s="9"/>
      <c r="E42" s="9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11"/>
      <c r="AL42" s="23"/>
      <c r="AM42" s="23"/>
      <c r="AN42" s="11"/>
      <c r="AO42" s="11"/>
      <c r="AP42" s="11"/>
      <c r="AQ42" s="15"/>
      <c r="AR42" s="9"/>
      <c r="AS42" s="9"/>
      <c r="AT42" s="9"/>
    </row>
    <row r="43" spans="1:46" x14ac:dyDescent="0.25">
      <c r="A43" s="29"/>
      <c r="B43" s="30" t="s">
        <v>21</v>
      </c>
      <c r="C43" s="31"/>
      <c r="D43" s="31"/>
      <c r="E43" s="31"/>
      <c r="F43" s="14">
        <v>3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</row>
    <row r="44" spans="1:46" x14ac:dyDescent="0.25">
      <c r="A44" s="29"/>
      <c r="B44" s="30" t="s">
        <v>22</v>
      </c>
      <c r="C44" s="31"/>
      <c r="D44" s="31"/>
      <c r="E44" s="31"/>
      <c r="F44" s="14">
        <v>4</v>
      </c>
      <c r="G44" s="14"/>
      <c r="H44" s="14"/>
      <c r="I44" s="14"/>
      <c r="J44" s="14"/>
      <c r="K44" s="14"/>
      <c r="L44" s="14"/>
      <c r="M44" s="14">
        <v>4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>
        <v>2.4</v>
      </c>
      <c r="AK44" s="14"/>
      <c r="AL44" s="14"/>
      <c r="AM44" s="14"/>
      <c r="AN44" s="14"/>
      <c r="AO44" s="14"/>
      <c r="AP44" s="14"/>
      <c r="AQ44" s="14"/>
      <c r="AR44" s="14"/>
      <c r="AS44" s="14"/>
      <c r="AT44" s="14"/>
    </row>
    <row r="45" spans="1:46" x14ac:dyDescent="0.25">
      <c r="A45" s="29"/>
      <c r="B45" s="14" t="s">
        <v>23</v>
      </c>
      <c r="E45" s="14"/>
      <c r="F45" s="14">
        <f>F41</f>
        <v>3</v>
      </c>
      <c r="G45" s="14">
        <f t="shared" ref="G45:AJ45" si="8">G41</f>
        <v>0</v>
      </c>
      <c r="H45" s="14">
        <f t="shared" si="8"/>
        <v>2</v>
      </c>
      <c r="I45" s="14">
        <f>I41</f>
        <v>0</v>
      </c>
      <c r="J45" s="14">
        <f>J41</f>
        <v>0</v>
      </c>
      <c r="K45" s="14">
        <f>K41</f>
        <v>2</v>
      </c>
      <c r="L45" s="14">
        <f t="shared" si="8"/>
        <v>0</v>
      </c>
      <c r="M45" s="14">
        <f t="shared" si="8"/>
        <v>0</v>
      </c>
      <c r="N45" s="14">
        <f t="shared" si="8"/>
        <v>4</v>
      </c>
      <c r="O45" s="14">
        <f t="shared" si="8"/>
        <v>0</v>
      </c>
      <c r="P45" s="14">
        <f>P41</f>
        <v>0</v>
      </c>
      <c r="Q45" s="14">
        <f t="shared" si="8"/>
        <v>0</v>
      </c>
      <c r="R45" s="14">
        <f t="shared" si="8"/>
        <v>0</v>
      </c>
      <c r="S45" s="14">
        <f t="shared" si="8"/>
        <v>0</v>
      </c>
      <c r="T45" s="14">
        <f t="shared" si="8"/>
        <v>0</v>
      </c>
      <c r="U45" s="14">
        <f t="shared" si="8"/>
        <v>0</v>
      </c>
      <c r="V45" s="14">
        <f t="shared" si="8"/>
        <v>0</v>
      </c>
      <c r="W45" s="14">
        <f t="shared" si="8"/>
        <v>0</v>
      </c>
      <c r="X45" s="14">
        <f t="shared" si="8"/>
        <v>0</v>
      </c>
      <c r="Y45" s="14">
        <f t="shared" si="8"/>
        <v>0</v>
      </c>
      <c r="Z45" s="14">
        <f t="shared" si="8"/>
        <v>0</v>
      </c>
      <c r="AA45" s="14">
        <f t="shared" si="8"/>
        <v>0</v>
      </c>
      <c r="AB45" s="14">
        <f t="shared" si="8"/>
        <v>0</v>
      </c>
      <c r="AC45" s="14">
        <f t="shared" si="8"/>
        <v>0</v>
      </c>
      <c r="AD45" s="14">
        <f t="shared" si="8"/>
        <v>0</v>
      </c>
      <c r="AE45" s="14">
        <f t="shared" si="8"/>
        <v>0</v>
      </c>
      <c r="AF45" s="14">
        <f t="shared" si="8"/>
        <v>0</v>
      </c>
      <c r="AG45" s="14">
        <f t="shared" si="8"/>
        <v>0</v>
      </c>
      <c r="AH45" s="14">
        <f t="shared" si="8"/>
        <v>0</v>
      </c>
      <c r="AI45" s="14">
        <f t="shared" si="8"/>
        <v>0</v>
      </c>
      <c r="AJ45" s="14">
        <f t="shared" si="8"/>
        <v>2.4</v>
      </c>
      <c r="AK45" s="14"/>
      <c r="AL45" s="14"/>
      <c r="AM45" s="14"/>
      <c r="AN45" s="14"/>
      <c r="AO45" s="14"/>
      <c r="AP45" s="14"/>
      <c r="AQ45" s="14"/>
      <c r="AR45" s="14"/>
      <c r="AS45" s="14"/>
      <c r="AT45" s="14"/>
    </row>
    <row r="46" spans="1:46" x14ac:dyDescent="0.25">
      <c r="A46" s="29"/>
      <c r="B46" s="14" t="s">
        <v>24</v>
      </c>
      <c r="E46" s="14"/>
      <c r="F46" s="14">
        <f>(F43+F44)-F45</f>
        <v>4</v>
      </c>
      <c r="G46" s="14">
        <f>(F46+G43+G44)-G45</f>
        <v>4</v>
      </c>
      <c r="H46" s="14">
        <f t="shared" ref="H46:Q46" si="9">(G46+H43+H44)-H45</f>
        <v>2</v>
      </c>
      <c r="I46" s="14">
        <f>(H46+I43+I44)-I45</f>
        <v>2</v>
      </c>
      <c r="J46" s="14">
        <f>(I46+J43+J44)-J45</f>
        <v>2</v>
      </c>
      <c r="K46" s="14">
        <f>(J46+K43+K44)-K45</f>
        <v>0</v>
      </c>
      <c r="L46" s="14">
        <f>(K46+L43+L44)-L45</f>
        <v>0</v>
      </c>
      <c r="M46" s="14">
        <f t="shared" si="9"/>
        <v>4</v>
      </c>
      <c r="N46" s="14">
        <f t="shared" si="9"/>
        <v>0</v>
      </c>
      <c r="O46" s="14">
        <f t="shared" si="9"/>
        <v>0</v>
      </c>
      <c r="P46" s="14">
        <f t="shared" si="9"/>
        <v>0</v>
      </c>
      <c r="Q46" s="14">
        <f t="shared" si="9"/>
        <v>0</v>
      </c>
      <c r="R46" s="14">
        <f>(Q46+R43+R44)-R45</f>
        <v>0</v>
      </c>
      <c r="S46" s="14">
        <f t="shared" ref="S46:AJ46" si="10">(R46+S43+S44)-S45</f>
        <v>0</v>
      </c>
      <c r="T46" s="14">
        <f t="shared" si="10"/>
        <v>0</v>
      </c>
      <c r="U46" s="14">
        <f t="shared" si="10"/>
        <v>0</v>
      </c>
      <c r="V46" s="14">
        <f t="shared" si="10"/>
        <v>0</v>
      </c>
      <c r="W46" s="14">
        <f t="shared" si="10"/>
        <v>0</v>
      </c>
      <c r="X46" s="14">
        <f t="shared" si="10"/>
        <v>0</v>
      </c>
      <c r="Y46" s="14">
        <f t="shared" si="10"/>
        <v>0</v>
      </c>
      <c r="Z46" s="14">
        <f t="shared" si="10"/>
        <v>0</v>
      </c>
      <c r="AA46" s="14">
        <f t="shared" si="10"/>
        <v>0</v>
      </c>
      <c r="AB46" s="14">
        <f t="shared" si="10"/>
        <v>0</v>
      </c>
      <c r="AC46" s="14">
        <f t="shared" si="10"/>
        <v>0</v>
      </c>
      <c r="AD46" s="14">
        <f t="shared" si="10"/>
        <v>0</v>
      </c>
      <c r="AE46" s="14">
        <f t="shared" si="10"/>
        <v>0</v>
      </c>
      <c r="AF46" s="14">
        <f t="shared" si="10"/>
        <v>0</v>
      </c>
      <c r="AG46" s="14">
        <f t="shared" si="10"/>
        <v>0</v>
      </c>
      <c r="AH46" s="14">
        <f t="shared" si="10"/>
        <v>0</v>
      </c>
      <c r="AI46" s="14">
        <f t="shared" si="10"/>
        <v>0</v>
      </c>
      <c r="AJ46" s="14">
        <f t="shared" si="10"/>
        <v>0</v>
      </c>
      <c r="AK46" s="14"/>
      <c r="AL46" s="14"/>
      <c r="AM46" s="29"/>
      <c r="AN46" s="29"/>
      <c r="AO46" s="29"/>
      <c r="AP46" s="29"/>
      <c r="AQ46" s="14"/>
      <c r="AR46" s="14"/>
      <c r="AS46" s="32"/>
      <c r="AT46" s="39">
        <f>AT41</f>
        <v>3939.6</v>
      </c>
    </row>
    <row r="47" spans="1:46" x14ac:dyDescent="0.25">
      <c r="A47" s="29"/>
      <c r="B47" s="14" t="s">
        <v>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29"/>
      <c r="AL47" s="29"/>
      <c r="AM47" s="29"/>
      <c r="AN47" s="29"/>
      <c r="AO47" s="29"/>
      <c r="AP47" s="29"/>
      <c r="AQ47" s="14"/>
      <c r="AR47" s="14"/>
      <c r="AS47" s="32"/>
      <c r="AT47" s="14"/>
    </row>
    <row r="48" spans="1:46" ht="16.5" thickBot="1" x14ac:dyDescent="0.3">
      <c r="A48" s="29"/>
      <c r="B48" s="14" t="s">
        <v>25</v>
      </c>
      <c r="C48" s="14"/>
      <c r="D48" s="14"/>
      <c r="E48" s="14">
        <v>3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2"/>
      <c r="AL48" s="2"/>
      <c r="AM48" s="2"/>
      <c r="AN48" s="2"/>
      <c r="AO48" s="29"/>
      <c r="AP48" s="29"/>
      <c r="AQ48" s="2" t="s">
        <v>26</v>
      </c>
      <c r="AR48" s="29"/>
      <c r="AS48" s="29"/>
      <c r="AT48" s="41">
        <f>F43*294</f>
        <v>882</v>
      </c>
    </row>
    <row r="49" spans="1:46" ht="16.5" thickTop="1" x14ac:dyDescent="0.25">
      <c r="A49" s="29"/>
      <c r="B49" s="14" t="s">
        <v>27</v>
      </c>
      <c r="C49" s="14"/>
      <c r="D49" s="14"/>
      <c r="E49" s="14">
        <f>SUM(F44:AJ44)</f>
        <v>10.4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2"/>
      <c r="AL49" s="2"/>
      <c r="AM49" s="2"/>
      <c r="AN49" s="30"/>
      <c r="AO49" s="29"/>
      <c r="AP49" s="29"/>
      <c r="AQ49" s="2" t="s">
        <v>28</v>
      </c>
      <c r="AR49" s="29"/>
      <c r="AS49" s="29"/>
      <c r="AT49" s="37">
        <f>AT46-AT48</f>
        <v>3057.6</v>
      </c>
    </row>
    <row r="50" spans="1:46" x14ac:dyDescent="0.25">
      <c r="A50" s="29"/>
      <c r="B50" s="14" t="s">
        <v>29</v>
      </c>
      <c r="C50" s="14"/>
      <c r="D50" s="14"/>
      <c r="E50" s="14">
        <f>AK36+AK41</f>
        <v>13.4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29"/>
      <c r="AL50" s="29"/>
      <c r="AM50" s="29"/>
      <c r="AN50" s="29"/>
      <c r="AO50" s="29"/>
      <c r="AP50" s="29"/>
      <c r="AQ50" s="14"/>
      <c r="AR50" s="14"/>
      <c r="AS50" s="32"/>
      <c r="AT50" s="14"/>
    </row>
    <row r="51" spans="1:46" ht="16.5" thickBot="1" x14ac:dyDescent="0.3">
      <c r="A51" s="29"/>
      <c r="B51" s="14" t="s">
        <v>30</v>
      </c>
      <c r="C51" s="14"/>
      <c r="D51" s="14"/>
      <c r="E51" s="33">
        <f>E48+E49-E50</f>
        <v>0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29"/>
      <c r="AL51" s="29"/>
      <c r="AM51" s="29"/>
      <c r="AN51" s="29"/>
      <c r="AO51" s="29"/>
      <c r="AP51" s="29"/>
      <c r="AQ51" s="14"/>
      <c r="AR51" s="14"/>
      <c r="AS51" s="32"/>
      <c r="AT51" s="14"/>
    </row>
    <row r="52" spans="1:46" ht="16.5" thickTop="1" x14ac:dyDescent="0.25">
      <c r="A52" s="29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29"/>
      <c r="AL52" s="29"/>
      <c r="AM52" s="29"/>
      <c r="AN52" s="29"/>
      <c r="AO52" s="29"/>
      <c r="AP52" s="29"/>
      <c r="AQ52" s="14"/>
      <c r="AR52" s="14"/>
      <c r="AS52" s="32"/>
      <c r="AT52" s="14"/>
    </row>
    <row r="53" spans="1:46" x14ac:dyDescent="0.25">
      <c r="A53" s="34"/>
      <c r="C53" s="14"/>
      <c r="D53" s="14"/>
      <c r="E53" s="35"/>
      <c r="K53" s="14"/>
      <c r="M53" s="36"/>
      <c r="N53" s="14"/>
      <c r="P53" s="14"/>
      <c r="Q53" s="14"/>
      <c r="R53" s="14"/>
      <c r="U53" s="36"/>
      <c r="V53" s="14"/>
      <c r="W53" s="14"/>
      <c r="X53" s="14"/>
      <c r="Y53" s="14"/>
      <c r="Z53" s="14"/>
      <c r="AA53" s="14"/>
      <c r="AB53" s="36"/>
      <c r="AC53" s="14"/>
      <c r="AD53" s="14"/>
      <c r="AE53" s="14"/>
      <c r="AF53" s="14"/>
      <c r="AG53" s="14"/>
      <c r="AH53" s="36"/>
      <c r="AI53" s="14"/>
      <c r="AJ53" s="14"/>
      <c r="AK53" s="14"/>
      <c r="AL53" s="29"/>
      <c r="AM53" s="29"/>
      <c r="AN53" s="29"/>
      <c r="AO53" s="29"/>
      <c r="AP53" s="29"/>
      <c r="AQ53" s="14"/>
      <c r="AR53" s="14"/>
      <c r="AS53" s="32"/>
      <c r="AT53" s="14"/>
    </row>
    <row r="54" spans="1:46" x14ac:dyDescent="0.25">
      <c r="A54" s="14"/>
      <c r="C54" s="14"/>
      <c r="D54" s="14"/>
      <c r="E54" s="35"/>
      <c r="K54" s="14"/>
      <c r="M54" s="36"/>
      <c r="N54" s="14"/>
      <c r="P54" s="14"/>
      <c r="Q54" s="14"/>
      <c r="R54" s="14"/>
      <c r="U54" s="36"/>
      <c r="V54" s="14"/>
      <c r="W54" s="14"/>
      <c r="X54" s="14"/>
      <c r="Y54" s="14"/>
      <c r="Z54" s="14"/>
      <c r="AA54" s="14"/>
      <c r="AB54" s="36"/>
      <c r="AC54" s="14"/>
      <c r="AD54" s="14"/>
      <c r="AE54" s="14"/>
      <c r="AF54" s="14"/>
      <c r="AG54" s="14"/>
      <c r="AH54" s="36"/>
      <c r="AI54" s="14"/>
      <c r="AJ54" s="14"/>
      <c r="AK54" s="14"/>
      <c r="AL54" s="29"/>
      <c r="AM54" s="29"/>
      <c r="AN54" s="29"/>
      <c r="AO54" s="29"/>
      <c r="AP54" s="29"/>
      <c r="AQ54" s="14"/>
      <c r="AR54" s="14"/>
      <c r="AS54" s="32"/>
      <c r="AT54" s="14"/>
    </row>
    <row r="55" spans="1:46" x14ac:dyDescent="0.25">
      <c r="A55" s="14"/>
      <c r="C55" s="14"/>
      <c r="D55" s="14"/>
      <c r="E55" s="35"/>
      <c r="K55" s="14"/>
      <c r="M55" s="36"/>
      <c r="N55" s="14"/>
      <c r="P55" s="14"/>
      <c r="Q55" s="14"/>
      <c r="R55" s="14"/>
      <c r="U55" s="36"/>
      <c r="V55" s="14"/>
      <c r="W55" s="14"/>
      <c r="X55" s="14"/>
      <c r="Y55" s="14"/>
      <c r="Z55" s="14"/>
      <c r="AA55" s="14"/>
      <c r="AB55" s="36"/>
      <c r="AC55" s="14"/>
      <c r="AD55" s="14"/>
      <c r="AE55" s="14"/>
      <c r="AF55" s="14"/>
      <c r="AG55" s="14"/>
      <c r="AH55" s="36"/>
      <c r="AI55" s="14"/>
      <c r="AJ55" s="14"/>
      <c r="AK55" s="14"/>
      <c r="AL55" s="29"/>
      <c r="AM55" s="29"/>
      <c r="AN55" s="29"/>
      <c r="AO55" s="29"/>
      <c r="AP55" s="29"/>
      <c r="AQ55" s="14"/>
      <c r="AR55" s="14"/>
      <c r="AS55" s="32"/>
      <c r="AT55" s="14"/>
    </row>
  </sheetData>
  <mergeCells count="39">
    <mergeCell ref="E1:AJ1"/>
    <mergeCell ref="E2:AJ2"/>
    <mergeCell ref="A3:A4"/>
    <mergeCell ref="B3:B4"/>
    <mergeCell ref="C3:C4"/>
    <mergeCell ref="D3:D4"/>
    <mergeCell ref="E3:E4"/>
    <mergeCell ref="F3:AJ3"/>
    <mergeCell ref="B17:E17"/>
    <mergeCell ref="AK3:AK4"/>
    <mergeCell ref="AL3:AL4"/>
    <mergeCell ref="AM3:AM4"/>
    <mergeCell ref="AN3:AN4"/>
    <mergeCell ref="AQ3:AQ4"/>
    <mergeCell ref="AR3:AR4"/>
    <mergeCell ref="AS3:AS4"/>
    <mergeCell ref="AT3:AT4"/>
    <mergeCell ref="B12:E12"/>
    <mergeCell ref="AO3:AO4"/>
    <mergeCell ref="AP3:AP4"/>
    <mergeCell ref="B18:E18"/>
    <mergeCell ref="E34:U34"/>
    <mergeCell ref="A35:A36"/>
    <mergeCell ref="B35:B36"/>
    <mergeCell ref="C35:C36"/>
    <mergeCell ref="D35:D36"/>
    <mergeCell ref="E35:E36"/>
    <mergeCell ref="F35:AJ35"/>
    <mergeCell ref="AQ35:AQ36"/>
    <mergeCell ref="AR35:AR36"/>
    <mergeCell ref="AS35:AS36"/>
    <mergeCell ref="AT35:AT36"/>
    <mergeCell ref="B41:E41"/>
    <mergeCell ref="AK35:AK36"/>
    <mergeCell ref="AL35:AL36"/>
    <mergeCell ref="AM35:AM36"/>
    <mergeCell ref="AN35:AN36"/>
    <mergeCell ref="AO35:AO36"/>
    <mergeCell ref="AP35:AP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F642-F02A-4E52-9444-0D9EAB7AF46F}">
  <dimension ref="A1:AX58"/>
  <sheetViews>
    <sheetView tabSelected="1" zoomScale="60" zoomScaleNormal="60" workbookViewId="0">
      <selection activeCell="I27" sqref="I27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8.28515625" style="4" customWidth="1"/>
    <col min="39" max="39" width="7.28515625" style="4" customWidth="1"/>
    <col min="40" max="41" width="10.5703125" style="4" customWidth="1"/>
    <col min="42" max="42" width="10.42578125" style="4" customWidth="1"/>
    <col min="43" max="43" width="13.140625" style="2" customWidth="1"/>
    <col min="44" max="44" width="12.42578125" style="2" customWidth="1"/>
    <col min="45" max="45" width="10" style="5" customWidth="1"/>
    <col min="46" max="46" width="13.28515625" style="2" customWidth="1"/>
    <col min="47" max="16384" width="9.140625" style="2"/>
  </cols>
  <sheetData>
    <row r="1" spans="1:50" x14ac:dyDescent="0.25">
      <c r="A1" s="1" t="s">
        <v>0</v>
      </c>
      <c r="E1" s="79" t="s">
        <v>1</v>
      </c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</row>
    <row r="2" spans="1:50" x14ac:dyDescent="0.25">
      <c r="A2" s="1" t="s">
        <v>35</v>
      </c>
      <c r="E2" s="74" t="s">
        <v>67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</row>
    <row r="3" spans="1:50" ht="15.75" customHeight="1" x14ac:dyDescent="0.25">
      <c r="A3" s="64" t="s">
        <v>3</v>
      </c>
      <c r="B3" s="64" t="s">
        <v>4</v>
      </c>
      <c r="C3" s="64" t="s">
        <v>5</v>
      </c>
      <c r="D3" s="64" t="s">
        <v>6</v>
      </c>
      <c r="E3" s="64" t="s">
        <v>7</v>
      </c>
      <c r="F3" s="75" t="s">
        <v>8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7"/>
      <c r="AK3" s="64" t="s">
        <v>9</v>
      </c>
      <c r="AL3" s="64" t="s">
        <v>10</v>
      </c>
      <c r="AM3" s="64" t="s">
        <v>11</v>
      </c>
      <c r="AN3" s="64" t="s">
        <v>12</v>
      </c>
      <c r="AO3" s="64" t="s">
        <v>13</v>
      </c>
      <c r="AP3" s="64" t="s">
        <v>14</v>
      </c>
      <c r="AQ3" s="64" t="s">
        <v>15</v>
      </c>
      <c r="AR3" s="64" t="s">
        <v>16</v>
      </c>
      <c r="AS3" s="66" t="s">
        <v>17</v>
      </c>
      <c r="AT3" s="64" t="s">
        <v>18</v>
      </c>
    </row>
    <row r="4" spans="1:50" s="7" customFormat="1" ht="27" customHeight="1" x14ac:dyDescent="0.25">
      <c r="A4" s="65"/>
      <c r="B4" s="65"/>
      <c r="C4" s="65"/>
      <c r="D4" s="65"/>
      <c r="E4" s="65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65"/>
      <c r="AL4" s="65"/>
      <c r="AM4" s="65"/>
      <c r="AN4" s="65"/>
      <c r="AO4" s="65"/>
      <c r="AP4" s="78"/>
      <c r="AQ4" s="78"/>
      <c r="AR4" s="65"/>
      <c r="AS4" s="67"/>
      <c r="AT4" s="65"/>
    </row>
    <row r="5" spans="1:50" ht="16.5" thickBot="1" x14ac:dyDescent="0.3">
      <c r="A5" s="42">
        <v>1</v>
      </c>
      <c r="B5" s="9" t="s">
        <v>43</v>
      </c>
      <c r="C5" s="9" t="s">
        <v>45</v>
      </c>
      <c r="D5" s="9" t="s">
        <v>32</v>
      </c>
      <c r="E5" s="9" t="s">
        <v>33</v>
      </c>
      <c r="F5" s="11"/>
      <c r="G5" s="11">
        <v>20</v>
      </c>
      <c r="H5" s="11"/>
      <c r="I5" s="11">
        <v>40</v>
      </c>
      <c r="J5" s="11"/>
      <c r="K5" s="11">
        <v>40</v>
      </c>
      <c r="L5" s="11">
        <v>20</v>
      </c>
      <c r="M5" s="11"/>
      <c r="N5" s="11">
        <v>20</v>
      </c>
      <c r="O5" s="11">
        <v>40</v>
      </c>
      <c r="P5" s="11"/>
      <c r="Q5" s="11"/>
      <c r="R5" s="11">
        <v>20</v>
      </c>
      <c r="S5" s="11">
        <v>40</v>
      </c>
      <c r="T5" s="11"/>
      <c r="U5" s="11"/>
      <c r="V5" s="11">
        <v>40</v>
      </c>
      <c r="W5" s="11"/>
      <c r="X5" s="11">
        <v>40</v>
      </c>
      <c r="Y5" s="11">
        <v>20</v>
      </c>
      <c r="Z5" s="11"/>
      <c r="AA5" s="11"/>
      <c r="AB5" s="11">
        <v>60</v>
      </c>
      <c r="AC5" s="11"/>
      <c r="AD5" s="11"/>
      <c r="AE5" s="11">
        <v>40</v>
      </c>
      <c r="AF5" s="11">
        <v>40</v>
      </c>
      <c r="AG5" s="11"/>
      <c r="AH5" s="11">
        <v>40</v>
      </c>
      <c r="AI5" s="11"/>
      <c r="AJ5" s="11"/>
      <c r="AK5" s="20">
        <f t="shared" ref="AK5:AK10" si="0">SUM(F5:AJ5)</f>
        <v>520</v>
      </c>
      <c r="AL5" s="11"/>
      <c r="AM5" s="42"/>
      <c r="AN5" s="49">
        <v>4982.3999999999996</v>
      </c>
      <c r="AO5" s="49">
        <v>5051.8</v>
      </c>
      <c r="AP5" s="8">
        <f>AO5-AN5</f>
        <v>69.400000000000546</v>
      </c>
      <c r="AQ5" s="60">
        <f>AK5/AP5</f>
        <v>7.4927953890489327</v>
      </c>
      <c r="AR5" s="46">
        <v>4.9000000000000004</v>
      </c>
      <c r="AS5" s="9"/>
      <c r="AT5" s="13">
        <f>AS5*AK5</f>
        <v>0</v>
      </c>
      <c r="AU5" s="14"/>
      <c r="AV5" s="14"/>
    </row>
    <row r="6" spans="1:50" ht="17.25" thickTop="1" thickBot="1" x14ac:dyDescent="0.3">
      <c r="A6" s="42">
        <v>2</v>
      </c>
      <c r="B6" s="9" t="s">
        <v>49</v>
      </c>
      <c r="C6" s="17"/>
      <c r="D6" s="9" t="s">
        <v>48</v>
      </c>
      <c r="E6" s="9" t="s">
        <v>33</v>
      </c>
      <c r="F6" s="11">
        <v>30</v>
      </c>
      <c r="G6" s="11"/>
      <c r="H6" s="11">
        <v>30</v>
      </c>
      <c r="I6" s="11"/>
      <c r="J6" s="11">
        <v>30</v>
      </c>
      <c r="K6" s="11">
        <v>10</v>
      </c>
      <c r="L6" s="11"/>
      <c r="M6" s="11">
        <v>20</v>
      </c>
      <c r="N6" s="11"/>
      <c r="O6" s="11">
        <v>30</v>
      </c>
      <c r="P6" s="11">
        <v>20</v>
      </c>
      <c r="Q6" s="11">
        <v>30</v>
      </c>
      <c r="R6" s="11">
        <v>30</v>
      </c>
      <c r="S6" s="11">
        <v>30</v>
      </c>
      <c r="T6" s="11"/>
      <c r="U6" s="11">
        <v>30</v>
      </c>
      <c r="V6" s="11">
        <v>10</v>
      </c>
      <c r="W6" s="11">
        <v>10</v>
      </c>
      <c r="X6" s="11">
        <v>30</v>
      </c>
      <c r="Y6" s="11">
        <v>20</v>
      </c>
      <c r="Z6" s="11"/>
      <c r="AA6" s="11"/>
      <c r="AB6" s="11">
        <v>30</v>
      </c>
      <c r="AC6" s="11"/>
      <c r="AD6" s="11">
        <v>30</v>
      </c>
      <c r="AE6" s="11">
        <v>10</v>
      </c>
      <c r="AF6" s="11">
        <v>30</v>
      </c>
      <c r="AG6" s="11">
        <v>30</v>
      </c>
      <c r="AH6" s="11"/>
      <c r="AI6" s="11"/>
      <c r="AJ6" s="11"/>
      <c r="AK6" s="20">
        <f>SUM(F6:AJ6)</f>
        <v>490</v>
      </c>
      <c r="AL6" s="11"/>
      <c r="AM6" s="11"/>
      <c r="AN6" s="49">
        <v>426778</v>
      </c>
      <c r="AO6" s="49">
        <v>431290</v>
      </c>
      <c r="AP6" s="8">
        <f>AO6-AN6</f>
        <v>4512</v>
      </c>
      <c r="AQ6" s="60">
        <f>AP6/AK6</f>
        <v>9.2081632653061227</v>
      </c>
      <c r="AR6" s="48"/>
      <c r="AS6" s="9"/>
      <c r="AT6" s="13">
        <f>AS6*AK6</f>
        <v>0</v>
      </c>
      <c r="AU6" s="14"/>
      <c r="AV6" s="14"/>
      <c r="AX6" s="2" t="s">
        <v>2</v>
      </c>
    </row>
    <row r="7" spans="1:50" ht="17.25" thickTop="1" thickBot="1" x14ac:dyDescent="0.3">
      <c r="A7" s="42">
        <v>3</v>
      </c>
      <c r="B7" s="9" t="s">
        <v>57</v>
      </c>
      <c r="C7" s="17"/>
      <c r="D7" s="9" t="s">
        <v>58</v>
      </c>
      <c r="E7" s="9"/>
      <c r="F7" s="11"/>
      <c r="G7" s="11"/>
      <c r="H7" s="11"/>
      <c r="I7" s="11"/>
      <c r="J7" s="11"/>
      <c r="K7" s="11">
        <v>30</v>
      </c>
      <c r="L7" s="11"/>
      <c r="M7" s="11"/>
      <c r="N7" s="18"/>
      <c r="O7" s="18">
        <v>60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20">
        <f t="shared" si="0"/>
        <v>90</v>
      </c>
      <c r="AL7" s="11"/>
      <c r="AM7" s="18"/>
      <c r="AN7" s="49"/>
      <c r="AO7" s="49"/>
      <c r="AP7" s="8"/>
      <c r="AQ7" s="60"/>
      <c r="AR7" s="48"/>
      <c r="AS7" s="9"/>
      <c r="AT7" s="19"/>
      <c r="AU7" s="14"/>
      <c r="AV7" s="14"/>
    </row>
    <row r="8" spans="1:50" ht="17.25" thickTop="1" thickBot="1" x14ac:dyDescent="0.3">
      <c r="A8" s="42">
        <v>4</v>
      </c>
      <c r="B8" s="9" t="s">
        <v>70</v>
      </c>
      <c r="C8" s="17"/>
      <c r="D8" s="9" t="s">
        <v>74</v>
      </c>
      <c r="E8" s="9"/>
      <c r="F8" s="11"/>
      <c r="G8" s="11"/>
      <c r="H8" s="11"/>
      <c r="I8" s="11"/>
      <c r="J8" s="11"/>
      <c r="K8" s="11"/>
      <c r="L8" s="11"/>
      <c r="M8" s="11"/>
      <c r="N8" s="18"/>
      <c r="O8" s="18"/>
      <c r="P8" s="11"/>
      <c r="Q8" s="11"/>
      <c r="R8" s="11"/>
      <c r="S8" s="11"/>
      <c r="T8" s="11"/>
      <c r="U8" s="11">
        <v>15</v>
      </c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20">
        <f t="shared" si="0"/>
        <v>15</v>
      </c>
      <c r="AL8" s="11"/>
      <c r="AM8" s="18"/>
      <c r="AN8" s="49"/>
      <c r="AO8" s="49"/>
      <c r="AP8" s="8"/>
      <c r="AQ8" s="44"/>
      <c r="AR8" s="48"/>
      <c r="AS8" s="9"/>
      <c r="AT8" s="19"/>
      <c r="AU8" s="14"/>
      <c r="AV8" s="14"/>
    </row>
    <row r="9" spans="1:50" ht="17.25" thickTop="1" thickBot="1" x14ac:dyDescent="0.3">
      <c r="A9" s="42">
        <v>5</v>
      </c>
      <c r="B9" s="9"/>
      <c r="C9" s="17"/>
      <c r="D9" s="9" t="s">
        <v>71</v>
      </c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>
        <v>60</v>
      </c>
      <c r="Y9" s="11">
        <v>60</v>
      </c>
      <c r="Z9" s="11"/>
      <c r="AA9" s="11"/>
      <c r="AB9" s="11"/>
      <c r="AC9" s="11">
        <v>90</v>
      </c>
      <c r="AD9" s="11">
        <v>60</v>
      </c>
      <c r="AE9" s="11">
        <v>60</v>
      </c>
      <c r="AF9" s="11"/>
      <c r="AG9" s="11"/>
      <c r="AH9" s="11"/>
      <c r="AI9" s="11"/>
      <c r="AJ9" s="11"/>
      <c r="AK9" s="20">
        <f t="shared" si="0"/>
        <v>330</v>
      </c>
      <c r="AL9" s="11"/>
      <c r="AM9" s="18"/>
      <c r="AN9" s="49"/>
      <c r="AO9" s="49"/>
      <c r="AP9" s="8"/>
      <c r="AQ9" s="44"/>
      <c r="AR9" s="48"/>
      <c r="AS9" s="9"/>
      <c r="AT9" s="19"/>
      <c r="AU9" s="14"/>
      <c r="AV9" s="14"/>
    </row>
    <row r="10" spans="1:50" ht="17.25" thickTop="1" thickBot="1" x14ac:dyDescent="0.3">
      <c r="A10" s="42">
        <v>6</v>
      </c>
      <c r="B10" s="9"/>
      <c r="C10" s="17"/>
      <c r="D10" s="9" t="s">
        <v>73</v>
      </c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>
        <v>35</v>
      </c>
      <c r="AD10" s="11"/>
      <c r="AE10" s="11"/>
      <c r="AF10" s="11"/>
      <c r="AG10" s="11"/>
      <c r="AH10" s="11"/>
      <c r="AI10" s="11"/>
      <c r="AJ10" s="11"/>
      <c r="AK10" s="20">
        <f t="shared" si="0"/>
        <v>35</v>
      </c>
      <c r="AL10" s="11"/>
      <c r="AM10" s="18"/>
      <c r="AN10" s="11"/>
      <c r="AO10" s="18"/>
      <c r="AP10" s="11"/>
      <c r="AQ10" s="18"/>
      <c r="AR10" s="46"/>
      <c r="AS10" s="43"/>
      <c r="AT10" s="45"/>
      <c r="AU10" s="14"/>
      <c r="AV10" s="14"/>
    </row>
    <row r="11" spans="1:50" ht="17.25" thickTop="1" thickBot="1" x14ac:dyDescent="0.3">
      <c r="A11" s="42"/>
      <c r="B11" s="53"/>
      <c r="C11" s="54"/>
      <c r="D11" s="55"/>
      <c r="E11" s="4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20"/>
      <c r="AL11" s="11"/>
      <c r="AM11" s="18"/>
      <c r="AN11" s="11"/>
      <c r="AO11" s="18"/>
      <c r="AP11" s="11"/>
      <c r="AQ11" s="18"/>
      <c r="AR11" s="46"/>
      <c r="AS11" s="43"/>
      <c r="AT11" s="45"/>
      <c r="AU11" s="14"/>
      <c r="AV11" s="14"/>
    </row>
    <row r="12" spans="1:50" ht="17.25" thickTop="1" thickBot="1" x14ac:dyDescent="0.3">
      <c r="A12" s="11"/>
      <c r="B12" s="53"/>
      <c r="C12" s="54"/>
      <c r="D12" s="55"/>
      <c r="E12" s="48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11"/>
      <c r="AC12" s="11"/>
      <c r="AD12" s="11"/>
      <c r="AE12" s="11"/>
      <c r="AF12" s="11"/>
      <c r="AG12" s="11"/>
      <c r="AH12" s="11"/>
      <c r="AI12" s="11"/>
      <c r="AJ12" s="11"/>
      <c r="AK12" s="20"/>
      <c r="AL12" s="11"/>
      <c r="AM12" s="18"/>
      <c r="AN12" s="11"/>
      <c r="AO12" s="18"/>
      <c r="AP12" s="11"/>
      <c r="AQ12" s="18"/>
      <c r="AR12" s="46"/>
      <c r="AS12" s="43"/>
      <c r="AT12" s="45"/>
      <c r="AU12" s="14"/>
      <c r="AV12" s="14"/>
    </row>
    <row r="13" spans="1:50" ht="16.5" customHeight="1" thickTop="1" thickBot="1" x14ac:dyDescent="0.3">
      <c r="A13" s="11"/>
      <c r="B13" s="71" t="s">
        <v>20</v>
      </c>
      <c r="C13" s="72"/>
      <c r="D13" s="72"/>
      <c r="E13" s="73"/>
      <c r="F13" s="20">
        <f>SUM(F5:F9)</f>
        <v>30</v>
      </c>
      <c r="G13" s="20">
        <f>SUM(G5:G9)</f>
        <v>20</v>
      </c>
      <c r="H13" s="20">
        <f>SUM(H5:H9)</f>
        <v>30</v>
      </c>
      <c r="I13" s="20">
        <f>SUM(I5:I9)</f>
        <v>40</v>
      </c>
      <c r="J13" s="20">
        <f>SUM(J5:J9)</f>
        <v>30</v>
      </c>
      <c r="K13" s="20">
        <f>SUM(K5:K9)</f>
        <v>80</v>
      </c>
      <c r="L13" s="20">
        <f>SUM(L5:L9)</f>
        <v>20</v>
      </c>
      <c r="M13" s="20">
        <f>SUM(M5:M10)</f>
        <v>20</v>
      </c>
      <c r="N13" s="20">
        <f>SUM(N5:N10)</f>
        <v>20</v>
      </c>
      <c r="O13" s="20">
        <f>SUM(O5:O9)</f>
        <v>130</v>
      </c>
      <c r="P13" s="20">
        <f>SUM(P5:P9)</f>
        <v>20</v>
      </c>
      <c r="Q13" s="20">
        <f>SUM(Q5:Q9)</f>
        <v>30</v>
      </c>
      <c r="R13" s="20">
        <f>SUM(R5:R9)</f>
        <v>50</v>
      </c>
      <c r="S13" s="20">
        <f>SUM(S5:S9)</f>
        <v>70</v>
      </c>
      <c r="T13" s="20">
        <f>SUM(T5:T9)</f>
        <v>0</v>
      </c>
      <c r="U13" s="20">
        <f>SUM(U5:U9)</f>
        <v>45</v>
      </c>
      <c r="V13" s="20">
        <f>SUM(V5:V9)</f>
        <v>50</v>
      </c>
      <c r="W13" s="20">
        <f>SUM(W5:W9)</f>
        <v>10</v>
      </c>
      <c r="X13" s="20">
        <f>SUM(X5:X9)</f>
        <v>130</v>
      </c>
      <c r="Y13" s="20">
        <f>SUM(Y5:Y9)</f>
        <v>100</v>
      </c>
      <c r="Z13" s="20">
        <f>SUM(Z5:Z9)</f>
        <v>0</v>
      </c>
      <c r="AA13" s="20">
        <f>SUM(AA5:AA9)</f>
        <v>0</v>
      </c>
      <c r="AB13" s="20">
        <f>SUM(AB5:AB9)</f>
        <v>90</v>
      </c>
      <c r="AC13" s="20">
        <f>SUM(AC5:AC10)</f>
        <v>125</v>
      </c>
      <c r="AD13" s="20">
        <f>SUM(AD5:AD9)</f>
        <v>90</v>
      </c>
      <c r="AE13" s="20">
        <f>SUM(AE5:AE9)</f>
        <v>110</v>
      </c>
      <c r="AF13" s="20">
        <f>SUM(AF5:AF9)</f>
        <v>70</v>
      </c>
      <c r="AG13" s="20">
        <f>SUM(AG5:AG9)</f>
        <v>30</v>
      </c>
      <c r="AH13" s="20">
        <f>SUM(AH5:AH9)</f>
        <v>40</v>
      </c>
      <c r="AI13" s="20">
        <f>SUM(AI5:AI9)</f>
        <v>0</v>
      </c>
      <c r="AJ13" s="20">
        <f>SUM(AJ5:AJ9)</f>
        <v>0</v>
      </c>
      <c r="AK13" s="20">
        <f>SUM(AK5:AK12)</f>
        <v>1480</v>
      </c>
      <c r="AL13" s="20">
        <f>SUM(AL5:AL9)</f>
        <v>0</v>
      </c>
      <c r="AM13" s="20">
        <f>SUM(AM5:AM9)</f>
        <v>0</v>
      </c>
      <c r="AN13" s="22"/>
      <c r="AO13" s="22"/>
      <c r="AP13" s="22"/>
      <c r="AQ13" s="22"/>
      <c r="AR13" s="22"/>
      <c r="AS13" s="22">
        <f>SUM(AS5:AS9)</f>
        <v>0</v>
      </c>
      <c r="AT13" s="22">
        <f>SUM(AT5:AT9)</f>
        <v>0</v>
      </c>
      <c r="AU13" s="14"/>
      <c r="AV13" s="14"/>
    </row>
    <row r="14" spans="1:50" ht="16.5" thickTop="1" x14ac:dyDescent="0.25">
      <c r="A14" s="11"/>
      <c r="B14" s="9"/>
      <c r="C14" s="9"/>
      <c r="D14" s="9"/>
      <c r="E14" s="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11"/>
      <c r="AL14" s="23"/>
      <c r="AM14" s="23"/>
      <c r="AN14" s="11"/>
      <c r="AO14" s="11"/>
      <c r="AP14" s="11"/>
      <c r="AQ14" s="15"/>
      <c r="AR14" s="9"/>
      <c r="AS14" s="9"/>
      <c r="AT14" s="9"/>
      <c r="AU14" s="14"/>
      <c r="AV14" s="14"/>
    </row>
    <row r="15" spans="1:50" ht="16.5" thickBot="1" x14ac:dyDescent="0.3">
      <c r="A15" s="11">
        <v>3</v>
      </c>
      <c r="B15" s="9"/>
      <c r="C15" s="9" t="s">
        <v>63</v>
      </c>
      <c r="D15" s="9"/>
      <c r="E15" s="9" t="s">
        <v>33</v>
      </c>
      <c r="F15" s="11">
        <v>2</v>
      </c>
      <c r="G15" s="11"/>
      <c r="H15" s="11"/>
      <c r="I15" s="11">
        <v>2</v>
      </c>
      <c r="J15" s="11"/>
      <c r="K15" s="11"/>
      <c r="L15" s="11"/>
      <c r="M15" s="23"/>
      <c r="N15" s="23"/>
      <c r="O15" s="23"/>
      <c r="P15" s="23"/>
      <c r="Q15" s="23"/>
      <c r="R15" s="11"/>
      <c r="S15" s="11"/>
      <c r="T15" s="11"/>
      <c r="U15" s="11"/>
      <c r="V15" s="11"/>
      <c r="W15" s="11"/>
      <c r="X15" s="23"/>
      <c r="Y15" s="23"/>
      <c r="Z15" s="23"/>
      <c r="AA15" s="23"/>
      <c r="AB15" s="23"/>
      <c r="AC15" s="11"/>
      <c r="AD15" s="11"/>
      <c r="AE15" s="11"/>
      <c r="AF15" s="11"/>
      <c r="AG15" s="24"/>
      <c r="AH15" s="24"/>
      <c r="AI15" s="24"/>
      <c r="AJ15" s="23"/>
      <c r="AK15" s="20">
        <f>SUM(F15:AJ15)</f>
        <v>4</v>
      </c>
      <c r="AL15" s="11"/>
      <c r="AM15" s="11"/>
      <c r="AN15" s="11"/>
      <c r="AO15" s="11"/>
      <c r="AP15" s="11"/>
      <c r="AQ15" s="15"/>
      <c r="AR15" s="9"/>
      <c r="AS15" s="12"/>
      <c r="AT15" s="13">
        <f>AS15*AK15</f>
        <v>0</v>
      </c>
      <c r="AU15" s="14"/>
      <c r="AV15" s="14"/>
    </row>
    <row r="16" spans="1:50" ht="17.25" thickTop="1" thickBot="1" x14ac:dyDescent="0.3">
      <c r="A16" s="11"/>
      <c r="B16" s="9"/>
      <c r="C16" s="9" t="s">
        <v>65</v>
      </c>
      <c r="D16" s="9"/>
      <c r="E16" s="9" t="s">
        <v>33</v>
      </c>
      <c r="F16" s="11"/>
      <c r="G16" s="11">
        <v>2</v>
      </c>
      <c r="H16" s="11">
        <v>3</v>
      </c>
      <c r="I16" s="11"/>
      <c r="J16" s="11"/>
      <c r="K16" s="11">
        <v>3</v>
      </c>
      <c r="L16" s="11"/>
      <c r="M16" s="11">
        <v>2.5</v>
      </c>
      <c r="N16" s="11"/>
      <c r="O16" s="11"/>
      <c r="P16" s="11">
        <v>2.5</v>
      </c>
      <c r="Q16" s="11"/>
      <c r="R16" s="11"/>
      <c r="S16" s="11">
        <v>2</v>
      </c>
      <c r="T16" s="11"/>
      <c r="U16" s="11">
        <v>2</v>
      </c>
      <c r="V16" s="11"/>
      <c r="W16" s="11"/>
      <c r="X16" s="11">
        <v>2</v>
      </c>
      <c r="Y16" s="11"/>
      <c r="Z16" s="11">
        <v>3</v>
      </c>
      <c r="AA16" s="11"/>
      <c r="AB16" s="11">
        <v>3</v>
      </c>
      <c r="AC16" s="11"/>
      <c r="AD16" s="11">
        <v>2</v>
      </c>
      <c r="AE16" s="11"/>
      <c r="AF16" s="11">
        <v>2</v>
      </c>
      <c r="AG16" s="11"/>
      <c r="AH16" s="11"/>
      <c r="AI16" s="11"/>
      <c r="AJ16" s="11"/>
      <c r="AK16" s="20">
        <f>SUM(F16:AJ16)</f>
        <v>29</v>
      </c>
      <c r="AL16" s="11"/>
      <c r="AM16" s="11"/>
      <c r="AN16" s="11"/>
      <c r="AO16" s="11"/>
      <c r="AP16" s="11"/>
      <c r="AQ16" s="15"/>
      <c r="AR16" s="9"/>
      <c r="AS16" s="9"/>
      <c r="AT16" s="9"/>
      <c r="AU16" s="14"/>
      <c r="AV16" s="14"/>
    </row>
    <row r="17" spans="1:48" ht="17.25" thickTop="1" thickBot="1" x14ac:dyDescent="0.3">
      <c r="A17" s="11"/>
      <c r="B17" s="9"/>
      <c r="C17" s="9" t="s">
        <v>72</v>
      </c>
      <c r="D17" s="9"/>
      <c r="E17" s="9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>
        <v>2</v>
      </c>
      <c r="X17" s="18"/>
      <c r="Y17" s="18"/>
      <c r="Z17" s="18"/>
      <c r="AA17" s="18">
        <v>3</v>
      </c>
      <c r="AB17" s="18"/>
      <c r="AC17" s="18"/>
      <c r="AD17" s="18"/>
      <c r="AE17" s="18"/>
      <c r="AF17" s="18">
        <v>5</v>
      </c>
      <c r="AG17" s="18"/>
      <c r="AH17" s="18"/>
      <c r="AI17" s="18"/>
      <c r="AJ17" s="18"/>
      <c r="AK17" s="20">
        <f>SUM(F17:AJ17)</f>
        <v>10</v>
      </c>
      <c r="AL17" s="18"/>
      <c r="AM17" s="18"/>
      <c r="AN17" s="11"/>
      <c r="AO17" s="11"/>
      <c r="AP17" s="11"/>
      <c r="AQ17" s="9"/>
      <c r="AR17" s="9"/>
      <c r="AS17" s="21"/>
      <c r="AT17" s="25"/>
      <c r="AU17" s="14"/>
      <c r="AV17" s="14"/>
    </row>
    <row r="18" spans="1:48" ht="16.5" thickTop="1" x14ac:dyDescent="0.25">
      <c r="A18" s="42"/>
      <c r="B18" s="61"/>
      <c r="C18" s="62"/>
      <c r="D18" s="62"/>
      <c r="E18" s="63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3"/>
      <c r="AR18" s="43"/>
      <c r="AS18" s="59"/>
      <c r="AT18" s="43"/>
      <c r="AU18" s="14"/>
      <c r="AV18" s="14"/>
    </row>
    <row r="19" spans="1:48" ht="16.5" customHeight="1" thickBot="1" x14ac:dyDescent="0.3">
      <c r="A19" s="26"/>
      <c r="B19" s="68" t="s">
        <v>19</v>
      </c>
      <c r="C19" s="69"/>
      <c r="D19" s="69"/>
      <c r="E19" s="70"/>
      <c r="F19" s="27">
        <f t="shared" ref="F19:AT19" si="1">SUM(F15:F17)</f>
        <v>2</v>
      </c>
      <c r="G19" s="27">
        <f t="shared" si="1"/>
        <v>2</v>
      </c>
      <c r="H19" s="27">
        <f t="shared" si="1"/>
        <v>3</v>
      </c>
      <c r="I19" s="27">
        <f t="shared" si="1"/>
        <v>2</v>
      </c>
      <c r="J19" s="27">
        <f t="shared" si="1"/>
        <v>0</v>
      </c>
      <c r="K19" s="27">
        <f t="shared" si="1"/>
        <v>3</v>
      </c>
      <c r="L19" s="27">
        <f t="shared" si="1"/>
        <v>0</v>
      </c>
      <c r="M19" s="27">
        <f t="shared" si="1"/>
        <v>2.5</v>
      </c>
      <c r="N19" s="27">
        <f t="shared" si="1"/>
        <v>0</v>
      </c>
      <c r="O19" s="27">
        <f t="shared" si="1"/>
        <v>0</v>
      </c>
      <c r="P19" s="27">
        <f t="shared" si="1"/>
        <v>2.5</v>
      </c>
      <c r="Q19" s="27">
        <f t="shared" si="1"/>
        <v>0</v>
      </c>
      <c r="R19" s="27">
        <f t="shared" si="1"/>
        <v>0</v>
      </c>
      <c r="S19" s="27">
        <f t="shared" si="1"/>
        <v>2</v>
      </c>
      <c r="T19" s="27">
        <f t="shared" si="1"/>
        <v>0</v>
      </c>
      <c r="U19" s="27">
        <f t="shared" si="1"/>
        <v>2</v>
      </c>
      <c r="V19" s="27">
        <f t="shared" si="1"/>
        <v>0</v>
      </c>
      <c r="W19" s="27">
        <f t="shared" si="1"/>
        <v>2</v>
      </c>
      <c r="X19" s="27">
        <f t="shared" si="1"/>
        <v>2</v>
      </c>
      <c r="Y19" s="27">
        <f t="shared" si="1"/>
        <v>0</v>
      </c>
      <c r="Z19" s="27">
        <f t="shared" si="1"/>
        <v>3</v>
      </c>
      <c r="AA19" s="27">
        <f t="shared" si="1"/>
        <v>3</v>
      </c>
      <c r="AB19" s="27">
        <f t="shared" si="1"/>
        <v>3</v>
      </c>
      <c r="AC19" s="27">
        <f t="shared" si="1"/>
        <v>0</v>
      </c>
      <c r="AD19" s="27">
        <f t="shared" si="1"/>
        <v>2</v>
      </c>
      <c r="AE19" s="27">
        <f t="shared" si="1"/>
        <v>0</v>
      </c>
      <c r="AF19" s="27">
        <f t="shared" si="1"/>
        <v>7</v>
      </c>
      <c r="AG19" s="27">
        <f t="shared" si="1"/>
        <v>0</v>
      </c>
      <c r="AH19" s="27">
        <f t="shared" si="1"/>
        <v>0</v>
      </c>
      <c r="AI19" s="27">
        <f t="shared" si="1"/>
        <v>0</v>
      </c>
      <c r="AJ19" s="27">
        <f t="shared" si="1"/>
        <v>0</v>
      </c>
      <c r="AK19" s="27">
        <f t="shared" si="1"/>
        <v>43</v>
      </c>
      <c r="AL19" s="27">
        <f t="shared" si="1"/>
        <v>0</v>
      </c>
      <c r="AM19" s="27">
        <f t="shared" si="1"/>
        <v>0</v>
      </c>
      <c r="AN19" s="27">
        <f t="shared" si="1"/>
        <v>0</v>
      </c>
      <c r="AO19" s="27">
        <f t="shared" si="1"/>
        <v>0</v>
      </c>
      <c r="AP19" s="27">
        <f t="shared" si="1"/>
        <v>0</v>
      </c>
      <c r="AQ19" s="27">
        <f t="shared" si="1"/>
        <v>0</v>
      </c>
      <c r="AR19" s="27">
        <f t="shared" si="1"/>
        <v>0</v>
      </c>
      <c r="AS19" s="27">
        <f t="shared" si="1"/>
        <v>0</v>
      </c>
      <c r="AT19" s="28">
        <f t="shared" si="1"/>
        <v>0</v>
      </c>
      <c r="AU19" s="14"/>
      <c r="AV19" s="14"/>
    </row>
    <row r="20" spans="1:48" ht="16.5" thickTop="1" x14ac:dyDescent="0.25">
      <c r="A20" s="29"/>
      <c r="B20" s="71"/>
      <c r="C20" s="72"/>
      <c r="D20" s="72"/>
      <c r="E20" s="7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x14ac:dyDescent="0.25">
      <c r="A21" s="29"/>
      <c r="B21" s="30" t="s">
        <v>21</v>
      </c>
      <c r="C21" s="31"/>
      <c r="D21" s="31"/>
      <c r="E21" s="31"/>
      <c r="F21" s="14">
        <v>20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x14ac:dyDescent="0.25">
      <c r="A22" s="29"/>
      <c r="B22" s="30" t="s">
        <v>22</v>
      </c>
      <c r="C22" s="31"/>
      <c r="D22" s="31"/>
      <c r="E22" s="31"/>
      <c r="F22" s="14">
        <v>117</v>
      </c>
      <c r="G22" s="14"/>
      <c r="H22" s="14"/>
      <c r="I22" s="14"/>
      <c r="J22" s="14">
        <v>130</v>
      </c>
      <c r="K22" s="14"/>
      <c r="L22" s="14"/>
      <c r="M22" s="14">
        <v>180</v>
      </c>
      <c r="N22" s="14"/>
      <c r="O22" s="14"/>
      <c r="P22" s="14">
        <v>170</v>
      </c>
      <c r="Q22" s="14"/>
      <c r="R22" s="14"/>
      <c r="S22" s="14"/>
      <c r="T22" s="14"/>
      <c r="U22" s="14">
        <v>95</v>
      </c>
      <c r="V22" s="14"/>
      <c r="W22" s="14">
        <v>250</v>
      </c>
      <c r="X22" s="14"/>
      <c r="Y22" s="14"/>
      <c r="Z22" s="14"/>
      <c r="AA22" s="14"/>
      <c r="AB22" s="14">
        <v>215</v>
      </c>
      <c r="AC22" s="14"/>
      <c r="AD22" s="14">
        <v>350</v>
      </c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x14ac:dyDescent="0.25">
      <c r="A23" s="29"/>
      <c r="B23" s="14" t="s">
        <v>23</v>
      </c>
      <c r="E23" s="14"/>
      <c r="F23" s="14">
        <f t="shared" ref="F23:AJ23" si="2">F13+F19</f>
        <v>32</v>
      </c>
      <c r="G23" s="14">
        <f t="shared" si="2"/>
        <v>22</v>
      </c>
      <c r="H23" s="14">
        <f t="shared" si="2"/>
        <v>33</v>
      </c>
      <c r="I23" s="14">
        <f t="shared" si="2"/>
        <v>42</v>
      </c>
      <c r="J23" s="14">
        <f t="shared" si="2"/>
        <v>30</v>
      </c>
      <c r="K23" s="14">
        <f t="shared" si="2"/>
        <v>83</v>
      </c>
      <c r="L23" s="14">
        <f t="shared" si="2"/>
        <v>20</v>
      </c>
      <c r="M23" s="14">
        <f t="shared" si="2"/>
        <v>22.5</v>
      </c>
      <c r="N23" s="14">
        <f t="shared" si="2"/>
        <v>20</v>
      </c>
      <c r="O23" s="14">
        <f t="shared" si="2"/>
        <v>130</v>
      </c>
      <c r="P23" s="14">
        <f t="shared" si="2"/>
        <v>22.5</v>
      </c>
      <c r="Q23" s="14">
        <f t="shared" si="2"/>
        <v>30</v>
      </c>
      <c r="R23" s="14">
        <f t="shared" si="2"/>
        <v>50</v>
      </c>
      <c r="S23" s="14">
        <f t="shared" si="2"/>
        <v>72</v>
      </c>
      <c r="T23" s="14">
        <f t="shared" si="2"/>
        <v>0</v>
      </c>
      <c r="U23" s="14">
        <f t="shared" si="2"/>
        <v>47</v>
      </c>
      <c r="V23" s="14">
        <f t="shared" si="2"/>
        <v>50</v>
      </c>
      <c r="W23" s="14">
        <f t="shared" si="2"/>
        <v>12</v>
      </c>
      <c r="X23" s="14">
        <f t="shared" si="2"/>
        <v>132</v>
      </c>
      <c r="Y23" s="14">
        <f t="shared" si="2"/>
        <v>100</v>
      </c>
      <c r="Z23" s="14">
        <f t="shared" si="2"/>
        <v>3</v>
      </c>
      <c r="AA23" s="14">
        <f t="shared" si="2"/>
        <v>3</v>
      </c>
      <c r="AB23" s="14">
        <f t="shared" si="2"/>
        <v>93</v>
      </c>
      <c r="AC23" s="14">
        <f t="shared" si="2"/>
        <v>125</v>
      </c>
      <c r="AD23" s="14">
        <f t="shared" si="2"/>
        <v>92</v>
      </c>
      <c r="AE23" s="14">
        <f t="shared" si="2"/>
        <v>110</v>
      </c>
      <c r="AF23" s="14">
        <f t="shared" si="2"/>
        <v>77</v>
      </c>
      <c r="AG23" s="14">
        <f t="shared" si="2"/>
        <v>30</v>
      </c>
      <c r="AH23" s="14">
        <f t="shared" si="2"/>
        <v>40</v>
      </c>
      <c r="AI23" s="14">
        <f t="shared" si="2"/>
        <v>0</v>
      </c>
      <c r="AJ23" s="14">
        <f t="shared" si="2"/>
        <v>0</v>
      </c>
      <c r="AK23" s="14"/>
      <c r="AL23" s="14"/>
      <c r="AM23" s="14"/>
      <c r="AN23" s="14"/>
      <c r="AO23" s="14"/>
      <c r="AP23" s="14"/>
      <c r="AQ23" s="14"/>
      <c r="AR23" s="14"/>
      <c r="AS23" s="14"/>
      <c r="AT23" s="39">
        <f>AT13+AT19</f>
        <v>0</v>
      </c>
      <c r="AU23" s="14" t="s">
        <v>2</v>
      </c>
      <c r="AV23" s="14" t="s">
        <v>2</v>
      </c>
    </row>
    <row r="24" spans="1:48" x14ac:dyDescent="0.25">
      <c r="A24" s="29"/>
      <c r="B24" s="14" t="s">
        <v>24</v>
      </c>
      <c r="E24" s="14"/>
      <c r="F24" s="14">
        <f>(F21+F22)-F23</f>
        <v>105</v>
      </c>
      <c r="G24" s="14">
        <f>(F24+G21+G22)-G23</f>
        <v>83</v>
      </c>
      <c r="H24" s="14">
        <f t="shared" ref="H24:AJ24" si="3">(G24+H21+H22)-H23</f>
        <v>50</v>
      </c>
      <c r="I24" s="14">
        <f t="shared" si="3"/>
        <v>8</v>
      </c>
      <c r="J24" s="14">
        <f t="shared" si="3"/>
        <v>108</v>
      </c>
      <c r="K24" s="14">
        <f t="shared" si="3"/>
        <v>25</v>
      </c>
      <c r="L24" s="14">
        <f t="shared" si="3"/>
        <v>5</v>
      </c>
      <c r="M24" s="14">
        <f t="shared" si="3"/>
        <v>162.5</v>
      </c>
      <c r="N24" s="14">
        <f t="shared" si="3"/>
        <v>142.5</v>
      </c>
      <c r="O24" s="14">
        <f>(N24+O21+O22)-O23</f>
        <v>12.5</v>
      </c>
      <c r="P24" s="14">
        <f>(O24+P21+P22)-P23</f>
        <v>160</v>
      </c>
      <c r="Q24" s="14">
        <f t="shared" si="3"/>
        <v>130</v>
      </c>
      <c r="R24" s="14">
        <f t="shared" si="3"/>
        <v>80</v>
      </c>
      <c r="S24" s="14">
        <f t="shared" si="3"/>
        <v>8</v>
      </c>
      <c r="T24" s="14">
        <f t="shared" si="3"/>
        <v>8</v>
      </c>
      <c r="U24" s="14">
        <f t="shared" si="3"/>
        <v>56</v>
      </c>
      <c r="V24" s="14">
        <f t="shared" si="3"/>
        <v>6</v>
      </c>
      <c r="W24" s="14">
        <f t="shared" si="3"/>
        <v>244</v>
      </c>
      <c r="X24" s="14">
        <f t="shared" si="3"/>
        <v>112</v>
      </c>
      <c r="Y24" s="14">
        <f t="shared" si="3"/>
        <v>12</v>
      </c>
      <c r="Z24" s="14">
        <f t="shared" si="3"/>
        <v>9</v>
      </c>
      <c r="AA24" s="14">
        <f t="shared" si="3"/>
        <v>6</v>
      </c>
      <c r="AB24" s="14">
        <f t="shared" si="3"/>
        <v>128</v>
      </c>
      <c r="AC24" s="14">
        <f t="shared" si="3"/>
        <v>3</v>
      </c>
      <c r="AD24" s="14">
        <f t="shared" si="3"/>
        <v>261</v>
      </c>
      <c r="AE24" s="14">
        <f t="shared" si="3"/>
        <v>151</v>
      </c>
      <c r="AF24" s="14">
        <f t="shared" si="3"/>
        <v>74</v>
      </c>
      <c r="AG24" s="14">
        <f t="shared" si="3"/>
        <v>44</v>
      </c>
      <c r="AH24" s="14">
        <f t="shared" si="3"/>
        <v>4</v>
      </c>
      <c r="AI24" s="14">
        <f t="shared" si="3"/>
        <v>4</v>
      </c>
      <c r="AJ24" s="14">
        <f t="shared" si="3"/>
        <v>4</v>
      </c>
      <c r="AK24" s="14"/>
      <c r="AL24" s="14"/>
      <c r="AM24" s="29"/>
      <c r="AN24" s="29"/>
      <c r="AO24" s="29"/>
      <c r="AP24" s="29"/>
      <c r="AQ24" s="14"/>
      <c r="AR24" s="14"/>
      <c r="AS24" s="32"/>
      <c r="AT24" s="14"/>
      <c r="AU24" s="14"/>
      <c r="AV24" s="14"/>
    </row>
    <row r="25" spans="1:48" x14ac:dyDescent="0.25">
      <c r="A25" s="29"/>
      <c r="B25" s="14" t="s">
        <v>2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29"/>
      <c r="AL25" s="29"/>
      <c r="AM25" s="29"/>
      <c r="AN25" s="29"/>
      <c r="AO25" s="29"/>
      <c r="AP25" s="29"/>
      <c r="AQ25" s="14"/>
      <c r="AR25" s="14"/>
      <c r="AS25" s="32"/>
      <c r="AT25" s="14"/>
      <c r="AU25" s="14"/>
      <c r="AV25" s="14"/>
    </row>
    <row r="26" spans="1:48" ht="16.5" thickBot="1" x14ac:dyDescent="0.3">
      <c r="A26" s="29"/>
      <c r="B26" s="14" t="s">
        <v>25</v>
      </c>
      <c r="C26" s="14"/>
      <c r="D26" s="14"/>
      <c r="E26" s="14">
        <f>F21</f>
        <v>20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2"/>
      <c r="AL26" s="2"/>
      <c r="AM26" s="2"/>
      <c r="AN26" s="2"/>
      <c r="AO26" s="29"/>
      <c r="AP26" s="29"/>
      <c r="AQ26" s="2" t="s">
        <v>26</v>
      </c>
      <c r="AR26" s="29"/>
      <c r="AS26" s="29"/>
      <c r="AT26" s="40">
        <f>F21*279</f>
        <v>5580</v>
      </c>
      <c r="AU26" s="14"/>
      <c r="AV26" s="14"/>
    </row>
    <row r="27" spans="1:48" ht="16.5" thickTop="1" x14ac:dyDescent="0.25">
      <c r="A27" s="29"/>
      <c r="B27" s="14" t="s">
        <v>27</v>
      </c>
      <c r="C27" s="14"/>
      <c r="D27" s="14"/>
      <c r="E27" s="14">
        <f>SUM(F22:AJ22)</f>
        <v>1507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2"/>
      <c r="AL27" s="2"/>
      <c r="AM27" s="2"/>
      <c r="AN27" s="30"/>
      <c r="AO27" s="29"/>
      <c r="AP27" s="29"/>
      <c r="AQ27" s="2" t="s">
        <v>28</v>
      </c>
      <c r="AR27" s="29"/>
      <c r="AS27" s="29"/>
      <c r="AT27" s="37">
        <f>AT23-AT26</f>
        <v>-5580</v>
      </c>
      <c r="AU27" s="14"/>
      <c r="AV27" s="14"/>
    </row>
    <row r="28" spans="1:48" x14ac:dyDescent="0.25">
      <c r="A28" s="29"/>
      <c r="B28" s="14" t="s">
        <v>29</v>
      </c>
      <c r="C28" s="14"/>
      <c r="D28" s="14"/>
      <c r="E28" s="14">
        <f>AK13+AK19</f>
        <v>1523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29"/>
      <c r="AL28" s="29"/>
      <c r="AM28" s="29"/>
      <c r="AN28" s="29"/>
      <c r="AO28" s="29"/>
      <c r="AP28" s="29"/>
      <c r="AQ28" s="14"/>
      <c r="AR28" s="14"/>
      <c r="AS28" s="32"/>
      <c r="AT28" s="14"/>
      <c r="AU28" s="14"/>
      <c r="AV28" s="14"/>
    </row>
    <row r="29" spans="1:48" ht="16.5" thickBot="1" x14ac:dyDescent="0.3">
      <c r="A29" s="29"/>
      <c r="B29" s="14" t="s">
        <v>30</v>
      </c>
      <c r="C29" s="14"/>
      <c r="D29" s="14"/>
      <c r="E29" s="33">
        <f>E26+E27-E28</f>
        <v>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29"/>
      <c r="AL29" s="29"/>
      <c r="AM29" s="29"/>
      <c r="AN29" s="29"/>
      <c r="AO29" s="29"/>
      <c r="AP29" s="29"/>
      <c r="AQ29" s="14"/>
      <c r="AR29" s="14"/>
      <c r="AS29" s="32"/>
      <c r="AT29" s="14"/>
      <c r="AU29" s="14"/>
      <c r="AV29" s="14"/>
    </row>
    <row r="30" spans="1:48" ht="16.5" thickTop="1" x14ac:dyDescent="0.25">
      <c r="A30" s="29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29"/>
      <c r="AL30" s="29"/>
      <c r="AM30" s="29"/>
      <c r="AN30" s="29"/>
      <c r="AO30" s="29"/>
      <c r="AP30" s="29"/>
      <c r="AQ30" s="14"/>
      <c r="AR30" s="14"/>
      <c r="AS30" s="32"/>
      <c r="AT30" s="14"/>
      <c r="AU30" s="14"/>
      <c r="AV30" s="14"/>
    </row>
    <row r="31" spans="1:48" x14ac:dyDescent="0.25">
      <c r="A31" s="34"/>
      <c r="C31" s="14"/>
      <c r="D31" s="14"/>
      <c r="E31" s="35"/>
      <c r="K31" s="14"/>
      <c r="M31" s="36"/>
      <c r="N31" s="14"/>
      <c r="P31" s="14"/>
      <c r="Q31" s="14"/>
      <c r="R31" s="14"/>
      <c r="U31" s="36"/>
      <c r="V31" s="14"/>
      <c r="W31" s="14"/>
      <c r="X31" s="14"/>
      <c r="Y31" s="14"/>
      <c r="Z31" s="14"/>
      <c r="AA31" s="14"/>
      <c r="AB31" s="36"/>
      <c r="AC31" s="14"/>
      <c r="AD31" s="14"/>
      <c r="AE31" s="14"/>
      <c r="AF31" s="14"/>
      <c r="AG31" s="14"/>
      <c r="AH31" s="36"/>
      <c r="AI31" s="14"/>
      <c r="AJ31" s="14"/>
      <c r="AK31" s="14"/>
      <c r="AL31" s="29"/>
      <c r="AM31" s="29"/>
      <c r="AN31" s="29"/>
      <c r="AO31" s="29"/>
      <c r="AP31" s="29"/>
      <c r="AQ31" s="14"/>
      <c r="AR31" s="14"/>
      <c r="AS31" s="32"/>
      <c r="AT31" s="14"/>
      <c r="AU31" s="14"/>
      <c r="AV31" s="14"/>
    </row>
    <row r="32" spans="1:48" x14ac:dyDescent="0.25">
      <c r="A32" s="14"/>
      <c r="C32" s="14"/>
      <c r="D32" s="14"/>
      <c r="E32" s="35"/>
      <c r="K32" s="14"/>
      <c r="M32" s="36"/>
      <c r="N32" s="14"/>
      <c r="P32" s="14"/>
      <c r="Q32" s="14"/>
      <c r="R32" s="14"/>
      <c r="U32" s="36"/>
      <c r="V32" s="14"/>
      <c r="W32" s="14"/>
      <c r="X32" s="14"/>
      <c r="Y32" s="14"/>
      <c r="Z32" s="14"/>
      <c r="AA32" s="14"/>
      <c r="AB32" s="36"/>
      <c r="AC32" s="14"/>
      <c r="AD32" s="14"/>
      <c r="AE32" s="14"/>
      <c r="AF32" s="14"/>
      <c r="AG32" s="14"/>
      <c r="AH32" s="36"/>
      <c r="AI32" s="14"/>
      <c r="AJ32" s="14"/>
      <c r="AK32" s="14"/>
      <c r="AL32" s="29"/>
      <c r="AM32" s="29"/>
      <c r="AN32" s="29"/>
      <c r="AO32" s="29"/>
      <c r="AP32" s="29"/>
      <c r="AQ32" s="14"/>
      <c r="AR32" s="14"/>
      <c r="AS32" s="32"/>
      <c r="AT32" s="14"/>
      <c r="AU32" s="14"/>
      <c r="AV32" s="14"/>
    </row>
    <row r="33" spans="1:48" x14ac:dyDescent="0.25">
      <c r="A33" s="14"/>
      <c r="C33" s="14"/>
      <c r="D33" s="14"/>
      <c r="E33" s="35"/>
      <c r="K33" s="14"/>
      <c r="M33" s="36"/>
      <c r="N33" s="14"/>
      <c r="P33" s="14"/>
      <c r="Q33" s="14"/>
      <c r="R33" s="14"/>
      <c r="U33" s="36"/>
      <c r="V33" s="14"/>
      <c r="W33" s="14"/>
      <c r="X33" s="14"/>
      <c r="Y33" s="14"/>
      <c r="Z33" s="14"/>
      <c r="AA33" s="14"/>
      <c r="AB33" s="36"/>
      <c r="AC33" s="14"/>
      <c r="AD33" s="14"/>
      <c r="AE33" s="14"/>
      <c r="AF33" s="14"/>
      <c r="AG33" s="14"/>
      <c r="AH33" s="36"/>
      <c r="AI33" s="14"/>
      <c r="AJ33" s="14"/>
      <c r="AK33" s="14"/>
      <c r="AL33" s="29"/>
      <c r="AM33" s="29"/>
      <c r="AN33" s="29"/>
      <c r="AO33" s="29"/>
      <c r="AP33" s="29"/>
      <c r="AQ33" s="14"/>
      <c r="AR33" s="14"/>
      <c r="AS33" s="32"/>
      <c r="AT33" s="14"/>
      <c r="AU33" s="14"/>
      <c r="AV33" s="14"/>
    </row>
    <row r="34" spans="1:48" x14ac:dyDescent="0.25">
      <c r="A34" s="14"/>
      <c r="C34" s="14"/>
      <c r="D34" s="14"/>
      <c r="E34" s="35"/>
      <c r="K34" s="14"/>
      <c r="M34" s="36"/>
      <c r="N34" s="14"/>
      <c r="P34" s="14"/>
      <c r="Q34" s="14"/>
      <c r="R34" s="14"/>
      <c r="U34" s="36"/>
      <c r="V34" s="14"/>
      <c r="W34" s="14"/>
      <c r="X34" s="14"/>
      <c r="Y34" s="14"/>
      <c r="Z34" s="14"/>
      <c r="AA34" s="14"/>
      <c r="AB34" s="36"/>
      <c r="AC34" s="14"/>
      <c r="AD34" s="14"/>
      <c r="AE34" s="14"/>
      <c r="AF34" s="14"/>
      <c r="AG34" s="14"/>
      <c r="AH34" s="36"/>
      <c r="AI34" s="14"/>
      <c r="AJ34" s="14"/>
      <c r="AK34" s="14"/>
      <c r="AL34" s="29"/>
      <c r="AM34" s="29"/>
      <c r="AN34" s="29"/>
      <c r="AO34" s="29"/>
      <c r="AP34" s="29"/>
      <c r="AQ34" s="14"/>
      <c r="AR34" s="14"/>
      <c r="AS34" s="32"/>
      <c r="AT34" s="14"/>
      <c r="AU34" s="14"/>
      <c r="AV34" s="14"/>
    </row>
    <row r="35" spans="1:48" x14ac:dyDescent="0.25">
      <c r="A35" s="1" t="s">
        <v>0</v>
      </c>
      <c r="E35" s="3" t="s">
        <v>1</v>
      </c>
      <c r="R35" s="3"/>
    </row>
    <row r="36" spans="1:48" x14ac:dyDescent="0.25">
      <c r="A36" s="1" t="s">
        <v>35</v>
      </c>
      <c r="E36" s="74" t="s">
        <v>68</v>
      </c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</row>
    <row r="37" spans="1:48" ht="25.5" customHeight="1" x14ac:dyDescent="0.25">
      <c r="A37" s="64" t="s">
        <v>3</v>
      </c>
      <c r="B37" s="64" t="s">
        <v>4</v>
      </c>
      <c r="C37" s="64" t="s">
        <v>5</v>
      </c>
      <c r="D37" s="64" t="s">
        <v>6</v>
      </c>
      <c r="E37" s="64" t="s">
        <v>7</v>
      </c>
      <c r="F37" s="75" t="s">
        <v>8</v>
      </c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7"/>
      <c r="AK37" s="64" t="s">
        <v>9</v>
      </c>
      <c r="AL37" s="64" t="s">
        <v>10</v>
      </c>
      <c r="AM37" s="64" t="s">
        <v>11</v>
      </c>
      <c r="AN37" s="64" t="s">
        <v>12</v>
      </c>
      <c r="AO37" s="64" t="s">
        <v>13</v>
      </c>
      <c r="AP37" s="64" t="s">
        <v>14</v>
      </c>
      <c r="AQ37" s="64" t="s">
        <v>15</v>
      </c>
      <c r="AR37" s="64" t="s">
        <v>16</v>
      </c>
      <c r="AS37" s="66" t="s">
        <v>17</v>
      </c>
      <c r="AT37" s="64" t="s">
        <v>18</v>
      </c>
    </row>
    <row r="38" spans="1:48" ht="42.75" customHeight="1" x14ac:dyDescent="0.25">
      <c r="A38" s="65"/>
      <c r="B38" s="65"/>
      <c r="C38" s="65"/>
      <c r="D38" s="65"/>
      <c r="E38" s="65"/>
      <c r="F38" s="6">
        <v>1</v>
      </c>
      <c r="G38" s="6">
        <v>2</v>
      </c>
      <c r="H38" s="6">
        <v>3</v>
      </c>
      <c r="I38" s="6">
        <v>4</v>
      </c>
      <c r="J38" s="6">
        <v>5</v>
      </c>
      <c r="K38" s="6">
        <v>6</v>
      </c>
      <c r="L38" s="6">
        <v>7</v>
      </c>
      <c r="M38" s="6">
        <v>8</v>
      </c>
      <c r="N38" s="6">
        <v>9</v>
      </c>
      <c r="O38" s="6">
        <v>10</v>
      </c>
      <c r="P38" s="6">
        <v>11</v>
      </c>
      <c r="Q38" s="6">
        <v>12</v>
      </c>
      <c r="R38" s="6">
        <v>13</v>
      </c>
      <c r="S38" s="6">
        <v>14</v>
      </c>
      <c r="T38" s="6">
        <v>15</v>
      </c>
      <c r="U38" s="6">
        <v>16</v>
      </c>
      <c r="V38" s="6">
        <v>17</v>
      </c>
      <c r="W38" s="6">
        <v>18</v>
      </c>
      <c r="X38" s="6">
        <v>19</v>
      </c>
      <c r="Y38" s="6">
        <v>20</v>
      </c>
      <c r="Z38" s="6">
        <v>21</v>
      </c>
      <c r="AA38" s="6">
        <v>22</v>
      </c>
      <c r="AB38" s="6">
        <v>23</v>
      </c>
      <c r="AC38" s="6">
        <v>24</v>
      </c>
      <c r="AD38" s="6">
        <v>25</v>
      </c>
      <c r="AE38" s="6">
        <v>26</v>
      </c>
      <c r="AF38" s="6">
        <v>27</v>
      </c>
      <c r="AG38" s="6">
        <v>28</v>
      </c>
      <c r="AH38" s="6">
        <v>29</v>
      </c>
      <c r="AI38" s="6">
        <v>30</v>
      </c>
      <c r="AJ38" s="6">
        <v>31</v>
      </c>
      <c r="AK38" s="65"/>
      <c r="AL38" s="65"/>
      <c r="AM38" s="65"/>
      <c r="AN38" s="65"/>
      <c r="AO38" s="65"/>
      <c r="AP38" s="65"/>
      <c r="AQ38" s="65"/>
      <c r="AR38" s="65"/>
      <c r="AS38" s="67"/>
      <c r="AT38" s="65"/>
    </row>
    <row r="39" spans="1:48" ht="16.5" thickBot="1" x14ac:dyDescent="0.3">
      <c r="A39" s="8"/>
      <c r="B39" s="9"/>
      <c r="C39" s="9"/>
      <c r="D39" s="9"/>
      <c r="E39" s="9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20">
        <f>SUM(F39:AJ39)</f>
        <v>0</v>
      </c>
      <c r="AL39" s="11"/>
      <c r="AM39" s="8"/>
      <c r="AN39" s="8"/>
      <c r="AO39" s="8"/>
      <c r="AP39" s="8"/>
      <c r="AQ39" s="38"/>
      <c r="AR39" s="10"/>
      <c r="AS39" s="12">
        <v>294</v>
      </c>
      <c r="AT39" s="13">
        <f>AS39*AK39</f>
        <v>0</v>
      </c>
    </row>
    <row r="40" spans="1:48" ht="17.25" thickTop="1" thickBot="1" x14ac:dyDescent="0.3">
      <c r="A40" s="8">
        <v>2</v>
      </c>
      <c r="B40" s="9" t="s">
        <v>39</v>
      </c>
      <c r="C40" s="9"/>
      <c r="D40" s="9" t="s">
        <v>36</v>
      </c>
      <c r="E40" s="9" t="s">
        <v>37</v>
      </c>
      <c r="F40" s="11">
        <v>2.2999999999999998</v>
      </c>
      <c r="G40" s="11"/>
      <c r="H40" s="11"/>
      <c r="I40" s="11">
        <v>2.2999999999999998</v>
      </c>
      <c r="J40" s="11"/>
      <c r="K40" s="11"/>
      <c r="L40" s="11">
        <v>2.2999999999999998</v>
      </c>
      <c r="M40" s="11"/>
      <c r="N40" s="11"/>
      <c r="O40" s="11"/>
      <c r="P40" s="11">
        <v>2.2999999999999998</v>
      </c>
      <c r="Q40" s="11"/>
      <c r="R40" s="11">
        <v>2.2999999999999998</v>
      </c>
      <c r="S40" s="11"/>
      <c r="T40" s="11"/>
      <c r="U40" s="11">
        <v>2</v>
      </c>
      <c r="V40" s="11"/>
      <c r="W40" s="11"/>
      <c r="X40" s="11">
        <v>2.2999999999999998</v>
      </c>
      <c r="Y40" s="11"/>
      <c r="Z40" s="11">
        <v>2.2999999999999998</v>
      </c>
      <c r="AA40" s="11"/>
      <c r="AB40" s="11">
        <v>2.2999999999999998</v>
      </c>
      <c r="AC40" s="11"/>
      <c r="AD40" s="11">
        <v>2.2999999999999998</v>
      </c>
      <c r="AE40" s="11"/>
      <c r="AF40" s="11">
        <v>2.2999999999999998</v>
      </c>
      <c r="AG40" s="11"/>
      <c r="AH40" s="11">
        <v>4.5999999999999996</v>
      </c>
      <c r="AI40" s="11"/>
      <c r="AJ40" s="11"/>
      <c r="AK40" s="20">
        <f t="shared" ref="AK40:AK42" si="4">SUM(F40:AJ40)</f>
        <v>29.6</v>
      </c>
      <c r="AL40" s="11"/>
      <c r="AM40" s="11"/>
      <c r="AN40" s="11"/>
      <c r="AO40" s="11"/>
      <c r="AP40" s="11"/>
      <c r="AQ40" s="15"/>
      <c r="AR40" s="9"/>
      <c r="AS40" s="12">
        <v>294</v>
      </c>
      <c r="AT40" s="13">
        <f t="shared" ref="AT40:AT41" si="5">AS40*AK40</f>
        <v>8702.4</v>
      </c>
    </row>
    <row r="41" spans="1:48" ht="17.25" thickTop="1" thickBot="1" x14ac:dyDescent="0.3">
      <c r="A41" s="11"/>
      <c r="B41" s="9" t="s">
        <v>66</v>
      </c>
      <c r="C41" s="17"/>
      <c r="D41" s="9"/>
      <c r="E41" s="9"/>
      <c r="F41" s="11"/>
      <c r="G41" s="11"/>
      <c r="H41" s="11"/>
      <c r="I41" s="11"/>
      <c r="J41" s="11"/>
      <c r="K41" s="11">
        <v>1.3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1.3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20">
        <f t="shared" si="4"/>
        <v>2.6</v>
      </c>
      <c r="AL41" s="11"/>
      <c r="AM41" s="11"/>
      <c r="AN41" s="11"/>
      <c r="AO41" s="11"/>
      <c r="AP41" s="11"/>
      <c r="AQ41" s="15"/>
      <c r="AR41" s="9"/>
      <c r="AS41" s="12">
        <v>294</v>
      </c>
      <c r="AT41" s="13">
        <f t="shared" si="5"/>
        <v>764.4</v>
      </c>
    </row>
    <row r="42" spans="1:48" ht="17.25" thickTop="1" thickBot="1" x14ac:dyDescent="0.3">
      <c r="A42" s="11"/>
      <c r="B42" s="9" t="s">
        <v>69</v>
      </c>
      <c r="C42" s="17"/>
      <c r="D42" s="9"/>
      <c r="E42" s="9"/>
      <c r="F42" s="11"/>
      <c r="G42" s="11"/>
      <c r="H42" s="11"/>
      <c r="I42" s="11"/>
      <c r="J42" s="11"/>
      <c r="K42" s="11"/>
      <c r="L42" s="11"/>
      <c r="M42" s="11">
        <v>1</v>
      </c>
      <c r="N42" s="18"/>
      <c r="O42" s="18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>
        <v>1</v>
      </c>
      <c r="AE42" s="11"/>
      <c r="AF42" s="11"/>
      <c r="AG42" s="11"/>
      <c r="AH42" s="11"/>
      <c r="AI42" s="11"/>
      <c r="AJ42" s="11"/>
      <c r="AK42" s="20">
        <f t="shared" si="4"/>
        <v>2</v>
      </c>
      <c r="AL42" s="11"/>
      <c r="AM42" s="18"/>
      <c r="AN42" s="11"/>
      <c r="AO42" s="11"/>
      <c r="AP42" s="11"/>
      <c r="AQ42" s="15"/>
      <c r="AR42" s="9"/>
      <c r="AS42" s="59"/>
      <c r="AT42" s="45"/>
    </row>
    <row r="43" spans="1:48" ht="16.5" thickTop="1" x14ac:dyDescent="0.25">
      <c r="A43" s="11"/>
      <c r="B43" s="9"/>
      <c r="C43" s="9"/>
      <c r="D43" s="9"/>
      <c r="E43" s="9"/>
      <c r="F43" s="11"/>
      <c r="G43" s="11"/>
      <c r="H43" s="11"/>
      <c r="I43" s="11"/>
      <c r="J43" s="11"/>
      <c r="K43" s="11"/>
      <c r="L43" s="11"/>
      <c r="M43" s="11"/>
      <c r="N43" s="18"/>
      <c r="O43" s="18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8"/>
      <c r="AL43" s="11"/>
      <c r="AM43" s="18"/>
      <c r="AN43" s="11"/>
      <c r="AO43" s="11"/>
      <c r="AP43" s="11"/>
      <c r="AQ43" s="15"/>
      <c r="AR43" s="9"/>
      <c r="AS43" s="9"/>
      <c r="AT43" s="19"/>
    </row>
    <row r="44" spans="1:48" ht="16.5" customHeight="1" thickBot="1" x14ac:dyDescent="0.3">
      <c r="A44" s="11"/>
      <c r="B44" s="68" t="s">
        <v>19</v>
      </c>
      <c r="C44" s="69"/>
      <c r="D44" s="69"/>
      <c r="E44" s="70"/>
      <c r="F44" s="20">
        <f t="shared" ref="F44:AM44" si="6">SUM(F39:F43)</f>
        <v>2.2999999999999998</v>
      </c>
      <c r="G44" s="20">
        <f t="shared" si="6"/>
        <v>0</v>
      </c>
      <c r="H44" s="20">
        <f t="shared" si="6"/>
        <v>0</v>
      </c>
      <c r="I44" s="20">
        <f t="shared" si="6"/>
        <v>2.2999999999999998</v>
      </c>
      <c r="J44" s="20">
        <f t="shared" si="6"/>
        <v>0</v>
      </c>
      <c r="K44" s="20">
        <f t="shared" si="6"/>
        <v>1.3</v>
      </c>
      <c r="L44" s="20">
        <f t="shared" si="6"/>
        <v>2.2999999999999998</v>
      </c>
      <c r="M44" s="20">
        <f t="shared" si="6"/>
        <v>1</v>
      </c>
      <c r="N44" s="20">
        <f t="shared" si="6"/>
        <v>0</v>
      </c>
      <c r="O44" s="20">
        <f t="shared" si="6"/>
        <v>0</v>
      </c>
      <c r="P44" s="20">
        <f t="shared" si="6"/>
        <v>2.2999999999999998</v>
      </c>
      <c r="Q44" s="20">
        <f>SUM(Q39:Q43)</f>
        <v>0</v>
      </c>
      <c r="R44" s="20">
        <f t="shared" ref="R44:Y44" si="7">SUM(R39:R43)</f>
        <v>2.2999999999999998</v>
      </c>
      <c r="S44" s="20">
        <f t="shared" si="7"/>
        <v>0</v>
      </c>
      <c r="T44" s="20">
        <f t="shared" si="7"/>
        <v>0</v>
      </c>
      <c r="U44" s="20">
        <f t="shared" si="7"/>
        <v>2</v>
      </c>
      <c r="V44" s="20">
        <f t="shared" si="7"/>
        <v>0</v>
      </c>
      <c r="W44" s="20">
        <f t="shared" si="7"/>
        <v>0</v>
      </c>
      <c r="X44" s="20">
        <f t="shared" si="7"/>
        <v>2.2999999999999998</v>
      </c>
      <c r="Y44" s="20">
        <f t="shared" si="7"/>
        <v>0</v>
      </c>
      <c r="Z44" s="20">
        <f t="shared" si="6"/>
        <v>2.2999999999999998</v>
      </c>
      <c r="AA44" s="20">
        <f t="shared" si="6"/>
        <v>1.3</v>
      </c>
      <c r="AB44" s="20">
        <f t="shared" si="6"/>
        <v>2.2999999999999998</v>
      </c>
      <c r="AC44" s="20">
        <f t="shared" si="6"/>
        <v>0</v>
      </c>
      <c r="AD44" s="20">
        <f t="shared" si="6"/>
        <v>3.3</v>
      </c>
      <c r="AE44" s="20">
        <f t="shared" si="6"/>
        <v>0</v>
      </c>
      <c r="AF44" s="20">
        <f t="shared" si="6"/>
        <v>2.2999999999999998</v>
      </c>
      <c r="AG44" s="20">
        <f t="shared" si="6"/>
        <v>0</v>
      </c>
      <c r="AH44" s="20">
        <f t="shared" si="6"/>
        <v>4.5999999999999996</v>
      </c>
      <c r="AI44" s="20">
        <f t="shared" si="6"/>
        <v>0</v>
      </c>
      <c r="AJ44" s="20">
        <f t="shared" si="6"/>
        <v>0</v>
      </c>
      <c r="AK44" s="20">
        <f t="shared" si="6"/>
        <v>34.200000000000003</v>
      </c>
      <c r="AL44" s="20">
        <f t="shared" si="6"/>
        <v>0</v>
      </c>
      <c r="AM44" s="20">
        <f t="shared" si="6"/>
        <v>0</v>
      </c>
      <c r="AN44" s="22"/>
      <c r="AO44" s="22"/>
      <c r="AP44" s="22"/>
      <c r="AQ44" s="22"/>
      <c r="AR44" s="22"/>
      <c r="AS44" s="22">
        <f>SUM(AS39:AS43)</f>
        <v>882</v>
      </c>
      <c r="AT44" s="22">
        <f>SUM(AT39:AT43)</f>
        <v>9466.7999999999993</v>
      </c>
    </row>
    <row r="45" spans="1:48" ht="16.5" thickTop="1" x14ac:dyDescent="0.25">
      <c r="A45" s="11"/>
      <c r="B45" s="9"/>
      <c r="C45" s="9"/>
      <c r="D45" s="9"/>
      <c r="E45" s="9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11"/>
      <c r="AL45" s="23"/>
      <c r="AM45" s="23"/>
      <c r="AN45" s="11"/>
      <c r="AO45" s="11"/>
      <c r="AP45" s="11"/>
      <c r="AQ45" s="15"/>
      <c r="AR45" s="9"/>
      <c r="AS45" s="9"/>
      <c r="AT45" s="9"/>
    </row>
    <row r="46" spans="1:48" x14ac:dyDescent="0.25">
      <c r="A46" s="29"/>
      <c r="B46" s="30" t="s">
        <v>21</v>
      </c>
      <c r="C46" s="31"/>
      <c r="D46" s="31"/>
      <c r="E46" s="31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</row>
    <row r="47" spans="1:48" x14ac:dyDescent="0.25">
      <c r="A47" s="29"/>
      <c r="B47" s="30" t="s">
        <v>22</v>
      </c>
      <c r="C47" s="31"/>
      <c r="D47" s="31"/>
      <c r="E47" s="31"/>
      <c r="F47" s="14">
        <v>2.2999999999999998</v>
      </c>
      <c r="G47" s="14"/>
      <c r="H47" s="14"/>
      <c r="I47" s="14">
        <v>6.9</v>
      </c>
      <c r="J47" s="14"/>
      <c r="K47" s="14"/>
      <c r="L47" s="14"/>
      <c r="M47" s="14"/>
      <c r="N47" s="14"/>
      <c r="O47" s="14"/>
      <c r="P47" s="14">
        <v>6.6</v>
      </c>
      <c r="Q47" s="14"/>
      <c r="R47" s="14"/>
      <c r="S47" s="14"/>
      <c r="T47" s="14"/>
      <c r="U47" s="14"/>
      <c r="V47" s="14"/>
      <c r="W47" s="14"/>
      <c r="X47" s="14">
        <v>6.9</v>
      </c>
      <c r="Y47" s="14"/>
      <c r="Z47" s="14"/>
      <c r="AA47" s="14"/>
      <c r="AB47" s="14">
        <v>6.9</v>
      </c>
      <c r="AC47" s="14"/>
      <c r="AD47" s="14">
        <v>4.5999999999999996</v>
      </c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</row>
    <row r="48" spans="1:48" x14ac:dyDescent="0.25">
      <c r="A48" s="29"/>
      <c r="B48" s="14" t="s">
        <v>23</v>
      </c>
      <c r="E48" s="14"/>
      <c r="F48" s="14">
        <f>F44</f>
        <v>2.2999999999999998</v>
      </c>
      <c r="G48" s="14">
        <f t="shared" ref="G48:AJ48" si="8">G44</f>
        <v>0</v>
      </c>
      <c r="H48" s="14">
        <f t="shared" si="8"/>
        <v>0</v>
      </c>
      <c r="I48" s="14">
        <f>I44</f>
        <v>2.2999999999999998</v>
      </c>
      <c r="J48" s="14">
        <f>J44</f>
        <v>0</v>
      </c>
      <c r="K48" s="14">
        <f>K44</f>
        <v>1.3</v>
      </c>
      <c r="L48" s="14">
        <f t="shared" si="8"/>
        <v>2.2999999999999998</v>
      </c>
      <c r="M48" s="14">
        <f t="shared" si="8"/>
        <v>1</v>
      </c>
      <c r="N48" s="14">
        <f t="shared" si="8"/>
        <v>0</v>
      </c>
      <c r="O48" s="14">
        <f t="shared" si="8"/>
        <v>0</v>
      </c>
      <c r="P48" s="14">
        <f>P44</f>
        <v>2.2999999999999998</v>
      </c>
      <c r="Q48" s="14">
        <f t="shared" si="8"/>
        <v>0</v>
      </c>
      <c r="R48" s="14">
        <f t="shared" si="8"/>
        <v>2.2999999999999998</v>
      </c>
      <c r="S48" s="14">
        <f t="shared" si="8"/>
        <v>0</v>
      </c>
      <c r="T48" s="14">
        <f t="shared" si="8"/>
        <v>0</v>
      </c>
      <c r="U48" s="14">
        <f t="shared" si="8"/>
        <v>2</v>
      </c>
      <c r="V48" s="14">
        <f t="shared" si="8"/>
        <v>0</v>
      </c>
      <c r="W48" s="14">
        <f t="shared" si="8"/>
        <v>0</v>
      </c>
      <c r="X48" s="14">
        <f t="shared" si="8"/>
        <v>2.2999999999999998</v>
      </c>
      <c r="Y48" s="14">
        <f t="shared" si="8"/>
        <v>0</v>
      </c>
      <c r="Z48" s="14">
        <f t="shared" si="8"/>
        <v>2.2999999999999998</v>
      </c>
      <c r="AA48" s="14">
        <f t="shared" si="8"/>
        <v>1.3</v>
      </c>
      <c r="AB48" s="14">
        <f t="shared" si="8"/>
        <v>2.2999999999999998</v>
      </c>
      <c r="AC48" s="14">
        <f t="shared" si="8"/>
        <v>0</v>
      </c>
      <c r="AD48" s="14">
        <f t="shared" si="8"/>
        <v>3.3</v>
      </c>
      <c r="AE48" s="14">
        <f t="shared" si="8"/>
        <v>0</v>
      </c>
      <c r="AF48" s="14">
        <f t="shared" si="8"/>
        <v>2.2999999999999998</v>
      </c>
      <c r="AG48" s="14">
        <f t="shared" si="8"/>
        <v>0</v>
      </c>
      <c r="AH48" s="14">
        <f t="shared" si="8"/>
        <v>4.5999999999999996</v>
      </c>
      <c r="AI48" s="14">
        <f t="shared" si="8"/>
        <v>0</v>
      </c>
      <c r="AJ48" s="14">
        <f t="shared" si="8"/>
        <v>0</v>
      </c>
      <c r="AK48" s="14"/>
      <c r="AL48" s="14"/>
      <c r="AM48" s="14"/>
      <c r="AN48" s="14"/>
      <c r="AO48" s="14"/>
      <c r="AP48" s="14"/>
      <c r="AQ48" s="14"/>
      <c r="AR48" s="14"/>
      <c r="AS48" s="14"/>
      <c r="AT48" s="14"/>
    </row>
    <row r="49" spans="1:46" x14ac:dyDescent="0.25">
      <c r="A49" s="29"/>
      <c r="B49" s="14" t="s">
        <v>24</v>
      </c>
      <c r="E49" s="14"/>
      <c r="F49" s="14">
        <f>(F46+F47)-F48</f>
        <v>0</v>
      </c>
      <c r="G49" s="14">
        <f>(F49+G46+G47)-G48</f>
        <v>0</v>
      </c>
      <c r="H49" s="14">
        <f t="shared" ref="H49:Q49" si="9">(G49+H46+H47)-H48</f>
        <v>0</v>
      </c>
      <c r="I49" s="14">
        <f>(H49+I46+I47)-I48</f>
        <v>4.6000000000000005</v>
      </c>
      <c r="J49" s="14">
        <f>(I49+J46+J47)-J48</f>
        <v>4.6000000000000005</v>
      </c>
      <c r="K49" s="14">
        <f>(J49+K46+K47)-K48</f>
        <v>3.3000000000000007</v>
      </c>
      <c r="L49" s="14">
        <f>(K49+L46+L47)-L48</f>
        <v>1.0000000000000009</v>
      </c>
      <c r="M49" s="14">
        <f t="shared" si="9"/>
        <v>0</v>
      </c>
      <c r="N49" s="14">
        <f t="shared" si="9"/>
        <v>0</v>
      </c>
      <c r="O49" s="14">
        <f t="shared" si="9"/>
        <v>0</v>
      </c>
      <c r="P49" s="14">
        <f t="shared" si="9"/>
        <v>4.3</v>
      </c>
      <c r="Q49" s="14">
        <f t="shared" si="9"/>
        <v>4.3</v>
      </c>
      <c r="R49" s="14">
        <f>(Q49+R46+R47)-R48</f>
        <v>2</v>
      </c>
      <c r="S49" s="14">
        <f t="shared" ref="S49:AJ49" si="10">(R49+S46+S47)-S48</f>
        <v>2</v>
      </c>
      <c r="T49" s="14">
        <f t="shared" si="10"/>
        <v>2</v>
      </c>
      <c r="U49" s="14">
        <f t="shared" si="10"/>
        <v>0</v>
      </c>
      <c r="V49" s="14">
        <f t="shared" si="10"/>
        <v>0</v>
      </c>
      <c r="W49" s="14">
        <f t="shared" si="10"/>
        <v>0</v>
      </c>
      <c r="X49" s="14">
        <f t="shared" si="10"/>
        <v>4.6000000000000005</v>
      </c>
      <c r="Y49" s="14">
        <f t="shared" si="10"/>
        <v>4.6000000000000005</v>
      </c>
      <c r="Z49" s="14">
        <f t="shared" si="10"/>
        <v>2.3000000000000007</v>
      </c>
      <c r="AA49" s="14">
        <f t="shared" si="10"/>
        <v>1.0000000000000007</v>
      </c>
      <c r="AB49" s="14">
        <f t="shared" si="10"/>
        <v>5.6000000000000014</v>
      </c>
      <c r="AC49" s="14">
        <f t="shared" si="10"/>
        <v>5.6000000000000014</v>
      </c>
      <c r="AD49" s="14">
        <f t="shared" si="10"/>
        <v>6.9000000000000012</v>
      </c>
      <c r="AE49" s="14">
        <f t="shared" si="10"/>
        <v>6.9000000000000012</v>
      </c>
      <c r="AF49" s="14">
        <f t="shared" si="10"/>
        <v>4.6000000000000014</v>
      </c>
      <c r="AG49" s="14">
        <f t="shared" si="10"/>
        <v>4.6000000000000014</v>
      </c>
      <c r="AH49" s="14">
        <f t="shared" si="10"/>
        <v>0</v>
      </c>
      <c r="AI49" s="14">
        <f t="shared" si="10"/>
        <v>0</v>
      </c>
      <c r="AJ49" s="14">
        <f t="shared" si="10"/>
        <v>0</v>
      </c>
      <c r="AK49" s="14"/>
      <c r="AL49" s="14"/>
      <c r="AM49" s="29"/>
      <c r="AN49" s="29"/>
      <c r="AO49" s="29"/>
      <c r="AP49" s="29"/>
      <c r="AQ49" s="14"/>
      <c r="AR49" s="14"/>
      <c r="AS49" s="32"/>
      <c r="AT49" s="39">
        <f>AT44</f>
        <v>9466.7999999999993</v>
      </c>
    </row>
    <row r="50" spans="1:46" x14ac:dyDescent="0.25">
      <c r="A50" s="29"/>
      <c r="B50" s="14" t="s">
        <v>2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29"/>
      <c r="AL50" s="29"/>
      <c r="AM50" s="29"/>
      <c r="AN50" s="29"/>
      <c r="AO50" s="29"/>
      <c r="AP50" s="29"/>
      <c r="AQ50" s="14"/>
      <c r="AR50" s="14"/>
      <c r="AS50" s="32"/>
      <c r="AT50" s="14"/>
    </row>
    <row r="51" spans="1:46" ht="16.5" thickBot="1" x14ac:dyDescent="0.3">
      <c r="A51" s="29"/>
      <c r="B51" s="14" t="s">
        <v>25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2"/>
      <c r="AL51" s="2"/>
      <c r="AM51" s="2"/>
      <c r="AN51" s="2"/>
      <c r="AO51" s="29"/>
      <c r="AP51" s="29"/>
      <c r="AQ51" s="2" t="s">
        <v>26</v>
      </c>
      <c r="AR51" s="29"/>
      <c r="AS51" s="29"/>
      <c r="AT51" s="41">
        <f>F46*294</f>
        <v>0</v>
      </c>
    </row>
    <row r="52" spans="1:46" ht="16.5" thickTop="1" x14ac:dyDescent="0.25">
      <c r="A52" s="29"/>
      <c r="B52" s="14" t="s">
        <v>27</v>
      </c>
      <c r="C52" s="14"/>
      <c r="D52" s="14"/>
      <c r="E52" s="14">
        <f>SUM(F47:AJ47)</f>
        <v>34.200000000000003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2"/>
      <c r="AL52" s="2"/>
      <c r="AM52" s="2"/>
      <c r="AN52" s="30"/>
      <c r="AO52" s="29"/>
      <c r="AP52" s="29"/>
      <c r="AQ52" s="2" t="s">
        <v>28</v>
      </c>
      <c r="AR52" s="29"/>
      <c r="AS52" s="29"/>
      <c r="AT52" s="37">
        <f>AT49-AT51</f>
        <v>9466.7999999999993</v>
      </c>
    </row>
    <row r="53" spans="1:46" x14ac:dyDescent="0.25">
      <c r="A53" s="29"/>
      <c r="B53" s="14" t="s">
        <v>29</v>
      </c>
      <c r="C53" s="14"/>
      <c r="D53" s="14"/>
      <c r="E53" s="14">
        <f>AK38+AK44</f>
        <v>34.200000000000003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29"/>
      <c r="AL53" s="29"/>
      <c r="AM53" s="29"/>
      <c r="AN53" s="29"/>
      <c r="AO53" s="29"/>
      <c r="AP53" s="29"/>
      <c r="AQ53" s="14"/>
      <c r="AR53" s="14"/>
      <c r="AS53" s="32"/>
      <c r="AT53" s="14"/>
    </row>
    <row r="54" spans="1:46" ht="16.5" thickBot="1" x14ac:dyDescent="0.3">
      <c r="A54" s="29"/>
      <c r="B54" s="14" t="s">
        <v>30</v>
      </c>
      <c r="C54" s="14"/>
      <c r="D54" s="14"/>
      <c r="E54" s="33">
        <f>E51+E52-E53</f>
        <v>0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29"/>
      <c r="AL54" s="29"/>
      <c r="AM54" s="29"/>
      <c r="AN54" s="29"/>
      <c r="AO54" s="29"/>
      <c r="AP54" s="29"/>
      <c r="AQ54" s="14"/>
      <c r="AR54" s="14"/>
      <c r="AS54" s="32"/>
      <c r="AT54" s="14"/>
    </row>
    <row r="55" spans="1:46" ht="16.5" thickTop="1" x14ac:dyDescent="0.25">
      <c r="A55" s="29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29"/>
      <c r="AL55" s="29"/>
      <c r="AM55" s="29"/>
      <c r="AN55" s="29"/>
      <c r="AO55" s="29"/>
      <c r="AP55" s="29"/>
      <c r="AQ55" s="14"/>
      <c r="AR55" s="14"/>
      <c r="AS55" s="32"/>
      <c r="AT55" s="14"/>
    </row>
    <row r="56" spans="1:46" x14ac:dyDescent="0.25">
      <c r="A56" s="34"/>
      <c r="C56" s="14"/>
      <c r="D56" s="14"/>
      <c r="E56" s="35"/>
      <c r="K56" s="14"/>
      <c r="M56" s="36"/>
      <c r="N56" s="14"/>
      <c r="P56" s="14"/>
      <c r="Q56" s="14"/>
      <c r="R56" s="14"/>
      <c r="U56" s="36"/>
      <c r="V56" s="14"/>
      <c r="W56" s="14"/>
      <c r="X56" s="14"/>
      <c r="Y56" s="14"/>
      <c r="Z56" s="14"/>
      <c r="AA56" s="14"/>
      <c r="AB56" s="36"/>
      <c r="AC56" s="14"/>
      <c r="AD56" s="14"/>
      <c r="AE56" s="14"/>
      <c r="AF56" s="14"/>
      <c r="AG56" s="14"/>
      <c r="AH56" s="36"/>
      <c r="AI56" s="14"/>
      <c r="AJ56" s="14"/>
      <c r="AK56" s="14"/>
      <c r="AL56" s="29"/>
      <c r="AM56" s="29"/>
      <c r="AN56" s="29"/>
      <c r="AO56" s="29"/>
      <c r="AP56" s="29"/>
      <c r="AQ56" s="14"/>
      <c r="AR56" s="14"/>
      <c r="AS56" s="32"/>
      <c r="AT56" s="14"/>
    </row>
    <row r="57" spans="1:46" x14ac:dyDescent="0.25">
      <c r="A57" s="14"/>
      <c r="C57" s="14"/>
      <c r="D57" s="14"/>
      <c r="E57" s="35"/>
      <c r="K57" s="14"/>
      <c r="M57" s="36"/>
      <c r="N57" s="14"/>
      <c r="P57" s="14"/>
      <c r="Q57" s="14"/>
      <c r="R57" s="14"/>
      <c r="U57" s="36"/>
      <c r="V57" s="14"/>
      <c r="W57" s="14"/>
      <c r="X57" s="14"/>
      <c r="Y57" s="14"/>
      <c r="Z57" s="14"/>
      <c r="AA57" s="14"/>
      <c r="AB57" s="36"/>
      <c r="AC57" s="14"/>
      <c r="AD57" s="14"/>
      <c r="AE57" s="14"/>
      <c r="AF57" s="14"/>
      <c r="AG57" s="14"/>
      <c r="AH57" s="36"/>
      <c r="AI57" s="14"/>
      <c r="AJ57" s="14"/>
      <c r="AK57" s="14"/>
      <c r="AL57" s="29"/>
      <c r="AM57" s="29"/>
      <c r="AN57" s="29"/>
      <c r="AO57" s="29"/>
      <c r="AP57" s="29"/>
      <c r="AQ57" s="14"/>
      <c r="AR57" s="14"/>
      <c r="AS57" s="32"/>
      <c r="AT57" s="14"/>
    </row>
    <row r="58" spans="1:46" x14ac:dyDescent="0.25">
      <c r="A58" s="14"/>
      <c r="C58" s="14"/>
      <c r="D58" s="14"/>
      <c r="E58" s="35"/>
      <c r="K58" s="14"/>
      <c r="M58" s="36"/>
      <c r="N58" s="14"/>
      <c r="P58" s="14"/>
      <c r="Q58" s="14"/>
      <c r="R58" s="14"/>
      <c r="U58" s="36"/>
      <c r="V58" s="14"/>
      <c r="W58" s="14"/>
      <c r="X58" s="14"/>
      <c r="Y58" s="14"/>
      <c r="Z58" s="14"/>
      <c r="AA58" s="14"/>
      <c r="AB58" s="36"/>
      <c r="AC58" s="14"/>
      <c r="AD58" s="14"/>
      <c r="AE58" s="14"/>
      <c r="AF58" s="14"/>
      <c r="AG58" s="14"/>
      <c r="AH58" s="36"/>
      <c r="AI58" s="14"/>
      <c r="AJ58" s="14"/>
      <c r="AK58" s="14"/>
      <c r="AL58" s="29"/>
      <c r="AM58" s="29"/>
      <c r="AN58" s="29"/>
      <c r="AO58" s="29"/>
      <c r="AP58" s="29"/>
      <c r="AQ58" s="14"/>
      <c r="AR58" s="14"/>
      <c r="AS58" s="32"/>
      <c r="AT58" s="14"/>
    </row>
  </sheetData>
  <mergeCells count="39">
    <mergeCell ref="E1:AJ1"/>
    <mergeCell ref="E2:AJ2"/>
    <mergeCell ref="A3:A4"/>
    <mergeCell ref="B3:B4"/>
    <mergeCell ref="C3:C4"/>
    <mergeCell ref="D3:D4"/>
    <mergeCell ref="E3:E4"/>
    <mergeCell ref="F3:AJ3"/>
    <mergeCell ref="B19:E19"/>
    <mergeCell ref="AK3:AK4"/>
    <mergeCell ref="AL3:AL4"/>
    <mergeCell ref="AM3:AM4"/>
    <mergeCell ref="AN3:AN4"/>
    <mergeCell ref="AQ3:AQ4"/>
    <mergeCell ref="AR3:AR4"/>
    <mergeCell ref="AS3:AS4"/>
    <mergeCell ref="AT3:AT4"/>
    <mergeCell ref="B13:E13"/>
    <mergeCell ref="AO3:AO4"/>
    <mergeCell ref="AP3:AP4"/>
    <mergeCell ref="B20:E20"/>
    <mergeCell ref="E36:U36"/>
    <mergeCell ref="A37:A38"/>
    <mergeCell ref="B37:B38"/>
    <mergeCell ref="C37:C38"/>
    <mergeCell ref="D37:D38"/>
    <mergeCell ref="E37:E38"/>
    <mergeCell ref="F37:AJ37"/>
    <mergeCell ref="AQ37:AQ38"/>
    <mergeCell ref="AR37:AR38"/>
    <mergeCell ref="AS37:AS38"/>
    <mergeCell ref="AT37:AT38"/>
    <mergeCell ref="B44:E44"/>
    <mergeCell ref="AK37:AK38"/>
    <mergeCell ref="AL37:AL38"/>
    <mergeCell ref="AM37:AM38"/>
    <mergeCell ref="AN37:AN38"/>
    <mergeCell ref="AO37:AO38"/>
    <mergeCell ref="AP37:AP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may2026</vt:lpstr>
      <vt:lpstr>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2026-07-06T01:54:11Z</dcterms:modified>
</cp:coreProperties>
</file>