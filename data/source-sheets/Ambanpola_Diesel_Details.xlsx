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F041F8EC-BB26-4C19-ADC3-DCE79356C650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January 2026" sheetId="1" r:id="rId1"/>
    <sheet name="February 2026" sheetId="3" r:id="rId2"/>
    <sheet name="March 2026" sheetId="4" r:id="rId3"/>
    <sheet name="April 2026" sheetId="6" r:id="rId4"/>
    <sheet name="may 2026" sheetId="7" r:id="rId5"/>
    <sheet name="June 2026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7" i="7" l="1"/>
  <c r="AT7" i="7" s="1"/>
  <c r="E18" i="8"/>
  <c r="AT17" i="8"/>
  <c r="AS10" i="8"/>
  <c r="AM10" i="8"/>
  <c r="AL10" i="8"/>
  <c r="AJ10" i="8"/>
  <c r="AJ14" i="8" s="1"/>
  <c r="AI10" i="8"/>
  <c r="AI14" i="8" s="1"/>
  <c r="AH10" i="8"/>
  <c r="AH14" i="8" s="1"/>
  <c r="AG10" i="8"/>
  <c r="AG14" i="8" s="1"/>
  <c r="AF10" i="8"/>
  <c r="AF14" i="8" s="1"/>
  <c r="AE10" i="8"/>
  <c r="AE14" i="8" s="1"/>
  <c r="AD10" i="8"/>
  <c r="AD14" i="8" s="1"/>
  <c r="AC10" i="8"/>
  <c r="AC14" i="8" s="1"/>
  <c r="AB10" i="8"/>
  <c r="AB14" i="8" s="1"/>
  <c r="AA10" i="8"/>
  <c r="AA14" i="8" s="1"/>
  <c r="Z10" i="8"/>
  <c r="Z14" i="8" s="1"/>
  <c r="Y10" i="8"/>
  <c r="Y14" i="8" s="1"/>
  <c r="X10" i="8"/>
  <c r="X14" i="8" s="1"/>
  <c r="W10" i="8"/>
  <c r="W14" i="8" s="1"/>
  <c r="V10" i="8"/>
  <c r="V14" i="8" s="1"/>
  <c r="U10" i="8"/>
  <c r="U14" i="8" s="1"/>
  <c r="T10" i="8"/>
  <c r="T14" i="8" s="1"/>
  <c r="S10" i="8"/>
  <c r="S14" i="8" s="1"/>
  <c r="R10" i="8"/>
  <c r="R14" i="8" s="1"/>
  <c r="Q10" i="8"/>
  <c r="Q14" i="8" s="1"/>
  <c r="P10" i="8"/>
  <c r="P14" i="8" s="1"/>
  <c r="O10" i="8"/>
  <c r="O14" i="8" s="1"/>
  <c r="N10" i="8"/>
  <c r="N14" i="8" s="1"/>
  <c r="M10" i="8"/>
  <c r="M14" i="8" s="1"/>
  <c r="L10" i="8"/>
  <c r="L14" i="8" s="1"/>
  <c r="K10" i="8"/>
  <c r="K14" i="8" s="1"/>
  <c r="J10" i="8"/>
  <c r="J14" i="8" s="1"/>
  <c r="I10" i="8"/>
  <c r="I14" i="8" s="1"/>
  <c r="H10" i="8"/>
  <c r="H14" i="8" s="1"/>
  <c r="G10" i="8"/>
  <c r="G14" i="8" s="1"/>
  <c r="F10" i="8"/>
  <c r="F14" i="8" s="1"/>
  <c r="F15" i="8" s="1"/>
  <c r="G15" i="8" s="1"/>
  <c r="H15" i="8" s="1"/>
  <c r="I15" i="8" s="1"/>
  <c r="J15" i="8" s="1"/>
  <c r="K15" i="8" s="1"/>
  <c r="L15" i="8" s="1"/>
  <c r="M15" i="8" s="1"/>
  <c r="N15" i="8" s="1"/>
  <c r="O15" i="8" s="1"/>
  <c r="P15" i="8" s="1"/>
  <c r="Q15" i="8" s="1"/>
  <c r="R15" i="8" s="1"/>
  <c r="S15" i="8" s="1"/>
  <c r="T15" i="8" s="1"/>
  <c r="U15" i="8" s="1"/>
  <c r="V15" i="8" s="1"/>
  <c r="W15" i="8" s="1"/>
  <c r="X15" i="8" s="1"/>
  <c r="Y15" i="8" s="1"/>
  <c r="Z15" i="8" s="1"/>
  <c r="AA15" i="8" s="1"/>
  <c r="AB15" i="8" s="1"/>
  <c r="AC15" i="8" s="1"/>
  <c r="AD15" i="8" s="1"/>
  <c r="AE15" i="8" s="1"/>
  <c r="AF15" i="8" s="1"/>
  <c r="AG15" i="8" s="1"/>
  <c r="AH15" i="8" s="1"/>
  <c r="AI15" i="8" s="1"/>
  <c r="AJ15" i="8" s="1"/>
  <c r="AT7" i="8"/>
  <c r="AK6" i="8"/>
  <c r="AK10" i="8" s="1"/>
  <c r="E19" i="8" s="1"/>
  <c r="E18" i="7"/>
  <c r="AT17" i="7"/>
  <c r="AS10" i="7"/>
  <c r="AM10" i="7"/>
  <c r="AL10" i="7"/>
  <c r="AJ10" i="7"/>
  <c r="AJ14" i="7" s="1"/>
  <c r="AI10" i="7"/>
  <c r="AI14" i="7" s="1"/>
  <c r="AH10" i="7"/>
  <c r="AH14" i="7" s="1"/>
  <c r="AG10" i="7"/>
  <c r="AG14" i="7" s="1"/>
  <c r="AF10" i="7"/>
  <c r="AF14" i="7" s="1"/>
  <c r="AE10" i="7"/>
  <c r="AE14" i="7" s="1"/>
  <c r="AD10" i="7"/>
  <c r="AD14" i="7" s="1"/>
  <c r="AC10" i="7"/>
  <c r="AC14" i="7" s="1"/>
  <c r="AB10" i="7"/>
  <c r="AB14" i="7" s="1"/>
  <c r="AA10" i="7"/>
  <c r="AA14" i="7" s="1"/>
  <c r="Z10" i="7"/>
  <c r="Z14" i="7" s="1"/>
  <c r="Y10" i="7"/>
  <c r="Y14" i="7" s="1"/>
  <c r="X10" i="7"/>
  <c r="X14" i="7" s="1"/>
  <c r="W10" i="7"/>
  <c r="W14" i="7" s="1"/>
  <c r="V10" i="7"/>
  <c r="V14" i="7" s="1"/>
  <c r="U10" i="7"/>
  <c r="U14" i="7" s="1"/>
  <c r="T10" i="7"/>
  <c r="T14" i="7" s="1"/>
  <c r="S10" i="7"/>
  <c r="S14" i="7" s="1"/>
  <c r="R10" i="7"/>
  <c r="R14" i="7" s="1"/>
  <c r="Q10" i="7"/>
  <c r="Q14" i="7" s="1"/>
  <c r="P10" i="7"/>
  <c r="P14" i="7" s="1"/>
  <c r="O10" i="7"/>
  <c r="O14" i="7" s="1"/>
  <c r="N10" i="7"/>
  <c r="N14" i="7" s="1"/>
  <c r="M10" i="7"/>
  <c r="M14" i="7" s="1"/>
  <c r="L10" i="7"/>
  <c r="L14" i="7" s="1"/>
  <c r="K10" i="7"/>
  <c r="K14" i="7" s="1"/>
  <c r="J10" i="7"/>
  <c r="J14" i="7" s="1"/>
  <c r="I10" i="7"/>
  <c r="I14" i="7" s="1"/>
  <c r="H10" i="7"/>
  <c r="H14" i="7" s="1"/>
  <c r="G10" i="7"/>
  <c r="G14" i="7" s="1"/>
  <c r="F10" i="7"/>
  <c r="F14" i="7" s="1"/>
  <c r="F15" i="7" s="1"/>
  <c r="AK6" i="7"/>
  <c r="AK10" i="7" l="1"/>
  <c r="E19" i="7" s="1"/>
  <c r="E20" i="8"/>
  <c r="AT6" i="8"/>
  <c r="AT10" i="8" s="1"/>
  <c r="AT15" i="8" s="1"/>
  <c r="AT18" i="8" s="1"/>
  <c r="G15" i="7"/>
  <c r="H15" i="7" s="1"/>
  <c r="I15" i="7" s="1"/>
  <c r="J15" i="7" s="1"/>
  <c r="K15" i="7" s="1"/>
  <c r="L15" i="7" s="1"/>
  <c r="M15" i="7" s="1"/>
  <c r="N15" i="7" s="1"/>
  <c r="O15" i="7" s="1"/>
  <c r="P15" i="7" s="1"/>
  <c r="Q15" i="7" s="1"/>
  <c r="R15" i="7" s="1"/>
  <c r="S15" i="7" s="1"/>
  <c r="T15" i="7" s="1"/>
  <c r="U15" i="7" s="1"/>
  <c r="V15" i="7" s="1"/>
  <c r="W15" i="7" s="1"/>
  <c r="X15" i="7" s="1"/>
  <c r="Y15" i="7" s="1"/>
  <c r="Z15" i="7" s="1"/>
  <c r="AA15" i="7" s="1"/>
  <c r="AB15" i="7" s="1"/>
  <c r="AC15" i="7" s="1"/>
  <c r="AD15" i="7" s="1"/>
  <c r="AE15" i="7" s="1"/>
  <c r="AF15" i="7" s="1"/>
  <c r="AG15" i="7" s="1"/>
  <c r="AH15" i="7" s="1"/>
  <c r="AI15" i="7" s="1"/>
  <c r="AJ15" i="7" s="1"/>
  <c r="E20" i="7"/>
  <c r="AT6" i="7"/>
  <c r="AT10" i="7" s="1"/>
  <c r="AT15" i="7" s="1"/>
  <c r="AT18" i="7" s="1"/>
  <c r="E18" i="6" l="1"/>
  <c r="AT17" i="6"/>
  <c r="AS10" i="6"/>
  <c r="AM10" i="6"/>
  <c r="AL10" i="6"/>
  <c r="AJ10" i="6"/>
  <c r="AJ14" i="6" s="1"/>
  <c r="AI10" i="6"/>
  <c r="AI14" i="6" s="1"/>
  <c r="AH10" i="6"/>
  <c r="AH14" i="6" s="1"/>
  <c r="AG10" i="6"/>
  <c r="AG14" i="6" s="1"/>
  <c r="AF10" i="6"/>
  <c r="AF14" i="6" s="1"/>
  <c r="AE10" i="6"/>
  <c r="AE14" i="6" s="1"/>
  <c r="AD10" i="6"/>
  <c r="AD14" i="6" s="1"/>
  <c r="AC10" i="6"/>
  <c r="AC14" i="6" s="1"/>
  <c r="AB10" i="6"/>
  <c r="AB14" i="6" s="1"/>
  <c r="AA10" i="6"/>
  <c r="AA14" i="6" s="1"/>
  <c r="Z10" i="6"/>
  <c r="Z14" i="6" s="1"/>
  <c r="Y10" i="6"/>
  <c r="Y14" i="6" s="1"/>
  <c r="X10" i="6"/>
  <c r="X14" i="6" s="1"/>
  <c r="W10" i="6"/>
  <c r="W14" i="6" s="1"/>
  <c r="V10" i="6"/>
  <c r="V14" i="6" s="1"/>
  <c r="U10" i="6"/>
  <c r="U14" i="6" s="1"/>
  <c r="T10" i="6"/>
  <c r="T14" i="6" s="1"/>
  <c r="S10" i="6"/>
  <c r="S14" i="6" s="1"/>
  <c r="R10" i="6"/>
  <c r="R14" i="6" s="1"/>
  <c r="Q10" i="6"/>
  <c r="Q14" i="6" s="1"/>
  <c r="P10" i="6"/>
  <c r="P14" i="6" s="1"/>
  <c r="O10" i="6"/>
  <c r="O14" i="6" s="1"/>
  <c r="N10" i="6"/>
  <c r="N14" i="6" s="1"/>
  <c r="M10" i="6"/>
  <c r="M14" i="6" s="1"/>
  <c r="L10" i="6"/>
  <c r="L14" i="6" s="1"/>
  <c r="K10" i="6"/>
  <c r="K14" i="6" s="1"/>
  <c r="J10" i="6"/>
  <c r="J14" i="6" s="1"/>
  <c r="I10" i="6"/>
  <c r="I14" i="6" s="1"/>
  <c r="H10" i="6"/>
  <c r="H14" i="6" s="1"/>
  <c r="G10" i="6"/>
  <c r="G14" i="6" s="1"/>
  <c r="F10" i="6"/>
  <c r="F14" i="6" s="1"/>
  <c r="F15" i="6" s="1"/>
  <c r="G15" i="6" s="1"/>
  <c r="H15" i="6" s="1"/>
  <c r="AT7" i="6"/>
  <c r="AK6" i="6"/>
  <c r="AK10" i="6" s="1"/>
  <c r="E19" i="6" s="1"/>
  <c r="J42" i="4"/>
  <c r="K42" i="4"/>
  <c r="E23" i="4"/>
  <c r="I15" i="6" l="1"/>
  <c r="J15" i="6" s="1"/>
  <c r="K15" i="6" s="1"/>
  <c r="L15" i="6" s="1"/>
  <c r="M15" i="6" s="1"/>
  <c r="N15" i="6" s="1"/>
  <c r="O15" i="6" s="1"/>
  <c r="P15" i="6" s="1"/>
  <c r="Q15" i="6" s="1"/>
  <c r="R15" i="6" s="1"/>
  <c r="S15" i="6" s="1"/>
  <c r="T15" i="6" s="1"/>
  <c r="U15" i="6" s="1"/>
  <c r="V15" i="6" s="1"/>
  <c r="W15" i="6" s="1"/>
  <c r="X15" i="6" s="1"/>
  <c r="Y15" i="6" s="1"/>
  <c r="Z15" i="6" s="1"/>
  <c r="AA15" i="6" s="1"/>
  <c r="AB15" i="6" s="1"/>
  <c r="AC15" i="6" s="1"/>
  <c r="AD15" i="6" s="1"/>
  <c r="AE15" i="6" s="1"/>
  <c r="AF15" i="6" s="1"/>
  <c r="AG15" i="6" s="1"/>
  <c r="AH15" i="6" s="1"/>
  <c r="AI15" i="6" s="1"/>
  <c r="AJ15" i="6" s="1"/>
  <c r="E20" i="6"/>
  <c r="AT6" i="6"/>
  <c r="AT10" i="6" s="1"/>
  <c r="AT15" i="6" s="1"/>
  <c r="AT18" i="6" s="1"/>
  <c r="E46" i="4"/>
  <c r="AT45" i="4"/>
  <c r="AH42" i="4"/>
  <c r="AD42" i="4"/>
  <c r="AS38" i="4"/>
  <c r="AM38" i="4"/>
  <c r="AL38" i="4"/>
  <c r="AJ38" i="4"/>
  <c r="AJ42" i="4" s="1"/>
  <c r="AI38" i="4"/>
  <c r="AI42" i="4" s="1"/>
  <c r="AH38" i="4"/>
  <c r="AG38" i="4"/>
  <c r="AG42" i="4" s="1"/>
  <c r="AF38" i="4"/>
  <c r="AF42" i="4" s="1"/>
  <c r="AE38" i="4"/>
  <c r="AE42" i="4" s="1"/>
  <c r="AD38" i="4"/>
  <c r="AC38" i="4"/>
  <c r="AC42" i="4" s="1"/>
  <c r="AB38" i="4"/>
  <c r="AB42" i="4" s="1"/>
  <c r="AA38" i="4"/>
  <c r="AA42" i="4" s="1"/>
  <c r="Z38" i="4"/>
  <c r="Z42" i="4" s="1"/>
  <c r="Y38" i="4"/>
  <c r="Y42" i="4" s="1"/>
  <c r="X38" i="4"/>
  <c r="X42" i="4" s="1"/>
  <c r="W38" i="4"/>
  <c r="W42" i="4" s="1"/>
  <c r="V38" i="4"/>
  <c r="V42" i="4" s="1"/>
  <c r="U38" i="4"/>
  <c r="U42" i="4" s="1"/>
  <c r="T38" i="4"/>
  <c r="T42" i="4" s="1"/>
  <c r="S38" i="4"/>
  <c r="S42" i="4" s="1"/>
  <c r="R38" i="4"/>
  <c r="R42" i="4" s="1"/>
  <c r="Q38" i="4"/>
  <c r="Q42" i="4" s="1"/>
  <c r="P38" i="4"/>
  <c r="P42" i="4" s="1"/>
  <c r="P43" i="4" s="1"/>
  <c r="O38" i="4"/>
  <c r="O42" i="4" s="1"/>
  <c r="N38" i="4"/>
  <c r="N42" i="4" s="1"/>
  <c r="M38" i="4"/>
  <c r="M42" i="4" s="1"/>
  <c r="L38" i="4"/>
  <c r="L42" i="4" s="1"/>
  <c r="K38" i="4"/>
  <c r="J38" i="4"/>
  <c r="I38" i="4"/>
  <c r="I42" i="4" s="1"/>
  <c r="H38" i="4"/>
  <c r="H42" i="4" s="1"/>
  <c r="G38" i="4"/>
  <c r="G42" i="4" s="1"/>
  <c r="F38" i="4"/>
  <c r="F42" i="4" s="1"/>
  <c r="F43" i="4" s="1"/>
  <c r="G43" i="4" s="1"/>
  <c r="H43" i="4" s="1"/>
  <c r="AT35" i="4"/>
  <c r="AK34" i="4"/>
  <c r="AT34" i="4" s="1"/>
  <c r="AT38" i="4" s="1"/>
  <c r="AT43" i="4" s="1"/>
  <c r="AT46" i="4" s="1"/>
  <c r="E22" i="4"/>
  <c r="AT21" i="4"/>
  <c r="AJ18" i="4"/>
  <c r="AS14" i="4"/>
  <c r="AR14" i="4"/>
  <c r="AQ14" i="4"/>
  <c r="AP14" i="4"/>
  <c r="AO14" i="4"/>
  <c r="AN14" i="4"/>
  <c r="AM14" i="4"/>
  <c r="AL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T18" i="4" s="1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AT11" i="4"/>
  <c r="AT14" i="4" s="1"/>
  <c r="AK11" i="4"/>
  <c r="AK14" i="4" s="1"/>
  <c r="AS9" i="4"/>
  <c r="AM9" i="4"/>
  <c r="AL9" i="4"/>
  <c r="AJ9" i="4"/>
  <c r="AI9" i="4"/>
  <c r="AI18" i="4" s="1"/>
  <c r="AH9" i="4"/>
  <c r="AH18" i="4" s="1"/>
  <c r="AG9" i="4"/>
  <c r="AG18" i="4" s="1"/>
  <c r="AF9" i="4"/>
  <c r="AF18" i="4" s="1"/>
  <c r="AE9" i="4"/>
  <c r="AE18" i="4" s="1"/>
  <c r="AD9" i="4"/>
  <c r="AD18" i="4" s="1"/>
  <c r="AC9" i="4"/>
  <c r="AC18" i="4" s="1"/>
  <c r="AB9" i="4"/>
  <c r="AB18" i="4" s="1"/>
  <c r="AA9" i="4"/>
  <c r="AA18" i="4" s="1"/>
  <c r="Z9" i="4"/>
  <c r="Z18" i="4" s="1"/>
  <c r="Y9" i="4"/>
  <c r="Y18" i="4" s="1"/>
  <c r="X9" i="4"/>
  <c r="X18" i="4" s="1"/>
  <c r="W9" i="4"/>
  <c r="W18" i="4" s="1"/>
  <c r="V9" i="4"/>
  <c r="V18" i="4" s="1"/>
  <c r="U9" i="4"/>
  <c r="U18" i="4" s="1"/>
  <c r="T9" i="4"/>
  <c r="S9" i="4"/>
  <c r="S18" i="4" s="1"/>
  <c r="R9" i="4"/>
  <c r="R18" i="4" s="1"/>
  <c r="Q9" i="4"/>
  <c r="Q18" i="4" s="1"/>
  <c r="P9" i="4"/>
  <c r="P18" i="4" s="1"/>
  <c r="O9" i="4"/>
  <c r="O18" i="4" s="1"/>
  <c r="N9" i="4"/>
  <c r="N18" i="4" s="1"/>
  <c r="M9" i="4"/>
  <c r="M18" i="4" s="1"/>
  <c r="L9" i="4"/>
  <c r="L18" i="4" s="1"/>
  <c r="K9" i="4"/>
  <c r="K18" i="4" s="1"/>
  <c r="J9" i="4"/>
  <c r="J18" i="4" s="1"/>
  <c r="I9" i="4"/>
  <c r="I18" i="4" s="1"/>
  <c r="H9" i="4"/>
  <c r="H18" i="4" s="1"/>
  <c r="G9" i="4"/>
  <c r="G18" i="4" s="1"/>
  <c r="F9" i="4"/>
  <c r="F18" i="4" s="1"/>
  <c r="F19" i="4" s="1"/>
  <c r="G19" i="4" s="1"/>
  <c r="AK6" i="4"/>
  <c r="AT6" i="4" s="1"/>
  <c r="AP5" i="4"/>
  <c r="AK5" i="4"/>
  <c r="AQ5" i="4" s="1"/>
  <c r="E46" i="3"/>
  <c r="Q43" i="4" l="1"/>
  <c r="AK38" i="4"/>
  <c r="E47" i="4" s="1"/>
  <c r="E48" i="4" s="1"/>
  <c r="H19" i="4"/>
  <c r="AT5" i="4"/>
  <c r="AT9" i="4" s="1"/>
  <c r="AT18" i="4" s="1"/>
  <c r="AT22" i="4" s="1"/>
  <c r="I43" i="4"/>
  <c r="J43" i="4" s="1"/>
  <c r="K43" i="4" s="1"/>
  <c r="L43" i="4" s="1"/>
  <c r="M43" i="4" s="1"/>
  <c r="N43" i="4" s="1"/>
  <c r="O43" i="4" s="1"/>
  <c r="R43" i="4" s="1"/>
  <c r="S43" i="4" s="1"/>
  <c r="T43" i="4" s="1"/>
  <c r="U43" i="4" s="1"/>
  <c r="V43" i="4" s="1"/>
  <c r="W43" i="4" s="1"/>
  <c r="X43" i="4" s="1"/>
  <c r="Y43" i="4" s="1"/>
  <c r="Z43" i="4" s="1"/>
  <c r="AA43" i="4" s="1"/>
  <c r="AB43" i="4" s="1"/>
  <c r="AC43" i="4" s="1"/>
  <c r="AD43" i="4" s="1"/>
  <c r="AE43" i="4" s="1"/>
  <c r="AF43" i="4" s="1"/>
  <c r="AG43" i="4" s="1"/>
  <c r="AH43" i="4" s="1"/>
  <c r="AI43" i="4" s="1"/>
  <c r="AJ43" i="4" s="1"/>
  <c r="I19" i="4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9" i="4"/>
  <c r="E24" i="4" s="1"/>
  <c r="E22" i="3"/>
  <c r="AT45" i="3"/>
  <c r="AJ42" i="3"/>
  <c r="AS38" i="3"/>
  <c r="AM38" i="3"/>
  <c r="AL38" i="3"/>
  <c r="AJ38" i="3"/>
  <c r="AI38" i="3"/>
  <c r="AI42" i="3" s="1"/>
  <c r="AH38" i="3"/>
  <c r="AH42" i="3" s="1"/>
  <c r="AG38" i="3"/>
  <c r="AG42" i="3" s="1"/>
  <c r="AF38" i="3"/>
  <c r="AF42" i="3" s="1"/>
  <c r="AE38" i="3"/>
  <c r="AE42" i="3" s="1"/>
  <c r="AD38" i="3"/>
  <c r="AD42" i="3" s="1"/>
  <c r="AC38" i="3"/>
  <c r="AC42" i="3" s="1"/>
  <c r="AB38" i="3"/>
  <c r="AB42" i="3" s="1"/>
  <c r="AA38" i="3"/>
  <c r="AA42" i="3" s="1"/>
  <c r="Z38" i="3"/>
  <c r="Z42" i="3" s="1"/>
  <c r="Y38" i="3"/>
  <c r="Y42" i="3" s="1"/>
  <c r="X38" i="3"/>
  <c r="X42" i="3" s="1"/>
  <c r="W38" i="3"/>
  <c r="W42" i="3" s="1"/>
  <c r="V38" i="3"/>
  <c r="V42" i="3" s="1"/>
  <c r="U38" i="3"/>
  <c r="U42" i="3" s="1"/>
  <c r="T38" i="3"/>
  <c r="T42" i="3" s="1"/>
  <c r="S38" i="3"/>
  <c r="S42" i="3" s="1"/>
  <c r="R38" i="3"/>
  <c r="R42" i="3" s="1"/>
  <c r="Q38" i="3"/>
  <c r="Q42" i="3" s="1"/>
  <c r="P38" i="3"/>
  <c r="P42" i="3" s="1"/>
  <c r="O38" i="3"/>
  <c r="O42" i="3" s="1"/>
  <c r="N38" i="3"/>
  <c r="N42" i="3" s="1"/>
  <c r="M38" i="3"/>
  <c r="M42" i="3" s="1"/>
  <c r="L38" i="3"/>
  <c r="L42" i="3" s="1"/>
  <c r="K38" i="3"/>
  <c r="K42" i="3" s="1"/>
  <c r="J38" i="3"/>
  <c r="I38" i="3"/>
  <c r="I42" i="3" s="1"/>
  <c r="H38" i="3"/>
  <c r="H42" i="3" s="1"/>
  <c r="G38" i="3"/>
  <c r="G42" i="3" s="1"/>
  <c r="F38" i="3"/>
  <c r="F42" i="3" s="1"/>
  <c r="F43" i="3" s="1"/>
  <c r="AT35" i="3"/>
  <c r="AK34" i="3"/>
  <c r="AT34" i="3" s="1"/>
  <c r="AT38" i="3" s="1"/>
  <c r="AT43" i="3" s="1"/>
  <c r="AT21" i="3"/>
  <c r="AS14" i="3"/>
  <c r="AR14" i="3"/>
  <c r="AQ14" i="3"/>
  <c r="AP14" i="3"/>
  <c r="AO14" i="3"/>
  <c r="AN14" i="3"/>
  <c r="AM14" i="3"/>
  <c r="AL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AK11" i="3"/>
  <c r="AT11" i="3" s="1"/>
  <c r="AT14" i="3" s="1"/>
  <c r="AS9" i="3"/>
  <c r="AM9" i="3"/>
  <c r="AL9" i="3"/>
  <c r="AJ9" i="3"/>
  <c r="AJ18" i="3" s="1"/>
  <c r="AI9" i="3"/>
  <c r="AI18" i="3" s="1"/>
  <c r="AH9" i="3"/>
  <c r="AH18" i="3" s="1"/>
  <c r="AG9" i="3"/>
  <c r="AF9" i="3"/>
  <c r="AF18" i="3" s="1"/>
  <c r="AE9" i="3"/>
  <c r="AD9" i="3"/>
  <c r="AD18" i="3" s="1"/>
  <c r="AC9" i="3"/>
  <c r="AB9" i="3"/>
  <c r="AA9" i="3"/>
  <c r="AA18" i="3" s="1"/>
  <c r="Z9" i="3"/>
  <c r="Z18" i="3" s="1"/>
  <c r="Y9" i="3"/>
  <c r="X9" i="3"/>
  <c r="X18" i="3" s="1"/>
  <c r="W9" i="3"/>
  <c r="W18" i="3" s="1"/>
  <c r="V9" i="3"/>
  <c r="V18" i="3" s="1"/>
  <c r="U9" i="3"/>
  <c r="T9" i="3"/>
  <c r="T18" i="3" s="1"/>
  <c r="S9" i="3"/>
  <c r="R9" i="3"/>
  <c r="R18" i="3" s="1"/>
  <c r="Q9" i="3"/>
  <c r="P9" i="3"/>
  <c r="P18" i="3" s="1"/>
  <c r="O9" i="3"/>
  <c r="O18" i="3" s="1"/>
  <c r="N9" i="3"/>
  <c r="N18" i="3" s="1"/>
  <c r="M9" i="3"/>
  <c r="L9" i="3"/>
  <c r="L18" i="3" s="1"/>
  <c r="K9" i="3"/>
  <c r="K18" i="3" s="1"/>
  <c r="J9" i="3"/>
  <c r="J18" i="3" s="1"/>
  <c r="I9" i="3"/>
  <c r="H9" i="3"/>
  <c r="H18" i="3" s="1"/>
  <c r="G9" i="3"/>
  <c r="G18" i="3" s="1"/>
  <c r="F9" i="3"/>
  <c r="F18" i="3" s="1"/>
  <c r="F19" i="3" s="1"/>
  <c r="AK6" i="3"/>
  <c r="AT6" i="3" s="1"/>
  <c r="AP5" i="3"/>
  <c r="AK5" i="3"/>
  <c r="AQ5" i="3" s="1"/>
  <c r="AT21" i="1"/>
  <c r="AT46" i="1"/>
  <c r="AT45" i="1"/>
  <c r="AT43" i="1"/>
  <c r="AT46" i="3" l="1"/>
  <c r="AE18" i="3"/>
  <c r="AB18" i="3"/>
  <c r="S18" i="3"/>
  <c r="AK14" i="3"/>
  <c r="AT5" i="3"/>
  <c r="AT9" i="3" s="1"/>
  <c r="AT18" i="3" s="1"/>
  <c r="AT22" i="3" s="1"/>
  <c r="I18" i="3"/>
  <c r="M18" i="3"/>
  <c r="Q18" i="3"/>
  <c r="U18" i="3"/>
  <c r="Y18" i="3"/>
  <c r="AC18" i="3"/>
  <c r="AG18" i="3"/>
  <c r="G19" i="3"/>
  <c r="H19" i="3" s="1"/>
  <c r="G43" i="3"/>
  <c r="H43" i="3" s="1"/>
  <c r="I43" i="3" s="1"/>
  <c r="J43" i="3" s="1"/>
  <c r="K43" i="3" s="1"/>
  <c r="L43" i="3" s="1"/>
  <c r="M43" i="3" s="1"/>
  <c r="N43" i="3" s="1"/>
  <c r="O43" i="3" s="1"/>
  <c r="P43" i="3" s="1"/>
  <c r="Q43" i="3" s="1"/>
  <c r="R43" i="3" s="1"/>
  <c r="S43" i="3" s="1"/>
  <c r="T43" i="3" s="1"/>
  <c r="U43" i="3" s="1"/>
  <c r="V43" i="3" s="1"/>
  <c r="W43" i="3" s="1"/>
  <c r="X43" i="3" s="1"/>
  <c r="Y43" i="3" s="1"/>
  <c r="Z43" i="3" s="1"/>
  <c r="AA43" i="3" s="1"/>
  <c r="AB43" i="3" s="1"/>
  <c r="AC43" i="3" s="1"/>
  <c r="AD43" i="3" s="1"/>
  <c r="AE43" i="3" s="1"/>
  <c r="AF43" i="3" s="1"/>
  <c r="AG43" i="3" s="1"/>
  <c r="AH43" i="3" s="1"/>
  <c r="AI43" i="3" s="1"/>
  <c r="AJ43" i="3" s="1"/>
  <c r="AK9" i="3"/>
  <c r="AK38" i="3"/>
  <c r="E47" i="3" s="1"/>
  <c r="E48" i="3" s="1"/>
  <c r="T42" i="1"/>
  <c r="AJ42" i="1"/>
  <c r="E48" i="1"/>
  <c r="AS38" i="1"/>
  <c r="AM38" i="1"/>
  <c r="AL38" i="1"/>
  <c r="AJ38" i="1"/>
  <c r="AI38" i="1"/>
  <c r="AI42" i="1" s="1"/>
  <c r="AH38" i="1"/>
  <c r="AH42" i="1" s="1"/>
  <c r="AG38" i="1"/>
  <c r="AG42" i="1" s="1"/>
  <c r="AF38" i="1"/>
  <c r="AF42" i="1" s="1"/>
  <c r="AE38" i="1"/>
  <c r="AE42" i="1" s="1"/>
  <c r="AD38" i="1"/>
  <c r="AD42" i="1" s="1"/>
  <c r="AC38" i="1"/>
  <c r="AC42" i="1" s="1"/>
  <c r="AB38" i="1"/>
  <c r="AB42" i="1" s="1"/>
  <c r="AA38" i="1"/>
  <c r="AA42" i="1" s="1"/>
  <c r="Z38" i="1"/>
  <c r="Z42" i="1" s="1"/>
  <c r="Y38" i="1"/>
  <c r="Y42" i="1" s="1"/>
  <c r="X38" i="1"/>
  <c r="X42" i="1" s="1"/>
  <c r="W38" i="1"/>
  <c r="W42" i="1" s="1"/>
  <c r="V38" i="1"/>
  <c r="V42" i="1" s="1"/>
  <c r="U38" i="1"/>
  <c r="U42" i="1" s="1"/>
  <c r="T38" i="1"/>
  <c r="S38" i="1"/>
  <c r="S42" i="1" s="1"/>
  <c r="R38" i="1"/>
  <c r="R42" i="1" s="1"/>
  <c r="Q38" i="1"/>
  <c r="Q42" i="1" s="1"/>
  <c r="P38" i="1"/>
  <c r="P42" i="1" s="1"/>
  <c r="O38" i="1"/>
  <c r="O42" i="1" s="1"/>
  <c r="N38" i="1"/>
  <c r="N42" i="1" s="1"/>
  <c r="M38" i="1"/>
  <c r="M42" i="1" s="1"/>
  <c r="L38" i="1"/>
  <c r="L42" i="1" s="1"/>
  <c r="K38" i="1"/>
  <c r="K42" i="1" s="1"/>
  <c r="J38" i="1"/>
  <c r="I38" i="1"/>
  <c r="I42" i="1" s="1"/>
  <c r="H38" i="1"/>
  <c r="H42" i="1" s="1"/>
  <c r="G38" i="1"/>
  <c r="G42" i="1" s="1"/>
  <c r="F38" i="1"/>
  <c r="F42" i="1" s="1"/>
  <c r="AT35" i="1"/>
  <c r="AK34" i="1"/>
  <c r="AT34" i="1" s="1"/>
  <c r="E23" i="3" l="1"/>
  <c r="E24" i="3" s="1"/>
  <c r="I19" i="3"/>
  <c r="J19" i="3" s="1"/>
  <c r="K19" i="3" s="1"/>
  <c r="L19" i="3" s="1"/>
  <c r="M19" i="3" s="1"/>
  <c r="N19" i="3" s="1"/>
  <c r="O19" i="3" s="1"/>
  <c r="P19" i="3" s="1"/>
  <c r="Q19" i="3" s="1"/>
  <c r="R19" i="3" s="1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AC19" i="3" s="1"/>
  <c r="AD19" i="3" s="1"/>
  <c r="AE19" i="3" s="1"/>
  <c r="AF19" i="3" s="1"/>
  <c r="AG19" i="3" s="1"/>
  <c r="AH19" i="3" s="1"/>
  <c r="AI19" i="3" s="1"/>
  <c r="AJ19" i="3" s="1"/>
  <c r="F43" i="1"/>
  <c r="G43" i="1" s="1"/>
  <c r="H43" i="1" s="1"/>
  <c r="I43" i="1" s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G43" i="1" s="1"/>
  <c r="AH43" i="1" s="1"/>
  <c r="AI43" i="1" s="1"/>
  <c r="AJ43" i="1" s="1"/>
  <c r="AT38" i="1"/>
  <c r="AK38" i="1"/>
  <c r="AP5" i="1" l="1"/>
  <c r="E24" i="1" l="1"/>
  <c r="AN14" i="1" l="1"/>
  <c r="AO14" i="1"/>
  <c r="AP14" i="1"/>
  <c r="AQ14" i="1"/>
  <c r="AR14" i="1"/>
  <c r="AS14" i="1"/>
  <c r="AS9" i="1"/>
  <c r="AK11" i="1" l="1"/>
  <c r="AK6" i="1"/>
  <c r="AK5" i="1"/>
  <c r="F9" i="1"/>
  <c r="AQ5" i="1" l="1"/>
  <c r="AT5" i="1"/>
  <c r="AK9" i="1"/>
  <c r="AT6" i="1"/>
  <c r="AK14" i="1"/>
  <c r="AT11" i="1"/>
  <c r="AL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F18" i="1" s="1"/>
  <c r="F19" i="1" s="1"/>
  <c r="AL9" i="1"/>
  <c r="AJ9" i="1"/>
  <c r="AJ18" i="1" s="1"/>
  <c r="AI9" i="1"/>
  <c r="AI18" i="1" s="1"/>
  <c r="AH9" i="1"/>
  <c r="AH18" i="1" s="1"/>
  <c r="AG9" i="1"/>
  <c r="AG18" i="1" s="1"/>
  <c r="AF9" i="1"/>
  <c r="AF18" i="1" s="1"/>
  <c r="AE9" i="1"/>
  <c r="AE18" i="1" s="1"/>
  <c r="AD9" i="1"/>
  <c r="AD18" i="1" s="1"/>
  <c r="AC9" i="1"/>
  <c r="AC18" i="1" s="1"/>
  <c r="AB9" i="1"/>
  <c r="AB18" i="1" s="1"/>
  <c r="AA9" i="1"/>
  <c r="AA18" i="1" s="1"/>
  <c r="Z9" i="1"/>
  <c r="Z18" i="1" s="1"/>
  <c r="Y9" i="1"/>
  <c r="Y18" i="1" s="1"/>
  <c r="X9" i="1"/>
  <c r="X18" i="1" s="1"/>
  <c r="W9" i="1"/>
  <c r="W18" i="1" s="1"/>
  <c r="V9" i="1"/>
  <c r="V18" i="1" s="1"/>
  <c r="U9" i="1"/>
  <c r="U18" i="1" s="1"/>
  <c r="T9" i="1"/>
  <c r="T18" i="1" s="1"/>
  <c r="S9" i="1"/>
  <c r="S18" i="1" s="1"/>
  <c r="R9" i="1"/>
  <c r="R18" i="1" s="1"/>
  <c r="Q9" i="1"/>
  <c r="Q18" i="1" s="1"/>
  <c r="P9" i="1"/>
  <c r="P18" i="1" s="1"/>
  <c r="O9" i="1"/>
  <c r="O18" i="1" s="1"/>
  <c r="N9" i="1"/>
  <c r="N18" i="1" s="1"/>
  <c r="M9" i="1"/>
  <c r="M18" i="1" s="1"/>
  <c r="L9" i="1"/>
  <c r="L18" i="1" s="1"/>
  <c r="K9" i="1"/>
  <c r="K18" i="1" s="1"/>
  <c r="J9" i="1"/>
  <c r="J18" i="1" s="1"/>
  <c r="I9" i="1"/>
  <c r="I18" i="1" s="1"/>
  <c r="H9" i="1"/>
  <c r="H18" i="1" s="1"/>
  <c r="G9" i="1"/>
  <c r="AT9" i="1" l="1"/>
  <c r="AT18" i="1" s="1"/>
  <c r="AT22" i="1" s="1"/>
  <c r="G18" i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AE19" i="1" s="1"/>
  <c r="AF19" i="1" s="1"/>
  <c r="AG19" i="1" s="1"/>
  <c r="AH19" i="1" s="1"/>
  <c r="AI19" i="1" s="1"/>
  <c r="AJ19" i="1" s="1"/>
  <c r="AM9" i="1"/>
  <c r="AM14" i="1"/>
  <c r="AT14" i="1" l="1"/>
</calcChain>
</file>

<file path=xl/sharedStrings.xml><?xml version="1.0" encoding="utf-8"?>
<sst xmlns="http://schemas.openxmlformats.org/spreadsheetml/2006/main" count="371" uniqueCount="52">
  <si>
    <t>Edward and Christie (Pvt) Ltd</t>
  </si>
  <si>
    <t xml:space="preserve">                                                           Monthly Fuel Consumption Report (Daily/ Average)</t>
  </si>
  <si>
    <t xml:space="preserve"> </t>
  </si>
  <si>
    <t>S. No.</t>
  </si>
  <si>
    <t>Vehicle Reg. No.</t>
  </si>
  <si>
    <t>Company Code</t>
  </si>
  <si>
    <t>Type of Vehicle/ Machine</t>
  </si>
  <si>
    <t>Fuel Type</t>
  </si>
  <si>
    <t>Day</t>
  </si>
  <si>
    <t xml:space="preserve">Total ℓ from Site Tank </t>
  </si>
  <si>
    <t>Total ℓ from Outside</t>
  </si>
  <si>
    <t>Total Fuel ℓ (A)</t>
  </si>
  <si>
    <t>Opening Meter km/ hrs.</t>
  </si>
  <si>
    <t>Closing Meter km/ hrs.</t>
  </si>
  <si>
    <t>Total Running    km/ hrs.(B)</t>
  </si>
  <si>
    <t xml:space="preserve">Consumption per km or hrs. (B/A) </t>
  </si>
  <si>
    <t xml:space="preserve">Previous month consumption </t>
  </si>
  <si>
    <t>Fuel Rate Rs. (C)</t>
  </si>
  <si>
    <t xml:space="preserve">Fuel Cost Rs. (A*C) </t>
  </si>
  <si>
    <t xml:space="preserve">Total issue for the machinery (ℓ) </t>
  </si>
  <si>
    <t>Total issue for the vehicle (ℓ)</t>
  </si>
  <si>
    <t>Daily Opening balance at site tank (ℓ)</t>
  </si>
  <si>
    <t>Daily Fuel Purchase (ℓ)</t>
  </si>
  <si>
    <t>Daily Total Issue for Vehicle and Machinery (ℓ)</t>
  </si>
  <si>
    <t>Daily closing balance at site tank (ℓ)</t>
  </si>
  <si>
    <t>Monthly Opening Balance (ℓ)</t>
  </si>
  <si>
    <t>Total deduction (Rs.)</t>
  </si>
  <si>
    <t>Monthly Purchasing (ℓ)</t>
  </si>
  <si>
    <t>Project fuel cost (Rs.)</t>
  </si>
  <si>
    <t>Monthly Closing Balance (ℓ)</t>
  </si>
  <si>
    <t>Monthly Consumption (ℓ)</t>
  </si>
  <si>
    <t xml:space="preserve">                                                             Year and Month: 2026 - January</t>
  </si>
  <si>
    <t>Location/ Project: Ambanpola</t>
  </si>
  <si>
    <t>ZA-7092</t>
  </si>
  <si>
    <t>LB11</t>
  </si>
  <si>
    <t>JCB</t>
  </si>
  <si>
    <t>Diesel</t>
  </si>
  <si>
    <t>GE102</t>
  </si>
  <si>
    <t>Genareter</t>
  </si>
  <si>
    <t>37-8277</t>
  </si>
  <si>
    <t>Hired</t>
  </si>
  <si>
    <t>Tractor</t>
  </si>
  <si>
    <t>XW-9221</t>
  </si>
  <si>
    <t>Meter not work</t>
  </si>
  <si>
    <t>Petrol</t>
  </si>
  <si>
    <t>MB-11</t>
  </si>
  <si>
    <t>Bike</t>
  </si>
  <si>
    <t xml:space="preserve">                                                             Year and Month: 2026 - February</t>
  </si>
  <si>
    <t xml:space="preserve">                                                             Year and Month: 2026 - March</t>
  </si>
  <si>
    <t xml:space="preserve">                                                             Year and Month: 2026 - April</t>
  </si>
  <si>
    <t xml:space="preserve">                                                             Year and Month: 2026 - may</t>
  </si>
  <si>
    <t>genarator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</si>
</sst>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43" fontId="3" fillId="0" borderId="0" xfId="1" applyFont="1"/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/>
    <xf numFmtId="0" fontId="4" fillId="0" borderId="1" xfId="0" applyFont="1" applyBorder="1"/>
    <xf numFmtId="0" fontId="4" fillId="0" borderId="7" xfId="0" applyFont="1" applyBorder="1" applyAlignment="1">
      <alignment horizontal="center"/>
    </xf>
    <xf numFmtId="43" fontId="4" fillId="0" borderId="1" xfId="1" applyFont="1" applyBorder="1"/>
    <xf numFmtId="43" fontId="4" fillId="0" borderId="1" xfId="0" applyNumberFormat="1" applyFont="1" applyBorder="1"/>
    <xf numFmtId="0" fontId="4" fillId="0" borderId="0" xfId="0" applyFont="1"/>
    <xf numFmtId="2" fontId="4" fillId="0" borderId="7" xfId="0" applyNumberFormat="1" applyFont="1" applyBorder="1"/>
    <xf numFmtId="43" fontId="4" fillId="0" borderId="7" xfId="0" applyNumberFormat="1" applyFont="1" applyBorder="1"/>
    <xf numFmtId="0" fontId="4" fillId="2" borderId="7" xfId="0" applyFont="1" applyFill="1" applyBorder="1"/>
    <xf numFmtId="0" fontId="4" fillId="0" borderId="8" xfId="0" applyFont="1" applyBorder="1" applyAlignment="1">
      <alignment horizontal="center"/>
    </xf>
    <xf numFmtId="43" fontId="4" fillId="0" borderId="8" xfId="0" applyNumberFormat="1" applyFont="1" applyBorder="1"/>
    <xf numFmtId="0" fontId="4" fillId="0" borderId="12" xfId="0" applyFont="1" applyBorder="1" applyAlignment="1">
      <alignment horizontal="center"/>
    </xf>
    <xf numFmtId="43" fontId="4" fillId="0" borderId="7" xfId="1" applyFont="1" applyBorder="1"/>
    <xf numFmtId="43" fontId="4" fillId="0" borderId="12" xfId="0" applyNumberFormat="1" applyFont="1" applyBorder="1"/>
    <xf numFmtId="0" fontId="4" fillId="0" borderId="13" xfId="0" applyFont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0" borderId="8" xfId="0" applyFont="1" applyBorder="1"/>
    <xf numFmtId="0" fontId="4" fillId="0" borderId="5" xfId="0" applyFont="1" applyBorder="1" applyAlignment="1">
      <alignment horizontal="center"/>
    </xf>
    <xf numFmtId="0" fontId="4" fillId="0" borderId="12" xfId="0" applyFont="1" applyBorder="1"/>
    <xf numFmtId="43" fontId="4" fillId="0" borderId="12" xfId="1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wrapText="1"/>
    </xf>
    <xf numFmtId="43" fontId="4" fillId="0" borderId="0" xfId="1" applyFont="1"/>
    <xf numFmtId="0" fontId="4" fillId="0" borderId="17" xfId="0" applyFont="1" applyBorder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43" fontId="4" fillId="0" borderId="0" xfId="0" applyNumberFormat="1" applyFont="1" applyAlignment="1">
      <alignment horizontal="center"/>
    </xf>
    <xf numFmtId="164" fontId="4" fillId="0" borderId="1" xfId="0" applyNumberFormat="1" applyFont="1" applyBorder="1"/>
    <xf numFmtId="43" fontId="4" fillId="0" borderId="0" xfId="0" applyNumberFormat="1" applyFont="1"/>
    <xf numFmtId="2" fontId="4" fillId="0" borderId="17" xfId="0" applyNumberFormat="1" applyFont="1" applyBorder="1" applyAlignment="1">
      <alignment horizontal="center"/>
    </xf>
    <xf numFmtId="0" fontId="4" fillId="0" borderId="17" xfId="0" applyFont="1" applyBorder="1" applyAlignment="1">
      <alignment horizontal="right"/>
    </xf>
    <xf numFmtId="2" fontId="4" fillId="0" borderId="7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 wrapText="1"/>
    </xf>
    <xf numFmtId="43" fontId="4" fillId="0" borderId="5" xfId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0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2"/>
  <sheetViews>
    <sheetView zoomScale="70" zoomScaleNormal="70" workbookViewId="0">
      <selection activeCell="R28" sqref="R28"/>
    </sheetView>
  </sheetViews>
  <sheetFormatPr defaultColWidth="9.140625" defaultRowHeight="15.75" x14ac:dyDescent="0.25"/>
  <cols>
    <col min="1" max="1" width="4.140625" style="4" customWidth="1"/>
    <col min="2" max="2" width="12.7109375" style="2" customWidth="1"/>
    <col min="3" max="3" width="17.140625" style="2" customWidth="1"/>
    <col min="4" max="4" width="16.28515625" style="2" customWidth="1"/>
    <col min="5" max="5" width="9" style="2" customWidth="1"/>
    <col min="6" max="6" width="5.42578125" style="2" customWidth="1"/>
    <col min="7" max="7" width="5.7109375" style="2" customWidth="1"/>
    <col min="8" max="8" width="4.7109375" style="2" customWidth="1"/>
    <col min="9" max="9" width="6" style="2" customWidth="1"/>
    <col min="10" max="10" width="5.42578125" style="2" customWidth="1"/>
    <col min="11" max="11" width="5.7109375" style="2" customWidth="1"/>
    <col min="12" max="12" width="5.5703125" style="2" customWidth="1"/>
    <col min="13" max="13" width="5.85546875" style="2" customWidth="1"/>
    <col min="14" max="14" width="5.7109375" style="2" customWidth="1"/>
    <col min="15" max="15" width="5.5703125" style="2" customWidth="1"/>
    <col min="16" max="16" width="5.42578125" style="2" customWidth="1"/>
    <col min="17" max="17" width="5.7109375" style="2" customWidth="1"/>
    <col min="18" max="18" width="6" style="2" customWidth="1"/>
    <col min="19" max="19" width="5.42578125" style="2" customWidth="1"/>
    <col min="20" max="20" width="6" style="2" customWidth="1"/>
    <col min="21" max="21" width="6.140625" style="2" customWidth="1"/>
    <col min="22" max="22" width="5.7109375" style="2" customWidth="1"/>
    <col min="23" max="23" width="5.42578125" style="2" customWidth="1"/>
    <col min="24" max="24" width="5.7109375" style="2" customWidth="1"/>
    <col min="25" max="25" width="5.42578125" style="2" customWidth="1"/>
    <col min="26" max="26" width="5.7109375" style="2" customWidth="1"/>
    <col min="27" max="28" width="5.42578125" style="2" customWidth="1"/>
    <col min="29" max="29" width="5.7109375" style="2" customWidth="1"/>
    <col min="30" max="33" width="5.42578125" style="2" customWidth="1"/>
    <col min="34" max="35" width="5.7109375" style="2" customWidth="1"/>
    <col min="36" max="36" width="5.42578125" style="2" customWidth="1"/>
    <col min="37" max="37" width="8.42578125" style="4" customWidth="1"/>
    <col min="38" max="38" width="8.28515625" style="4" customWidth="1"/>
    <col min="39" max="39" width="7.28515625" style="4" customWidth="1"/>
    <col min="40" max="41" width="10.5703125" style="4" customWidth="1"/>
    <col min="42" max="42" width="10.42578125" style="4" customWidth="1"/>
    <col min="43" max="43" width="13.140625" style="2" customWidth="1"/>
    <col min="44" max="44" width="12.42578125" style="2" customWidth="1"/>
    <col min="45" max="45" width="8.7109375" style="5" customWidth="1"/>
    <col min="46" max="46" width="13.28515625" style="2" customWidth="1"/>
    <col min="47" max="16384" width="9.140625" style="2"/>
  </cols>
  <sheetData>
    <row r="1" spans="1:48" x14ac:dyDescent="0.25">
      <c r="A1" s="1" t="s">
        <v>0</v>
      </c>
      <c r="E1" s="3" t="s">
        <v>1</v>
      </c>
      <c r="R1" s="3"/>
    </row>
    <row r="2" spans="1:48" x14ac:dyDescent="0.25">
      <c r="A2" s="1" t="s">
        <v>32</v>
      </c>
      <c r="E2" s="3" t="s">
        <v>31</v>
      </c>
      <c r="R2" s="3" t="s">
        <v>2</v>
      </c>
    </row>
    <row r="3" spans="1:48" ht="15.75" customHeight="1" x14ac:dyDescent="0.25">
      <c r="A3" s="43" t="s">
        <v>3</v>
      </c>
      <c r="B3" s="43" t="s">
        <v>4</v>
      </c>
      <c r="C3" s="43" t="s">
        <v>5</v>
      </c>
      <c r="D3" s="43" t="s">
        <v>6</v>
      </c>
      <c r="E3" s="43" t="s">
        <v>7</v>
      </c>
      <c r="F3" s="50" t="s">
        <v>8</v>
      </c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2"/>
      <c r="AK3" s="43" t="s">
        <v>9</v>
      </c>
      <c r="AL3" s="43" t="s">
        <v>10</v>
      </c>
      <c r="AM3" s="43" t="s">
        <v>11</v>
      </c>
      <c r="AN3" s="43" t="s">
        <v>12</v>
      </c>
      <c r="AO3" s="43" t="s">
        <v>13</v>
      </c>
      <c r="AP3" s="43" t="s">
        <v>14</v>
      </c>
      <c r="AQ3" s="43" t="s">
        <v>15</v>
      </c>
      <c r="AR3" s="43" t="s">
        <v>16</v>
      </c>
      <c r="AS3" s="45" t="s">
        <v>17</v>
      </c>
      <c r="AT3" s="43" t="s">
        <v>18</v>
      </c>
    </row>
    <row r="4" spans="1:48" s="7" customFormat="1" ht="27" customHeight="1" x14ac:dyDescent="0.25">
      <c r="A4" s="44"/>
      <c r="B4" s="44"/>
      <c r="C4" s="44"/>
      <c r="D4" s="44"/>
      <c r="E4" s="44"/>
      <c r="F4" s="6">
        <v>1</v>
      </c>
      <c r="G4" s="6">
        <v>2</v>
      </c>
      <c r="H4" s="6">
        <v>3</v>
      </c>
      <c r="I4" s="6">
        <v>4</v>
      </c>
      <c r="J4" s="6">
        <v>5</v>
      </c>
      <c r="K4" s="6">
        <v>6</v>
      </c>
      <c r="L4" s="6">
        <v>7</v>
      </c>
      <c r="M4" s="6">
        <v>8</v>
      </c>
      <c r="N4" s="6">
        <v>9</v>
      </c>
      <c r="O4" s="6">
        <v>10</v>
      </c>
      <c r="P4" s="6">
        <v>11</v>
      </c>
      <c r="Q4" s="6">
        <v>12</v>
      </c>
      <c r="R4" s="6">
        <v>13</v>
      </c>
      <c r="S4" s="6">
        <v>14</v>
      </c>
      <c r="T4" s="6">
        <v>15</v>
      </c>
      <c r="U4" s="6">
        <v>16</v>
      </c>
      <c r="V4" s="6">
        <v>17</v>
      </c>
      <c r="W4" s="6">
        <v>18</v>
      </c>
      <c r="X4" s="6">
        <v>19</v>
      </c>
      <c r="Y4" s="6">
        <v>20</v>
      </c>
      <c r="Z4" s="6">
        <v>21</v>
      </c>
      <c r="AA4" s="6">
        <v>22</v>
      </c>
      <c r="AB4" s="6">
        <v>23</v>
      </c>
      <c r="AC4" s="6">
        <v>24</v>
      </c>
      <c r="AD4" s="6">
        <v>25</v>
      </c>
      <c r="AE4" s="6">
        <v>26</v>
      </c>
      <c r="AF4" s="6">
        <v>27</v>
      </c>
      <c r="AG4" s="6">
        <v>28</v>
      </c>
      <c r="AH4" s="6">
        <v>29</v>
      </c>
      <c r="AI4" s="6">
        <v>30</v>
      </c>
      <c r="AJ4" s="6">
        <v>31</v>
      </c>
      <c r="AK4" s="44"/>
      <c r="AL4" s="44"/>
      <c r="AM4" s="44"/>
      <c r="AN4" s="44"/>
      <c r="AO4" s="44"/>
      <c r="AP4" s="44"/>
      <c r="AQ4" s="44"/>
      <c r="AR4" s="44"/>
      <c r="AS4" s="46"/>
      <c r="AT4" s="44"/>
    </row>
    <row r="5" spans="1:48" ht="16.5" thickBot="1" x14ac:dyDescent="0.3">
      <c r="A5" s="8">
        <v>1</v>
      </c>
      <c r="B5" s="9" t="s">
        <v>33</v>
      </c>
      <c r="C5" s="9" t="s">
        <v>34</v>
      </c>
      <c r="D5" s="9" t="s">
        <v>35</v>
      </c>
      <c r="E5" s="9" t="s">
        <v>36</v>
      </c>
      <c r="F5" s="11"/>
      <c r="G5" s="11"/>
      <c r="H5" s="11"/>
      <c r="I5" s="11">
        <v>20</v>
      </c>
      <c r="J5" s="11">
        <v>10</v>
      </c>
      <c r="K5" s="11">
        <v>20</v>
      </c>
      <c r="L5" s="11">
        <v>30</v>
      </c>
      <c r="M5" s="11">
        <v>15</v>
      </c>
      <c r="N5" s="11">
        <v>30</v>
      </c>
      <c r="O5" s="11">
        <v>20</v>
      </c>
      <c r="P5" s="11">
        <v>30</v>
      </c>
      <c r="Q5" s="11">
        <v>30</v>
      </c>
      <c r="R5" s="11">
        <v>10</v>
      </c>
      <c r="S5" s="11">
        <v>30</v>
      </c>
      <c r="T5" s="11">
        <v>25</v>
      </c>
      <c r="U5" s="11">
        <v>10</v>
      </c>
      <c r="V5" s="11">
        <v>30</v>
      </c>
      <c r="W5" s="11">
        <v>20</v>
      </c>
      <c r="X5" s="11">
        <v>20</v>
      </c>
      <c r="Y5" s="11"/>
      <c r="Z5" s="11">
        <v>30</v>
      </c>
      <c r="AA5" s="11"/>
      <c r="AB5" s="11">
        <v>20</v>
      </c>
      <c r="AC5" s="11">
        <v>20</v>
      </c>
      <c r="AD5" s="11">
        <v>30</v>
      </c>
      <c r="AE5" s="11"/>
      <c r="AF5" s="11"/>
      <c r="AG5" s="11">
        <v>30</v>
      </c>
      <c r="AH5" s="11">
        <v>30</v>
      </c>
      <c r="AI5" s="11">
        <v>15</v>
      </c>
      <c r="AJ5" s="11">
        <v>15</v>
      </c>
      <c r="AK5" s="20">
        <f>SUM(F5:AJ5)</f>
        <v>540</v>
      </c>
      <c r="AL5" s="11"/>
      <c r="AM5" s="8"/>
      <c r="AN5" s="8">
        <v>1174.2</v>
      </c>
      <c r="AO5" s="8">
        <v>1299.8</v>
      </c>
      <c r="AP5" s="8">
        <f>AO5-AN5</f>
        <v>125.59999999999991</v>
      </c>
      <c r="AQ5" s="38">
        <f>AK5/AP5</f>
        <v>4.299363057324844</v>
      </c>
      <c r="AR5" s="10">
        <v>4.6139999999999999</v>
      </c>
      <c r="AS5" s="12">
        <v>279</v>
      </c>
      <c r="AT5" s="13">
        <f>AS5*AK5</f>
        <v>150660</v>
      </c>
      <c r="AU5" s="14"/>
      <c r="AV5" s="14"/>
    </row>
    <row r="6" spans="1:48" ht="17.25" thickTop="1" thickBot="1" x14ac:dyDescent="0.3">
      <c r="A6" s="11">
        <v>2</v>
      </c>
      <c r="B6" s="9" t="s">
        <v>39</v>
      </c>
      <c r="C6" s="9" t="s">
        <v>40</v>
      </c>
      <c r="D6" s="9" t="s">
        <v>41</v>
      </c>
      <c r="E6" s="9" t="s">
        <v>36</v>
      </c>
      <c r="F6" s="11"/>
      <c r="G6" s="11">
        <v>5</v>
      </c>
      <c r="H6" s="11"/>
      <c r="I6" s="11">
        <v>5</v>
      </c>
      <c r="J6" s="11">
        <v>5</v>
      </c>
      <c r="K6" s="11">
        <v>5</v>
      </c>
      <c r="L6" s="11">
        <v>5</v>
      </c>
      <c r="M6" s="11">
        <v>5</v>
      </c>
      <c r="N6" s="11">
        <v>5</v>
      </c>
      <c r="O6" s="11"/>
      <c r="P6" s="11">
        <v>5</v>
      </c>
      <c r="Q6" s="11">
        <v>10</v>
      </c>
      <c r="R6" s="11">
        <v>5</v>
      </c>
      <c r="S6" s="11">
        <v>5</v>
      </c>
      <c r="T6" s="11"/>
      <c r="U6" s="11">
        <v>10</v>
      </c>
      <c r="V6" s="11">
        <v>5</v>
      </c>
      <c r="W6" s="11">
        <v>5</v>
      </c>
      <c r="X6" s="11">
        <v>5</v>
      </c>
      <c r="Y6" s="11">
        <v>5</v>
      </c>
      <c r="Z6" s="11">
        <v>5</v>
      </c>
      <c r="AA6" s="11">
        <v>5</v>
      </c>
      <c r="AB6" s="11">
        <v>5</v>
      </c>
      <c r="AC6" s="11">
        <v>5</v>
      </c>
      <c r="AD6" s="11">
        <v>10</v>
      </c>
      <c r="AE6" s="11">
        <v>5</v>
      </c>
      <c r="AF6" s="11">
        <v>10</v>
      </c>
      <c r="AG6" s="11">
        <v>5</v>
      </c>
      <c r="AH6" s="11">
        <v>5</v>
      </c>
      <c r="AI6" s="11">
        <v>5</v>
      </c>
      <c r="AJ6" s="11"/>
      <c r="AK6" s="20">
        <f>SUM(F6:AJ6)</f>
        <v>150</v>
      </c>
      <c r="AL6" s="11"/>
      <c r="AM6" s="11"/>
      <c r="AN6" s="53" t="s">
        <v>43</v>
      </c>
      <c r="AO6" s="54"/>
      <c r="AP6" s="55"/>
      <c r="AQ6" s="15"/>
      <c r="AR6" s="9"/>
      <c r="AS6" s="12">
        <v>279</v>
      </c>
      <c r="AT6" s="13">
        <f>AS6*AK6</f>
        <v>41850</v>
      </c>
      <c r="AU6" s="14"/>
      <c r="AV6" s="14"/>
    </row>
    <row r="7" spans="1:48" ht="16.5" thickTop="1" x14ac:dyDescent="0.25">
      <c r="A7" s="11"/>
      <c r="B7" s="9"/>
      <c r="C7" s="17"/>
      <c r="D7" s="9"/>
      <c r="E7" s="9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5"/>
      <c r="AR7" s="9"/>
      <c r="AS7" s="9"/>
      <c r="AT7" s="16"/>
      <c r="AU7" s="14"/>
      <c r="AV7" s="14"/>
    </row>
    <row r="8" spans="1:48" x14ac:dyDescent="0.25">
      <c r="A8" s="11"/>
      <c r="B8" s="9"/>
      <c r="C8" s="9"/>
      <c r="D8" s="9"/>
      <c r="E8" s="9"/>
      <c r="F8" s="11"/>
      <c r="G8" s="11"/>
      <c r="H8" s="11"/>
      <c r="I8" s="11"/>
      <c r="J8" s="11"/>
      <c r="K8" s="11"/>
      <c r="L8" s="11"/>
      <c r="M8" s="11"/>
      <c r="N8" s="18"/>
      <c r="O8" s="18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8"/>
      <c r="AL8" s="11"/>
      <c r="AM8" s="18"/>
      <c r="AN8" s="11"/>
      <c r="AO8" s="11"/>
      <c r="AP8" s="11"/>
      <c r="AQ8" s="15"/>
      <c r="AR8" s="9"/>
      <c r="AS8" s="9"/>
      <c r="AT8" s="19"/>
      <c r="AU8" s="14"/>
      <c r="AV8" s="14"/>
    </row>
    <row r="9" spans="1:48" ht="16.5" customHeight="1" thickBot="1" x14ac:dyDescent="0.3">
      <c r="A9" s="11"/>
      <c r="B9" s="53" t="s">
        <v>20</v>
      </c>
      <c r="C9" s="54"/>
      <c r="D9" s="54"/>
      <c r="E9" s="55"/>
      <c r="F9" s="20">
        <f t="shared" ref="F9:AM9" si="0">SUM(F5:F8)</f>
        <v>0</v>
      </c>
      <c r="G9" s="20">
        <f t="shared" si="0"/>
        <v>5</v>
      </c>
      <c r="H9" s="20">
        <f t="shared" si="0"/>
        <v>0</v>
      </c>
      <c r="I9" s="20">
        <f t="shared" si="0"/>
        <v>25</v>
      </c>
      <c r="J9" s="20">
        <f t="shared" si="0"/>
        <v>15</v>
      </c>
      <c r="K9" s="20">
        <f t="shared" si="0"/>
        <v>25</v>
      </c>
      <c r="L9" s="20">
        <f t="shared" si="0"/>
        <v>35</v>
      </c>
      <c r="M9" s="20">
        <f t="shared" si="0"/>
        <v>20</v>
      </c>
      <c r="N9" s="20">
        <f t="shared" si="0"/>
        <v>35</v>
      </c>
      <c r="O9" s="20">
        <f t="shared" si="0"/>
        <v>20</v>
      </c>
      <c r="P9" s="20">
        <f t="shared" si="0"/>
        <v>35</v>
      </c>
      <c r="Q9" s="20">
        <f t="shared" si="0"/>
        <v>40</v>
      </c>
      <c r="R9" s="20">
        <f t="shared" si="0"/>
        <v>15</v>
      </c>
      <c r="S9" s="20">
        <f t="shared" si="0"/>
        <v>35</v>
      </c>
      <c r="T9" s="20">
        <f t="shared" si="0"/>
        <v>25</v>
      </c>
      <c r="U9" s="20">
        <f t="shared" si="0"/>
        <v>20</v>
      </c>
      <c r="V9" s="20">
        <f t="shared" si="0"/>
        <v>35</v>
      </c>
      <c r="W9" s="20">
        <f t="shared" si="0"/>
        <v>25</v>
      </c>
      <c r="X9" s="20">
        <f t="shared" si="0"/>
        <v>25</v>
      </c>
      <c r="Y9" s="20">
        <f t="shared" si="0"/>
        <v>5</v>
      </c>
      <c r="Z9" s="20">
        <f t="shared" si="0"/>
        <v>35</v>
      </c>
      <c r="AA9" s="20">
        <f t="shared" si="0"/>
        <v>5</v>
      </c>
      <c r="AB9" s="20">
        <f t="shared" si="0"/>
        <v>25</v>
      </c>
      <c r="AC9" s="20">
        <f t="shared" si="0"/>
        <v>25</v>
      </c>
      <c r="AD9" s="20">
        <f t="shared" si="0"/>
        <v>40</v>
      </c>
      <c r="AE9" s="20">
        <f t="shared" si="0"/>
        <v>5</v>
      </c>
      <c r="AF9" s="20">
        <f t="shared" si="0"/>
        <v>10</v>
      </c>
      <c r="AG9" s="20">
        <f t="shared" si="0"/>
        <v>35</v>
      </c>
      <c r="AH9" s="20">
        <f t="shared" si="0"/>
        <v>35</v>
      </c>
      <c r="AI9" s="20">
        <f t="shared" si="0"/>
        <v>20</v>
      </c>
      <c r="AJ9" s="20">
        <f t="shared" si="0"/>
        <v>15</v>
      </c>
      <c r="AK9" s="20">
        <f t="shared" si="0"/>
        <v>690</v>
      </c>
      <c r="AL9" s="20">
        <f t="shared" si="0"/>
        <v>0</v>
      </c>
      <c r="AM9" s="20">
        <f t="shared" si="0"/>
        <v>0</v>
      </c>
      <c r="AN9" s="22"/>
      <c r="AO9" s="22"/>
      <c r="AP9" s="22"/>
      <c r="AQ9" s="22"/>
      <c r="AR9" s="22"/>
      <c r="AS9" s="22">
        <f>SUM(AS5:AS8)</f>
        <v>558</v>
      </c>
      <c r="AT9" s="22">
        <f>SUM(AT5:AT8)</f>
        <v>192510</v>
      </c>
      <c r="AU9" s="14"/>
      <c r="AV9" s="14"/>
    </row>
    <row r="10" spans="1:48" ht="16.5" thickTop="1" x14ac:dyDescent="0.25">
      <c r="A10" s="11"/>
      <c r="B10" s="9"/>
      <c r="C10" s="9"/>
      <c r="D10" s="9"/>
      <c r="E10" s="9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11"/>
      <c r="AL10" s="23"/>
      <c r="AM10" s="23"/>
      <c r="AN10" s="11"/>
      <c r="AO10" s="11"/>
      <c r="AP10" s="11"/>
      <c r="AQ10" s="15"/>
      <c r="AR10" s="9"/>
      <c r="AS10" s="9"/>
      <c r="AT10" s="9"/>
      <c r="AU10" s="14"/>
      <c r="AV10" s="14"/>
    </row>
    <row r="11" spans="1:48" ht="16.5" thickBot="1" x14ac:dyDescent="0.3">
      <c r="A11" s="11">
        <v>3</v>
      </c>
      <c r="B11" s="9" t="s">
        <v>42</v>
      </c>
      <c r="C11" s="9" t="s">
        <v>37</v>
      </c>
      <c r="D11" s="9" t="s">
        <v>38</v>
      </c>
      <c r="E11" s="9" t="s">
        <v>36</v>
      </c>
      <c r="F11" s="11"/>
      <c r="G11" s="11">
        <v>10</v>
      </c>
      <c r="H11" s="11"/>
      <c r="I11" s="11">
        <v>10</v>
      </c>
      <c r="J11" s="11"/>
      <c r="K11" s="11"/>
      <c r="L11" s="11">
        <v>10</v>
      </c>
      <c r="M11" s="23">
        <v>5</v>
      </c>
      <c r="N11" s="23"/>
      <c r="O11" s="23"/>
      <c r="P11" s="23"/>
      <c r="Q11" s="23">
        <v>10</v>
      </c>
      <c r="R11" s="11"/>
      <c r="S11" s="11"/>
      <c r="T11" s="11"/>
      <c r="U11" s="11">
        <v>10</v>
      </c>
      <c r="V11" s="11"/>
      <c r="W11" s="11"/>
      <c r="X11" s="23"/>
      <c r="Y11" s="23"/>
      <c r="Z11" s="23"/>
      <c r="AA11" s="23"/>
      <c r="AB11" s="23"/>
      <c r="AC11" s="11">
        <v>10</v>
      </c>
      <c r="AD11" s="11"/>
      <c r="AE11" s="11"/>
      <c r="AF11" s="11"/>
      <c r="AG11" s="24"/>
      <c r="AH11" s="24">
        <v>10</v>
      </c>
      <c r="AI11" s="24"/>
      <c r="AJ11" s="23"/>
      <c r="AK11" s="20">
        <f>SUM(F11:AJ11)</f>
        <v>75</v>
      </c>
      <c r="AL11" s="11"/>
      <c r="AM11" s="11"/>
      <c r="AN11" s="11"/>
      <c r="AO11" s="11"/>
      <c r="AP11" s="11"/>
      <c r="AQ11" s="15"/>
      <c r="AR11" s="9"/>
      <c r="AS11" s="12">
        <v>279</v>
      </c>
      <c r="AT11" s="13">
        <f>AS11*AK11</f>
        <v>20925</v>
      </c>
      <c r="AU11" s="14"/>
      <c r="AV11" s="14"/>
    </row>
    <row r="12" spans="1:48" ht="16.5" thickTop="1" x14ac:dyDescent="0.25">
      <c r="A12" s="11"/>
      <c r="B12" s="9"/>
      <c r="C12" s="9"/>
      <c r="D12" s="9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5"/>
      <c r="AR12" s="9"/>
      <c r="AS12" s="9"/>
      <c r="AT12" s="9"/>
      <c r="AU12" s="14"/>
      <c r="AV12" s="14"/>
    </row>
    <row r="13" spans="1:48" x14ac:dyDescent="0.25">
      <c r="A13" s="11"/>
      <c r="B13" s="9"/>
      <c r="C13" s="9"/>
      <c r="D13" s="9"/>
      <c r="E13" s="9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1"/>
      <c r="AO13" s="11"/>
      <c r="AP13" s="11"/>
      <c r="AQ13" s="9"/>
      <c r="AR13" s="9"/>
      <c r="AS13" s="21"/>
      <c r="AT13" s="25"/>
      <c r="AU13" s="14"/>
      <c r="AV13" s="14"/>
    </row>
    <row r="14" spans="1:48" ht="16.5" customHeight="1" thickBot="1" x14ac:dyDescent="0.3">
      <c r="A14" s="26"/>
      <c r="B14" s="47" t="s">
        <v>19</v>
      </c>
      <c r="C14" s="48"/>
      <c r="D14" s="48"/>
      <c r="E14" s="49"/>
      <c r="F14" s="27">
        <f t="shared" ref="F14:AT14" si="1">SUM(F11:F13)</f>
        <v>0</v>
      </c>
      <c r="G14" s="27">
        <f t="shared" si="1"/>
        <v>10</v>
      </c>
      <c r="H14" s="27">
        <f t="shared" si="1"/>
        <v>0</v>
      </c>
      <c r="I14" s="27">
        <f t="shared" si="1"/>
        <v>10</v>
      </c>
      <c r="J14" s="27">
        <f t="shared" si="1"/>
        <v>0</v>
      </c>
      <c r="K14" s="27">
        <f t="shared" si="1"/>
        <v>0</v>
      </c>
      <c r="L14" s="27">
        <f t="shared" si="1"/>
        <v>10</v>
      </c>
      <c r="M14" s="27">
        <f t="shared" si="1"/>
        <v>5</v>
      </c>
      <c r="N14" s="27">
        <f t="shared" si="1"/>
        <v>0</v>
      </c>
      <c r="O14" s="27">
        <f t="shared" si="1"/>
        <v>0</v>
      </c>
      <c r="P14" s="27">
        <f t="shared" si="1"/>
        <v>0</v>
      </c>
      <c r="Q14" s="27">
        <f t="shared" si="1"/>
        <v>10</v>
      </c>
      <c r="R14" s="27">
        <f t="shared" si="1"/>
        <v>0</v>
      </c>
      <c r="S14" s="27">
        <f t="shared" si="1"/>
        <v>0</v>
      </c>
      <c r="T14" s="27">
        <f t="shared" si="1"/>
        <v>0</v>
      </c>
      <c r="U14" s="27">
        <f t="shared" si="1"/>
        <v>10</v>
      </c>
      <c r="V14" s="27">
        <f t="shared" si="1"/>
        <v>0</v>
      </c>
      <c r="W14" s="27">
        <f t="shared" si="1"/>
        <v>0</v>
      </c>
      <c r="X14" s="27">
        <f t="shared" si="1"/>
        <v>0</v>
      </c>
      <c r="Y14" s="27">
        <f t="shared" si="1"/>
        <v>0</v>
      </c>
      <c r="Z14" s="27">
        <f t="shared" si="1"/>
        <v>0</v>
      </c>
      <c r="AA14" s="27">
        <f t="shared" si="1"/>
        <v>0</v>
      </c>
      <c r="AB14" s="27">
        <f t="shared" si="1"/>
        <v>0</v>
      </c>
      <c r="AC14" s="27">
        <f t="shared" si="1"/>
        <v>10</v>
      </c>
      <c r="AD14" s="27">
        <f t="shared" si="1"/>
        <v>0</v>
      </c>
      <c r="AE14" s="27">
        <f t="shared" si="1"/>
        <v>0</v>
      </c>
      <c r="AF14" s="27">
        <f t="shared" si="1"/>
        <v>0</v>
      </c>
      <c r="AG14" s="27">
        <f t="shared" si="1"/>
        <v>0</v>
      </c>
      <c r="AH14" s="27">
        <f t="shared" si="1"/>
        <v>10</v>
      </c>
      <c r="AI14" s="27">
        <f t="shared" si="1"/>
        <v>0</v>
      </c>
      <c r="AJ14" s="27">
        <f t="shared" si="1"/>
        <v>0</v>
      </c>
      <c r="AK14" s="27">
        <f t="shared" si="1"/>
        <v>75</v>
      </c>
      <c r="AL14" s="27">
        <f t="shared" si="1"/>
        <v>0</v>
      </c>
      <c r="AM14" s="27">
        <f t="shared" si="1"/>
        <v>0</v>
      </c>
      <c r="AN14" s="27">
        <f t="shared" si="1"/>
        <v>0</v>
      </c>
      <c r="AO14" s="27">
        <f t="shared" si="1"/>
        <v>0</v>
      </c>
      <c r="AP14" s="27">
        <f t="shared" si="1"/>
        <v>0</v>
      </c>
      <c r="AQ14" s="27">
        <f t="shared" si="1"/>
        <v>0</v>
      </c>
      <c r="AR14" s="27">
        <f t="shared" si="1"/>
        <v>0</v>
      </c>
      <c r="AS14" s="27">
        <f t="shared" si="1"/>
        <v>279</v>
      </c>
      <c r="AT14" s="28">
        <f t="shared" si="1"/>
        <v>20925</v>
      </c>
      <c r="AU14" s="14"/>
      <c r="AV14" s="14"/>
    </row>
    <row r="15" spans="1:48" ht="16.5" thickTop="1" x14ac:dyDescent="0.25">
      <c r="A15" s="29"/>
      <c r="B15" s="53"/>
      <c r="C15" s="54"/>
      <c r="D15" s="54"/>
      <c r="E15" s="55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</row>
    <row r="16" spans="1:48" x14ac:dyDescent="0.25">
      <c r="A16" s="29"/>
      <c r="B16" s="30" t="s">
        <v>21</v>
      </c>
      <c r="C16" s="31"/>
      <c r="D16" s="31"/>
      <c r="E16" s="31"/>
      <c r="F16" s="14">
        <v>15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</row>
    <row r="17" spans="1:48" x14ac:dyDescent="0.25">
      <c r="A17" s="29"/>
      <c r="B17" s="30" t="s">
        <v>22</v>
      </c>
      <c r="C17" s="31"/>
      <c r="D17" s="31"/>
      <c r="E17" s="31"/>
      <c r="F17" s="14"/>
      <c r="G17" s="14">
        <v>65</v>
      </c>
      <c r="H17" s="14"/>
      <c r="I17" s="14"/>
      <c r="J17" s="14"/>
      <c r="K17" s="14">
        <v>100</v>
      </c>
      <c r="L17" s="14"/>
      <c r="M17" s="14"/>
      <c r="N17" s="14">
        <v>95</v>
      </c>
      <c r="O17" s="14"/>
      <c r="P17" s="14"/>
      <c r="Q17" s="14"/>
      <c r="R17" s="14">
        <v>80</v>
      </c>
      <c r="S17" s="14"/>
      <c r="T17" s="14"/>
      <c r="U17" s="14">
        <v>65</v>
      </c>
      <c r="V17" s="14"/>
      <c r="W17" s="14"/>
      <c r="X17" s="14"/>
      <c r="Y17" s="14">
        <v>115</v>
      </c>
      <c r="Z17" s="14"/>
      <c r="AA17" s="14"/>
      <c r="AB17" s="14">
        <v>105</v>
      </c>
      <c r="AC17" s="14"/>
      <c r="AD17" s="14"/>
      <c r="AE17" s="14">
        <v>50</v>
      </c>
      <c r="AF17" s="14"/>
      <c r="AG17" s="14"/>
      <c r="AH17" s="14">
        <v>75</v>
      </c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</row>
    <row r="18" spans="1:48" x14ac:dyDescent="0.25">
      <c r="A18" s="29"/>
      <c r="B18" s="14" t="s">
        <v>23</v>
      </c>
      <c r="E18" s="14"/>
      <c r="F18" s="14">
        <f t="shared" ref="F18:AJ18" si="2">F9+F14</f>
        <v>0</v>
      </c>
      <c r="G18" s="14">
        <f t="shared" si="2"/>
        <v>15</v>
      </c>
      <c r="H18" s="14">
        <f t="shared" si="2"/>
        <v>0</v>
      </c>
      <c r="I18" s="14">
        <f t="shared" si="2"/>
        <v>35</v>
      </c>
      <c r="J18" s="14">
        <f t="shared" si="2"/>
        <v>15</v>
      </c>
      <c r="K18" s="14">
        <f t="shared" si="2"/>
        <v>25</v>
      </c>
      <c r="L18" s="14">
        <f t="shared" si="2"/>
        <v>45</v>
      </c>
      <c r="M18" s="14">
        <f t="shared" si="2"/>
        <v>25</v>
      </c>
      <c r="N18" s="14">
        <f t="shared" si="2"/>
        <v>35</v>
      </c>
      <c r="O18" s="14">
        <f t="shared" si="2"/>
        <v>20</v>
      </c>
      <c r="P18" s="14">
        <f t="shared" si="2"/>
        <v>35</v>
      </c>
      <c r="Q18" s="14">
        <f t="shared" si="2"/>
        <v>50</v>
      </c>
      <c r="R18" s="14">
        <f t="shared" si="2"/>
        <v>15</v>
      </c>
      <c r="S18" s="14">
        <f t="shared" si="2"/>
        <v>35</v>
      </c>
      <c r="T18" s="14">
        <f t="shared" si="2"/>
        <v>25</v>
      </c>
      <c r="U18" s="14">
        <f t="shared" si="2"/>
        <v>30</v>
      </c>
      <c r="V18" s="14">
        <f t="shared" si="2"/>
        <v>35</v>
      </c>
      <c r="W18" s="14">
        <f t="shared" si="2"/>
        <v>25</v>
      </c>
      <c r="X18" s="14">
        <f t="shared" si="2"/>
        <v>25</v>
      </c>
      <c r="Y18" s="14">
        <f t="shared" si="2"/>
        <v>5</v>
      </c>
      <c r="Z18" s="14">
        <f t="shared" si="2"/>
        <v>35</v>
      </c>
      <c r="AA18" s="14">
        <f t="shared" si="2"/>
        <v>5</v>
      </c>
      <c r="AB18" s="14">
        <f t="shared" si="2"/>
        <v>25</v>
      </c>
      <c r="AC18" s="14">
        <f t="shared" si="2"/>
        <v>35</v>
      </c>
      <c r="AD18" s="14">
        <f t="shared" si="2"/>
        <v>40</v>
      </c>
      <c r="AE18" s="14">
        <f t="shared" si="2"/>
        <v>5</v>
      </c>
      <c r="AF18" s="14">
        <f t="shared" si="2"/>
        <v>10</v>
      </c>
      <c r="AG18" s="14">
        <f t="shared" si="2"/>
        <v>35</v>
      </c>
      <c r="AH18" s="14">
        <f t="shared" si="2"/>
        <v>45</v>
      </c>
      <c r="AI18" s="14">
        <f t="shared" si="2"/>
        <v>20</v>
      </c>
      <c r="AJ18" s="14">
        <f t="shared" si="2"/>
        <v>15</v>
      </c>
      <c r="AK18" s="14"/>
      <c r="AL18" s="14"/>
      <c r="AM18" s="14"/>
      <c r="AN18" s="14"/>
      <c r="AO18" s="14"/>
      <c r="AP18" s="14"/>
      <c r="AQ18" s="14"/>
      <c r="AR18" s="14"/>
      <c r="AS18" s="14"/>
      <c r="AT18" s="39">
        <f>AT9+AT14</f>
        <v>213435</v>
      </c>
      <c r="AU18" s="14" t="s">
        <v>2</v>
      </c>
      <c r="AV18" s="14" t="s">
        <v>2</v>
      </c>
    </row>
    <row r="19" spans="1:48" x14ac:dyDescent="0.25">
      <c r="A19" s="29"/>
      <c r="B19" s="14" t="s">
        <v>24</v>
      </c>
      <c r="E19" s="14"/>
      <c r="F19" s="14">
        <f>(F16+F17)-F18</f>
        <v>15</v>
      </c>
      <c r="G19" s="14">
        <f>(F19+G16+G17)-G18</f>
        <v>65</v>
      </c>
      <c r="H19" s="14">
        <f t="shared" ref="H19:AJ19" si="3">(G19+H16+H17)-H18</f>
        <v>65</v>
      </c>
      <c r="I19" s="14">
        <f t="shared" si="3"/>
        <v>30</v>
      </c>
      <c r="J19" s="14">
        <f t="shared" si="3"/>
        <v>15</v>
      </c>
      <c r="K19" s="14">
        <f t="shared" si="3"/>
        <v>90</v>
      </c>
      <c r="L19" s="14">
        <f t="shared" si="3"/>
        <v>45</v>
      </c>
      <c r="M19" s="14">
        <f t="shared" si="3"/>
        <v>20</v>
      </c>
      <c r="N19" s="14">
        <f t="shared" si="3"/>
        <v>80</v>
      </c>
      <c r="O19" s="14">
        <f t="shared" si="3"/>
        <v>60</v>
      </c>
      <c r="P19" s="14">
        <f t="shared" si="3"/>
        <v>25</v>
      </c>
      <c r="Q19" s="14">
        <f t="shared" si="3"/>
        <v>-25</v>
      </c>
      <c r="R19" s="14">
        <f t="shared" si="3"/>
        <v>40</v>
      </c>
      <c r="S19" s="14">
        <f t="shared" si="3"/>
        <v>5</v>
      </c>
      <c r="T19" s="14">
        <f t="shared" si="3"/>
        <v>-20</v>
      </c>
      <c r="U19" s="14">
        <f t="shared" si="3"/>
        <v>15</v>
      </c>
      <c r="V19" s="14">
        <f t="shared" si="3"/>
        <v>-20</v>
      </c>
      <c r="W19" s="14">
        <f t="shared" si="3"/>
        <v>-45</v>
      </c>
      <c r="X19" s="14">
        <f t="shared" si="3"/>
        <v>-70</v>
      </c>
      <c r="Y19" s="14">
        <f t="shared" si="3"/>
        <v>40</v>
      </c>
      <c r="Z19" s="14">
        <f t="shared" si="3"/>
        <v>5</v>
      </c>
      <c r="AA19" s="14">
        <f t="shared" si="3"/>
        <v>0</v>
      </c>
      <c r="AB19" s="14">
        <f t="shared" si="3"/>
        <v>80</v>
      </c>
      <c r="AC19" s="14">
        <f t="shared" si="3"/>
        <v>45</v>
      </c>
      <c r="AD19" s="14">
        <f t="shared" si="3"/>
        <v>5</v>
      </c>
      <c r="AE19" s="14">
        <f t="shared" si="3"/>
        <v>50</v>
      </c>
      <c r="AF19" s="14">
        <f t="shared" si="3"/>
        <v>40</v>
      </c>
      <c r="AG19" s="14">
        <f t="shared" si="3"/>
        <v>5</v>
      </c>
      <c r="AH19" s="14">
        <f t="shared" si="3"/>
        <v>35</v>
      </c>
      <c r="AI19" s="14">
        <f t="shared" si="3"/>
        <v>15</v>
      </c>
      <c r="AJ19" s="14">
        <f t="shared" si="3"/>
        <v>0</v>
      </c>
      <c r="AK19" s="14"/>
      <c r="AL19" s="14"/>
      <c r="AM19" s="29"/>
      <c r="AN19" s="29"/>
      <c r="AO19" s="29"/>
      <c r="AP19" s="29"/>
      <c r="AQ19" s="14"/>
      <c r="AR19" s="14"/>
      <c r="AS19" s="32"/>
      <c r="AT19" s="14"/>
      <c r="AU19" s="14"/>
      <c r="AV19" s="14"/>
    </row>
    <row r="20" spans="1:48" x14ac:dyDescent="0.25">
      <c r="A20" s="29"/>
      <c r="B20" s="14" t="s">
        <v>2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29"/>
      <c r="AL20" s="29"/>
      <c r="AM20" s="29"/>
      <c r="AN20" s="29"/>
      <c r="AO20" s="29"/>
      <c r="AP20" s="29"/>
      <c r="AQ20" s="14"/>
      <c r="AR20" s="14"/>
      <c r="AS20" s="32"/>
      <c r="AT20" s="14"/>
      <c r="AU20" s="14"/>
      <c r="AV20" s="14"/>
    </row>
    <row r="21" spans="1:48" ht="16.5" thickBot="1" x14ac:dyDescent="0.3">
      <c r="A21" s="29"/>
      <c r="B21" s="14" t="s">
        <v>25</v>
      </c>
      <c r="C21" s="14"/>
      <c r="D21" s="14"/>
      <c r="E21" s="14">
        <v>15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2"/>
      <c r="AL21" s="2"/>
      <c r="AM21" s="2"/>
      <c r="AN21" s="2"/>
      <c r="AO21" s="29"/>
      <c r="AP21" s="29"/>
      <c r="AQ21" s="2" t="s">
        <v>26</v>
      </c>
      <c r="AR21" s="29"/>
      <c r="AS21" s="29"/>
      <c r="AT21" s="40">
        <f>F16*277</f>
        <v>4155</v>
      </c>
      <c r="AU21" s="14"/>
      <c r="AV21" s="14"/>
    </row>
    <row r="22" spans="1:48" ht="16.5" thickTop="1" x14ac:dyDescent="0.25">
      <c r="A22" s="29"/>
      <c r="B22" s="14" t="s">
        <v>27</v>
      </c>
      <c r="C22" s="14"/>
      <c r="D22" s="14"/>
      <c r="E22" s="14">
        <v>750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2"/>
      <c r="AL22" s="2"/>
      <c r="AM22" s="2"/>
      <c r="AN22" s="30"/>
      <c r="AO22" s="29"/>
      <c r="AP22" s="29"/>
      <c r="AQ22" s="2" t="s">
        <v>28</v>
      </c>
      <c r="AR22" s="29"/>
      <c r="AS22" s="29"/>
      <c r="AT22" s="37">
        <f>AT18-AT21</f>
        <v>209280</v>
      </c>
      <c r="AU22" s="14"/>
      <c r="AV22" s="14"/>
    </row>
    <row r="23" spans="1:48" x14ac:dyDescent="0.25">
      <c r="A23" s="29"/>
      <c r="B23" s="14" t="s">
        <v>29</v>
      </c>
      <c r="C23" s="14"/>
      <c r="D23" s="14"/>
      <c r="E23" s="14">
        <v>765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29"/>
      <c r="AL23" s="29"/>
      <c r="AM23" s="29"/>
      <c r="AN23" s="29"/>
      <c r="AO23" s="29"/>
      <c r="AP23" s="29"/>
      <c r="AQ23" s="14"/>
      <c r="AR23" s="14"/>
      <c r="AS23" s="32"/>
      <c r="AT23" s="14"/>
      <c r="AU23" s="14"/>
      <c r="AV23" s="14"/>
    </row>
    <row r="24" spans="1:48" ht="16.5" thickBot="1" x14ac:dyDescent="0.3">
      <c r="A24" s="29"/>
      <c r="B24" s="14" t="s">
        <v>30</v>
      </c>
      <c r="C24" s="14"/>
      <c r="D24" s="14"/>
      <c r="E24" s="33">
        <f>E21+E22-E23</f>
        <v>0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29"/>
      <c r="AL24" s="29"/>
      <c r="AM24" s="29"/>
      <c r="AN24" s="29"/>
      <c r="AO24" s="29"/>
      <c r="AP24" s="29"/>
      <c r="AQ24" s="14"/>
      <c r="AR24" s="14"/>
      <c r="AS24" s="32"/>
      <c r="AT24" s="14"/>
      <c r="AU24" s="14"/>
      <c r="AV24" s="14"/>
    </row>
    <row r="25" spans="1:48" ht="16.5" thickTop="1" x14ac:dyDescent="0.25">
      <c r="A25" s="29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29"/>
      <c r="AL25" s="29"/>
      <c r="AM25" s="29"/>
      <c r="AN25" s="29"/>
      <c r="AO25" s="29"/>
      <c r="AP25" s="29"/>
      <c r="AQ25" s="14"/>
      <c r="AR25" s="14"/>
      <c r="AS25" s="32"/>
      <c r="AT25" s="14"/>
      <c r="AU25" s="14"/>
      <c r="AV25" s="14"/>
    </row>
    <row r="26" spans="1:48" x14ac:dyDescent="0.25">
      <c r="A26" s="34"/>
      <c r="C26" s="14"/>
      <c r="D26" s="14"/>
      <c r="E26" s="35"/>
      <c r="K26" s="14"/>
      <c r="M26" s="36"/>
      <c r="N26" s="14"/>
      <c r="P26" s="14"/>
      <c r="Q26" s="14"/>
      <c r="R26" s="14"/>
      <c r="U26" s="36"/>
      <c r="V26" s="14"/>
      <c r="W26" s="14"/>
      <c r="X26" s="14"/>
      <c r="Y26" s="14"/>
      <c r="Z26" s="14"/>
      <c r="AA26" s="14"/>
      <c r="AB26" s="36"/>
      <c r="AC26" s="14"/>
      <c r="AD26" s="14"/>
      <c r="AE26" s="14"/>
      <c r="AF26" s="14"/>
      <c r="AG26" s="14"/>
      <c r="AH26" s="36"/>
      <c r="AI26" s="14"/>
      <c r="AJ26" s="14"/>
      <c r="AK26" s="14"/>
      <c r="AL26" s="29"/>
      <c r="AM26" s="29"/>
      <c r="AN26" s="29"/>
      <c r="AO26" s="29"/>
      <c r="AP26" s="29"/>
      <c r="AQ26" s="14"/>
      <c r="AR26" s="14"/>
      <c r="AS26" s="32"/>
      <c r="AT26" s="14"/>
      <c r="AU26" s="14"/>
      <c r="AV26" s="14"/>
    </row>
    <row r="27" spans="1:48" x14ac:dyDescent="0.25">
      <c r="A27" s="14"/>
      <c r="C27" s="14"/>
      <c r="D27" s="14"/>
      <c r="E27" s="35"/>
      <c r="K27" s="14"/>
      <c r="M27" s="36"/>
      <c r="N27" s="14"/>
      <c r="P27" s="14"/>
      <c r="Q27" s="14"/>
      <c r="R27" s="14"/>
      <c r="U27" s="36"/>
      <c r="V27" s="14"/>
      <c r="W27" s="14"/>
      <c r="X27" s="14"/>
      <c r="Y27" s="14"/>
      <c r="Z27" s="14"/>
      <c r="AA27" s="14"/>
      <c r="AB27" s="36"/>
      <c r="AC27" s="14"/>
      <c r="AD27" s="14"/>
      <c r="AE27" s="14"/>
      <c r="AF27" s="14"/>
      <c r="AG27" s="14"/>
      <c r="AH27" s="36"/>
      <c r="AI27" s="14"/>
      <c r="AJ27" s="14"/>
      <c r="AK27" s="14"/>
      <c r="AL27" s="29"/>
      <c r="AM27" s="29"/>
      <c r="AN27" s="29"/>
      <c r="AO27" s="29"/>
      <c r="AP27" s="29"/>
      <c r="AQ27" s="14"/>
      <c r="AR27" s="14"/>
      <c r="AS27" s="32"/>
      <c r="AT27" s="14"/>
      <c r="AU27" s="14"/>
      <c r="AV27" s="14"/>
    </row>
    <row r="28" spans="1:48" x14ac:dyDescent="0.25">
      <c r="A28" s="14"/>
      <c r="C28" s="14"/>
      <c r="D28" s="14"/>
      <c r="E28" s="35"/>
      <c r="K28" s="14"/>
      <c r="M28" s="36"/>
      <c r="N28" s="14"/>
      <c r="P28" s="14"/>
      <c r="Q28" s="14"/>
      <c r="R28" s="14"/>
      <c r="U28" s="36"/>
      <c r="V28" s="14"/>
      <c r="W28" s="14"/>
      <c r="X28" s="14"/>
      <c r="Y28" s="14"/>
      <c r="Z28" s="14"/>
      <c r="AA28" s="14"/>
      <c r="AB28" s="36"/>
      <c r="AC28" s="14"/>
      <c r="AD28" s="14"/>
      <c r="AE28" s="14"/>
      <c r="AF28" s="14"/>
      <c r="AG28" s="14"/>
      <c r="AH28" s="36"/>
      <c r="AI28" s="14"/>
      <c r="AJ28" s="14"/>
      <c r="AK28" s="14"/>
      <c r="AL28" s="29"/>
      <c r="AM28" s="29"/>
      <c r="AN28" s="29"/>
      <c r="AO28" s="29"/>
      <c r="AP28" s="29"/>
      <c r="AQ28" s="14"/>
      <c r="AR28" s="14"/>
      <c r="AS28" s="32"/>
      <c r="AT28" s="14"/>
      <c r="AU28" s="14"/>
      <c r="AV28" s="14"/>
    </row>
    <row r="29" spans="1:48" x14ac:dyDescent="0.25">
      <c r="A29" s="14"/>
      <c r="C29" s="14"/>
      <c r="D29" s="14"/>
      <c r="E29" s="35"/>
      <c r="K29" s="14"/>
      <c r="M29" s="36"/>
      <c r="N29" s="14"/>
      <c r="P29" s="14"/>
      <c r="Q29" s="14"/>
      <c r="R29" s="14"/>
      <c r="U29" s="36"/>
      <c r="V29" s="14"/>
      <c r="W29" s="14"/>
      <c r="X29" s="14"/>
      <c r="Y29" s="14"/>
      <c r="Z29" s="14"/>
      <c r="AA29" s="14"/>
      <c r="AB29" s="36"/>
      <c r="AC29" s="14"/>
      <c r="AD29" s="14"/>
      <c r="AE29" s="14"/>
      <c r="AF29" s="14"/>
      <c r="AG29" s="14"/>
      <c r="AH29" s="36"/>
      <c r="AI29" s="14"/>
      <c r="AJ29" s="14"/>
      <c r="AK29" s="14"/>
      <c r="AL29" s="29"/>
      <c r="AM29" s="29"/>
      <c r="AN29" s="29"/>
      <c r="AO29" s="29"/>
      <c r="AP29" s="29"/>
      <c r="AQ29" s="14"/>
      <c r="AR29" s="14"/>
      <c r="AS29" s="32"/>
      <c r="AT29" s="14"/>
      <c r="AU29" s="14"/>
      <c r="AV29" s="14"/>
    </row>
    <row r="30" spans="1:48" x14ac:dyDescent="0.25">
      <c r="A30" s="1" t="s">
        <v>0</v>
      </c>
      <c r="E30" s="3" t="s">
        <v>1</v>
      </c>
      <c r="R30" s="3"/>
    </row>
    <row r="31" spans="1:48" x14ac:dyDescent="0.25">
      <c r="A31" s="1" t="s">
        <v>32</v>
      </c>
      <c r="E31" s="3" t="s">
        <v>31</v>
      </c>
      <c r="R31" s="3" t="s">
        <v>2</v>
      </c>
    </row>
    <row r="32" spans="1:48" ht="25.5" customHeight="1" x14ac:dyDescent="0.25">
      <c r="A32" s="43" t="s">
        <v>3</v>
      </c>
      <c r="B32" s="43" t="s">
        <v>4</v>
      </c>
      <c r="C32" s="43" t="s">
        <v>5</v>
      </c>
      <c r="D32" s="43" t="s">
        <v>6</v>
      </c>
      <c r="E32" s="43" t="s">
        <v>7</v>
      </c>
      <c r="F32" s="50" t="s">
        <v>8</v>
      </c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2"/>
      <c r="AK32" s="43" t="s">
        <v>9</v>
      </c>
      <c r="AL32" s="43" t="s">
        <v>10</v>
      </c>
      <c r="AM32" s="43" t="s">
        <v>11</v>
      </c>
      <c r="AN32" s="43" t="s">
        <v>12</v>
      </c>
      <c r="AO32" s="43" t="s">
        <v>13</v>
      </c>
      <c r="AP32" s="43" t="s">
        <v>14</v>
      </c>
      <c r="AQ32" s="43" t="s">
        <v>15</v>
      </c>
      <c r="AR32" s="43" t="s">
        <v>16</v>
      </c>
      <c r="AS32" s="45" t="s">
        <v>17</v>
      </c>
      <c r="AT32" s="43" t="s">
        <v>18</v>
      </c>
    </row>
    <row r="33" spans="1:46" ht="42.75" customHeight="1" x14ac:dyDescent="0.25">
      <c r="A33" s="44"/>
      <c r="B33" s="44"/>
      <c r="C33" s="44"/>
      <c r="D33" s="44"/>
      <c r="E33" s="44"/>
      <c r="F33" s="6">
        <v>1</v>
      </c>
      <c r="G33" s="6">
        <v>2</v>
      </c>
      <c r="H33" s="6">
        <v>3</v>
      </c>
      <c r="I33" s="6">
        <v>4</v>
      </c>
      <c r="J33" s="6">
        <v>5</v>
      </c>
      <c r="K33" s="6">
        <v>6</v>
      </c>
      <c r="L33" s="6">
        <v>7</v>
      </c>
      <c r="M33" s="6">
        <v>8</v>
      </c>
      <c r="N33" s="6">
        <v>9</v>
      </c>
      <c r="O33" s="6">
        <v>10</v>
      </c>
      <c r="P33" s="6">
        <v>11</v>
      </c>
      <c r="Q33" s="6">
        <v>12</v>
      </c>
      <c r="R33" s="6">
        <v>13</v>
      </c>
      <c r="S33" s="6">
        <v>14</v>
      </c>
      <c r="T33" s="6">
        <v>15</v>
      </c>
      <c r="U33" s="6">
        <v>16</v>
      </c>
      <c r="V33" s="6">
        <v>17</v>
      </c>
      <c r="W33" s="6">
        <v>18</v>
      </c>
      <c r="X33" s="6">
        <v>19</v>
      </c>
      <c r="Y33" s="6">
        <v>20</v>
      </c>
      <c r="Z33" s="6">
        <v>21</v>
      </c>
      <c r="AA33" s="6">
        <v>22</v>
      </c>
      <c r="AB33" s="6">
        <v>23</v>
      </c>
      <c r="AC33" s="6">
        <v>24</v>
      </c>
      <c r="AD33" s="6">
        <v>25</v>
      </c>
      <c r="AE33" s="6">
        <v>26</v>
      </c>
      <c r="AF33" s="6">
        <v>27</v>
      </c>
      <c r="AG33" s="6">
        <v>28</v>
      </c>
      <c r="AH33" s="6">
        <v>29</v>
      </c>
      <c r="AI33" s="6">
        <v>30</v>
      </c>
      <c r="AJ33" s="6">
        <v>31</v>
      </c>
      <c r="AK33" s="44"/>
      <c r="AL33" s="44"/>
      <c r="AM33" s="44"/>
      <c r="AN33" s="44"/>
      <c r="AO33" s="44"/>
      <c r="AP33" s="44"/>
      <c r="AQ33" s="44"/>
      <c r="AR33" s="44"/>
      <c r="AS33" s="46"/>
      <c r="AT33" s="44"/>
    </row>
    <row r="34" spans="1:46" ht="16.5" thickBot="1" x14ac:dyDescent="0.3">
      <c r="A34" s="8">
        <v>1</v>
      </c>
      <c r="B34" s="9" t="s">
        <v>42</v>
      </c>
      <c r="C34" s="9" t="s">
        <v>45</v>
      </c>
      <c r="D34" s="9" t="s">
        <v>46</v>
      </c>
      <c r="E34" s="9" t="s">
        <v>44</v>
      </c>
      <c r="F34" s="11">
        <v>2</v>
      </c>
      <c r="G34" s="11">
        <v>1</v>
      </c>
      <c r="H34" s="11">
        <v>1.1000000000000001</v>
      </c>
      <c r="I34" s="11">
        <v>1.1000000000000001</v>
      </c>
      <c r="J34" s="11">
        <v>2</v>
      </c>
      <c r="K34" s="11">
        <v>1</v>
      </c>
      <c r="L34" s="11">
        <v>1.1000000000000001</v>
      </c>
      <c r="M34" s="11">
        <v>3</v>
      </c>
      <c r="N34" s="11">
        <v>2.1</v>
      </c>
      <c r="O34" s="11">
        <v>3.4</v>
      </c>
      <c r="P34" s="11">
        <v>2</v>
      </c>
      <c r="Q34" s="11">
        <v>2</v>
      </c>
      <c r="R34" s="11">
        <v>1.1000000000000001</v>
      </c>
      <c r="S34" s="11">
        <v>1</v>
      </c>
      <c r="T34" s="11">
        <v>2</v>
      </c>
      <c r="U34" s="11">
        <v>2.1</v>
      </c>
      <c r="V34" s="11">
        <v>2</v>
      </c>
      <c r="W34" s="11">
        <v>1</v>
      </c>
      <c r="X34" s="11">
        <v>1</v>
      </c>
      <c r="Y34" s="11">
        <v>1.1000000000000001</v>
      </c>
      <c r="Z34" s="11"/>
      <c r="AA34" s="11">
        <v>3</v>
      </c>
      <c r="AB34" s="11">
        <v>3</v>
      </c>
      <c r="AC34" s="11">
        <v>3</v>
      </c>
      <c r="AD34" s="11">
        <v>4.5999999999999996</v>
      </c>
      <c r="AE34" s="11"/>
      <c r="AF34" s="11"/>
      <c r="AG34" s="11">
        <v>1.8</v>
      </c>
      <c r="AH34" s="11"/>
      <c r="AI34" s="11"/>
      <c r="AJ34" s="11"/>
      <c r="AK34" s="20">
        <f>SUM(F34:AJ34)</f>
        <v>48.5</v>
      </c>
      <c r="AL34" s="11"/>
      <c r="AM34" s="8"/>
      <c r="AN34" s="8"/>
      <c r="AO34" s="8"/>
      <c r="AP34" s="8"/>
      <c r="AQ34" s="38"/>
      <c r="AR34" s="10"/>
      <c r="AS34" s="12">
        <v>294</v>
      </c>
      <c r="AT34" s="13">
        <f>AS34*AK34</f>
        <v>14259</v>
      </c>
    </row>
    <row r="35" spans="1:46" ht="16.5" thickTop="1" x14ac:dyDescent="0.25">
      <c r="A35" s="11"/>
      <c r="B35" s="9"/>
      <c r="C35" s="9"/>
      <c r="D35" s="9"/>
      <c r="E35" s="9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5"/>
      <c r="AR35" s="9"/>
      <c r="AS35" s="12"/>
      <c r="AT35" s="13">
        <f>AS35*AK35</f>
        <v>0</v>
      </c>
    </row>
    <row r="36" spans="1:46" x14ac:dyDescent="0.25">
      <c r="A36" s="11"/>
      <c r="B36" s="9"/>
      <c r="C36" s="17"/>
      <c r="D36" s="9"/>
      <c r="E36" s="9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5"/>
      <c r="AR36" s="9"/>
      <c r="AS36" s="9"/>
      <c r="AT36" s="16"/>
    </row>
    <row r="37" spans="1:46" x14ac:dyDescent="0.25">
      <c r="A37" s="11"/>
      <c r="B37" s="9"/>
      <c r="C37" s="9"/>
      <c r="D37" s="9"/>
      <c r="E37" s="9"/>
      <c r="F37" s="11"/>
      <c r="G37" s="11"/>
      <c r="H37" s="11"/>
      <c r="I37" s="11"/>
      <c r="J37" s="11"/>
      <c r="K37" s="11"/>
      <c r="L37" s="11"/>
      <c r="M37" s="11"/>
      <c r="N37" s="18"/>
      <c r="O37" s="18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8"/>
      <c r="AL37" s="11"/>
      <c r="AM37" s="18"/>
      <c r="AN37" s="11"/>
      <c r="AO37" s="11"/>
      <c r="AP37" s="11"/>
      <c r="AQ37" s="15"/>
      <c r="AR37" s="9"/>
      <c r="AS37" s="9"/>
      <c r="AT37" s="19"/>
    </row>
    <row r="38" spans="1:46" ht="16.5" customHeight="1" thickBot="1" x14ac:dyDescent="0.3">
      <c r="A38" s="11"/>
      <c r="B38" s="47" t="s">
        <v>19</v>
      </c>
      <c r="C38" s="48"/>
      <c r="D38" s="48"/>
      <c r="E38" s="49"/>
      <c r="F38" s="20">
        <f t="shared" ref="F38:AM38" si="4">SUM(F34:F37)</f>
        <v>2</v>
      </c>
      <c r="G38" s="20">
        <f t="shared" si="4"/>
        <v>1</v>
      </c>
      <c r="H38" s="20">
        <f t="shared" si="4"/>
        <v>1.1000000000000001</v>
      </c>
      <c r="I38" s="20">
        <f t="shared" si="4"/>
        <v>1.1000000000000001</v>
      </c>
      <c r="J38" s="20">
        <f t="shared" si="4"/>
        <v>2</v>
      </c>
      <c r="K38" s="20">
        <f t="shared" si="4"/>
        <v>1</v>
      </c>
      <c r="L38" s="20">
        <f t="shared" si="4"/>
        <v>1.1000000000000001</v>
      </c>
      <c r="M38" s="20">
        <f t="shared" si="4"/>
        <v>3</v>
      </c>
      <c r="N38" s="20">
        <f t="shared" si="4"/>
        <v>2.1</v>
      </c>
      <c r="O38" s="20">
        <f t="shared" si="4"/>
        <v>3.4</v>
      </c>
      <c r="P38" s="20">
        <f t="shared" si="4"/>
        <v>2</v>
      </c>
      <c r="Q38" s="20">
        <f t="shared" si="4"/>
        <v>2</v>
      </c>
      <c r="R38" s="20">
        <f t="shared" si="4"/>
        <v>1.1000000000000001</v>
      </c>
      <c r="S38" s="20">
        <f t="shared" si="4"/>
        <v>1</v>
      </c>
      <c r="T38" s="20">
        <f t="shared" si="4"/>
        <v>2</v>
      </c>
      <c r="U38" s="20">
        <f t="shared" si="4"/>
        <v>2.1</v>
      </c>
      <c r="V38" s="20">
        <f t="shared" si="4"/>
        <v>2</v>
      </c>
      <c r="W38" s="20">
        <f t="shared" si="4"/>
        <v>1</v>
      </c>
      <c r="X38" s="20">
        <f t="shared" si="4"/>
        <v>1</v>
      </c>
      <c r="Y38" s="20">
        <f t="shared" si="4"/>
        <v>1.1000000000000001</v>
      </c>
      <c r="Z38" s="20">
        <f t="shared" si="4"/>
        <v>0</v>
      </c>
      <c r="AA38" s="20">
        <f t="shared" si="4"/>
        <v>3</v>
      </c>
      <c r="AB38" s="20">
        <f t="shared" si="4"/>
        <v>3</v>
      </c>
      <c r="AC38" s="20">
        <f t="shared" si="4"/>
        <v>3</v>
      </c>
      <c r="AD38" s="20">
        <f t="shared" si="4"/>
        <v>4.5999999999999996</v>
      </c>
      <c r="AE38" s="20">
        <f t="shared" si="4"/>
        <v>0</v>
      </c>
      <c r="AF38" s="20">
        <f t="shared" si="4"/>
        <v>0</v>
      </c>
      <c r="AG38" s="20">
        <f t="shared" si="4"/>
        <v>1.8</v>
      </c>
      <c r="AH38" s="20">
        <f t="shared" si="4"/>
        <v>0</v>
      </c>
      <c r="AI38" s="20">
        <f t="shared" si="4"/>
        <v>0</v>
      </c>
      <c r="AJ38" s="20">
        <f t="shared" si="4"/>
        <v>0</v>
      </c>
      <c r="AK38" s="20">
        <f t="shared" si="4"/>
        <v>48.5</v>
      </c>
      <c r="AL38" s="20">
        <f t="shared" si="4"/>
        <v>0</v>
      </c>
      <c r="AM38" s="20">
        <f t="shared" si="4"/>
        <v>0</v>
      </c>
      <c r="AN38" s="22"/>
      <c r="AO38" s="22"/>
      <c r="AP38" s="22"/>
      <c r="AQ38" s="22"/>
      <c r="AR38" s="22"/>
      <c r="AS38" s="22">
        <f>SUM(AS34:AS37)</f>
        <v>294</v>
      </c>
      <c r="AT38" s="22">
        <f>SUM(AT34:AT37)</f>
        <v>14259</v>
      </c>
    </row>
    <row r="39" spans="1:46" ht="16.5" thickTop="1" x14ac:dyDescent="0.25">
      <c r="A39" s="11"/>
      <c r="B39" s="9"/>
      <c r="C39" s="9"/>
      <c r="D39" s="9"/>
      <c r="E39" s="9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11"/>
      <c r="AL39" s="23"/>
      <c r="AM39" s="23"/>
      <c r="AN39" s="11"/>
      <c r="AO39" s="11"/>
      <c r="AP39" s="11"/>
      <c r="AQ39" s="15"/>
      <c r="AR39" s="9"/>
      <c r="AS39" s="9"/>
      <c r="AT39" s="9"/>
    </row>
    <row r="40" spans="1:46" x14ac:dyDescent="0.25">
      <c r="A40" s="29"/>
      <c r="B40" s="30" t="s">
        <v>21</v>
      </c>
      <c r="C40" s="31"/>
      <c r="D40" s="31"/>
      <c r="E40" s="31"/>
      <c r="F40" s="14">
        <v>4.0999999999999996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</row>
    <row r="41" spans="1:46" x14ac:dyDescent="0.25">
      <c r="A41" s="29"/>
      <c r="B41" s="30" t="s">
        <v>22</v>
      </c>
      <c r="C41" s="31"/>
      <c r="D41" s="31"/>
      <c r="E41" s="31"/>
      <c r="F41" s="14"/>
      <c r="G41" s="14">
        <v>5.0999999999999996</v>
      </c>
      <c r="H41" s="14"/>
      <c r="I41" s="14"/>
      <c r="J41" s="14"/>
      <c r="K41" s="14">
        <v>5.0999999999999996</v>
      </c>
      <c r="L41" s="14"/>
      <c r="M41" s="14"/>
      <c r="N41" s="14">
        <v>8.4</v>
      </c>
      <c r="O41" s="14"/>
      <c r="P41" s="14"/>
      <c r="Q41" s="14"/>
      <c r="R41" s="14">
        <v>5.0999999999999996</v>
      </c>
      <c r="S41" s="14"/>
      <c r="T41" s="14"/>
      <c r="U41" s="14">
        <v>5.0999999999999996</v>
      </c>
      <c r="V41" s="14"/>
      <c r="W41" s="14"/>
      <c r="X41" s="14"/>
      <c r="Y41" s="14"/>
      <c r="Z41" s="14"/>
      <c r="AA41" s="14"/>
      <c r="AB41" s="14">
        <v>13.6</v>
      </c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</row>
    <row r="42" spans="1:46" x14ac:dyDescent="0.25">
      <c r="A42" s="29"/>
      <c r="B42" s="14" t="s">
        <v>23</v>
      </c>
      <c r="E42" s="14"/>
      <c r="F42" s="14">
        <f>F38</f>
        <v>2</v>
      </c>
      <c r="G42" s="14">
        <f t="shared" ref="G42:AJ42" si="5">G38</f>
        <v>1</v>
      </c>
      <c r="H42" s="14">
        <f t="shared" si="5"/>
        <v>1.1000000000000001</v>
      </c>
      <c r="I42" s="14">
        <f t="shared" si="5"/>
        <v>1.1000000000000001</v>
      </c>
      <c r="J42" s="14"/>
      <c r="K42" s="14">
        <f t="shared" si="5"/>
        <v>1</v>
      </c>
      <c r="L42" s="14">
        <f t="shared" si="5"/>
        <v>1.1000000000000001</v>
      </c>
      <c r="M42" s="14">
        <f t="shared" si="5"/>
        <v>3</v>
      </c>
      <c r="N42" s="14">
        <f t="shared" si="5"/>
        <v>2.1</v>
      </c>
      <c r="O42" s="14">
        <f t="shared" si="5"/>
        <v>3.4</v>
      </c>
      <c r="P42" s="14">
        <f t="shared" si="5"/>
        <v>2</v>
      </c>
      <c r="Q42" s="14">
        <f t="shared" si="5"/>
        <v>2</v>
      </c>
      <c r="R42" s="14">
        <f t="shared" si="5"/>
        <v>1.1000000000000001</v>
      </c>
      <c r="S42" s="14">
        <f t="shared" si="5"/>
        <v>1</v>
      </c>
      <c r="T42" s="14">
        <f t="shared" si="5"/>
        <v>2</v>
      </c>
      <c r="U42" s="14">
        <f t="shared" si="5"/>
        <v>2.1</v>
      </c>
      <c r="V42" s="14">
        <f t="shared" si="5"/>
        <v>2</v>
      </c>
      <c r="W42" s="14">
        <f t="shared" si="5"/>
        <v>1</v>
      </c>
      <c r="X42" s="14">
        <f t="shared" si="5"/>
        <v>1</v>
      </c>
      <c r="Y42" s="14">
        <f t="shared" si="5"/>
        <v>1.1000000000000001</v>
      </c>
      <c r="Z42" s="14">
        <f t="shared" si="5"/>
        <v>0</v>
      </c>
      <c r="AA42" s="14">
        <f t="shared" si="5"/>
        <v>3</v>
      </c>
      <c r="AB42" s="14">
        <f t="shared" si="5"/>
        <v>3</v>
      </c>
      <c r="AC42" s="14">
        <f t="shared" si="5"/>
        <v>3</v>
      </c>
      <c r="AD42" s="14">
        <f t="shared" si="5"/>
        <v>4.5999999999999996</v>
      </c>
      <c r="AE42" s="14">
        <f t="shared" si="5"/>
        <v>0</v>
      </c>
      <c r="AF42" s="14">
        <f t="shared" si="5"/>
        <v>0</v>
      </c>
      <c r="AG42" s="14">
        <f t="shared" si="5"/>
        <v>1.8</v>
      </c>
      <c r="AH42" s="14">
        <f t="shared" si="5"/>
        <v>0</v>
      </c>
      <c r="AI42" s="14">
        <f t="shared" si="5"/>
        <v>0</v>
      </c>
      <c r="AJ42" s="14">
        <f t="shared" si="5"/>
        <v>0</v>
      </c>
      <c r="AK42" s="14"/>
      <c r="AL42" s="14"/>
      <c r="AM42" s="14"/>
      <c r="AN42" s="14"/>
      <c r="AO42" s="14"/>
      <c r="AP42" s="14"/>
      <c r="AQ42" s="14"/>
      <c r="AR42" s="14"/>
      <c r="AS42" s="14"/>
      <c r="AT42" s="14"/>
    </row>
    <row r="43" spans="1:46" x14ac:dyDescent="0.25">
      <c r="A43" s="29"/>
      <c r="B43" s="14" t="s">
        <v>24</v>
      </c>
      <c r="E43" s="14"/>
      <c r="F43" s="14">
        <f>(F40+F41)-F42</f>
        <v>2.0999999999999996</v>
      </c>
      <c r="G43" s="14">
        <f>(F43+G40+G41)-G42</f>
        <v>6.1999999999999993</v>
      </c>
      <c r="H43" s="14">
        <f t="shared" ref="H43" si="6">(G43+H40+H41)-H42</f>
        <v>5.0999999999999996</v>
      </c>
      <c r="I43" s="14">
        <f t="shared" ref="I43" si="7">(H43+I40+I41)-I42</f>
        <v>3.9999999999999996</v>
      </c>
      <c r="J43" s="14">
        <f t="shared" ref="J43" si="8">(I43+J40+J41)-J42</f>
        <v>3.9999999999999996</v>
      </c>
      <c r="K43" s="14">
        <f t="shared" ref="K43" si="9">(J43+K40+K41)-K42</f>
        <v>8.1</v>
      </c>
      <c r="L43" s="14">
        <f t="shared" ref="L43" si="10">(K43+L40+L41)-L42</f>
        <v>7</v>
      </c>
      <c r="M43" s="14">
        <f t="shared" ref="M43" si="11">(L43+M40+M41)-M42</f>
        <v>4</v>
      </c>
      <c r="N43" s="14">
        <f t="shared" ref="N43" si="12">(M43+N40+N41)-N42</f>
        <v>10.3</v>
      </c>
      <c r="O43" s="14">
        <f t="shared" ref="O43" si="13">(N43+O40+O41)-O42</f>
        <v>6.9</v>
      </c>
      <c r="P43" s="14">
        <f t="shared" ref="P43" si="14">(O43+P40+P41)-P42</f>
        <v>4.9000000000000004</v>
      </c>
      <c r="Q43" s="14">
        <f t="shared" ref="Q43" si="15">(P43+Q40+Q41)-Q42</f>
        <v>2.9000000000000004</v>
      </c>
      <c r="R43" s="14">
        <f t="shared" ref="R43" si="16">(Q43+R40+R41)-R42</f>
        <v>6.9</v>
      </c>
      <c r="S43" s="14">
        <f t="shared" ref="S43" si="17">(R43+S40+S41)-S42</f>
        <v>5.9</v>
      </c>
      <c r="T43" s="14">
        <f t="shared" ref="T43" si="18">(S43+T40+T41)-T42</f>
        <v>3.9000000000000004</v>
      </c>
      <c r="U43" s="14">
        <f t="shared" ref="U43" si="19">(T43+U40+U41)-U42</f>
        <v>6.9</v>
      </c>
      <c r="V43" s="14">
        <f t="shared" ref="V43" si="20">(U43+V40+V41)-V42</f>
        <v>4.9000000000000004</v>
      </c>
      <c r="W43" s="14">
        <f t="shared" ref="W43" si="21">(V43+W40+W41)-W42</f>
        <v>3.9000000000000004</v>
      </c>
      <c r="X43" s="14">
        <f t="shared" ref="X43" si="22">(W43+X40+X41)-X42</f>
        <v>2.9000000000000004</v>
      </c>
      <c r="Y43" s="14">
        <f t="shared" ref="Y43" si="23">(X43+Y40+Y41)-Y42</f>
        <v>1.8000000000000003</v>
      </c>
      <c r="Z43" s="14">
        <f t="shared" ref="Z43" si="24">(Y43+Z40+Z41)-Z42</f>
        <v>1.8000000000000003</v>
      </c>
      <c r="AA43" s="14">
        <f t="shared" ref="AA43" si="25">(Z43+AA40+AA41)-AA42</f>
        <v>-1.1999999999999997</v>
      </c>
      <c r="AB43" s="14">
        <f t="shared" ref="AB43" si="26">(AA43+AB40+AB41)-AB42</f>
        <v>9.4</v>
      </c>
      <c r="AC43" s="14">
        <f t="shared" ref="AC43" si="27">(AB43+AC40+AC41)-AC42</f>
        <v>6.4</v>
      </c>
      <c r="AD43" s="14">
        <f t="shared" ref="AD43" si="28">(AC43+AD40+AD41)-AD42</f>
        <v>1.8000000000000007</v>
      </c>
      <c r="AE43" s="14">
        <f t="shared" ref="AE43" si="29">(AD43+AE40+AE41)-AE42</f>
        <v>1.8000000000000007</v>
      </c>
      <c r="AF43" s="14">
        <f t="shared" ref="AF43" si="30">(AE43+AF40+AF41)-AF42</f>
        <v>1.8000000000000007</v>
      </c>
      <c r="AG43" s="14">
        <f t="shared" ref="AG43" si="31">(AF43+AG40+AG41)-AG42</f>
        <v>0</v>
      </c>
      <c r="AH43" s="14">
        <f t="shared" ref="AH43" si="32">(AG43+AH40+AH41)-AH42</f>
        <v>0</v>
      </c>
      <c r="AI43" s="14">
        <f t="shared" ref="AI43" si="33">(AH43+AI40+AI41)-AI42</f>
        <v>0</v>
      </c>
      <c r="AJ43" s="14">
        <f t="shared" ref="AJ43" si="34">(AI43+AJ40+AJ41)-AJ42</f>
        <v>0</v>
      </c>
      <c r="AK43" s="14"/>
      <c r="AL43" s="14"/>
      <c r="AM43" s="29"/>
      <c r="AN43" s="29"/>
      <c r="AO43" s="29"/>
      <c r="AP43" s="29"/>
      <c r="AQ43" s="14"/>
      <c r="AR43" s="14"/>
      <c r="AS43" s="32"/>
      <c r="AT43" s="39">
        <f>AT38</f>
        <v>14259</v>
      </c>
    </row>
    <row r="44" spans="1:46" x14ac:dyDescent="0.25">
      <c r="A44" s="29"/>
      <c r="B44" s="14" t="s">
        <v>2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29"/>
      <c r="AL44" s="29"/>
      <c r="AM44" s="29"/>
      <c r="AN44" s="29"/>
      <c r="AO44" s="29"/>
      <c r="AP44" s="29"/>
      <c r="AQ44" s="14"/>
      <c r="AR44" s="14"/>
      <c r="AS44" s="32"/>
      <c r="AT44" s="14"/>
    </row>
    <row r="45" spans="1:46" ht="16.5" thickBot="1" x14ac:dyDescent="0.3">
      <c r="A45" s="29"/>
      <c r="B45" s="14" t="s">
        <v>25</v>
      </c>
      <c r="C45" s="14"/>
      <c r="D45" s="14"/>
      <c r="E45" s="14">
        <v>4.0999999999999996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2"/>
      <c r="AL45" s="2"/>
      <c r="AM45" s="2"/>
      <c r="AN45" s="2"/>
      <c r="AO45" s="29"/>
      <c r="AP45" s="29"/>
      <c r="AQ45" s="2" t="s">
        <v>26</v>
      </c>
      <c r="AR45" s="29"/>
      <c r="AS45" s="29"/>
      <c r="AT45" s="41">
        <f>F40*294</f>
        <v>1205.3999999999999</v>
      </c>
    </row>
    <row r="46" spans="1:46" ht="16.5" thickTop="1" x14ac:dyDescent="0.25">
      <c r="A46" s="29"/>
      <c r="B46" s="14" t="s">
        <v>27</v>
      </c>
      <c r="C46" s="14"/>
      <c r="D46" s="14"/>
      <c r="E46" s="14">
        <v>42.4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2"/>
      <c r="AL46" s="2"/>
      <c r="AM46" s="2"/>
      <c r="AN46" s="30"/>
      <c r="AO46" s="29"/>
      <c r="AP46" s="29"/>
      <c r="AQ46" s="2" t="s">
        <v>28</v>
      </c>
      <c r="AR46" s="29"/>
      <c r="AS46" s="29"/>
      <c r="AT46" s="37">
        <f>AT43-AT45</f>
        <v>13053.6</v>
      </c>
    </row>
    <row r="47" spans="1:46" x14ac:dyDescent="0.25">
      <c r="A47" s="29"/>
      <c r="B47" s="14" t="s">
        <v>29</v>
      </c>
      <c r="C47" s="14"/>
      <c r="D47" s="14"/>
      <c r="E47" s="14">
        <v>46.5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29"/>
      <c r="AL47" s="29"/>
      <c r="AM47" s="29"/>
      <c r="AN47" s="29"/>
      <c r="AO47" s="29"/>
      <c r="AP47" s="29"/>
      <c r="AQ47" s="14"/>
      <c r="AR47" s="14"/>
      <c r="AS47" s="32"/>
      <c r="AT47" s="14"/>
    </row>
    <row r="48" spans="1:46" ht="16.5" thickBot="1" x14ac:dyDescent="0.3">
      <c r="A48" s="29"/>
      <c r="B48" s="14" t="s">
        <v>30</v>
      </c>
      <c r="C48" s="14"/>
      <c r="D48" s="14"/>
      <c r="E48" s="33">
        <f>E45+E46-E47</f>
        <v>0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29"/>
      <c r="AL48" s="29"/>
      <c r="AM48" s="29"/>
      <c r="AN48" s="29"/>
      <c r="AO48" s="29"/>
      <c r="AP48" s="29"/>
      <c r="AQ48" s="14"/>
      <c r="AR48" s="14"/>
      <c r="AS48" s="32"/>
      <c r="AT48" s="14"/>
    </row>
    <row r="49" spans="1:46" ht="16.5" thickTop="1" x14ac:dyDescent="0.25">
      <c r="A49" s="29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29"/>
      <c r="AL49" s="29"/>
      <c r="AM49" s="29"/>
      <c r="AN49" s="29"/>
      <c r="AO49" s="29"/>
      <c r="AP49" s="29"/>
      <c r="AQ49" s="14"/>
      <c r="AR49" s="14"/>
      <c r="AS49" s="32"/>
      <c r="AT49" s="14"/>
    </row>
    <row r="50" spans="1:46" x14ac:dyDescent="0.25">
      <c r="A50" s="34"/>
      <c r="C50" s="14"/>
      <c r="D50" s="14"/>
      <c r="E50" s="35"/>
      <c r="K50" s="14"/>
      <c r="M50" s="36"/>
      <c r="N50" s="14"/>
      <c r="P50" s="14"/>
      <c r="Q50" s="14"/>
      <c r="R50" s="14"/>
      <c r="U50" s="36"/>
      <c r="V50" s="14"/>
      <c r="W50" s="14"/>
      <c r="X50" s="14"/>
      <c r="Y50" s="14"/>
      <c r="Z50" s="14"/>
      <c r="AA50" s="14"/>
      <c r="AB50" s="36"/>
      <c r="AC50" s="14"/>
      <c r="AD50" s="14"/>
      <c r="AE50" s="14"/>
      <c r="AF50" s="14"/>
      <c r="AG50" s="14"/>
      <c r="AH50" s="36"/>
      <c r="AI50" s="14"/>
      <c r="AJ50" s="14"/>
      <c r="AK50" s="14"/>
      <c r="AL50" s="29"/>
      <c r="AM50" s="29"/>
      <c r="AN50" s="29"/>
      <c r="AO50" s="29"/>
      <c r="AP50" s="29"/>
      <c r="AQ50" s="14"/>
      <c r="AR50" s="14"/>
      <c r="AS50" s="32"/>
      <c r="AT50" s="14"/>
    </row>
    <row r="51" spans="1:46" x14ac:dyDescent="0.25">
      <c r="A51" s="14"/>
      <c r="C51" s="14"/>
      <c r="D51" s="14"/>
      <c r="E51" s="35"/>
      <c r="K51" s="14"/>
      <c r="M51" s="36"/>
      <c r="N51" s="14"/>
      <c r="P51" s="14"/>
      <c r="Q51" s="14"/>
      <c r="R51" s="14"/>
      <c r="U51" s="36"/>
      <c r="V51" s="14"/>
      <c r="W51" s="14"/>
      <c r="X51" s="14"/>
      <c r="Y51" s="14"/>
      <c r="Z51" s="14"/>
      <c r="AA51" s="14"/>
      <c r="AB51" s="36"/>
      <c r="AC51" s="14"/>
      <c r="AD51" s="14"/>
      <c r="AE51" s="14"/>
      <c r="AF51" s="14"/>
      <c r="AG51" s="14"/>
      <c r="AH51" s="36"/>
      <c r="AI51" s="14"/>
      <c r="AJ51" s="14"/>
      <c r="AK51" s="14"/>
      <c r="AL51" s="29"/>
      <c r="AM51" s="29"/>
      <c r="AN51" s="29"/>
      <c r="AO51" s="29"/>
      <c r="AP51" s="29"/>
      <c r="AQ51" s="14"/>
      <c r="AR51" s="14"/>
      <c r="AS51" s="32"/>
      <c r="AT51" s="14"/>
    </row>
    <row r="52" spans="1:46" x14ac:dyDescent="0.25">
      <c r="A52" s="14"/>
      <c r="C52" s="14"/>
      <c r="D52" s="14"/>
      <c r="E52" s="35"/>
      <c r="K52" s="14"/>
      <c r="M52" s="36"/>
      <c r="N52" s="14"/>
      <c r="P52" s="14"/>
      <c r="Q52" s="14"/>
      <c r="R52" s="14"/>
      <c r="U52" s="36"/>
      <c r="V52" s="14"/>
      <c r="W52" s="14"/>
      <c r="X52" s="14"/>
      <c r="Y52" s="14"/>
      <c r="Z52" s="14"/>
      <c r="AA52" s="14"/>
      <c r="AB52" s="36"/>
      <c r="AC52" s="14"/>
      <c r="AD52" s="14"/>
      <c r="AE52" s="14"/>
      <c r="AF52" s="14"/>
      <c r="AG52" s="14"/>
      <c r="AH52" s="36"/>
      <c r="AI52" s="14"/>
      <c r="AJ52" s="14"/>
      <c r="AK52" s="14"/>
      <c r="AL52" s="29"/>
      <c r="AM52" s="29"/>
      <c r="AN52" s="29"/>
      <c r="AO52" s="29"/>
      <c r="AP52" s="29"/>
      <c r="AQ52" s="14"/>
      <c r="AR52" s="14"/>
      <c r="AS52" s="32"/>
      <c r="AT52" s="14"/>
    </row>
  </sheetData>
  <mergeCells count="37">
    <mergeCell ref="AT32:AT33"/>
    <mergeCell ref="B38:E38"/>
    <mergeCell ref="AO32:AO33"/>
    <mergeCell ref="AP32:AP33"/>
    <mergeCell ref="AQ32:AQ33"/>
    <mergeCell ref="AR32:AR33"/>
    <mergeCell ref="AS32:AS33"/>
    <mergeCell ref="F32:AJ32"/>
    <mergeCell ref="AK32:AK33"/>
    <mergeCell ref="AL32:AL33"/>
    <mergeCell ref="AM32:AM33"/>
    <mergeCell ref="AN32:AN33"/>
    <mergeCell ref="A32:A33"/>
    <mergeCell ref="B32:B33"/>
    <mergeCell ref="C32:C33"/>
    <mergeCell ref="D32:D33"/>
    <mergeCell ref="E32:E33"/>
    <mergeCell ref="A3:A4"/>
    <mergeCell ref="B3:B4"/>
    <mergeCell ref="C3:C4"/>
    <mergeCell ref="D3:D4"/>
    <mergeCell ref="E3:E4"/>
    <mergeCell ref="B15:E15"/>
    <mergeCell ref="AQ3:AQ4"/>
    <mergeCell ref="AR3:AR4"/>
    <mergeCell ref="AS3:AS4"/>
    <mergeCell ref="AT3:AT4"/>
    <mergeCell ref="B9:E9"/>
    <mergeCell ref="B14:E14"/>
    <mergeCell ref="AK3:AK4"/>
    <mergeCell ref="AL3:AL4"/>
    <mergeCell ref="AM3:AM4"/>
    <mergeCell ref="AN3:AN4"/>
    <mergeCell ref="AO3:AO4"/>
    <mergeCell ref="AP3:AP4"/>
    <mergeCell ref="F3:AJ3"/>
    <mergeCell ref="AN6:AP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5121E-7140-4514-A1C2-083DB375604F}">
  <dimension ref="A1:AV52"/>
  <sheetViews>
    <sheetView zoomScale="70" zoomScaleNormal="70" workbookViewId="0">
      <selection activeCell="L25" sqref="L25"/>
    </sheetView>
  </sheetViews>
  <sheetFormatPr defaultColWidth="9.140625" defaultRowHeight="15.75" x14ac:dyDescent="0.25"/>
  <cols>
    <col min="1" max="1" width="4.140625" style="4" customWidth="1"/>
    <col min="2" max="2" width="12.7109375" style="2" customWidth="1"/>
    <col min="3" max="3" width="17.140625" style="2" customWidth="1"/>
    <col min="4" max="4" width="16.28515625" style="2" customWidth="1"/>
    <col min="5" max="5" width="9" style="2" customWidth="1"/>
    <col min="6" max="6" width="5.42578125" style="2" customWidth="1"/>
    <col min="7" max="7" width="5.7109375" style="2" customWidth="1"/>
    <col min="8" max="8" width="4.7109375" style="2" customWidth="1"/>
    <col min="9" max="9" width="6" style="2" customWidth="1"/>
    <col min="10" max="10" width="5.42578125" style="2" customWidth="1"/>
    <col min="11" max="11" width="5.7109375" style="2" customWidth="1"/>
    <col min="12" max="12" width="5.5703125" style="2" customWidth="1"/>
    <col min="13" max="13" width="5.85546875" style="2" customWidth="1"/>
    <col min="14" max="14" width="5.7109375" style="2" customWidth="1"/>
    <col min="15" max="15" width="5.5703125" style="2" customWidth="1"/>
    <col min="16" max="16" width="5.42578125" style="2" customWidth="1"/>
    <col min="17" max="17" width="5.7109375" style="2" customWidth="1"/>
    <col min="18" max="18" width="6" style="2" customWidth="1"/>
    <col min="19" max="19" width="5.42578125" style="2" customWidth="1"/>
    <col min="20" max="20" width="6" style="2" customWidth="1"/>
    <col min="21" max="21" width="6.140625" style="2" customWidth="1"/>
    <col min="22" max="22" width="5.7109375" style="2" customWidth="1"/>
    <col min="23" max="23" width="5.42578125" style="2" customWidth="1"/>
    <col min="24" max="24" width="5.7109375" style="2" customWidth="1"/>
    <col min="25" max="25" width="5.42578125" style="2" customWidth="1"/>
    <col min="26" max="26" width="5.7109375" style="2" customWidth="1"/>
    <col min="27" max="28" width="5.42578125" style="2" customWidth="1"/>
    <col min="29" max="29" width="5.7109375" style="2" customWidth="1"/>
    <col min="30" max="33" width="5.42578125" style="2" customWidth="1"/>
    <col min="34" max="35" width="5.7109375" style="2" customWidth="1"/>
    <col min="36" max="36" width="5.42578125" style="2" customWidth="1"/>
    <col min="37" max="37" width="8.42578125" style="4" customWidth="1"/>
    <col min="38" max="38" width="8.28515625" style="4" customWidth="1"/>
    <col min="39" max="39" width="7.28515625" style="4" customWidth="1"/>
    <col min="40" max="41" width="10.5703125" style="4" customWidth="1"/>
    <col min="42" max="42" width="10.42578125" style="4" customWidth="1"/>
    <col min="43" max="43" width="13.140625" style="2" customWidth="1"/>
    <col min="44" max="44" width="12.42578125" style="2" customWidth="1"/>
    <col min="45" max="45" width="10.28515625" style="5" customWidth="1"/>
    <col min="46" max="46" width="13.28515625" style="2" customWidth="1"/>
    <col min="47" max="16384" width="9.140625" style="2"/>
  </cols>
  <sheetData>
    <row r="1" spans="1:48" x14ac:dyDescent="0.25">
      <c r="A1" s="1" t="s">
        <v>0</v>
      </c>
      <c r="E1" s="3" t="s">
        <v>1</v>
      </c>
      <c r="R1" s="3"/>
    </row>
    <row r="2" spans="1:48" x14ac:dyDescent="0.25">
      <c r="A2" s="1" t="s">
        <v>32</v>
      </c>
      <c r="E2" s="3" t="s">
        <v>47</v>
      </c>
      <c r="R2" s="3" t="s">
        <v>2</v>
      </c>
    </row>
    <row r="3" spans="1:48" ht="15.75" customHeight="1" x14ac:dyDescent="0.25">
      <c r="A3" s="43" t="s">
        <v>3</v>
      </c>
      <c r="B3" s="43" t="s">
        <v>4</v>
      </c>
      <c r="C3" s="43" t="s">
        <v>5</v>
      </c>
      <c r="D3" s="43" t="s">
        <v>6</v>
      </c>
      <c r="E3" s="43" t="s">
        <v>7</v>
      </c>
      <c r="F3" s="50" t="s">
        <v>8</v>
      </c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2"/>
      <c r="AK3" s="43" t="s">
        <v>9</v>
      </c>
      <c r="AL3" s="43" t="s">
        <v>10</v>
      </c>
      <c r="AM3" s="43" t="s">
        <v>11</v>
      </c>
      <c r="AN3" s="43" t="s">
        <v>12</v>
      </c>
      <c r="AO3" s="43" t="s">
        <v>13</v>
      </c>
      <c r="AP3" s="43" t="s">
        <v>14</v>
      </c>
      <c r="AQ3" s="43" t="s">
        <v>15</v>
      </c>
      <c r="AR3" s="43" t="s">
        <v>16</v>
      </c>
      <c r="AS3" s="45" t="s">
        <v>17</v>
      </c>
      <c r="AT3" s="43" t="s">
        <v>18</v>
      </c>
    </row>
    <row r="4" spans="1:48" s="7" customFormat="1" ht="27" customHeight="1" x14ac:dyDescent="0.25">
      <c r="A4" s="44"/>
      <c r="B4" s="44"/>
      <c r="C4" s="44"/>
      <c r="D4" s="44"/>
      <c r="E4" s="44"/>
      <c r="F4" s="6">
        <v>1</v>
      </c>
      <c r="G4" s="6">
        <v>2</v>
      </c>
      <c r="H4" s="6">
        <v>3</v>
      </c>
      <c r="I4" s="6">
        <v>4</v>
      </c>
      <c r="J4" s="6">
        <v>5</v>
      </c>
      <c r="K4" s="6">
        <v>6</v>
      </c>
      <c r="L4" s="6">
        <v>7</v>
      </c>
      <c r="M4" s="6">
        <v>8</v>
      </c>
      <c r="N4" s="6">
        <v>9</v>
      </c>
      <c r="O4" s="6">
        <v>10</v>
      </c>
      <c r="P4" s="6">
        <v>11</v>
      </c>
      <c r="Q4" s="6">
        <v>12</v>
      </c>
      <c r="R4" s="6">
        <v>13</v>
      </c>
      <c r="S4" s="6">
        <v>14</v>
      </c>
      <c r="T4" s="6">
        <v>15</v>
      </c>
      <c r="U4" s="6">
        <v>16</v>
      </c>
      <c r="V4" s="6">
        <v>17</v>
      </c>
      <c r="W4" s="6">
        <v>18</v>
      </c>
      <c r="X4" s="6">
        <v>19</v>
      </c>
      <c r="Y4" s="6">
        <v>20</v>
      </c>
      <c r="Z4" s="6">
        <v>21</v>
      </c>
      <c r="AA4" s="6">
        <v>22</v>
      </c>
      <c r="AB4" s="6">
        <v>23</v>
      </c>
      <c r="AC4" s="6">
        <v>24</v>
      </c>
      <c r="AD4" s="6">
        <v>25</v>
      </c>
      <c r="AE4" s="6">
        <v>26</v>
      </c>
      <c r="AF4" s="6">
        <v>27</v>
      </c>
      <c r="AG4" s="6">
        <v>28</v>
      </c>
      <c r="AH4" s="6">
        <v>29</v>
      </c>
      <c r="AI4" s="6">
        <v>30</v>
      </c>
      <c r="AJ4" s="6">
        <v>31</v>
      </c>
      <c r="AK4" s="44"/>
      <c r="AL4" s="44"/>
      <c r="AM4" s="44"/>
      <c r="AN4" s="44"/>
      <c r="AO4" s="44"/>
      <c r="AP4" s="44"/>
      <c r="AQ4" s="44"/>
      <c r="AR4" s="44"/>
      <c r="AS4" s="46"/>
      <c r="AT4" s="44"/>
    </row>
    <row r="5" spans="1:48" ht="16.5" thickBot="1" x14ac:dyDescent="0.3">
      <c r="A5" s="8">
        <v>1</v>
      </c>
      <c r="B5" s="9" t="s">
        <v>33</v>
      </c>
      <c r="C5" s="9" t="s">
        <v>34</v>
      </c>
      <c r="D5" s="9" t="s">
        <v>35</v>
      </c>
      <c r="E5" s="9" t="s">
        <v>36</v>
      </c>
      <c r="F5" s="11"/>
      <c r="G5" s="11"/>
      <c r="H5" s="11">
        <v>20</v>
      </c>
      <c r="I5" s="11">
        <v>10</v>
      </c>
      <c r="J5" s="11"/>
      <c r="K5" s="11">
        <v>20</v>
      </c>
      <c r="L5" s="11">
        <v>20</v>
      </c>
      <c r="M5" s="11"/>
      <c r="N5" s="11">
        <v>20</v>
      </c>
      <c r="O5" s="11">
        <v>10</v>
      </c>
      <c r="P5" s="11">
        <v>10</v>
      </c>
      <c r="Q5" s="11">
        <v>30</v>
      </c>
      <c r="R5" s="11">
        <v>20</v>
      </c>
      <c r="S5" s="11">
        <v>10</v>
      </c>
      <c r="T5" s="11"/>
      <c r="U5" s="11">
        <v>30</v>
      </c>
      <c r="V5" s="11">
        <v>35</v>
      </c>
      <c r="W5" s="11"/>
      <c r="X5" s="11"/>
      <c r="Y5" s="11"/>
      <c r="Z5" s="11">
        <v>10</v>
      </c>
      <c r="AA5" s="11">
        <v>30</v>
      </c>
      <c r="AB5" s="11">
        <v>20</v>
      </c>
      <c r="AC5" s="11">
        <v>10</v>
      </c>
      <c r="AD5" s="11">
        <v>40</v>
      </c>
      <c r="AE5" s="11">
        <v>10</v>
      </c>
      <c r="AF5" s="11"/>
      <c r="AG5" s="11"/>
      <c r="AH5" s="11"/>
      <c r="AI5" s="11"/>
      <c r="AJ5" s="11"/>
      <c r="AK5" s="20">
        <f>SUM(F5:AJ5)</f>
        <v>355</v>
      </c>
      <c r="AL5" s="11"/>
      <c r="AM5" s="8"/>
      <c r="AN5" s="8">
        <v>1174.2</v>
      </c>
      <c r="AO5" s="8">
        <v>1299.8</v>
      </c>
      <c r="AP5" s="8">
        <f>AO5-AN5</f>
        <v>125.59999999999991</v>
      </c>
      <c r="AQ5" s="38">
        <f>AK5/AP5</f>
        <v>2.8264331210191105</v>
      </c>
      <c r="AR5" s="10">
        <v>4.6139999999999999</v>
      </c>
      <c r="AS5" s="12">
        <v>277</v>
      </c>
      <c r="AT5" s="13">
        <f>AS5*AK5</f>
        <v>98335</v>
      </c>
      <c r="AU5" s="14"/>
      <c r="AV5" s="14"/>
    </row>
    <row r="6" spans="1:48" ht="17.25" thickTop="1" thickBot="1" x14ac:dyDescent="0.3">
      <c r="A6" s="11">
        <v>2</v>
      </c>
      <c r="B6" s="9" t="s">
        <v>39</v>
      </c>
      <c r="C6" s="9" t="s">
        <v>40</v>
      </c>
      <c r="D6" s="9" t="s">
        <v>41</v>
      </c>
      <c r="E6" s="9" t="s">
        <v>36</v>
      </c>
      <c r="F6" s="11"/>
      <c r="G6" s="11"/>
      <c r="H6" s="11">
        <v>5</v>
      </c>
      <c r="I6" s="11">
        <v>5</v>
      </c>
      <c r="J6" s="11">
        <v>5</v>
      </c>
      <c r="K6" s="11">
        <v>5</v>
      </c>
      <c r="L6" s="11">
        <v>5</v>
      </c>
      <c r="M6" s="11">
        <v>5</v>
      </c>
      <c r="N6" s="11">
        <v>5</v>
      </c>
      <c r="O6" s="11">
        <v>5</v>
      </c>
      <c r="P6" s="11">
        <v>5</v>
      </c>
      <c r="Q6" s="11"/>
      <c r="R6" s="11">
        <v>10</v>
      </c>
      <c r="S6" s="11"/>
      <c r="T6" s="11">
        <v>5</v>
      </c>
      <c r="U6" s="11"/>
      <c r="V6" s="11"/>
      <c r="W6" s="11"/>
      <c r="X6" s="11"/>
      <c r="Y6" s="11"/>
      <c r="Z6" s="11"/>
      <c r="AA6" s="11"/>
      <c r="AB6" s="11"/>
      <c r="AC6" s="11"/>
      <c r="AD6" s="11"/>
      <c r="AE6" s="11">
        <v>5</v>
      </c>
      <c r="AF6" s="11">
        <v>5</v>
      </c>
      <c r="AG6" s="11"/>
      <c r="AH6" s="11"/>
      <c r="AI6" s="11"/>
      <c r="AJ6" s="11"/>
      <c r="AK6" s="20">
        <f>SUM(F6:AJ6)</f>
        <v>70</v>
      </c>
      <c r="AL6" s="11"/>
      <c r="AM6" s="11"/>
      <c r="AN6" s="53" t="s">
        <v>43</v>
      </c>
      <c r="AO6" s="54"/>
      <c r="AP6" s="55"/>
      <c r="AQ6" s="15"/>
      <c r="AR6" s="9"/>
      <c r="AS6" s="12">
        <v>277</v>
      </c>
      <c r="AT6" s="13">
        <f>AS6*AK6</f>
        <v>19390</v>
      </c>
      <c r="AU6" s="14"/>
      <c r="AV6" s="14"/>
    </row>
    <row r="7" spans="1:48" ht="16.5" thickTop="1" x14ac:dyDescent="0.25">
      <c r="A7" s="11"/>
      <c r="B7" s="9"/>
      <c r="C7" s="17"/>
      <c r="D7" s="9"/>
      <c r="E7" s="9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5"/>
      <c r="AR7" s="9"/>
      <c r="AS7" s="9"/>
      <c r="AT7" s="16"/>
      <c r="AU7" s="14"/>
      <c r="AV7" s="14"/>
    </row>
    <row r="8" spans="1:48" x14ac:dyDescent="0.25">
      <c r="A8" s="11"/>
      <c r="B8" s="9"/>
      <c r="C8" s="9"/>
      <c r="D8" s="9"/>
      <c r="E8" s="9"/>
      <c r="F8" s="11"/>
      <c r="G8" s="11"/>
      <c r="H8" s="11"/>
      <c r="I8" s="11"/>
      <c r="J8" s="11"/>
      <c r="K8" s="11"/>
      <c r="L8" s="11"/>
      <c r="M8" s="11"/>
      <c r="N8" s="18"/>
      <c r="O8" s="18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8"/>
      <c r="AL8" s="11"/>
      <c r="AM8" s="18"/>
      <c r="AN8" s="11"/>
      <c r="AO8" s="11"/>
      <c r="AP8" s="11"/>
      <c r="AQ8" s="15"/>
      <c r="AR8" s="9"/>
      <c r="AS8" s="9"/>
      <c r="AT8" s="19"/>
      <c r="AU8" s="14"/>
      <c r="AV8" s="14"/>
    </row>
    <row r="9" spans="1:48" ht="16.5" customHeight="1" thickBot="1" x14ac:dyDescent="0.3">
      <c r="A9" s="11"/>
      <c r="B9" s="53" t="s">
        <v>20</v>
      </c>
      <c r="C9" s="54"/>
      <c r="D9" s="54"/>
      <c r="E9" s="55"/>
      <c r="F9" s="20">
        <f t="shared" ref="F9:AM9" si="0">SUM(F5:F8)</f>
        <v>0</v>
      </c>
      <c r="G9" s="20">
        <f t="shared" si="0"/>
        <v>0</v>
      </c>
      <c r="H9" s="20">
        <f t="shared" si="0"/>
        <v>25</v>
      </c>
      <c r="I9" s="20">
        <f t="shared" si="0"/>
        <v>15</v>
      </c>
      <c r="J9" s="20">
        <f t="shared" si="0"/>
        <v>5</v>
      </c>
      <c r="K9" s="20">
        <f t="shared" si="0"/>
        <v>25</v>
      </c>
      <c r="L9" s="20">
        <f t="shared" si="0"/>
        <v>25</v>
      </c>
      <c r="M9" s="20">
        <f t="shared" si="0"/>
        <v>5</v>
      </c>
      <c r="N9" s="20">
        <f t="shared" si="0"/>
        <v>25</v>
      </c>
      <c r="O9" s="20">
        <f t="shared" si="0"/>
        <v>15</v>
      </c>
      <c r="P9" s="20">
        <f t="shared" si="0"/>
        <v>15</v>
      </c>
      <c r="Q9" s="20">
        <f t="shared" si="0"/>
        <v>30</v>
      </c>
      <c r="R9" s="20">
        <f t="shared" si="0"/>
        <v>30</v>
      </c>
      <c r="S9" s="20">
        <f t="shared" si="0"/>
        <v>10</v>
      </c>
      <c r="T9" s="20">
        <f t="shared" si="0"/>
        <v>5</v>
      </c>
      <c r="U9" s="20">
        <f t="shared" si="0"/>
        <v>30</v>
      </c>
      <c r="V9" s="20">
        <f t="shared" si="0"/>
        <v>35</v>
      </c>
      <c r="W9" s="20">
        <f t="shared" si="0"/>
        <v>0</v>
      </c>
      <c r="X9" s="20">
        <f t="shared" si="0"/>
        <v>0</v>
      </c>
      <c r="Y9" s="20">
        <f t="shared" si="0"/>
        <v>0</v>
      </c>
      <c r="Z9" s="20">
        <f t="shared" si="0"/>
        <v>10</v>
      </c>
      <c r="AA9" s="20">
        <f t="shared" si="0"/>
        <v>30</v>
      </c>
      <c r="AB9" s="20">
        <f t="shared" si="0"/>
        <v>20</v>
      </c>
      <c r="AC9" s="20">
        <f t="shared" si="0"/>
        <v>10</v>
      </c>
      <c r="AD9" s="20">
        <f t="shared" si="0"/>
        <v>40</v>
      </c>
      <c r="AE9" s="20">
        <f t="shared" si="0"/>
        <v>15</v>
      </c>
      <c r="AF9" s="20">
        <f t="shared" si="0"/>
        <v>5</v>
      </c>
      <c r="AG9" s="20">
        <f t="shared" si="0"/>
        <v>0</v>
      </c>
      <c r="AH9" s="20">
        <f t="shared" si="0"/>
        <v>0</v>
      </c>
      <c r="AI9" s="20">
        <f t="shared" si="0"/>
        <v>0</v>
      </c>
      <c r="AJ9" s="20">
        <f t="shared" si="0"/>
        <v>0</v>
      </c>
      <c r="AK9" s="20">
        <f t="shared" si="0"/>
        <v>425</v>
      </c>
      <c r="AL9" s="20">
        <f t="shared" si="0"/>
        <v>0</v>
      </c>
      <c r="AM9" s="20">
        <f t="shared" si="0"/>
        <v>0</v>
      </c>
      <c r="AN9" s="22"/>
      <c r="AO9" s="22"/>
      <c r="AP9" s="22"/>
      <c r="AQ9" s="22"/>
      <c r="AR9" s="22"/>
      <c r="AS9" s="22">
        <f>SUM(AS5:AS8)</f>
        <v>554</v>
      </c>
      <c r="AT9" s="22">
        <f>SUM(AT5:AT8)</f>
        <v>117725</v>
      </c>
      <c r="AU9" s="14"/>
      <c r="AV9" s="14"/>
    </row>
    <row r="10" spans="1:48" ht="16.5" thickTop="1" x14ac:dyDescent="0.25">
      <c r="A10" s="11"/>
      <c r="B10" s="9"/>
      <c r="C10" s="9"/>
      <c r="D10" s="9"/>
      <c r="E10" s="9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11"/>
      <c r="AL10" s="23"/>
      <c r="AM10" s="23"/>
      <c r="AN10" s="11"/>
      <c r="AO10" s="11"/>
      <c r="AP10" s="11"/>
      <c r="AQ10" s="15"/>
      <c r="AR10" s="9"/>
      <c r="AS10" s="9"/>
      <c r="AT10" s="9"/>
      <c r="AU10" s="14"/>
      <c r="AV10" s="14"/>
    </row>
    <row r="11" spans="1:48" ht="16.5" thickBot="1" x14ac:dyDescent="0.3">
      <c r="A11" s="11">
        <v>3</v>
      </c>
      <c r="B11" s="9" t="s">
        <v>42</v>
      </c>
      <c r="C11" s="9" t="s">
        <v>37</v>
      </c>
      <c r="D11" s="9" t="s">
        <v>38</v>
      </c>
      <c r="E11" s="9" t="s">
        <v>36</v>
      </c>
      <c r="F11" s="11"/>
      <c r="G11" s="11"/>
      <c r="H11" s="11"/>
      <c r="I11" s="11"/>
      <c r="J11" s="11"/>
      <c r="K11" s="11">
        <v>5</v>
      </c>
      <c r="L11" s="11"/>
      <c r="M11" s="23">
        <v>10</v>
      </c>
      <c r="N11" s="23">
        <v>5</v>
      </c>
      <c r="O11" s="23"/>
      <c r="P11" s="23"/>
      <c r="Q11" s="23">
        <v>20</v>
      </c>
      <c r="R11" s="11"/>
      <c r="S11" s="11">
        <v>10</v>
      </c>
      <c r="T11" s="11"/>
      <c r="U11" s="11">
        <v>10</v>
      </c>
      <c r="V11" s="11"/>
      <c r="W11" s="11"/>
      <c r="X11" s="23"/>
      <c r="Y11" s="23"/>
      <c r="Z11" s="23"/>
      <c r="AA11" s="23"/>
      <c r="AB11" s="23"/>
      <c r="AC11" s="11"/>
      <c r="AD11" s="11"/>
      <c r="AE11" s="11"/>
      <c r="AF11" s="11">
        <v>5</v>
      </c>
      <c r="AG11" s="24"/>
      <c r="AH11" s="24"/>
      <c r="AI11" s="24"/>
      <c r="AJ11" s="23"/>
      <c r="AK11" s="20">
        <f>SUM(F11:AJ11)</f>
        <v>65</v>
      </c>
      <c r="AL11" s="11"/>
      <c r="AM11" s="11"/>
      <c r="AN11" s="11"/>
      <c r="AO11" s="11"/>
      <c r="AP11" s="11"/>
      <c r="AQ11" s="15"/>
      <c r="AR11" s="9"/>
      <c r="AS11" s="12">
        <v>277</v>
      </c>
      <c r="AT11" s="13">
        <f>AS11*AK11</f>
        <v>18005</v>
      </c>
      <c r="AU11" s="14"/>
      <c r="AV11" s="14"/>
    </row>
    <row r="12" spans="1:48" ht="16.5" thickTop="1" x14ac:dyDescent="0.25">
      <c r="A12" s="11"/>
      <c r="B12" s="9"/>
      <c r="C12" s="9"/>
      <c r="D12" s="9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5"/>
      <c r="AR12" s="9"/>
      <c r="AS12" s="9"/>
      <c r="AT12" s="9"/>
      <c r="AU12" s="14"/>
      <c r="AV12" s="14"/>
    </row>
    <row r="13" spans="1:48" x14ac:dyDescent="0.25">
      <c r="A13" s="11"/>
      <c r="B13" s="9"/>
      <c r="C13" s="9"/>
      <c r="D13" s="9"/>
      <c r="E13" s="9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1"/>
      <c r="AO13" s="11"/>
      <c r="AP13" s="11"/>
      <c r="AQ13" s="9"/>
      <c r="AR13" s="9"/>
      <c r="AS13" s="21"/>
      <c r="AT13" s="25"/>
      <c r="AU13" s="14"/>
      <c r="AV13" s="14"/>
    </row>
    <row r="14" spans="1:48" ht="16.5" customHeight="1" thickBot="1" x14ac:dyDescent="0.3">
      <c r="A14" s="26"/>
      <c r="B14" s="47" t="s">
        <v>19</v>
      </c>
      <c r="C14" s="48"/>
      <c r="D14" s="48"/>
      <c r="E14" s="49"/>
      <c r="F14" s="27">
        <f t="shared" ref="F14:AT14" si="1">SUM(F11:F13)</f>
        <v>0</v>
      </c>
      <c r="G14" s="27">
        <f t="shared" si="1"/>
        <v>0</v>
      </c>
      <c r="H14" s="27">
        <f t="shared" si="1"/>
        <v>0</v>
      </c>
      <c r="I14" s="27">
        <f t="shared" si="1"/>
        <v>0</v>
      </c>
      <c r="J14" s="27">
        <f t="shared" si="1"/>
        <v>0</v>
      </c>
      <c r="K14" s="27">
        <f t="shared" si="1"/>
        <v>5</v>
      </c>
      <c r="L14" s="27">
        <f t="shared" si="1"/>
        <v>0</v>
      </c>
      <c r="M14" s="27">
        <f t="shared" si="1"/>
        <v>10</v>
      </c>
      <c r="N14" s="27">
        <f t="shared" si="1"/>
        <v>5</v>
      </c>
      <c r="O14" s="27">
        <f t="shared" si="1"/>
        <v>0</v>
      </c>
      <c r="P14" s="27">
        <f t="shared" si="1"/>
        <v>0</v>
      </c>
      <c r="Q14" s="27">
        <f t="shared" si="1"/>
        <v>20</v>
      </c>
      <c r="R14" s="27">
        <f t="shared" si="1"/>
        <v>0</v>
      </c>
      <c r="S14" s="27">
        <f t="shared" si="1"/>
        <v>10</v>
      </c>
      <c r="T14" s="27">
        <f t="shared" si="1"/>
        <v>0</v>
      </c>
      <c r="U14" s="27">
        <f t="shared" si="1"/>
        <v>10</v>
      </c>
      <c r="V14" s="27">
        <f t="shared" si="1"/>
        <v>0</v>
      </c>
      <c r="W14" s="27">
        <f t="shared" si="1"/>
        <v>0</v>
      </c>
      <c r="X14" s="27">
        <f t="shared" si="1"/>
        <v>0</v>
      </c>
      <c r="Y14" s="27">
        <f t="shared" si="1"/>
        <v>0</v>
      </c>
      <c r="Z14" s="27">
        <f t="shared" si="1"/>
        <v>0</v>
      </c>
      <c r="AA14" s="27">
        <f t="shared" si="1"/>
        <v>0</v>
      </c>
      <c r="AB14" s="27">
        <f t="shared" si="1"/>
        <v>0</v>
      </c>
      <c r="AC14" s="27">
        <f t="shared" si="1"/>
        <v>0</v>
      </c>
      <c r="AD14" s="27">
        <f t="shared" si="1"/>
        <v>0</v>
      </c>
      <c r="AE14" s="27">
        <f t="shared" si="1"/>
        <v>0</v>
      </c>
      <c r="AF14" s="27">
        <f t="shared" si="1"/>
        <v>5</v>
      </c>
      <c r="AG14" s="27">
        <f t="shared" si="1"/>
        <v>0</v>
      </c>
      <c r="AH14" s="27">
        <f t="shared" si="1"/>
        <v>0</v>
      </c>
      <c r="AI14" s="27">
        <f t="shared" si="1"/>
        <v>0</v>
      </c>
      <c r="AJ14" s="27">
        <f t="shared" si="1"/>
        <v>0</v>
      </c>
      <c r="AK14" s="27">
        <f t="shared" si="1"/>
        <v>65</v>
      </c>
      <c r="AL14" s="27">
        <f t="shared" si="1"/>
        <v>0</v>
      </c>
      <c r="AM14" s="27">
        <f t="shared" si="1"/>
        <v>0</v>
      </c>
      <c r="AN14" s="27">
        <f t="shared" si="1"/>
        <v>0</v>
      </c>
      <c r="AO14" s="27">
        <f t="shared" si="1"/>
        <v>0</v>
      </c>
      <c r="AP14" s="27">
        <f t="shared" si="1"/>
        <v>0</v>
      </c>
      <c r="AQ14" s="27">
        <f t="shared" si="1"/>
        <v>0</v>
      </c>
      <c r="AR14" s="27">
        <f t="shared" si="1"/>
        <v>0</v>
      </c>
      <c r="AS14" s="27">
        <f t="shared" si="1"/>
        <v>277</v>
      </c>
      <c r="AT14" s="28">
        <f t="shared" si="1"/>
        <v>18005</v>
      </c>
      <c r="AU14" s="14"/>
      <c r="AV14" s="14"/>
    </row>
    <row r="15" spans="1:48" ht="16.5" thickTop="1" x14ac:dyDescent="0.25">
      <c r="A15" s="29"/>
      <c r="B15" s="53"/>
      <c r="C15" s="54"/>
      <c r="D15" s="54"/>
      <c r="E15" s="55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</row>
    <row r="16" spans="1:48" x14ac:dyDescent="0.25">
      <c r="A16" s="29"/>
      <c r="B16" s="30" t="s">
        <v>21</v>
      </c>
      <c r="C16" s="31"/>
      <c r="D16" s="31"/>
      <c r="E16" s="31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</row>
    <row r="17" spans="1:48" x14ac:dyDescent="0.25">
      <c r="A17" s="29"/>
      <c r="B17" s="30" t="s">
        <v>22</v>
      </c>
      <c r="C17" s="31"/>
      <c r="D17" s="31"/>
      <c r="E17" s="31"/>
      <c r="F17" s="14"/>
      <c r="G17" s="14">
        <v>40</v>
      </c>
      <c r="H17" s="14">
        <v>80</v>
      </c>
      <c r="I17" s="14"/>
      <c r="J17" s="14"/>
      <c r="K17" s="14"/>
      <c r="L17" s="14"/>
      <c r="M17" s="14"/>
      <c r="N17" s="14"/>
      <c r="O17" s="14">
        <v>55</v>
      </c>
      <c r="P17" s="14"/>
      <c r="Q17" s="14"/>
      <c r="R17" s="14">
        <v>100</v>
      </c>
      <c r="S17" s="14"/>
      <c r="T17" s="14"/>
      <c r="U17" s="14"/>
      <c r="V17" s="14">
        <v>80</v>
      </c>
      <c r="W17" s="14"/>
      <c r="X17" s="14"/>
      <c r="Y17" s="14">
        <v>40</v>
      </c>
      <c r="Z17" s="14"/>
      <c r="AA17" s="14"/>
      <c r="AB17" s="14"/>
      <c r="AC17" s="14">
        <v>70</v>
      </c>
      <c r="AD17" s="14"/>
      <c r="AE17" s="14"/>
      <c r="AF17" s="14">
        <v>25</v>
      </c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</row>
    <row r="18" spans="1:48" x14ac:dyDescent="0.25">
      <c r="A18" s="29"/>
      <c r="B18" s="14" t="s">
        <v>23</v>
      </c>
      <c r="E18" s="14"/>
      <c r="F18" s="14">
        <f t="shared" ref="F18:AJ18" si="2">F9+F14</f>
        <v>0</v>
      </c>
      <c r="G18" s="14">
        <f t="shared" si="2"/>
        <v>0</v>
      </c>
      <c r="H18" s="14">
        <f t="shared" si="2"/>
        <v>25</v>
      </c>
      <c r="I18" s="14">
        <f t="shared" si="2"/>
        <v>15</v>
      </c>
      <c r="J18" s="14">
        <f t="shared" si="2"/>
        <v>5</v>
      </c>
      <c r="K18" s="14">
        <f t="shared" si="2"/>
        <v>30</v>
      </c>
      <c r="L18" s="14">
        <f t="shared" si="2"/>
        <v>25</v>
      </c>
      <c r="M18" s="14">
        <f t="shared" si="2"/>
        <v>15</v>
      </c>
      <c r="N18" s="14">
        <f t="shared" si="2"/>
        <v>30</v>
      </c>
      <c r="O18" s="14">
        <f t="shared" si="2"/>
        <v>15</v>
      </c>
      <c r="P18" s="14">
        <f t="shared" si="2"/>
        <v>15</v>
      </c>
      <c r="Q18" s="14">
        <f t="shared" si="2"/>
        <v>50</v>
      </c>
      <c r="R18" s="14">
        <f t="shared" si="2"/>
        <v>30</v>
      </c>
      <c r="S18" s="14">
        <f t="shared" si="2"/>
        <v>20</v>
      </c>
      <c r="T18" s="14">
        <f t="shared" si="2"/>
        <v>5</v>
      </c>
      <c r="U18" s="14">
        <f t="shared" si="2"/>
        <v>40</v>
      </c>
      <c r="V18" s="14">
        <f t="shared" si="2"/>
        <v>35</v>
      </c>
      <c r="W18" s="14">
        <f t="shared" si="2"/>
        <v>0</v>
      </c>
      <c r="X18" s="14">
        <f t="shared" si="2"/>
        <v>0</v>
      </c>
      <c r="Y18" s="14">
        <f t="shared" si="2"/>
        <v>0</v>
      </c>
      <c r="Z18" s="14">
        <f t="shared" si="2"/>
        <v>10</v>
      </c>
      <c r="AA18" s="14">
        <f t="shared" si="2"/>
        <v>30</v>
      </c>
      <c r="AB18" s="14">
        <f t="shared" si="2"/>
        <v>20</v>
      </c>
      <c r="AC18" s="14">
        <f t="shared" si="2"/>
        <v>10</v>
      </c>
      <c r="AD18" s="14">
        <f t="shared" si="2"/>
        <v>40</v>
      </c>
      <c r="AE18" s="14">
        <f t="shared" si="2"/>
        <v>15</v>
      </c>
      <c r="AF18" s="14">
        <f t="shared" si="2"/>
        <v>10</v>
      </c>
      <c r="AG18" s="14">
        <f t="shared" si="2"/>
        <v>0</v>
      </c>
      <c r="AH18" s="14">
        <f t="shared" si="2"/>
        <v>0</v>
      </c>
      <c r="AI18" s="14">
        <f t="shared" si="2"/>
        <v>0</v>
      </c>
      <c r="AJ18" s="14">
        <f t="shared" si="2"/>
        <v>0</v>
      </c>
      <c r="AK18" s="14"/>
      <c r="AL18" s="14"/>
      <c r="AM18" s="14"/>
      <c r="AN18" s="14"/>
      <c r="AO18" s="14"/>
      <c r="AP18" s="14"/>
      <c r="AQ18" s="14"/>
      <c r="AR18" s="14"/>
      <c r="AS18" s="14"/>
      <c r="AT18" s="39">
        <f>AT9+AT14</f>
        <v>135730</v>
      </c>
      <c r="AU18" s="14" t="s">
        <v>2</v>
      </c>
      <c r="AV18" s="14" t="s">
        <v>2</v>
      </c>
    </row>
    <row r="19" spans="1:48" x14ac:dyDescent="0.25">
      <c r="A19" s="29"/>
      <c r="B19" s="14" t="s">
        <v>24</v>
      </c>
      <c r="E19" s="14"/>
      <c r="F19" s="14">
        <f>(F16+F17)-F18</f>
        <v>0</v>
      </c>
      <c r="G19" s="14">
        <f>(F19+G16+G17)-G18</f>
        <v>40</v>
      </c>
      <c r="H19" s="14">
        <f t="shared" ref="H19:AJ19" si="3">(G19+H16+H17)-H18</f>
        <v>95</v>
      </c>
      <c r="I19" s="14">
        <f t="shared" si="3"/>
        <v>80</v>
      </c>
      <c r="J19" s="14">
        <f t="shared" si="3"/>
        <v>75</v>
      </c>
      <c r="K19" s="14">
        <f t="shared" si="3"/>
        <v>45</v>
      </c>
      <c r="L19" s="14">
        <f t="shared" si="3"/>
        <v>20</v>
      </c>
      <c r="M19" s="14">
        <f t="shared" si="3"/>
        <v>5</v>
      </c>
      <c r="N19" s="14">
        <f t="shared" si="3"/>
        <v>-25</v>
      </c>
      <c r="O19" s="14">
        <f t="shared" si="3"/>
        <v>15</v>
      </c>
      <c r="P19" s="14">
        <f t="shared" si="3"/>
        <v>0</v>
      </c>
      <c r="Q19" s="14">
        <f t="shared" si="3"/>
        <v>-50</v>
      </c>
      <c r="R19" s="14">
        <f t="shared" si="3"/>
        <v>20</v>
      </c>
      <c r="S19" s="14">
        <f t="shared" si="3"/>
        <v>0</v>
      </c>
      <c r="T19" s="14">
        <f t="shared" si="3"/>
        <v>-5</v>
      </c>
      <c r="U19" s="14">
        <f t="shared" si="3"/>
        <v>-45</v>
      </c>
      <c r="V19" s="14">
        <f t="shared" si="3"/>
        <v>0</v>
      </c>
      <c r="W19" s="14">
        <f t="shared" si="3"/>
        <v>0</v>
      </c>
      <c r="X19" s="14">
        <f t="shared" si="3"/>
        <v>0</v>
      </c>
      <c r="Y19" s="14">
        <f t="shared" si="3"/>
        <v>40</v>
      </c>
      <c r="Z19" s="14">
        <f t="shared" si="3"/>
        <v>30</v>
      </c>
      <c r="AA19" s="14">
        <f t="shared" si="3"/>
        <v>0</v>
      </c>
      <c r="AB19" s="14">
        <f t="shared" si="3"/>
        <v>-20</v>
      </c>
      <c r="AC19" s="14">
        <f t="shared" si="3"/>
        <v>40</v>
      </c>
      <c r="AD19" s="14">
        <f t="shared" si="3"/>
        <v>0</v>
      </c>
      <c r="AE19" s="14">
        <f t="shared" si="3"/>
        <v>-15</v>
      </c>
      <c r="AF19" s="14">
        <f t="shared" si="3"/>
        <v>0</v>
      </c>
      <c r="AG19" s="14">
        <f t="shared" si="3"/>
        <v>0</v>
      </c>
      <c r="AH19" s="14">
        <f t="shared" si="3"/>
        <v>0</v>
      </c>
      <c r="AI19" s="14">
        <f t="shared" si="3"/>
        <v>0</v>
      </c>
      <c r="AJ19" s="14">
        <f t="shared" si="3"/>
        <v>0</v>
      </c>
      <c r="AK19" s="14"/>
      <c r="AL19" s="14"/>
      <c r="AM19" s="29"/>
      <c r="AN19" s="29"/>
      <c r="AO19" s="29"/>
      <c r="AP19" s="29"/>
      <c r="AQ19" s="14"/>
      <c r="AR19" s="14"/>
      <c r="AS19" s="32"/>
      <c r="AT19" s="14"/>
      <c r="AU19" s="14"/>
      <c r="AV19" s="14"/>
    </row>
    <row r="20" spans="1:48" x14ac:dyDescent="0.25">
      <c r="A20" s="29"/>
      <c r="B20" s="14" t="s">
        <v>2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29"/>
      <c r="AL20" s="29"/>
      <c r="AM20" s="29"/>
      <c r="AN20" s="29"/>
      <c r="AO20" s="29"/>
      <c r="AP20" s="29"/>
      <c r="AQ20" s="14"/>
      <c r="AR20" s="14"/>
      <c r="AS20" s="32"/>
      <c r="AT20" s="14"/>
      <c r="AU20" s="14"/>
      <c r="AV20" s="14"/>
    </row>
    <row r="21" spans="1:48" ht="16.5" thickBot="1" x14ac:dyDescent="0.3">
      <c r="A21" s="29"/>
      <c r="B21" s="14" t="s">
        <v>25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2"/>
      <c r="AL21" s="2"/>
      <c r="AM21" s="2"/>
      <c r="AN21" s="2"/>
      <c r="AO21" s="29"/>
      <c r="AP21" s="29"/>
      <c r="AQ21" s="2" t="s">
        <v>26</v>
      </c>
      <c r="AR21" s="29"/>
      <c r="AS21" s="29"/>
      <c r="AT21" s="40">
        <f>F16*277</f>
        <v>0</v>
      </c>
      <c r="AU21" s="14"/>
      <c r="AV21" s="14"/>
    </row>
    <row r="22" spans="1:48" ht="16.5" thickTop="1" x14ac:dyDescent="0.25">
      <c r="A22" s="29"/>
      <c r="B22" s="14" t="s">
        <v>27</v>
      </c>
      <c r="C22" s="14"/>
      <c r="D22" s="14"/>
      <c r="E22" s="14">
        <f>SUM(F17:AJ17)</f>
        <v>490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2"/>
      <c r="AL22" s="2"/>
      <c r="AM22" s="2"/>
      <c r="AN22" s="30"/>
      <c r="AO22" s="29"/>
      <c r="AP22" s="29"/>
      <c r="AQ22" s="2" t="s">
        <v>28</v>
      </c>
      <c r="AR22" s="29"/>
      <c r="AS22" s="29"/>
      <c r="AT22" s="37">
        <f>AT18-AT21</f>
        <v>135730</v>
      </c>
      <c r="AU22" s="14"/>
      <c r="AV22" s="14"/>
    </row>
    <row r="23" spans="1:48" x14ac:dyDescent="0.25">
      <c r="A23" s="29"/>
      <c r="B23" s="14" t="s">
        <v>29</v>
      </c>
      <c r="C23" s="14"/>
      <c r="D23" s="14"/>
      <c r="E23" s="14">
        <f>AK14+AK9</f>
        <v>490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29"/>
      <c r="AL23" s="29"/>
      <c r="AM23" s="29"/>
      <c r="AN23" s="29"/>
      <c r="AO23" s="29"/>
      <c r="AP23" s="29"/>
      <c r="AQ23" s="14"/>
      <c r="AR23" s="14"/>
      <c r="AS23" s="32"/>
      <c r="AT23" s="14"/>
      <c r="AU23" s="14"/>
      <c r="AV23" s="14"/>
    </row>
    <row r="24" spans="1:48" ht="16.5" thickBot="1" x14ac:dyDescent="0.3">
      <c r="A24" s="29"/>
      <c r="B24" s="14" t="s">
        <v>30</v>
      </c>
      <c r="C24" s="14"/>
      <c r="D24" s="14"/>
      <c r="E24" s="33">
        <f>E21+E22-E23</f>
        <v>0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29"/>
      <c r="AL24" s="29"/>
      <c r="AM24" s="29"/>
      <c r="AN24" s="29"/>
      <c r="AO24" s="29"/>
      <c r="AP24" s="29"/>
      <c r="AQ24" s="14"/>
      <c r="AR24" s="14"/>
      <c r="AS24" s="32"/>
      <c r="AT24" s="14"/>
      <c r="AU24" s="14"/>
      <c r="AV24" s="14"/>
    </row>
    <row r="25" spans="1:48" ht="16.5" thickTop="1" x14ac:dyDescent="0.25">
      <c r="A25" s="29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29"/>
      <c r="AL25" s="29"/>
      <c r="AM25" s="29"/>
      <c r="AN25" s="29"/>
      <c r="AO25" s="29"/>
      <c r="AP25" s="29"/>
      <c r="AQ25" s="14"/>
      <c r="AR25" s="14"/>
      <c r="AS25" s="32"/>
      <c r="AT25" s="14"/>
      <c r="AU25" s="14"/>
      <c r="AV25" s="14"/>
    </row>
    <row r="26" spans="1:48" x14ac:dyDescent="0.25">
      <c r="A26" s="34"/>
      <c r="C26" s="14"/>
      <c r="D26" s="14"/>
      <c r="E26" s="35"/>
      <c r="K26" s="14"/>
      <c r="M26" s="36"/>
      <c r="N26" s="14"/>
      <c r="P26" s="14"/>
      <c r="Q26" s="14"/>
      <c r="R26" s="14"/>
      <c r="U26" s="36"/>
      <c r="V26" s="14"/>
      <c r="W26" s="14"/>
      <c r="X26" s="14"/>
      <c r="Y26" s="14"/>
      <c r="Z26" s="14"/>
      <c r="AA26" s="14"/>
      <c r="AB26" s="36"/>
      <c r="AC26" s="14"/>
      <c r="AD26" s="14"/>
      <c r="AE26" s="14"/>
      <c r="AF26" s="14"/>
      <c r="AG26" s="14"/>
      <c r="AH26" s="36"/>
      <c r="AI26" s="14"/>
      <c r="AJ26" s="14"/>
      <c r="AK26" s="14"/>
      <c r="AL26" s="29"/>
      <c r="AM26" s="29"/>
      <c r="AN26" s="29"/>
      <c r="AO26" s="29"/>
      <c r="AP26" s="29"/>
      <c r="AQ26" s="14"/>
      <c r="AR26" s="14"/>
      <c r="AS26" s="32"/>
      <c r="AT26" s="14"/>
      <c r="AU26" s="14"/>
      <c r="AV26" s="14"/>
    </row>
    <row r="27" spans="1:48" x14ac:dyDescent="0.25">
      <c r="A27" s="14"/>
      <c r="C27" s="14"/>
      <c r="D27" s="14"/>
      <c r="E27" s="35"/>
      <c r="K27" s="14"/>
      <c r="M27" s="36"/>
      <c r="N27" s="14"/>
      <c r="P27" s="14"/>
      <c r="Q27" s="14"/>
      <c r="R27" s="14"/>
      <c r="U27" s="36"/>
      <c r="V27" s="14"/>
      <c r="W27" s="14"/>
      <c r="X27" s="14"/>
      <c r="Y27" s="14"/>
      <c r="Z27" s="14"/>
      <c r="AA27" s="14"/>
      <c r="AB27" s="36"/>
      <c r="AC27" s="14"/>
      <c r="AD27" s="14"/>
      <c r="AE27" s="14"/>
      <c r="AF27" s="14"/>
      <c r="AG27" s="14"/>
      <c r="AH27" s="36"/>
      <c r="AI27" s="14"/>
      <c r="AJ27" s="14"/>
      <c r="AK27" s="14"/>
      <c r="AL27" s="29"/>
      <c r="AM27" s="29"/>
      <c r="AN27" s="29"/>
      <c r="AO27" s="29"/>
      <c r="AP27" s="29"/>
      <c r="AQ27" s="14"/>
      <c r="AR27" s="14"/>
      <c r="AS27" s="32"/>
      <c r="AT27" s="14"/>
      <c r="AU27" s="14"/>
      <c r="AV27" s="14"/>
    </row>
    <row r="28" spans="1:48" x14ac:dyDescent="0.25">
      <c r="A28" s="14"/>
      <c r="C28" s="14"/>
      <c r="D28" s="14"/>
      <c r="E28" s="35"/>
      <c r="K28" s="14"/>
      <c r="M28" s="36"/>
      <c r="N28" s="14"/>
      <c r="P28" s="14"/>
      <c r="Q28" s="14"/>
      <c r="R28" s="14"/>
      <c r="U28" s="36"/>
      <c r="V28" s="14"/>
      <c r="W28" s="14"/>
      <c r="X28" s="14"/>
      <c r="Y28" s="14"/>
      <c r="Z28" s="14"/>
      <c r="AA28" s="14"/>
      <c r="AB28" s="36"/>
      <c r="AC28" s="14"/>
      <c r="AD28" s="14"/>
      <c r="AE28" s="14"/>
      <c r="AF28" s="14"/>
      <c r="AG28" s="14"/>
      <c r="AH28" s="36"/>
      <c r="AI28" s="14"/>
      <c r="AJ28" s="14"/>
      <c r="AK28" s="14"/>
      <c r="AL28" s="29"/>
      <c r="AM28" s="29"/>
      <c r="AN28" s="29"/>
      <c r="AO28" s="29"/>
      <c r="AP28" s="29"/>
      <c r="AQ28" s="14"/>
      <c r="AR28" s="14"/>
      <c r="AS28" s="32"/>
      <c r="AT28" s="14"/>
      <c r="AU28" s="14"/>
      <c r="AV28" s="14"/>
    </row>
    <row r="29" spans="1:48" x14ac:dyDescent="0.25">
      <c r="A29" s="14"/>
      <c r="C29" s="14"/>
      <c r="D29" s="14"/>
      <c r="E29" s="35"/>
      <c r="K29" s="14"/>
      <c r="M29" s="36"/>
      <c r="N29" s="14"/>
      <c r="P29" s="14"/>
      <c r="Q29" s="14"/>
      <c r="R29" s="14"/>
      <c r="U29" s="36"/>
      <c r="V29" s="14"/>
      <c r="W29" s="14"/>
      <c r="X29" s="14"/>
      <c r="Y29" s="14"/>
      <c r="Z29" s="14"/>
      <c r="AA29" s="14"/>
      <c r="AB29" s="36"/>
      <c r="AC29" s="14"/>
      <c r="AD29" s="14"/>
      <c r="AE29" s="14"/>
      <c r="AF29" s="14"/>
      <c r="AG29" s="14"/>
      <c r="AH29" s="36"/>
      <c r="AI29" s="14"/>
      <c r="AJ29" s="14"/>
      <c r="AK29" s="14"/>
      <c r="AL29" s="29"/>
      <c r="AM29" s="29"/>
      <c r="AN29" s="29"/>
      <c r="AO29" s="29"/>
      <c r="AP29" s="29"/>
      <c r="AQ29" s="14"/>
      <c r="AR29" s="14"/>
      <c r="AS29" s="32"/>
      <c r="AT29" s="14"/>
      <c r="AU29" s="14"/>
      <c r="AV29" s="14"/>
    </row>
    <row r="30" spans="1:48" x14ac:dyDescent="0.25">
      <c r="A30" s="1" t="s">
        <v>0</v>
      </c>
      <c r="E30" s="3" t="s">
        <v>1</v>
      </c>
      <c r="R30" s="3"/>
    </row>
    <row r="31" spans="1:48" x14ac:dyDescent="0.25">
      <c r="A31" s="1" t="s">
        <v>32</v>
      </c>
      <c r="E31" s="3" t="s">
        <v>47</v>
      </c>
      <c r="R31" s="3" t="s">
        <v>2</v>
      </c>
    </row>
    <row r="32" spans="1:48" ht="25.5" customHeight="1" x14ac:dyDescent="0.25">
      <c r="A32" s="43" t="s">
        <v>3</v>
      </c>
      <c r="B32" s="43" t="s">
        <v>4</v>
      </c>
      <c r="C32" s="43" t="s">
        <v>5</v>
      </c>
      <c r="D32" s="43" t="s">
        <v>6</v>
      </c>
      <c r="E32" s="43" t="s">
        <v>7</v>
      </c>
      <c r="F32" s="50" t="s">
        <v>8</v>
      </c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2"/>
      <c r="AK32" s="43" t="s">
        <v>9</v>
      </c>
      <c r="AL32" s="43" t="s">
        <v>10</v>
      </c>
      <c r="AM32" s="43" t="s">
        <v>11</v>
      </c>
      <c r="AN32" s="43" t="s">
        <v>12</v>
      </c>
      <c r="AO32" s="43" t="s">
        <v>13</v>
      </c>
      <c r="AP32" s="43" t="s">
        <v>14</v>
      </c>
      <c r="AQ32" s="43" t="s">
        <v>15</v>
      </c>
      <c r="AR32" s="43" t="s">
        <v>16</v>
      </c>
      <c r="AS32" s="45" t="s">
        <v>17</v>
      </c>
      <c r="AT32" s="43" t="s">
        <v>18</v>
      </c>
    </row>
    <row r="33" spans="1:46" ht="42.75" customHeight="1" x14ac:dyDescent="0.25">
      <c r="A33" s="44"/>
      <c r="B33" s="44"/>
      <c r="C33" s="44"/>
      <c r="D33" s="44"/>
      <c r="E33" s="44"/>
      <c r="F33" s="6">
        <v>1</v>
      </c>
      <c r="G33" s="6">
        <v>2</v>
      </c>
      <c r="H33" s="6">
        <v>3</v>
      </c>
      <c r="I33" s="6">
        <v>4</v>
      </c>
      <c r="J33" s="6">
        <v>5</v>
      </c>
      <c r="K33" s="6">
        <v>6</v>
      </c>
      <c r="L33" s="6">
        <v>7</v>
      </c>
      <c r="M33" s="6">
        <v>8</v>
      </c>
      <c r="N33" s="6">
        <v>9</v>
      </c>
      <c r="O33" s="6">
        <v>10</v>
      </c>
      <c r="P33" s="6">
        <v>11</v>
      </c>
      <c r="Q33" s="6">
        <v>12</v>
      </c>
      <c r="R33" s="6">
        <v>13</v>
      </c>
      <c r="S33" s="6">
        <v>14</v>
      </c>
      <c r="T33" s="6">
        <v>15</v>
      </c>
      <c r="U33" s="6">
        <v>16</v>
      </c>
      <c r="V33" s="6">
        <v>17</v>
      </c>
      <c r="W33" s="6">
        <v>18</v>
      </c>
      <c r="X33" s="6">
        <v>19</v>
      </c>
      <c r="Y33" s="6">
        <v>20</v>
      </c>
      <c r="Z33" s="6">
        <v>21</v>
      </c>
      <c r="AA33" s="6">
        <v>22</v>
      </c>
      <c r="AB33" s="6">
        <v>23</v>
      </c>
      <c r="AC33" s="6">
        <v>24</v>
      </c>
      <c r="AD33" s="6">
        <v>25</v>
      </c>
      <c r="AE33" s="6">
        <v>26</v>
      </c>
      <c r="AF33" s="6">
        <v>27</v>
      </c>
      <c r="AG33" s="6">
        <v>28</v>
      </c>
      <c r="AH33" s="6">
        <v>29</v>
      </c>
      <c r="AI33" s="6">
        <v>30</v>
      </c>
      <c r="AJ33" s="6">
        <v>31</v>
      </c>
      <c r="AK33" s="44"/>
      <c r="AL33" s="44"/>
      <c r="AM33" s="44"/>
      <c r="AN33" s="44"/>
      <c r="AO33" s="44"/>
      <c r="AP33" s="44"/>
      <c r="AQ33" s="44"/>
      <c r="AR33" s="44"/>
      <c r="AS33" s="46"/>
      <c r="AT33" s="44"/>
    </row>
    <row r="34" spans="1:46" ht="16.5" thickBot="1" x14ac:dyDescent="0.3">
      <c r="A34" s="8">
        <v>1</v>
      </c>
      <c r="B34" s="9" t="s">
        <v>42</v>
      </c>
      <c r="C34" s="9" t="s">
        <v>45</v>
      </c>
      <c r="D34" s="9" t="s">
        <v>46</v>
      </c>
      <c r="E34" s="9" t="s">
        <v>44</v>
      </c>
      <c r="F34" s="11"/>
      <c r="G34" s="11"/>
      <c r="H34" s="11"/>
      <c r="I34" s="11"/>
      <c r="J34" s="11"/>
      <c r="K34" s="11"/>
      <c r="L34" s="11"/>
      <c r="M34" s="11"/>
      <c r="N34" s="11">
        <v>1.7</v>
      </c>
      <c r="O34" s="11">
        <v>1.7</v>
      </c>
      <c r="P34" s="11">
        <v>1.7</v>
      </c>
      <c r="Q34" s="11">
        <v>5.0999999999999996</v>
      </c>
      <c r="R34" s="11"/>
      <c r="S34" s="11"/>
      <c r="T34" s="11"/>
      <c r="U34" s="11">
        <v>1.7</v>
      </c>
      <c r="V34" s="11"/>
      <c r="W34" s="11"/>
      <c r="X34" s="11"/>
      <c r="Y34" s="11">
        <v>3.4</v>
      </c>
      <c r="Z34" s="11"/>
      <c r="AA34" s="11">
        <v>1.7</v>
      </c>
      <c r="AB34" s="11">
        <v>1.7</v>
      </c>
      <c r="AC34" s="11">
        <v>3.4</v>
      </c>
      <c r="AD34" s="11"/>
      <c r="AE34" s="11">
        <v>1.7</v>
      </c>
      <c r="AF34" s="11"/>
      <c r="AG34" s="11">
        <v>1.7</v>
      </c>
      <c r="AH34" s="11"/>
      <c r="AI34" s="11"/>
      <c r="AJ34" s="11"/>
      <c r="AK34" s="20">
        <f>SUM(F34:AJ34)</f>
        <v>25.499999999999996</v>
      </c>
      <c r="AL34" s="11"/>
      <c r="AM34" s="8"/>
      <c r="AN34" s="8"/>
      <c r="AO34" s="8"/>
      <c r="AP34" s="8"/>
      <c r="AQ34" s="38"/>
      <c r="AR34" s="10"/>
      <c r="AS34" s="12">
        <v>292</v>
      </c>
      <c r="AT34" s="13">
        <f>AS34*AK34</f>
        <v>7445.9999999999991</v>
      </c>
    </row>
    <row r="35" spans="1:46" ht="16.5" thickTop="1" x14ac:dyDescent="0.25">
      <c r="A35" s="11"/>
      <c r="B35" s="9"/>
      <c r="C35" s="9"/>
      <c r="D35" s="9"/>
      <c r="E35" s="9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5"/>
      <c r="AR35" s="9"/>
      <c r="AS35" s="12"/>
      <c r="AT35" s="13">
        <f>AS35*AK35</f>
        <v>0</v>
      </c>
    </row>
    <row r="36" spans="1:46" x14ac:dyDescent="0.25">
      <c r="A36" s="11"/>
      <c r="B36" s="9"/>
      <c r="C36" s="17"/>
      <c r="D36" s="9"/>
      <c r="E36" s="9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5"/>
      <c r="AR36" s="9"/>
      <c r="AS36" s="9"/>
      <c r="AT36" s="16"/>
    </row>
    <row r="37" spans="1:46" x14ac:dyDescent="0.25">
      <c r="A37" s="11"/>
      <c r="B37" s="9"/>
      <c r="C37" s="9"/>
      <c r="D37" s="9"/>
      <c r="E37" s="9"/>
      <c r="F37" s="11"/>
      <c r="G37" s="11"/>
      <c r="H37" s="11"/>
      <c r="I37" s="11"/>
      <c r="J37" s="11"/>
      <c r="K37" s="11"/>
      <c r="L37" s="11"/>
      <c r="M37" s="11"/>
      <c r="N37" s="18"/>
      <c r="O37" s="18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8"/>
      <c r="AL37" s="11"/>
      <c r="AM37" s="18"/>
      <c r="AN37" s="11"/>
      <c r="AO37" s="11"/>
      <c r="AP37" s="11"/>
      <c r="AQ37" s="15"/>
      <c r="AR37" s="9"/>
      <c r="AS37" s="9"/>
      <c r="AT37" s="19"/>
    </row>
    <row r="38" spans="1:46" ht="16.5" customHeight="1" thickBot="1" x14ac:dyDescent="0.3">
      <c r="A38" s="11"/>
      <c r="B38" s="47" t="s">
        <v>19</v>
      </c>
      <c r="C38" s="48"/>
      <c r="D38" s="48"/>
      <c r="E38" s="49"/>
      <c r="F38" s="20">
        <f t="shared" ref="F38:AM38" si="4">SUM(F34:F37)</f>
        <v>0</v>
      </c>
      <c r="G38" s="20">
        <f t="shared" si="4"/>
        <v>0</v>
      </c>
      <c r="H38" s="20">
        <f t="shared" si="4"/>
        <v>0</v>
      </c>
      <c r="I38" s="20">
        <f t="shared" si="4"/>
        <v>0</v>
      </c>
      <c r="J38" s="20">
        <f t="shared" si="4"/>
        <v>0</v>
      </c>
      <c r="K38" s="20">
        <f t="shared" si="4"/>
        <v>0</v>
      </c>
      <c r="L38" s="20">
        <f t="shared" si="4"/>
        <v>0</v>
      </c>
      <c r="M38" s="20">
        <f t="shared" si="4"/>
        <v>0</v>
      </c>
      <c r="N38" s="20">
        <f t="shared" si="4"/>
        <v>1.7</v>
      </c>
      <c r="O38" s="20">
        <f t="shared" si="4"/>
        <v>1.7</v>
      </c>
      <c r="P38" s="20">
        <f t="shared" si="4"/>
        <v>1.7</v>
      </c>
      <c r="Q38" s="20">
        <f t="shared" si="4"/>
        <v>5.0999999999999996</v>
      </c>
      <c r="R38" s="20">
        <f t="shared" si="4"/>
        <v>0</v>
      </c>
      <c r="S38" s="20">
        <f t="shared" si="4"/>
        <v>0</v>
      </c>
      <c r="T38" s="20">
        <f t="shared" si="4"/>
        <v>0</v>
      </c>
      <c r="U38" s="20">
        <f t="shared" si="4"/>
        <v>1.7</v>
      </c>
      <c r="V38" s="20">
        <f t="shared" si="4"/>
        <v>0</v>
      </c>
      <c r="W38" s="20">
        <f t="shared" si="4"/>
        <v>0</v>
      </c>
      <c r="X38" s="20">
        <f t="shared" si="4"/>
        <v>0</v>
      </c>
      <c r="Y38" s="20">
        <f t="shared" si="4"/>
        <v>3.4</v>
      </c>
      <c r="Z38" s="20">
        <f t="shared" si="4"/>
        <v>0</v>
      </c>
      <c r="AA38" s="20">
        <f t="shared" si="4"/>
        <v>1.7</v>
      </c>
      <c r="AB38" s="20">
        <f t="shared" si="4"/>
        <v>1.7</v>
      </c>
      <c r="AC38" s="20">
        <f t="shared" si="4"/>
        <v>3.4</v>
      </c>
      <c r="AD38" s="20">
        <f t="shared" si="4"/>
        <v>0</v>
      </c>
      <c r="AE38" s="20">
        <f t="shared" si="4"/>
        <v>1.7</v>
      </c>
      <c r="AF38" s="20">
        <f t="shared" si="4"/>
        <v>0</v>
      </c>
      <c r="AG38" s="20">
        <f t="shared" si="4"/>
        <v>1.7</v>
      </c>
      <c r="AH38" s="20">
        <f t="shared" si="4"/>
        <v>0</v>
      </c>
      <c r="AI38" s="20">
        <f t="shared" si="4"/>
        <v>0</v>
      </c>
      <c r="AJ38" s="20">
        <f t="shared" si="4"/>
        <v>0</v>
      </c>
      <c r="AK38" s="20">
        <f t="shared" si="4"/>
        <v>25.499999999999996</v>
      </c>
      <c r="AL38" s="20">
        <f t="shared" si="4"/>
        <v>0</v>
      </c>
      <c r="AM38" s="20">
        <f t="shared" si="4"/>
        <v>0</v>
      </c>
      <c r="AN38" s="22"/>
      <c r="AO38" s="22"/>
      <c r="AP38" s="22"/>
      <c r="AQ38" s="22"/>
      <c r="AR38" s="22"/>
      <c r="AS38" s="22">
        <f>SUM(AS34:AS37)</f>
        <v>292</v>
      </c>
      <c r="AT38" s="22">
        <f>SUM(AT34:AT37)</f>
        <v>7445.9999999999991</v>
      </c>
    </row>
    <row r="39" spans="1:46" ht="16.5" thickTop="1" x14ac:dyDescent="0.25">
      <c r="A39" s="11"/>
      <c r="B39" s="9"/>
      <c r="C39" s="9"/>
      <c r="D39" s="9"/>
      <c r="E39" s="9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11"/>
      <c r="AL39" s="23"/>
      <c r="AM39" s="23"/>
      <c r="AN39" s="11"/>
      <c r="AO39" s="11"/>
      <c r="AP39" s="11"/>
      <c r="AQ39" s="15"/>
      <c r="AR39" s="9"/>
      <c r="AS39" s="9"/>
      <c r="AT39" s="9"/>
    </row>
    <row r="40" spans="1:46" x14ac:dyDescent="0.25">
      <c r="A40" s="29"/>
      <c r="B40" s="30" t="s">
        <v>21</v>
      </c>
      <c r="C40" s="31"/>
      <c r="D40" s="31"/>
      <c r="E40" s="31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</row>
    <row r="41" spans="1:46" x14ac:dyDescent="0.25">
      <c r="A41" s="29"/>
      <c r="B41" s="30" t="s">
        <v>22</v>
      </c>
      <c r="C41" s="31"/>
      <c r="D41" s="31"/>
      <c r="E41" s="31"/>
      <c r="F41" s="14"/>
      <c r="G41" s="14"/>
      <c r="H41" s="14"/>
      <c r="I41" s="14"/>
      <c r="J41" s="14"/>
      <c r="K41" s="14"/>
      <c r="L41" s="14"/>
      <c r="M41" s="14"/>
      <c r="N41" s="14"/>
      <c r="O41" s="14">
        <v>5.0999999999999996</v>
      </c>
      <c r="P41" s="14"/>
      <c r="Q41" s="14"/>
      <c r="R41" s="14">
        <v>5.0999999999999996</v>
      </c>
      <c r="S41" s="14"/>
      <c r="T41" s="14"/>
      <c r="U41" s="14"/>
      <c r="V41" s="14">
        <v>1.7</v>
      </c>
      <c r="W41" s="14"/>
      <c r="X41" s="14"/>
      <c r="Y41" s="14">
        <v>5.0999999999999996</v>
      </c>
      <c r="Z41" s="14"/>
      <c r="AA41" s="14"/>
      <c r="AB41" s="14"/>
      <c r="AC41" s="14">
        <v>5.0999999999999996</v>
      </c>
      <c r="AD41" s="14"/>
      <c r="AE41" s="14"/>
      <c r="AF41" s="14">
        <v>3.4</v>
      </c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</row>
    <row r="42" spans="1:46" x14ac:dyDescent="0.25">
      <c r="A42" s="29"/>
      <c r="B42" s="14" t="s">
        <v>23</v>
      </c>
      <c r="E42" s="14"/>
      <c r="F42" s="14">
        <f>F38</f>
        <v>0</v>
      </c>
      <c r="G42" s="14">
        <f t="shared" ref="G42:AJ42" si="5">G38</f>
        <v>0</v>
      </c>
      <c r="H42" s="14">
        <f t="shared" si="5"/>
        <v>0</v>
      </c>
      <c r="I42" s="14">
        <f t="shared" si="5"/>
        <v>0</v>
      </c>
      <c r="J42" s="14"/>
      <c r="K42" s="14">
        <f t="shared" si="5"/>
        <v>0</v>
      </c>
      <c r="L42" s="14">
        <f t="shared" si="5"/>
        <v>0</v>
      </c>
      <c r="M42" s="14">
        <f t="shared" si="5"/>
        <v>0</v>
      </c>
      <c r="N42" s="14">
        <f t="shared" si="5"/>
        <v>1.7</v>
      </c>
      <c r="O42" s="14">
        <f t="shared" si="5"/>
        <v>1.7</v>
      </c>
      <c r="P42" s="14">
        <f t="shared" si="5"/>
        <v>1.7</v>
      </c>
      <c r="Q42" s="14">
        <f t="shared" si="5"/>
        <v>5.0999999999999996</v>
      </c>
      <c r="R42" s="14">
        <f t="shared" si="5"/>
        <v>0</v>
      </c>
      <c r="S42" s="14">
        <f t="shared" si="5"/>
        <v>0</v>
      </c>
      <c r="T42" s="14">
        <f t="shared" si="5"/>
        <v>0</v>
      </c>
      <c r="U42" s="14">
        <f t="shared" si="5"/>
        <v>1.7</v>
      </c>
      <c r="V42" s="14">
        <f t="shared" si="5"/>
        <v>0</v>
      </c>
      <c r="W42" s="14">
        <f t="shared" si="5"/>
        <v>0</v>
      </c>
      <c r="X42" s="14">
        <f t="shared" si="5"/>
        <v>0</v>
      </c>
      <c r="Y42" s="14">
        <f t="shared" si="5"/>
        <v>3.4</v>
      </c>
      <c r="Z42" s="14">
        <f t="shared" si="5"/>
        <v>0</v>
      </c>
      <c r="AA42" s="14">
        <f t="shared" si="5"/>
        <v>1.7</v>
      </c>
      <c r="AB42" s="14">
        <f t="shared" si="5"/>
        <v>1.7</v>
      </c>
      <c r="AC42" s="14">
        <f t="shared" si="5"/>
        <v>3.4</v>
      </c>
      <c r="AD42" s="14">
        <f t="shared" si="5"/>
        <v>0</v>
      </c>
      <c r="AE42" s="14">
        <f t="shared" si="5"/>
        <v>1.7</v>
      </c>
      <c r="AF42" s="14">
        <f t="shared" si="5"/>
        <v>0</v>
      </c>
      <c r="AG42" s="14">
        <f t="shared" si="5"/>
        <v>1.7</v>
      </c>
      <c r="AH42" s="14">
        <f t="shared" si="5"/>
        <v>0</v>
      </c>
      <c r="AI42" s="14">
        <f t="shared" si="5"/>
        <v>0</v>
      </c>
      <c r="AJ42" s="14">
        <f t="shared" si="5"/>
        <v>0</v>
      </c>
      <c r="AK42" s="14"/>
      <c r="AL42" s="14"/>
      <c r="AM42" s="14"/>
      <c r="AN42" s="14"/>
      <c r="AO42" s="14"/>
      <c r="AP42" s="14"/>
      <c r="AQ42" s="14"/>
      <c r="AR42" s="14"/>
      <c r="AS42" s="14"/>
      <c r="AT42" s="14"/>
    </row>
    <row r="43" spans="1:46" x14ac:dyDescent="0.25">
      <c r="A43" s="29"/>
      <c r="B43" s="14" t="s">
        <v>24</v>
      </c>
      <c r="E43" s="14"/>
      <c r="F43" s="14">
        <f>(F40+F41)-F42</f>
        <v>0</v>
      </c>
      <c r="G43" s="14">
        <f>(F43+G40+G41)-G42</f>
        <v>0</v>
      </c>
      <c r="H43" s="14">
        <f t="shared" ref="H43:AJ43" si="6">(G43+H40+H41)-H42</f>
        <v>0</v>
      </c>
      <c r="I43" s="14">
        <f t="shared" si="6"/>
        <v>0</v>
      </c>
      <c r="J43" s="14">
        <f t="shared" si="6"/>
        <v>0</v>
      </c>
      <c r="K43" s="14">
        <f t="shared" si="6"/>
        <v>0</v>
      </c>
      <c r="L43" s="14">
        <f t="shared" si="6"/>
        <v>0</v>
      </c>
      <c r="M43" s="14">
        <f t="shared" si="6"/>
        <v>0</v>
      </c>
      <c r="N43" s="14">
        <f t="shared" si="6"/>
        <v>-1.7</v>
      </c>
      <c r="O43" s="14">
        <f t="shared" si="6"/>
        <v>1.6999999999999995</v>
      </c>
      <c r="P43" s="14">
        <f t="shared" si="6"/>
        <v>0</v>
      </c>
      <c r="Q43" s="14">
        <f t="shared" si="6"/>
        <v>-5.0999999999999996</v>
      </c>
      <c r="R43" s="14">
        <f t="shared" si="6"/>
        <v>0</v>
      </c>
      <c r="S43" s="14">
        <f t="shared" si="6"/>
        <v>0</v>
      </c>
      <c r="T43" s="14">
        <f t="shared" si="6"/>
        <v>0</v>
      </c>
      <c r="U43" s="14">
        <f t="shared" si="6"/>
        <v>-1.7</v>
      </c>
      <c r="V43" s="14">
        <f t="shared" si="6"/>
        <v>0</v>
      </c>
      <c r="W43" s="14">
        <f t="shared" si="6"/>
        <v>0</v>
      </c>
      <c r="X43" s="14">
        <f t="shared" si="6"/>
        <v>0</v>
      </c>
      <c r="Y43" s="14">
        <f t="shared" si="6"/>
        <v>1.6999999999999997</v>
      </c>
      <c r="Z43" s="14">
        <f t="shared" si="6"/>
        <v>1.6999999999999997</v>
      </c>
      <c r="AA43" s="14">
        <f t="shared" si="6"/>
        <v>0</v>
      </c>
      <c r="AB43" s="14">
        <f t="shared" si="6"/>
        <v>-1.7</v>
      </c>
      <c r="AC43" s="14">
        <f t="shared" si="6"/>
        <v>0</v>
      </c>
      <c r="AD43" s="14">
        <f t="shared" si="6"/>
        <v>0</v>
      </c>
      <c r="AE43" s="14">
        <f t="shared" si="6"/>
        <v>-1.7</v>
      </c>
      <c r="AF43" s="14">
        <f t="shared" si="6"/>
        <v>1.7</v>
      </c>
      <c r="AG43" s="14">
        <f t="shared" si="6"/>
        <v>0</v>
      </c>
      <c r="AH43" s="14">
        <f t="shared" si="6"/>
        <v>0</v>
      </c>
      <c r="AI43" s="14">
        <f t="shared" si="6"/>
        <v>0</v>
      </c>
      <c r="AJ43" s="14">
        <f t="shared" si="6"/>
        <v>0</v>
      </c>
      <c r="AK43" s="14"/>
      <c r="AL43" s="14"/>
      <c r="AM43" s="29"/>
      <c r="AN43" s="29"/>
      <c r="AO43" s="29"/>
      <c r="AP43" s="29"/>
      <c r="AQ43" s="14"/>
      <c r="AR43" s="14"/>
      <c r="AS43" s="32"/>
      <c r="AT43" s="39">
        <f>AT38</f>
        <v>7445.9999999999991</v>
      </c>
    </row>
    <row r="44" spans="1:46" x14ac:dyDescent="0.25">
      <c r="A44" s="29"/>
      <c r="B44" s="14" t="s">
        <v>2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29"/>
      <c r="AL44" s="29"/>
      <c r="AM44" s="29"/>
      <c r="AN44" s="29"/>
      <c r="AO44" s="29"/>
      <c r="AP44" s="29"/>
      <c r="AQ44" s="14"/>
      <c r="AR44" s="14"/>
      <c r="AS44" s="32"/>
      <c r="AT44" s="14"/>
    </row>
    <row r="45" spans="1:46" ht="16.5" thickBot="1" x14ac:dyDescent="0.3">
      <c r="A45" s="29"/>
      <c r="B45" s="14" t="s">
        <v>25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2"/>
      <c r="AL45" s="2"/>
      <c r="AM45" s="2"/>
      <c r="AN45" s="2"/>
      <c r="AO45" s="29"/>
      <c r="AP45" s="29"/>
      <c r="AQ45" s="2" t="s">
        <v>26</v>
      </c>
      <c r="AR45" s="29"/>
      <c r="AS45" s="29"/>
      <c r="AT45" s="41">
        <f>F40*294</f>
        <v>0</v>
      </c>
    </row>
    <row r="46" spans="1:46" ht="16.5" thickTop="1" x14ac:dyDescent="0.25">
      <c r="A46" s="29"/>
      <c r="B46" s="14" t="s">
        <v>27</v>
      </c>
      <c r="C46" s="14"/>
      <c r="D46" s="14"/>
      <c r="E46" s="14">
        <f>SUM(F41:AJ41)</f>
        <v>25.5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2"/>
      <c r="AL46" s="2"/>
      <c r="AM46" s="2"/>
      <c r="AN46" s="30"/>
      <c r="AO46" s="29"/>
      <c r="AP46" s="29"/>
      <c r="AQ46" s="2" t="s">
        <v>28</v>
      </c>
      <c r="AR46" s="29"/>
      <c r="AS46" s="29"/>
      <c r="AT46" s="37">
        <f>AT43-AT45</f>
        <v>7445.9999999999991</v>
      </c>
    </row>
    <row r="47" spans="1:46" x14ac:dyDescent="0.25">
      <c r="A47" s="29"/>
      <c r="B47" s="14" t="s">
        <v>29</v>
      </c>
      <c r="C47" s="14"/>
      <c r="D47" s="14"/>
      <c r="E47" s="14">
        <f>AK38</f>
        <v>25.499999999999996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29"/>
      <c r="AL47" s="29"/>
      <c r="AM47" s="29"/>
      <c r="AN47" s="29"/>
      <c r="AO47" s="29"/>
      <c r="AP47" s="29"/>
      <c r="AQ47" s="14"/>
      <c r="AR47" s="14"/>
      <c r="AS47" s="32"/>
      <c r="AT47" s="14"/>
    </row>
    <row r="48" spans="1:46" ht="16.5" thickBot="1" x14ac:dyDescent="0.3">
      <c r="A48" s="29"/>
      <c r="B48" s="14" t="s">
        <v>30</v>
      </c>
      <c r="C48" s="14"/>
      <c r="D48" s="14"/>
      <c r="E48" s="33">
        <f>E45+E46-E47</f>
        <v>0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29"/>
      <c r="AL48" s="29"/>
      <c r="AM48" s="29"/>
      <c r="AN48" s="29"/>
      <c r="AO48" s="29"/>
      <c r="AP48" s="29"/>
      <c r="AQ48" s="14"/>
      <c r="AR48" s="14"/>
      <c r="AS48" s="32"/>
      <c r="AT48" s="14"/>
    </row>
    <row r="49" spans="1:46" ht="16.5" thickTop="1" x14ac:dyDescent="0.25">
      <c r="A49" s="29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29"/>
      <c r="AL49" s="29"/>
      <c r="AM49" s="29"/>
      <c r="AN49" s="29"/>
      <c r="AO49" s="29"/>
      <c r="AP49" s="29"/>
      <c r="AQ49" s="14"/>
      <c r="AR49" s="14"/>
      <c r="AS49" s="32"/>
      <c r="AT49" s="14"/>
    </row>
    <row r="50" spans="1:46" x14ac:dyDescent="0.25">
      <c r="A50" s="34"/>
      <c r="C50" s="14"/>
      <c r="D50" s="14"/>
      <c r="E50" s="35"/>
      <c r="K50" s="14"/>
      <c r="M50" s="36"/>
      <c r="N50" s="14"/>
      <c r="P50" s="14"/>
      <c r="Q50" s="14"/>
      <c r="R50" s="14"/>
      <c r="U50" s="36"/>
      <c r="V50" s="14"/>
      <c r="W50" s="14"/>
      <c r="X50" s="14"/>
      <c r="Y50" s="14"/>
      <c r="Z50" s="14"/>
      <c r="AA50" s="14"/>
      <c r="AB50" s="36"/>
      <c r="AC50" s="14"/>
      <c r="AD50" s="14"/>
      <c r="AE50" s="14"/>
      <c r="AF50" s="14"/>
      <c r="AG50" s="14"/>
      <c r="AH50" s="36"/>
      <c r="AI50" s="14"/>
      <c r="AJ50" s="14"/>
      <c r="AK50" s="14"/>
      <c r="AL50" s="29"/>
      <c r="AM50" s="29"/>
      <c r="AN50" s="29"/>
      <c r="AO50" s="29"/>
      <c r="AP50" s="29"/>
      <c r="AQ50" s="14"/>
      <c r="AR50" s="14"/>
      <c r="AS50" s="32"/>
      <c r="AT50" s="14"/>
    </row>
    <row r="51" spans="1:46" x14ac:dyDescent="0.25">
      <c r="A51" s="14"/>
      <c r="C51" s="14"/>
      <c r="D51" s="14"/>
      <c r="E51" s="35"/>
      <c r="K51" s="14"/>
      <c r="M51" s="36"/>
      <c r="N51" s="14"/>
      <c r="P51" s="14"/>
      <c r="Q51" s="14"/>
      <c r="R51" s="14"/>
      <c r="U51" s="36"/>
      <c r="V51" s="14"/>
      <c r="W51" s="14"/>
      <c r="X51" s="14"/>
      <c r="Y51" s="14"/>
      <c r="Z51" s="14"/>
      <c r="AA51" s="14"/>
      <c r="AB51" s="36"/>
      <c r="AC51" s="14"/>
      <c r="AD51" s="14"/>
      <c r="AE51" s="14"/>
      <c r="AF51" s="14"/>
      <c r="AG51" s="14"/>
      <c r="AH51" s="36"/>
      <c r="AI51" s="14"/>
      <c r="AJ51" s="14"/>
      <c r="AK51" s="14"/>
      <c r="AL51" s="29"/>
      <c r="AM51" s="29"/>
      <c r="AN51" s="29"/>
      <c r="AO51" s="29"/>
      <c r="AP51" s="29"/>
      <c r="AQ51" s="14"/>
      <c r="AR51" s="14"/>
      <c r="AS51" s="32"/>
      <c r="AT51" s="14"/>
    </row>
    <row r="52" spans="1:46" x14ac:dyDescent="0.25">
      <c r="A52" s="14"/>
      <c r="C52" s="14"/>
      <c r="D52" s="14"/>
      <c r="E52" s="35"/>
      <c r="K52" s="14"/>
      <c r="M52" s="36"/>
      <c r="N52" s="14"/>
      <c r="P52" s="14"/>
      <c r="Q52" s="14"/>
      <c r="R52" s="14"/>
      <c r="U52" s="36"/>
      <c r="V52" s="14"/>
      <c r="W52" s="14"/>
      <c r="X52" s="14"/>
      <c r="Y52" s="14"/>
      <c r="Z52" s="14"/>
      <c r="AA52" s="14"/>
      <c r="AB52" s="36"/>
      <c r="AC52" s="14"/>
      <c r="AD52" s="14"/>
      <c r="AE52" s="14"/>
      <c r="AF52" s="14"/>
      <c r="AG52" s="14"/>
      <c r="AH52" s="36"/>
      <c r="AI52" s="14"/>
      <c r="AJ52" s="14"/>
      <c r="AK52" s="14"/>
      <c r="AL52" s="29"/>
      <c r="AM52" s="29"/>
      <c r="AN52" s="29"/>
      <c r="AO52" s="29"/>
      <c r="AP52" s="29"/>
      <c r="AQ52" s="14"/>
      <c r="AR52" s="14"/>
      <c r="AS52" s="32"/>
      <c r="AT52" s="14"/>
    </row>
  </sheetData>
  <mergeCells count="37">
    <mergeCell ref="AP32:AP33"/>
    <mergeCell ref="AQ32:AQ33"/>
    <mergeCell ref="AR32:AR33"/>
    <mergeCell ref="AS32:AS33"/>
    <mergeCell ref="AT32:AT33"/>
    <mergeCell ref="B38:E38"/>
    <mergeCell ref="F32:AJ32"/>
    <mergeCell ref="AK32:AK33"/>
    <mergeCell ref="AL32:AL33"/>
    <mergeCell ref="AM32:AM33"/>
    <mergeCell ref="AN32:AN33"/>
    <mergeCell ref="AO32:AO33"/>
    <mergeCell ref="B14:E14"/>
    <mergeCell ref="B15:E15"/>
    <mergeCell ref="A32:A33"/>
    <mergeCell ref="B32:B33"/>
    <mergeCell ref="C32:C33"/>
    <mergeCell ref="D32:D33"/>
    <mergeCell ref="E32:E33"/>
    <mergeCell ref="AQ3:AQ4"/>
    <mergeCell ref="AR3:AR4"/>
    <mergeCell ref="AS3:AS4"/>
    <mergeCell ref="AT3:AT4"/>
    <mergeCell ref="AN6:AP6"/>
    <mergeCell ref="AO3:AO4"/>
    <mergeCell ref="AP3:AP4"/>
    <mergeCell ref="B9:E9"/>
    <mergeCell ref="AK3:AK4"/>
    <mergeCell ref="AL3:AL4"/>
    <mergeCell ref="AM3:AM4"/>
    <mergeCell ref="AN3:AN4"/>
    <mergeCell ref="F3:AJ3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B7062-1E5E-47C5-8F61-A38A7F2F9909}">
  <dimension ref="A1:AV52"/>
  <sheetViews>
    <sheetView topLeftCell="A27" zoomScale="70" zoomScaleNormal="70" workbookViewId="0">
      <selection activeCell="J46" sqref="J46"/>
    </sheetView>
  </sheetViews>
  <sheetFormatPr defaultColWidth="9.140625" defaultRowHeight="15.75" x14ac:dyDescent="0.25"/>
  <cols>
    <col min="1" max="1" width="4.140625" style="4" customWidth="1"/>
    <col min="2" max="2" width="12.7109375" style="2" customWidth="1"/>
    <col min="3" max="3" width="17.140625" style="2" customWidth="1"/>
    <col min="4" max="4" width="16.28515625" style="2" customWidth="1"/>
    <col min="5" max="5" width="9" style="2" customWidth="1"/>
    <col min="6" max="6" width="5.42578125" style="2" customWidth="1"/>
    <col min="7" max="7" width="5.7109375" style="2" customWidth="1"/>
    <col min="8" max="8" width="4.7109375" style="2" customWidth="1"/>
    <col min="9" max="9" width="6" style="2" customWidth="1"/>
    <col min="10" max="10" width="5.42578125" style="2" customWidth="1"/>
    <col min="11" max="11" width="5.7109375" style="2" customWidth="1"/>
    <col min="12" max="12" width="5.5703125" style="2" customWidth="1"/>
    <col min="13" max="13" width="5.85546875" style="2" customWidth="1"/>
    <col min="14" max="14" width="5.7109375" style="2" customWidth="1"/>
    <col min="15" max="15" width="5.5703125" style="2" customWidth="1"/>
    <col min="16" max="16" width="5.42578125" style="2" customWidth="1"/>
    <col min="17" max="17" width="6.5703125" style="2" customWidth="1"/>
    <col min="18" max="18" width="6" style="2" customWidth="1"/>
    <col min="19" max="19" width="5.42578125" style="2" customWidth="1"/>
    <col min="20" max="20" width="6" style="2" customWidth="1"/>
    <col min="21" max="21" width="6.140625" style="2" customWidth="1"/>
    <col min="22" max="22" width="5.7109375" style="2" customWidth="1"/>
    <col min="23" max="23" width="5.42578125" style="2" customWidth="1"/>
    <col min="24" max="24" width="5.7109375" style="2" customWidth="1"/>
    <col min="25" max="25" width="5.42578125" style="2" customWidth="1"/>
    <col min="26" max="26" width="5.7109375" style="2" customWidth="1"/>
    <col min="27" max="28" width="5.42578125" style="2" customWidth="1"/>
    <col min="29" max="29" width="5.7109375" style="2" customWidth="1"/>
    <col min="30" max="33" width="5.42578125" style="2" customWidth="1"/>
    <col min="34" max="35" width="5.7109375" style="2" customWidth="1"/>
    <col min="36" max="36" width="5.42578125" style="2" customWidth="1"/>
    <col min="37" max="37" width="8.42578125" style="4" customWidth="1"/>
    <col min="38" max="38" width="8.28515625" style="4" customWidth="1"/>
    <col min="39" max="39" width="7.28515625" style="4" customWidth="1"/>
    <col min="40" max="41" width="10.5703125" style="4" customWidth="1"/>
    <col min="42" max="42" width="10.42578125" style="4" customWidth="1"/>
    <col min="43" max="43" width="13.140625" style="2" customWidth="1"/>
    <col min="44" max="44" width="12.42578125" style="2" customWidth="1"/>
    <col min="45" max="45" width="10.28515625" style="5" customWidth="1"/>
    <col min="46" max="46" width="13.28515625" style="2" customWidth="1"/>
    <col min="47" max="16384" width="9.140625" style="2"/>
  </cols>
  <sheetData>
    <row r="1" spans="1:48" x14ac:dyDescent="0.25">
      <c r="A1" s="1" t="s">
        <v>0</v>
      </c>
      <c r="E1" s="3" t="s">
        <v>1</v>
      </c>
      <c r="R1" s="3"/>
    </row>
    <row r="2" spans="1:48" x14ac:dyDescent="0.25">
      <c r="A2" s="1" t="s">
        <v>32</v>
      </c>
      <c r="E2" s="3" t="s">
        <v>48</v>
      </c>
      <c r="R2" s="3" t="s">
        <v>2</v>
      </c>
    </row>
    <row r="3" spans="1:48" ht="15.75" customHeight="1" x14ac:dyDescent="0.25">
      <c r="A3" s="43" t="s">
        <v>3</v>
      </c>
      <c r="B3" s="43" t="s">
        <v>4</v>
      </c>
      <c r="C3" s="43" t="s">
        <v>5</v>
      </c>
      <c r="D3" s="43" t="s">
        <v>6</v>
      </c>
      <c r="E3" s="43" t="s">
        <v>7</v>
      </c>
      <c r="F3" s="50" t="s">
        <v>8</v>
      </c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2"/>
      <c r="AK3" s="43" t="s">
        <v>9</v>
      </c>
      <c r="AL3" s="43" t="s">
        <v>10</v>
      </c>
      <c r="AM3" s="43" t="s">
        <v>11</v>
      </c>
      <c r="AN3" s="43" t="s">
        <v>12</v>
      </c>
      <c r="AO3" s="43" t="s">
        <v>13</v>
      </c>
      <c r="AP3" s="43" t="s">
        <v>14</v>
      </c>
      <c r="AQ3" s="43" t="s">
        <v>15</v>
      </c>
      <c r="AR3" s="43" t="s">
        <v>16</v>
      </c>
      <c r="AS3" s="45" t="s">
        <v>17</v>
      </c>
      <c r="AT3" s="43" t="s">
        <v>18</v>
      </c>
    </row>
    <row r="4" spans="1:48" s="7" customFormat="1" ht="27" customHeight="1" x14ac:dyDescent="0.25">
      <c r="A4" s="44"/>
      <c r="B4" s="44"/>
      <c r="C4" s="44"/>
      <c r="D4" s="44"/>
      <c r="E4" s="44"/>
      <c r="F4" s="6">
        <v>1</v>
      </c>
      <c r="G4" s="6">
        <v>2</v>
      </c>
      <c r="H4" s="6">
        <v>3</v>
      </c>
      <c r="I4" s="6">
        <v>4</v>
      </c>
      <c r="J4" s="6">
        <v>5</v>
      </c>
      <c r="K4" s="6">
        <v>6</v>
      </c>
      <c r="L4" s="6">
        <v>7</v>
      </c>
      <c r="M4" s="6">
        <v>8</v>
      </c>
      <c r="N4" s="6">
        <v>9</v>
      </c>
      <c r="O4" s="6">
        <v>10</v>
      </c>
      <c r="P4" s="6">
        <v>11</v>
      </c>
      <c r="Q4" s="6">
        <v>12</v>
      </c>
      <c r="R4" s="6">
        <v>13</v>
      </c>
      <c r="S4" s="6">
        <v>14</v>
      </c>
      <c r="T4" s="6">
        <v>15</v>
      </c>
      <c r="U4" s="6">
        <v>16</v>
      </c>
      <c r="V4" s="6">
        <v>17</v>
      </c>
      <c r="W4" s="6">
        <v>18</v>
      </c>
      <c r="X4" s="6">
        <v>19</v>
      </c>
      <c r="Y4" s="6">
        <v>20</v>
      </c>
      <c r="Z4" s="6">
        <v>21</v>
      </c>
      <c r="AA4" s="6">
        <v>22</v>
      </c>
      <c r="AB4" s="6">
        <v>23</v>
      </c>
      <c r="AC4" s="6">
        <v>24</v>
      </c>
      <c r="AD4" s="6">
        <v>25</v>
      </c>
      <c r="AE4" s="6">
        <v>26</v>
      </c>
      <c r="AF4" s="6">
        <v>27</v>
      </c>
      <c r="AG4" s="6">
        <v>28</v>
      </c>
      <c r="AH4" s="6">
        <v>29</v>
      </c>
      <c r="AI4" s="6">
        <v>30</v>
      </c>
      <c r="AJ4" s="6">
        <v>31</v>
      </c>
      <c r="AK4" s="44"/>
      <c r="AL4" s="44"/>
      <c r="AM4" s="44"/>
      <c r="AN4" s="44"/>
      <c r="AO4" s="44"/>
      <c r="AP4" s="44"/>
      <c r="AQ4" s="44"/>
      <c r="AR4" s="44"/>
      <c r="AS4" s="46"/>
      <c r="AT4" s="44"/>
    </row>
    <row r="5" spans="1:48" ht="16.5" thickBot="1" x14ac:dyDescent="0.3">
      <c r="A5" s="8">
        <v>1</v>
      </c>
      <c r="B5" s="9" t="s">
        <v>33</v>
      </c>
      <c r="C5" s="9" t="s">
        <v>34</v>
      </c>
      <c r="D5" s="9" t="s">
        <v>35</v>
      </c>
      <c r="E5" s="9" t="s">
        <v>36</v>
      </c>
      <c r="F5" s="11"/>
      <c r="G5" s="11"/>
      <c r="H5" s="11"/>
      <c r="I5" s="11"/>
      <c r="J5" s="11">
        <v>30</v>
      </c>
      <c r="K5" s="11">
        <v>30</v>
      </c>
      <c r="L5" s="11"/>
      <c r="M5" s="11">
        <v>30</v>
      </c>
      <c r="N5" s="11">
        <v>20</v>
      </c>
      <c r="O5" s="11"/>
      <c r="P5" s="11">
        <v>20</v>
      </c>
      <c r="Q5" s="42">
        <v>16.5</v>
      </c>
      <c r="R5" s="11">
        <v>30</v>
      </c>
      <c r="S5" s="11">
        <v>25</v>
      </c>
      <c r="T5" s="11"/>
      <c r="U5" s="11"/>
      <c r="V5" s="11">
        <v>40</v>
      </c>
      <c r="W5" s="11"/>
      <c r="X5" s="11"/>
      <c r="Y5" s="11"/>
      <c r="Z5" s="11"/>
      <c r="AA5" s="11">
        <v>25</v>
      </c>
      <c r="AB5" s="11">
        <v>30</v>
      </c>
      <c r="AC5" s="11"/>
      <c r="AD5" s="11"/>
      <c r="AE5" s="11"/>
      <c r="AF5" s="11"/>
      <c r="AG5" s="11"/>
      <c r="AH5" s="11"/>
      <c r="AI5" s="11"/>
      <c r="AJ5" s="11"/>
      <c r="AK5" s="20">
        <f>SUM(F5:AJ5)</f>
        <v>296.5</v>
      </c>
      <c r="AL5" s="11"/>
      <c r="AM5" s="8"/>
      <c r="AN5" s="8">
        <v>1174.2</v>
      </c>
      <c r="AO5" s="8">
        <v>1299.8</v>
      </c>
      <c r="AP5" s="8">
        <f>AO5-AN5</f>
        <v>125.59999999999991</v>
      </c>
      <c r="AQ5" s="38">
        <f>AK5/AP5</f>
        <v>2.3606687898089187</v>
      </c>
      <c r="AR5" s="10">
        <v>4.6139999999999999</v>
      </c>
      <c r="AS5" s="12">
        <v>277</v>
      </c>
      <c r="AT5" s="13">
        <f>AS5*AK5</f>
        <v>82130.5</v>
      </c>
      <c r="AU5" s="14"/>
      <c r="AV5" s="14"/>
    </row>
    <row r="6" spans="1:48" ht="17.25" thickTop="1" thickBot="1" x14ac:dyDescent="0.3">
      <c r="A6" s="11">
        <v>2</v>
      </c>
      <c r="B6" s="9" t="s">
        <v>39</v>
      </c>
      <c r="C6" s="9" t="s">
        <v>40</v>
      </c>
      <c r="D6" s="9" t="s">
        <v>41</v>
      </c>
      <c r="E6" s="9" t="s">
        <v>36</v>
      </c>
      <c r="F6" s="11"/>
      <c r="G6" s="11"/>
      <c r="H6" s="11"/>
      <c r="I6" s="11"/>
      <c r="J6" s="11"/>
      <c r="K6" s="11">
        <v>5</v>
      </c>
      <c r="L6" s="11">
        <v>5</v>
      </c>
      <c r="M6" s="11"/>
      <c r="N6" s="11"/>
      <c r="O6" s="11">
        <v>15</v>
      </c>
      <c r="P6" s="11">
        <v>5</v>
      </c>
      <c r="Q6" s="11"/>
      <c r="R6" s="11">
        <v>4.95</v>
      </c>
      <c r="S6" s="11">
        <v>5</v>
      </c>
      <c r="T6" s="11"/>
      <c r="U6" s="11"/>
      <c r="V6" s="11"/>
      <c r="W6" s="11"/>
      <c r="X6" s="11"/>
      <c r="Y6" s="11"/>
      <c r="Z6" s="11"/>
      <c r="AA6" s="11"/>
      <c r="AB6" s="11"/>
      <c r="AC6" s="11"/>
      <c r="AD6" s="11">
        <v>4</v>
      </c>
      <c r="AE6" s="11"/>
      <c r="AF6" s="11"/>
      <c r="AG6" s="11">
        <v>3.9</v>
      </c>
      <c r="AH6" s="11"/>
      <c r="AI6" s="11"/>
      <c r="AJ6" s="11"/>
      <c r="AK6" s="20">
        <f>SUM(F6:AJ6)</f>
        <v>47.85</v>
      </c>
      <c r="AL6" s="11"/>
      <c r="AM6" s="11"/>
      <c r="AN6" s="53" t="s">
        <v>43</v>
      </c>
      <c r="AO6" s="54"/>
      <c r="AP6" s="55"/>
      <c r="AQ6" s="15"/>
      <c r="AR6" s="9"/>
      <c r="AS6" s="12">
        <v>277</v>
      </c>
      <c r="AT6" s="13">
        <f>AS6*AK6</f>
        <v>13254.45</v>
      </c>
      <c r="AU6" s="14"/>
      <c r="AV6" s="14"/>
    </row>
    <row r="7" spans="1:48" ht="16.5" thickTop="1" x14ac:dyDescent="0.25">
      <c r="A7" s="11"/>
      <c r="B7" s="9"/>
      <c r="C7" s="17"/>
      <c r="D7" s="9"/>
      <c r="E7" s="9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5"/>
      <c r="AR7" s="9"/>
      <c r="AS7" s="9"/>
      <c r="AT7" s="16"/>
      <c r="AU7" s="14"/>
      <c r="AV7" s="14"/>
    </row>
    <row r="8" spans="1:48" x14ac:dyDescent="0.25">
      <c r="A8" s="11"/>
      <c r="B8" s="9"/>
      <c r="C8" s="9"/>
      <c r="D8" s="9"/>
      <c r="E8" s="9"/>
      <c r="F8" s="11"/>
      <c r="G8" s="11"/>
      <c r="H8" s="11"/>
      <c r="I8" s="11"/>
      <c r="J8" s="11"/>
      <c r="K8" s="11"/>
      <c r="L8" s="11"/>
      <c r="M8" s="11"/>
      <c r="N8" s="18"/>
      <c r="O8" s="18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8"/>
      <c r="AL8" s="11"/>
      <c r="AM8" s="18"/>
      <c r="AN8" s="11"/>
      <c r="AO8" s="11"/>
      <c r="AP8" s="11"/>
      <c r="AQ8" s="15"/>
      <c r="AR8" s="9"/>
      <c r="AS8" s="9"/>
      <c r="AT8" s="19"/>
      <c r="AU8" s="14"/>
      <c r="AV8" s="14"/>
    </row>
    <row r="9" spans="1:48" ht="16.5" customHeight="1" thickBot="1" x14ac:dyDescent="0.3">
      <c r="A9" s="11"/>
      <c r="B9" s="53" t="s">
        <v>20</v>
      </c>
      <c r="C9" s="54"/>
      <c r="D9" s="54"/>
      <c r="E9" s="55"/>
      <c r="F9" s="20">
        <f t="shared" ref="F9:AM9" si="0">SUM(F5:F8)</f>
        <v>0</v>
      </c>
      <c r="G9" s="20">
        <f t="shared" si="0"/>
        <v>0</v>
      </c>
      <c r="H9" s="20">
        <f t="shared" si="0"/>
        <v>0</v>
      </c>
      <c r="I9" s="20">
        <f t="shared" si="0"/>
        <v>0</v>
      </c>
      <c r="J9" s="20">
        <f t="shared" si="0"/>
        <v>30</v>
      </c>
      <c r="K9" s="20">
        <f t="shared" si="0"/>
        <v>35</v>
      </c>
      <c r="L9" s="20">
        <f t="shared" si="0"/>
        <v>5</v>
      </c>
      <c r="M9" s="20">
        <f t="shared" si="0"/>
        <v>30</v>
      </c>
      <c r="N9" s="20">
        <f t="shared" si="0"/>
        <v>20</v>
      </c>
      <c r="O9" s="20">
        <f t="shared" si="0"/>
        <v>15</v>
      </c>
      <c r="P9" s="20">
        <f t="shared" si="0"/>
        <v>25</v>
      </c>
      <c r="Q9" s="20">
        <f t="shared" si="0"/>
        <v>16.5</v>
      </c>
      <c r="R9" s="20">
        <f t="shared" si="0"/>
        <v>34.950000000000003</v>
      </c>
      <c r="S9" s="20">
        <f t="shared" si="0"/>
        <v>30</v>
      </c>
      <c r="T9" s="20">
        <f t="shared" si="0"/>
        <v>0</v>
      </c>
      <c r="U9" s="20">
        <f t="shared" si="0"/>
        <v>0</v>
      </c>
      <c r="V9" s="20">
        <f t="shared" si="0"/>
        <v>40</v>
      </c>
      <c r="W9" s="20">
        <f t="shared" si="0"/>
        <v>0</v>
      </c>
      <c r="X9" s="20">
        <f t="shared" si="0"/>
        <v>0</v>
      </c>
      <c r="Y9" s="20">
        <f t="shared" si="0"/>
        <v>0</v>
      </c>
      <c r="Z9" s="20">
        <f t="shared" si="0"/>
        <v>0</v>
      </c>
      <c r="AA9" s="20">
        <f t="shared" si="0"/>
        <v>25</v>
      </c>
      <c r="AB9" s="20">
        <f t="shared" si="0"/>
        <v>30</v>
      </c>
      <c r="AC9" s="20">
        <f t="shared" si="0"/>
        <v>0</v>
      </c>
      <c r="AD9" s="20">
        <f t="shared" si="0"/>
        <v>4</v>
      </c>
      <c r="AE9" s="20">
        <f t="shared" si="0"/>
        <v>0</v>
      </c>
      <c r="AF9" s="20">
        <f t="shared" si="0"/>
        <v>0</v>
      </c>
      <c r="AG9" s="20">
        <f t="shared" si="0"/>
        <v>3.9</v>
      </c>
      <c r="AH9" s="20">
        <f t="shared" si="0"/>
        <v>0</v>
      </c>
      <c r="AI9" s="20">
        <f t="shared" si="0"/>
        <v>0</v>
      </c>
      <c r="AJ9" s="20">
        <f t="shared" si="0"/>
        <v>0</v>
      </c>
      <c r="AK9" s="20">
        <f t="shared" si="0"/>
        <v>344.35</v>
      </c>
      <c r="AL9" s="20">
        <f t="shared" si="0"/>
        <v>0</v>
      </c>
      <c r="AM9" s="20">
        <f t="shared" si="0"/>
        <v>0</v>
      </c>
      <c r="AN9" s="22"/>
      <c r="AO9" s="22"/>
      <c r="AP9" s="22"/>
      <c r="AQ9" s="22"/>
      <c r="AR9" s="22"/>
      <c r="AS9" s="22">
        <f>SUM(AS5:AS8)</f>
        <v>554</v>
      </c>
      <c r="AT9" s="22">
        <f>SUM(AT5:AT8)</f>
        <v>95384.95</v>
      </c>
      <c r="AU9" s="14"/>
      <c r="AV9" s="14"/>
    </row>
    <row r="10" spans="1:48" ht="16.5" thickTop="1" x14ac:dyDescent="0.25">
      <c r="A10" s="11"/>
      <c r="B10" s="9"/>
      <c r="C10" s="9"/>
      <c r="D10" s="9"/>
      <c r="E10" s="9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11"/>
      <c r="AL10" s="23"/>
      <c r="AM10" s="23"/>
      <c r="AN10" s="11"/>
      <c r="AO10" s="11"/>
      <c r="AP10" s="11"/>
      <c r="AQ10" s="15"/>
      <c r="AR10" s="9"/>
      <c r="AS10" s="9"/>
      <c r="AT10" s="9"/>
      <c r="AU10" s="14"/>
      <c r="AV10" s="14"/>
    </row>
    <row r="11" spans="1:48" ht="16.5" thickBot="1" x14ac:dyDescent="0.3">
      <c r="A11" s="11">
        <v>3</v>
      </c>
      <c r="B11" s="9" t="s">
        <v>42</v>
      </c>
      <c r="C11" s="9" t="s">
        <v>37</v>
      </c>
      <c r="D11" s="9" t="s">
        <v>38</v>
      </c>
      <c r="E11" s="9" t="s">
        <v>36</v>
      </c>
      <c r="F11" s="11"/>
      <c r="G11" s="11"/>
      <c r="H11" s="11"/>
      <c r="I11" s="11"/>
      <c r="J11" s="11"/>
      <c r="K11" s="11"/>
      <c r="L11" s="11"/>
      <c r="M11" s="23"/>
      <c r="N11" s="23"/>
      <c r="O11" s="23"/>
      <c r="P11" s="23"/>
      <c r="Q11" s="23"/>
      <c r="R11" s="11"/>
      <c r="S11" s="11"/>
      <c r="T11" s="11"/>
      <c r="U11" s="11"/>
      <c r="V11" s="11"/>
      <c r="W11" s="11"/>
      <c r="X11" s="23"/>
      <c r="Y11" s="23"/>
      <c r="Z11" s="23"/>
      <c r="AA11" s="23"/>
      <c r="AB11" s="23"/>
      <c r="AC11" s="11"/>
      <c r="AD11" s="11"/>
      <c r="AE11" s="11"/>
      <c r="AF11" s="11"/>
      <c r="AG11" s="24"/>
      <c r="AH11" s="24"/>
      <c r="AI11" s="24"/>
      <c r="AJ11" s="23"/>
      <c r="AK11" s="20">
        <f>SUM(F11:AJ11)</f>
        <v>0</v>
      </c>
      <c r="AL11" s="11"/>
      <c r="AM11" s="11"/>
      <c r="AN11" s="11"/>
      <c r="AO11" s="11"/>
      <c r="AP11" s="11"/>
      <c r="AQ11" s="15"/>
      <c r="AR11" s="9"/>
      <c r="AS11" s="12">
        <v>277</v>
      </c>
      <c r="AT11" s="13">
        <f>AS11*AK11</f>
        <v>0</v>
      </c>
      <c r="AU11" s="14"/>
      <c r="AV11" s="14"/>
    </row>
    <row r="12" spans="1:48" ht="16.5" thickTop="1" x14ac:dyDescent="0.25">
      <c r="A12" s="11"/>
      <c r="B12" s="9"/>
      <c r="C12" s="9"/>
      <c r="D12" s="9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5"/>
      <c r="AR12" s="9"/>
      <c r="AS12" s="9"/>
      <c r="AT12" s="9"/>
      <c r="AU12" s="14"/>
      <c r="AV12" s="14"/>
    </row>
    <row r="13" spans="1:48" x14ac:dyDescent="0.25">
      <c r="A13" s="11"/>
      <c r="B13" s="9"/>
      <c r="C13" s="9"/>
      <c r="D13" s="9"/>
      <c r="E13" s="9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1"/>
      <c r="AO13" s="11"/>
      <c r="AP13" s="11"/>
      <c r="AQ13" s="9"/>
      <c r="AR13" s="9"/>
      <c r="AS13" s="21"/>
      <c r="AT13" s="25"/>
      <c r="AU13" s="14"/>
      <c r="AV13" s="14"/>
    </row>
    <row r="14" spans="1:48" ht="16.5" customHeight="1" thickBot="1" x14ac:dyDescent="0.3">
      <c r="A14" s="26"/>
      <c r="B14" s="47" t="s">
        <v>19</v>
      </c>
      <c r="C14" s="48"/>
      <c r="D14" s="48"/>
      <c r="E14" s="49"/>
      <c r="F14" s="27">
        <f t="shared" ref="F14:AT14" si="1">SUM(F11:F13)</f>
        <v>0</v>
      </c>
      <c r="G14" s="27">
        <f t="shared" si="1"/>
        <v>0</v>
      </c>
      <c r="H14" s="27">
        <f t="shared" si="1"/>
        <v>0</v>
      </c>
      <c r="I14" s="27">
        <f t="shared" si="1"/>
        <v>0</v>
      </c>
      <c r="J14" s="27">
        <f t="shared" si="1"/>
        <v>0</v>
      </c>
      <c r="K14" s="27">
        <f t="shared" si="1"/>
        <v>0</v>
      </c>
      <c r="L14" s="27">
        <f t="shared" si="1"/>
        <v>0</v>
      </c>
      <c r="M14" s="27">
        <f t="shared" si="1"/>
        <v>0</v>
      </c>
      <c r="N14" s="27">
        <f t="shared" si="1"/>
        <v>0</v>
      </c>
      <c r="O14" s="27">
        <f t="shared" si="1"/>
        <v>0</v>
      </c>
      <c r="P14" s="27">
        <f t="shared" si="1"/>
        <v>0</v>
      </c>
      <c r="Q14" s="27">
        <f t="shared" si="1"/>
        <v>0</v>
      </c>
      <c r="R14" s="27">
        <f t="shared" si="1"/>
        <v>0</v>
      </c>
      <c r="S14" s="27">
        <f t="shared" si="1"/>
        <v>0</v>
      </c>
      <c r="T14" s="27">
        <f t="shared" si="1"/>
        <v>0</v>
      </c>
      <c r="U14" s="27">
        <f t="shared" si="1"/>
        <v>0</v>
      </c>
      <c r="V14" s="27">
        <f t="shared" si="1"/>
        <v>0</v>
      </c>
      <c r="W14" s="27">
        <f t="shared" si="1"/>
        <v>0</v>
      </c>
      <c r="X14" s="27">
        <f t="shared" si="1"/>
        <v>0</v>
      </c>
      <c r="Y14" s="27">
        <f t="shared" si="1"/>
        <v>0</v>
      </c>
      <c r="Z14" s="27">
        <f t="shared" si="1"/>
        <v>0</v>
      </c>
      <c r="AA14" s="27">
        <f t="shared" si="1"/>
        <v>0</v>
      </c>
      <c r="AB14" s="27">
        <f t="shared" si="1"/>
        <v>0</v>
      </c>
      <c r="AC14" s="27">
        <f t="shared" si="1"/>
        <v>0</v>
      </c>
      <c r="AD14" s="27">
        <f t="shared" si="1"/>
        <v>0</v>
      </c>
      <c r="AE14" s="27">
        <f t="shared" si="1"/>
        <v>0</v>
      </c>
      <c r="AF14" s="27">
        <f t="shared" si="1"/>
        <v>0</v>
      </c>
      <c r="AG14" s="27">
        <f t="shared" si="1"/>
        <v>0</v>
      </c>
      <c r="AH14" s="27">
        <f t="shared" si="1"/>
        <v>0</v>
      </c>
      <c r="AI14" s="27">
        <f t="shared" si="1"/>
        <v>0</v>
      </c>
      <c r="AJ14" s="27">
        <f t="shared" si="1"/>
        <v>0</v>
      </c>
      <c r="AK14" s="27">
        <f t="shared" si="1"/>
        <v>0</v>
      </c>
      <c r="AL14" s="27">
        <f t="shared" si="1"/>
        <v>0</v>
      </c>
      <c r="AM14" s="27">
        <f t="shared" si="1"/>
        <v>0</v>
      </c>
      <c r="AN14" s="27">
        <f t="shared" si="1"/>
        <v>0</v>
      </c>
      <c r="AO14" s="27">
        <f t="shared" si="1"/>
        <v>0</v>
      </c>
      <c r="AP14" s="27">
        <f t="shared" si="1"/>
        <v>0</v>
      </c>
      <c r="AQ14" s="27">
        <f t="shared" si="1"/>
        <v>0</v>
      </c>
      <c r="AR14" s="27">
        <f t="shared" si="1"/>
        <v>0</v>
      </c>
      <c r="AS14" s="27">
        <f t="shared" si="1"/>
        <v>277</v>
      </c>
      <c r="AT14" s="28">
        <f t="shared" si="1"/>
        <v>0</v>
      </c>
      <c r="AU14" s="14"/>
      <c r="AV14" s="14"/>
    </row>
    <row r="15" spans="1:48" ht="16.5" thickTop="1" x14ac:dyDescent="0.25">
      <c r="A15" s="29"/>
      <c r="B15" s="53"/>
      <c r="C15" s="54"/>
      <c r="D15" s="54"/>
      <c r="E15" s="55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</row>
    <row r="16" spans="1:48" x14ac:dyDescent="0.25">
      <c r="A16" s="29"/>
      <c r="B16" s="30" t="s">
        <v>21</v>
      </c>
      <c r="C16" s="31"/>
      <c r="D16" s="31"/>
      <c r="E16" s="31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</row>
    <row r="17" spans="1:48" x14ac:dyDescent="0.25">
      <c r="A17" s="29"/>
      <c r="B17" s="30" t="s">
        <v>22</v>
      </c>
      <c r="C17" s="31"/>
      <c r="D17" s="31"/>
      <c r="E17" s="31"/>
      <c r="F17" s="14"/>
      <c r="G17" s="14"/>
      <c r="H17" s="14">
        <v>30</v>
      </c>
      <c r="I17" s="14"/>
      <c r="J17" s="14"/>
      <c r="K17" s="14">
        <v>70</v>
      </c>
      <c r="L17" s="14"/>
      <c r="M17" s="14"/>
      <c r="N17" s="14"/>
      <c r="O17" s="14">
        <v>90</v>
      </c>
      <c r="P17" s="14"/>
      <c r="Q17" s="14"/>
      <c r="R17" s="14">
        <v>51.45</v>
      </c>
      <c r="S17" s="14"/>
      <c r="T17" s="14"/>
      <c r="U17" s="14"/>
      <c r="V17" s="14">
        <v>40</v>
      </c>
      <c r="W17" s="14"/>
      <c r="X17" s="14"/>
      <c r="Y17" s="14">
        <v>55</v>
      </c>
      <c r="Z17" s="14"/>
      <c r="AA17" s="14"/>
      <c r="AB17" s="14">
        <v>4</v>
      </c>
      <c r="AC17" s="14"/>
      <c r="AD17" s="14"/>
      <c r="AE17" s="14"/>
      <c r="AF17" s="14">
        <v>3.93</v>
      </c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</row>
    <row r="18" spans="1:48" x14ac:dyDescent="0.25">
      <c r="A18" s="29"/>
      <c r="B18" s="14" t="s">
        <v>23</v>
      </c>
      <c r="E18" s="14"/>
      <c r="F18" s="14">
        <f t="shared" ref="F18:AJ18" si="2">F9+F14</f>
        <v>0</v>
      </c>
      <c r="G18" s="14">
        <f t="shared" si="2"/>
        <v>0</v>
      </c>
      <c r="H18" s="14">
        <f t="shared" si="2"/>
        <v>0</v>
      </c>
      <c r="I18" s="14">
        <f t="shared" si="2"/>
        <v>0</v>
      </c>
      <c r="J18" s="14">
        <f t="shared" si="2"/>
        <v>30</v>
      </c>
      <c r="K18" s="14">
        <f t="shared" si="2"/>
        <v>35</v>
      </c>
      <c r="L18" s="14">
        <f t="shared" si="2"/>
        <v>5</v>
      </c>
      <c r="M18" s="14">
        <f t="shared" si="2"/>
        <v>30</v>
      </c>
      <c r="N18" s="14">
        <f t="shared" si="2"/>
        <v>20</v>
      </c>
      <c r="O18" s="14">
        <f t="shared" si="2"/>
        <v>15</v>
      </c>
      <c r="P18" s="14">
        <f t="shared" si="2"/>
        <v>25</v>
      </c>
      <c r="Q18" s="14">
        <f t="shared" si="2"/>
        <v>16.5</v>
      </c>
      <c r="R18" s="14">
        <f t="shared" si="2"/>
        <v>34.950000000000003</v>
      </c>
      <c r="S18" s="14">
        <f t="shared" si="2"/>
        <v>30</v>
      </c>
      <c r="T18" s="14">
        <f t="shared" si="2"/>
        <v>0</v>
      </c>
      <c r="U18" s="14">
        <f t="shared" si="2"/>
        <v>0</v>
      </c>
      <c r="V18" s="14">
        <f t="shared" si="2"/>
        <v>40</v>
      </c>
      <c r="W18" s="14">
        <f t="shared" si="2"/>
        <v>0</v>
      </c>
      <c r="X18" s="14">
        <f t="shared" si="2"/>
        <v>0</v>
      </c>
      <c r="Y18" s="14">
        <f t="shared" si="2"/>
        <v>0</v>
      </c>
      <c r="Z18" s="14">
        <f t="shared" si="2"/>
        <v>0</v>
      </c>
      <c r="AA18" s="14">
        <f t="shared" si="2"/>
        <v>25</v>
      </c>
      <c r="AB18" s="14">
        <f t="shared" si="2"/>
        <v>30</v>
      </c>
      <c r="AC18" s="14">
        <f t="shared" si="2"/>
        <v>0</v>
      </c>
      <c r="AD18" s="14">
        <f t="shared" si="2"/>
        <v>4</v>
      </c>
      <c r="AE18" s="14">
        <f t="shared" si="2"/>
        <v>0</v>
      </c>
      <c r="AF18" s="14">
        <f t="shared" si="2"/>
        <v>0</v>
      </c>
      <c r="AG18" s="14">
        <f t="shared" si="2"/>
        <v>3.9</v>
      </c>
      <c r="AH18" s="14">
        <f t="shared" si="2"/>
        <v>0</v>
      </c>
      <c r="AI18" s="14">
        <f t="shared" si="2"/>
        <v>0</v>
      </c>
      <c r="AJ18" s="14">
        <f t="shared" si="2"/>
        <v>0</v>
      </c>
      <c r="AK18" s="14"/>
      <c r="AL18" s="14"/>
      <c r="AM18" s="14"/>
      <c r="AN18" s="14"/>
      <c r="AO18" s="14"/>
      <c r="AP18" s="14"/>
      <c r="AQ18" s="14"/>
      <c r="AR18" s="14"/>
      <c r="AS18" s="14"/>
      <c r="AT18" s="39">
        <f>AT9+AT14</f>
        <v>95384.95</v>
      </c>
      <c r="AU18" s="14" t="s">
        <v>2</v>
      </c>
      <c r="AV18" s="14" t="s">
        <v>2</v>
      </c>
    </row>
    <row r="19" spans="1:48" x14ac:dyDescent="0.25">
      <c r="A19" s="29"/>
      <c r="B19" s="14" t="s">
        <v>24</v>
      </c>
      <c r="E19" s="14"/>
      <c r="F19" s="14">
        <f>(F16+F17)-F18</f>
        <v>0</v>
      </c>
      <c r="G19" s="14">
        <f>(F19+G16+G17)-G18</f>
        <v>0</v>
      </c>
      <c r="H19" s="14">
        <f t="shared" ref="H19:AJ19" si="3">(G19+H16+H17)-H18</f>
        <v>30</v>
      </c>
      <c r="I19" s="14">
        <f t="shared" si="3"/>
        <v>30</v>
      </c>
      <c r="J19" s="14">
        <f t="shared" si="3"/>
        <v>0</v>
      </c>
      <c r="K19" s="14">
        <f t="shared" si="3"/>
        <v>35</v>
      </c>
      <c r="L19" s="14">
        <f t="shared" si="3"/>
        <v>30</v>
      </c>
      <c r="M19" s="14">
        <f t="shared" si="3"/>
        <v>0</v>
      </c>
      <c r="N19" s="14">
        <f t="shared" si="3"/>
        <v>-20</v>
      </c>
      <c r="O19" s="14">
        <f t="shared" si="3"/>
        <v>55</v>
      </c>
      <c r="P19" s="14">
        <f t="shared" si="3"/>
        <v>30</v>
      </c>
      <c r="Q19" s="14">
        <f t="shared" si="3"/>
        <v>13.5</v>
      </c>
      <c r="R19" s="14">
        <f t="shared" si="3"/>
        <v>30</v>
      </c>
      <c r="S19" s="14">
        <f t="shared" si="3"/>
        <v>0</v>
      </c>
      <c r="T19" s="14">
        <f t="shared" si="3"/>
        <v>0</v>
      </c>
      <c r="U19" s="14">
        <f t="shared" si="3"/>
        <v>0</v>
      </c>
      <c r="V19" s="14">
        <f t="shared" si="3"/>
        <v>0</v>
      </c>
      <c r="W19" s="14">
        <f t="shared" si="3"/>
        <v>0</v>
      </c>
      <c r="X19" s="14">
        <f t="shared" si="3"/>
        <v>0</v>
      </c>
      <c r="Y19" s="14">
        <f t="shared" si="3"/>
        <v>55</v>
      </c>
      <c r="Z19" s="14">
        <f t="shared" si="3"/>
        <v>55</v>
      </c>
      <c r="AA19" s="14">
        <f t="shared" si="3"/>
        <v>30</v>
      </c>
      <c r="AB19" s="14">
        <f t="shared" si="3"/>
        <v>4</v>
      </c>
      <c r="AC19" s="14">
        <f t="shared" si="3"/>
        <v>4</v>
      </c>
      <c r="AD19" s="14">
        <f t="shared" si="3"/>
        <v>0</v>
      </c>
      <c r="AE19" s="14">
        <f t="shared" si="3"/>
        <v>0</v>
      </c>
      <c r="AF19" s="14">
        <f t="shared" si="3"/>
        <v>3.93</v>
      </c>
      <c r="AG19" s="14">
        <f t="shared" si="3"/>
        <v>3.0000000000000249E-2</v>
      </c>
      <c r="AH19" s="14">
        <f t="shared" si="3"/>
        <v>3.0000000000000249E-2</v>
      </c>
      <c r="AI19" s="14">
        <f t="shared" si="3"/>
        <v>3.0000000000000249E-2</v>
      </c>
      <c r="AJ19" s="14">
        <f t="shared" si="3"/>
        <v>3.0000000000000249E-2</v>
      </c>
      <c r="AK19" s="14"/>
      <c r="AL19" s="14"/>
      <c r="AM19" s="29"/>
      <c r="AN19" s="29"/>
      <c r="AO19" s="29"/>
      <c r="AP19" s="29"/>
      <c r="AQ19" s="14"/>
      <c r="AR19" s="14"/>
      <c r="AS19" s="32"/>
      <c r="AT19" s="14"/>
      <c r="AU19" s="14"/>
      <c r="AV19" s="14"/>
    </row>
    <row r="20" spans="1:48" x14ac:dyDescent="0.25">
      <c r="A20" s="29"/>
      <c r="B20" s="14" t="s">
        <v>2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29"/>
      <c r="AL20" s="29"/>
      <c r="AM20" s="29"/>
      <c r="AN20" s="29"/>
      <c r="AO20" s="29"/>
      <c r="AP20" s="29"/>
      <c r="AQ20" s="14"/>
      <c r="AR20" s="14"/>
      <c r="AS20" s="32"/>
      <c r="AT20" s="14"/>
      <c r="AU20" s="14"/>
      <c r="AV20" s="14"/>
    </row>
    <row r="21" spans="1:48" ht="16.5" thickBot="1" x14ac:dyDescent="0.3">
      <c r="A21" s="29"/>
      <c r="B21" s="14" t="s">
        <v>25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2"/>
      <c r="AL21" s="2"/>
      <c r="AM21" s="2"/>
      <c r="AN21" s="2"/>
      <c r="AO21" s="29"/>
      <c r="AP21" s="29"/>
      <c r="AQ21" s="2" t="s">
        <v>26</v>
      </c>
      <c r="AR21" s="29"/>
      <c r="AS21" s="29"/>
      <c r="AT21" s="40">
        <f>F16*277</f>
        <v>0</v>
      </c>
      <c r="AU21" s="14"/>
      <c r="AV21" s="14"/>
    </row>
    <row r="22" spans="1:48" ht="16.5" thickTop="1" x14ac:dyDescent="0.25">
      <c r="A22" s="29"/>
      <c r="B22" s="14" t="s">
        <v>27</v>
      </c>
      <c r="C22" s="14"/>
      <c r="D22" s="14"/>
      <c r="E22" s="14">
        <f>SUM(F17:AJ17)</f>
        <v>344.38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2"/>
      <c r="AL22" s="2"/>
      <c r="AM22" s="2"/>
      <c r="AN22" s="30"/>
      <c r="AO22" s="29"/>
      <c r="AP22" s="29"/>
      <c r="AQ22" s="2" t="s">
        <v>28</v>
      </c>
      <c r="AR22" s="29"/>
      <c r="AS22" s="29"/>
      <c r="AT22" s="37">
        <f>AT18-AT21</f>
        <v>95384.95</v>
      </c>
      <c r="AU22" s="14"/>
      <c r="AV22" s="14"/>
    </row>
    <row r="23" spans="1:48" x14ac:dyDescent="0.25">
      <c r="A23" s="29"/>
      <c r="B23" s="14" t="s">
        <v>29</v>
      </c>
      <c r="C23" s="14"/>
      <c r="D23" s="14"/>
      <c r="E23" s="14">
        <f>AK14+AK9</f>
        <v>344.35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29"/>
      <c r="AL23" s="29"/>
      <c r="AM23" s="29"/>
      <c r="AN23" s="29"/>
      <c r="AO23" s="29"/>
      <c r="AP23" s="29"/>
      <c r="AQ23" s="14"/>
      <c r="AR23" s="14"/>
      <c r="AS23" s="32"/>
      <c r="AT23" s="14"/>
      <c r="AU23" s="14"/>
      <c r="AV23" s="14"/>
    </row>
    <row r="24" spans="1:48" ht="16.5" thickBot="1" x14ac:dyDescent="0.3">
      <c r="A24" s="29"/>
      <c r="B24" s="14" t="s">
        <v>30</v>
      </c>
      <c r="C24" s="14"/>
      <c r="D24" s="14"/>
      <c r="E24" s="33">
        <f>E21+E22-E23</f>
        <v>2.9999999999972715E-2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29"/>
      <c r="AL24" s="29"/>
      <c r="AM24" s="29"/>
      <c r="AN24" s="29"/>
      <c r="AO24" s="29"/>
      <c r="AP24" s="29"/>
      <c r="AQ24" s="14"/>
      <c r="AR24" s="14"/>
      <c r="AS24" s="32"/>
      <c r="AT24" s="14"/>
      <c r="AU24" s="14"/>
      <c r="AV24" s="14"/>
    </row>
    <row r="25" spans="1:48" ht="16.5" thickTop="1" x14ac:dyDescent="0.25">
      <c r="A25" s="29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29"/>
      <c r="AL25" s="29"/>
      <c r="AM25" s="29"/>
      <c r="AN25" s="29"/>
      <c r="AO25" s="29"/>
      <c r="AP25" s="29"/>
      <c r="AQ25" s="14"/>
      <c r="AR25" s="14"/>
      <c r="AS25" s="32"/>
      <c r="AT25" s="14"/>
      <c r="AU25" s="14"/>
      <c r="AV25" s="14"/>
    </row>
    <row r="26" spans="1:48" x14ac:dyDescent="0.25">
      <c r="A26" s="34"/>
      <c r="C26" s="14"/>
      <c r="D26" s="14"/>
      <c r="E26" s="35"/>
      <c r="K26" s="14"/>
      <c r="M26" s="36"/>
      <c r="N26" s="14"/>
      <c r="P26" s="14"/>
      <c r="Q26" s="14"/>
      <c r="R26" s="14"/>
      <c r="U26" s="36"/>
      <c r="V26" s="14"/>
      <c r="W26" s="14"/>
      <c r="X26" s="14"/>
      <c r="Y26" s="14"/>
      <c r="Z26" s="14"/>
      <c r="AA26" s="14"/>
      <c r="AB26" s="36"/>
      <c r="AC26" s="14"/>
      <c r="AD26" s="14"/>
      <c r="AE26" s="14"/>
      <c r="AF26" s="14"/>
      <c r="AG26" s="14"/>
      <c r="AH26" s="36"/>
      <c r="AI26" s="14"/>
      <c r="AJ26" s="14"/>
      <c r="AK26" s="14"/>
      <c r="AL26" s="29"/>
      <c r="AM26" s="29"/>
      <c r="AN26" s="29"/>
      <c r="AO26" s="29"/>
      <c r="AP26" s="29"/>
      <c r="AQ26" s="14"/>
      <c r="AR26" s="14"/>
      <c r="AS26" s="32"/>
      <c r="AT26" s="14"/>
      <c r="AU26" s="14"/>
      <c r="AV26" s="14"/>
    </row>
    <row r="27" spans="1:48" x14ac:dyDescent="0.25">
      <c r="A27" s="14"/>
      <c r="C27" s="14"/>
      <c r="D27" s="14"/>
      <c r="E27" s="35"/>
      <c r="K27" s="14"/>
      <c r="M27" s="36"/>
      <c r="N27" s="14"/>
      <c r="P27" s="14"/>
      <c r="Q27" s="14"/>
      <c r="R27" s="14"/>
      <c r="U27" s="36"/>
      <c r="V27" s="14"/>
      <c r="W27" s="14"/>
      <c r="X27" s="14"/>
      <c r="Y27" s="14"/>
      <c r="Z27" s="14"/>
      <c r="AA27" s="14"/>
      <c r="AB27" s="36"/>
      <c r="AC27" s="14"/>
      <c r="AD27" s="14"/>
      <c r="AE27" s="14"/>
      <c r="AF27" s="14"/>
      <c r="AG27" s="14"/>
      <c r="AH27" s="36"/>
      <c r="AI27" s="14"/>
      <c r="AJ27" s="14"/>
      <c r="AK27" s="14"/>
      <c r="AL27" s="29"/>
      <c r="AM27" s="29"/>
      <c r="AN27" s="29"/>
      <c r="AO27" s="29"/>
      <c r="AP27" s="29"/>
      <c r="AQ27" s="14"/>
      <c r="AR27" s="14"/>
      <c r="AS27" s="32"/>
      <c r="AT27" s="14"/>
      <c r="AU27" s="14"/>
      <c r="AV27" s="14"/>
    </row>
    <row r="28" spans="1:48" x14ac:dyDescent="0.25">
      <c r="A28" s="14"/>
      <c r="C28" s="14"/>
      <c r="D28" s="14"/>
      <c r="E28" s="35"/>
      <c r="K28" s="14"/>
      <c r="M28" s="36"/>
      <c r="N28" s="14"/>
      <c r="P28" s="14"/>
      <c r="Q28" s="14"/>
      <c r="R28" s="14"/>
      <c r="U28" s="36"/>
      <c r="V28" s="14"/>
      <c r="W28" s="14"/>
      <c r="X28" s="14"/>
      <c r="Y28" s="14"/>
      <c r="Z28" s="14"/>
      <c r="AA28" s="14"/>
      <c r="AB28" s="36"/>
      <c r="AC28" s="14"/>
      <c r="AD28" s="14"/>
      <c r="AE28" s="14"/>
      <c r="AF28" s="14"/>
      <c r="AG28" s="14"/>
      <c r="AH28" s="36"/>
      <c r="AI28" s="14"/>
      <c r="AJ28" s="14"/>
      <c r="AK28" s="14"/>
      <c r="AL28" s="29"/>
      <c r="AM28" s="29"/>
      <c r="AN28" s="29"/>
      <c r="AO28" s="29"/>
      <c r="AP28" s="29"/>
      <c r="AQ28" s="14"/>
      <c r="AR28" s="14"/>
      <c r="AS28" s="32"/>
      <c r="AT28" s="14"/>
      <c r="AU28" s="14"/>
      <c r="AV28" s="14"/>
    </row>
    <row r="29" spans="1:48" x14ac:dyDescent="0.25">
      <c r="A29" s="14"/>
      <c r="C29" s="14"/>
      <c r="D29" s="14"/>
      <c r="E29" s="35"/>
      <c r="K29" s="14"/>
      <c r="M29" s="36"/>
      <c r="N29" s="14"/>
      <c r="P29" s="14"/>
      <c r="Q29" s="14"/>
      <c r="R29" s="14"/>
      <c r="U29" s="36"/>
      <c r="V29" s="14"/>
      <c r="W29" s="14"/>
      <c r="X29" s="14"/>
      <c r="Y29" s="14"/>
      <c r="Z29" s="14"/>
      <c r="AA29" s="14"/>
      <c r="AB29" s="36"/>
      <c r="AC29" s="14"/>
      <c r="AD29" s="14"/>
      <c r="AE29" s="14"/>
      <c r="AF29" s="14"/>
      <c r="AG29" s="14"/>
      <c r="AH29" s="36"/>
      <c r="AI29" s="14"/>
      <c r="AJ29" s="14"/>
      <c r="AK29" s="14"/>
      <c r="AL29" s="29"/>
      <c r="AM29" s="29"/>
      <c r="AN29" s="29"/>
      <c r="AO29" s="29"/>
      <c r="AP29" s="29"/>
      <c r="AQ29" s="14"/>
      <c r="AR29" s="14"/>
      <c r="AS29" s="32"/>
      <c r="AT29" s="14"/>
      <c r="AU29" s="14"/>
      <c r="AV29" s="14"/>
    </row>
    <row r="30" spans="1:48" x14ac:dyDescent="0.25">
      <c r="A30" s="1" t="s">
        <v>0</v>
      </c>
      <c r="E30" s="3" t="s">
        <v>1</v>
      </c>
      <c r="R30" s="3"/>
    </row>
    <row r="31" spans="1:48" x14ac:dyDescent="0.25">
      <c r="A31" s="1" t="s">
        <v>32</v>
      </c>
      <c r="E31" s="3" t="s">
        <v>48</v>
      </c>
      <c r="R31" s="3" t="s">
        <v>2</v>
      </c>
    </row>
    <row r="32" spans="1:48" ht="25.5" customHeight="1" x14ac:dyDescent="0.25">
      <c r="A32" s="43" t="s">
        <v>3</v>
      </c>
      <c r="B32" s="43" t="s">
        <v>4</v>
      </c>
      <c r="C32" s="43" t="s">
        <v>5</v>
      </c>
      <c r="D32" s="43" t="s">
        <v>6</v>
      </c>
      <c r="E32" s="43" t="s">
        <v>7</v>
      </c>
      <c r="F32" s="50" t="s">
        <v>8</v>
      </c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2"/>
      <c r="AK32" s="43" t="s">
        <v>9</v>
      </c>
      <c r="AL32" s="43" t="s">
        <v>10</v>
      </c>
      <c r="AM32" s="43" t="s">
        <v>11</v>
      </c>
      <c r="AN32" s="43" t="s">
        <v>12</v>
      </c>
      <c r="AO32" s="43" t="s">
        <v>13</v>
      </c>
      <c r="AP32" s="43" t="s">
        <v>14</v>
      </c>
      <c r="AQ32" s="43" t="s">
        <v>15</v>
      </c>
      <c r="AR32" s="43" t="s">
        <v>16</v>
      </c>
      <c r="AS32" s="45" t="s">
        <v>17</v>
      </c>
      <c r="AT32" s="43" t="s">
        <v>18</v>
      </c>
    </row>
    <row r="33" spans="1:46" ht="42.75" customHeight="1" x14ac:dyDescent="0.25">
      <c r="A33" s="44"/>
      <c r="B33" s="44"/>
      <c r="C33" s="44"/>
      <c r="D33" s="44"/>
      <c r="E33" s="44"/>
      <c r="F33" s="6">
        <v>1</v>
      </c>
      <c r="G33" s="6">
        <v>2</v>
      </c>
      <c r="H33" s="6">
        <v>3</v>
      </c>
      <c r="I33" s="6">
        <v>4</v>
      </c>
      <c r="J33" s="6">
        <v>5</v>
      </c>
      <c r="K33" s="6">
        <v>6</v>
      </c>
      <c r="L33" s="6">
        <v>7</v>
      </c>
      <c r="M33" s="6">
        <v>8</v>
      </c>
      <c r="N33" s="6">
        <v>9</v>
      </c>
      <c r="O33" s="6">
        <v>10</v>
      </c>
      <c r="P33" s="6">
        <v>11</v>
      </c>
      <c r="Q33" s="6">
        <v>12</v>
      </c>
      <c r="R33" s="6">
        <v>13</v>
      </c>
      <c r="S33" s="6">
        <v>14</v>
      </c>
      <c r="T33" s="6">
        <v>15</v>
      </c>
      <c r="U33" s="6">
        <v>16</v>
      </c>
      <c r="V33" s="6">
        <v>17</v>
      </c>
      <c r="W33" s="6">
        <v>18</v>
      </c>
      <c r="X33" s="6">
        <v>19</v>
      </c>
      <c r="Y33" s="6">
        <v>20</v>
      </c>
      <c r="Z33" s="6">
        <v>21</v>
      </c>
      <c r="AA33" s="6">
        <v>22</v>
      </c>
      <c r="AB33" s="6">
        <v>23</v>
      </c>
      <c r="AC33" s="6">
        <v>24</v>
      </c>
      <c r="AD33" s="6">
        <v>25</v>
      </c>
      <c r="AE33" s="6">
        <v>26</v>
      </c>
      <c r="AF33" s="6">
        <v>27</v>
      </c>
      <c r="AG33" s="6">
        <v>28</v>
      </c>
      <c r="AH33" s="6">
        <v>29</v>
      </c>
      <c r="AI33" s="6">
        <v>30</v>
      </c>
      <c r="AJ33" s="6">
        <v>31</v>
      </c>
      <c r="AK33" s="44"/>
      <c r="AL33" s="44"/>
      <c r="AM33" s="44"/>
      <c r="AN33" s="44"/>
      <c r="AO33" s="44"/>
      <c r="AP33" s="44"/>
      <c r="AQ33" s="44"/>
      <c r="AR33" s="44"/>
      <c r="AS33" s="46"/>
      <c r="AT33" s="44"/>
    </row>
    <row r="34" spans="1:46" ht="16.5" thickBot="1" x14ac:dyDescent="0.3">
      <c r="A34" s="8">
        <v>1</v>
      </c>
      <c r="B34" s="9" t="s">
        <v>42</v>
      </c>
      <c r="C34" s="9" t="s">
        <v>45</v>
      </c>
      <c r="D34" s="9" t="s">
        <v>46</v>
      </c>
      <c r="E34" s="9" t="s">
        <v>44</v>
      </c>
      <c r="F34" s="11"/>
      <c r="G34" s="11"/>
      <c r="H34" s="11">
        <v>1.7</v>
      </c>
      <c r="I34" s="11"/>
      <c r="J34" s="11">
        <v>1.7</v>
      </c>
      <c r="K34" s="11"/>
      <c r="L34" s="11">
        <v>1.7</v>
      </c>
      <c r="M34" s="11">
        <v>1.7</v>
      </c>
      <c r="N34" s="11">
        <v>1.7</v>
      </c>
      <c r="O34" s="11"/>
      <c r="P34" s="11">
        <v>1.71</v>
      </c>
      <c r="Q34" s="11">
        <v>1.58</v>
      </c>
      <c r="R34" s="11">
        <v>1.58</v>
      </c>
      <c r="S34" s="11">
        <v>1.58</v>
      </c>
      <c r="T34" s="11"/>
      <c r="U34" s="11"/>
      <c r="V34" s="11">
        <v>4.7</v>
      </c>
      <c r="W34" s="11"/>
      <c r="X34" s="11"/>
      <c r="Y34" s="11"/>
      <c r="Z34" s="11"/>
      <c r="AA34" s="11"/>
      <c r="AB34" s="11">
        <v>3</v>
      </c>
      <c r="AC34" s="11"/>
      <c r="AD34" s="11">
        <v>3.7</v>
      </c>
      <c r="AE34" s="11"/>
      <c r="AF34" s="11"/>
      <c r="AG34" s="11">
        <v>2.13</v>
      </c>
      <c r="AH34" s="11"/>
      <c r="AI34" s="11"/>
      <c r="AJ34" s="11"/>
      <c r="AK34" s="20">
        <f>SUM(F34:AJ34)</f>
        <v>28.48</v>
      </c>
      <c r="AL34" s="11"/>
      <c r="AM34" s="8"/>
      <c r="AN34" s="8"/>
      <c r="AO34" s="8"/>
      <c r="AP34" s="8"/>
      <c r="AQ34" s="38"/>
      <c r="AR34" s="10"/>
      <c r="AS34" s="12">
        <v>292</v>
      </c>
      <c r="AT34" s="13">
        <f>AS34*AK34</f>
        <v>8316.16</v>
      </c>
    </row>
    <row r="35" spans="1:46" ht="16.5" thickTop="1" x14ac:dyDescent="0.25">
      <c r="A35" s="11"/>
      <c r="B35" s="9"/>
      <c r="C35" s="9"/>
      <c r="D35" s="9"/>
      <c r="E35" s="9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5"/>
      <c r="AR35" s="9"/>
      <c r="AS35" s="12"/>
      <c r="AT35" s="13">
        <f>AS35*AK35</f>
        <v>0</v>
      </c>
    </row>
    <row r="36" spans="1:46" x14ac:dyDescent="0.25">
      <c r="A36" s="11"/>
      <c r="B36" s="9"/>
      <c r="C36" s="17"/>
      <c r="D36" s="9"/>
      <c r="E36" s="9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5"/>
      <c r="AR36" s="9"/>
      <c r="AS36" s="9"/>
      <c r="AT36" s="16"/>
    </row>
    <row r="37" spans="1:46" x14ac:dyDescent="0.25">
      <c r="A37" s="11"/>
      <c r="B37" s="9"/>
      <c r="C37" s="9"/>
      <c r="D37" s="9"/>
      <c r="E37" s="9"/>
      <c r="F37" s="11"/>
      <c r="G37" s="11"/>
      <c r="H37" s="11"/>
      <c r="I37" s="11"/>
      <c r="J37" s="11"/>
      <c r="K37" s="11"/>
      <c r="L37" s="11"/>
      <c r="M37" s="11"/>
      <c r="N37" s="18"/>
      <c r="O37" s="18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8"/>
      <c r="AL37" s="11"/>
      <c r="AM37" s="18"/>
      <c r="AN37" s="11"/>
      <c r="AO37" s="11"/>
      <c r="AP37" s="11"/>
      <c r="AQ37" s="15"/>
      <c r="AR37" s="9"/>
      <c r="AS37" s="9"/>
      <c r="AT37" s="19"/>
    </row>
    <row r="38" spans="1:46" ht="16.5" customHeight="1" thickBot="1" x14ac:dyDescent="0.3">
      <c r="A38" s="11"/>
      <c r="B38" s="47" t="s">
        <v>19</v>
      </c>
      <c r="C38" s="48"/>
      <c r="D38" s="48"/>
      <c r="E38" s="49"/>
      <c r="F38" s="20">
        <f t="shared" ref="F38:AM38" si="4">SUM(F34:F37)</f>
        <v>0</v>
      </c>
      <c r="G38" s="20">
        <f t="shared" si="4"/>
        <v>0</v>
      </c>
      <c r="H38" s="20">
        <f t="shared" si="4"/>
        <v>1.7</v>
      </c>
      <c r="I38" s="20">
        <f t="shared" si="4"/>
        <v>0</v>
      </c>
      <c r="J38" s="20">
        <f t="shared" si="4"/>
        <v>1.7</v>
      </c>
      <c r="K38" s="20">
        <f t="shared" si="4"/>
        <v>0</v>
      </c>
      <c r="L38" s="20">
        <f t="shared" si="4"/>
        <v>1.7</v>
      </c>
      <c r="M38" s="20">
        <f t="shared" si="4"/>
        <v>1.7</v>
      </c>
      <c r="N38" s="20">
        <f t="shared" si="4"/>
        <v>1.7</v>
      </c>
      <c r="O38" s="20">
        <f t="shared" si="4"/>
        <v>0</v>
      </c>
      <c r="P38" s="20">
        <f t="shared" si="4"/>
        <v>1.71</v>
      </c>
      <c r="Q38" s="20">
        <f t="shared" si="4"/>
        <v>1.58</v>
      </c>
      <c r="R38" s="20">
        <f t="shared" si="4"/>
        <v>1.58</v>
      </c>
      <c r="S38" s="20">
        <f t="shared" si="4"/>
        <v>1.58</v>
      </c>
      <c r="T38" s="20">
        <f t="shared" si="4"/>
        <v>0</v>
      </c>
      <c r="U38" s="20">
        <f t="shared" si="4"/>
        <v>0</v>
      </c>
      <c r="V38" s="20">
        <f t="shared" si="4"/>
        <v>4.7</v>
      </c>
      <c r="W38" s="20">
        <f t="shared" si="4"/>
        <v>0</v>
      </c>
      <c r="X38" s="20">
        <f t="shared" si="4"/>
        <v>0</v>
      </c>
      <c r="Y38" s="20">
        <f t="shared" si="4"/>
        <v>0</v>
      </c>
      <c r="Z38" s="20">
        <f t="shared" si="4"/>
        <v>0</v>
      </c>
      <c r="AA38" s="20">
        <f t="shared" si="4"/>
        <v>0</v>
      </c>
      <c r="AB38" s="20">
        <f t="shared" si="4"/>
        <v>3</v>
      </c>
      <c r="AC38" s="20">
        <f t="shared" si="4"/>
        <v>0</v>
      </c>
      <c r="AD38" s="20">
        <f t="shared" si="4"/>
        <v>3.7</v>
      </c>
      <c r="AE38" s="20">
        <f t="shared" si="4"/>
        <v>0</v>
      </c>
      <c r="AF38" s="20">
        <f t="shared" si="4"/>
        <v>0</v>
      </c>
      <c r="AG38" s="20">
        <f t="shared" si="4"/>
        <v>2.13</v>
      </c>
      <c r="AH38" s="20">
        <f t="shared" si="4"/>
        <v>0</v>
      </c>
      <c r="AI38" s="20">
        <f t="shared" si="4"/>
        <v>0</v>
      </c>
      <c r="AJ38" s="20">
        <f t="shared" si="4"/>
        <v>0</v>
      </c>
      <c r="AK38" s="20">
        <f t="shared" si="4"/>
        <v>28.48</v>
      </c>
      <c r="AL38" s="20">
        <f t="shared" si="4"/>
        <v>0</v>
      </c>
      <c r="AM38" s="20">
        <f t="shared" si="4"/>
        <v>0</v>
      </c>
      <c r="AN38" s="22"/>
      <c r="AO38" s="22"/>
      <c r="AP38" s="22"/>
      <c r="AQ38" s="22"/>
      <c r="AR38" s="22"/>
      <c r="AS38" s="22">
        <f>SUM(AS34:AS37)</f>
        <v>292</v>
      </c>
      <c r="AT38" s="22">
        <f>SUM(AT34:AT37)</f>
        <v>8316.16</v>
      </c>
    </row>
    <row r="39" spans="1:46" ht="16.5" thickTop="1" x14ac:dyDescent="0.25">
      <c r="A39" s="11"/>
      <c r="B39" s="9"/>
      <c r="C39" s="9"/>
      <c r="D39" s="9"/>
      <c r="E39" s="9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11"/>
      <c r="AL39" s="23"/>
      <c r="AM39" s="23"/>
      <c r="AN39" s="11"/>
      <c r="AO39" s="11"/>
      <c r="AP39" s="11"/>
      <c r="AQ39" s="15"/>
      <c r="AR39" s="9"/>
      <c r="AS39" s="9"/>
      <c r="AT39" s="9"/>
    </row>
    <row r="40" spans="1:46" x14ac:dyDescent="0.25">
      <c r="A40" s="29"/>
      <c r="B40" s="30" t="s">
        <v>21</v>
      </c>
      <c r="C40" s="31"/>
      <c r="D40" s="31"/>
      <c r="E40" s="31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</row>
    <row r="41" spans="1:46" x14ac:dyDescent="0.25">
      <c r="A41" s="29"/>
      <c r="B41" s="30" t="s">
        <v>22</v>
      </c>
      <c r="C41" s="31"/>
      <c r="D41" s="31"/>
      <c r="E41" s="31"/>
      <c r="F41" s="14"/>
      <c r="G41" s="14"/>
      <c r="H41" s="14">
        <v>3.41</v>
      </c>
      <c r="I41" s="14"/>
      <c r="J41" s="14"/>
      <c r="K41" s="14"/>
      <c r="L41" s="14"/>
      <c r="M41" s="14"/>
      <c r="N41" s="14"/>
      <c r="O41" s="14">
        <v>6.8</v>
      </c>
      <c r="P41" s="14"/>
      <c r="Q41" s="14"/>
      <c r="R41" s="14">
        <v>4.74</v>
      </c>
      <c r="S41" s="14"/>
      <c r="T41" s="14"/>
      <c r="U41" s="14"/>
      <c r="V41" s="14">
        <v>4.7300000000000004</v>
      </c>
      <c r="W41" s="14"/>
      <c r="X41" s="14"/>
      <c r="Y41" s="14">
        <v>3</v>
      </c>
      <c r="Z41" s="14"/>
      <c r="AA41" s="14"/>
      <c r="AB41" s="14">
        <v>3.7</v>
      </c>
      <c r="AC41" s="14"/>
      <c r="AD41" s="14"/>
      <c r="AE41" s="14"/>
      <c r="AF41" s="14">
        <v>2.1</v>
      </c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</row>
    <row r="42" spans="1:46" x14ac:dyDescent="0.25">
      <c r="A42" s="29"/>
      <c r="B42" s="14" t="s">
        <v>23</v>
      </c>
      <c r="E42" s="14"/>
      <c r="F42" s="14">
        <f>F38</f>
        <v>0</v>
      </c>
      <c r="G42" s="14">
        <f t="shared" ref="G42:AJ42" si="5">G38</f>
        <v>0</v>
      </c>
      <c r="H42" s="14">
        <f t="shared" si="5"/>
        <v>1.7</v>
      </c>
      <c r="I42" s="14">
        <f t="shared" si="5"/>
        <v>0</v>
      </c>
      <c r="J42" s="14">
        <f t="shared" si="5"/>
        <v>1.7</v>
      </c>
      <c r="K42" s="14">
        <f t="shared" si="5"/>
        <v>0</v>
      </c>
      <c r="L42" s="14">
        <f t="shared" si="5"/>
        <v>1.7</v>
      </c>
      <c r="M42" s="14">
        <f t="shared" si="5"/>
        <v>1.7</v>
      </c>
      <c r="N42" s="14">
        <f t="shared" si="5"/>
        <v>1.7</v>
      </c>
      <c r="O42" s="14">
        <f t="shared" si="5"/>
        <v>0</v>
      </c>
      <c r="P42" s="14">
        <f t="shared" si="5"/>
        <v>1.71</v>
      </c>
      <c r="Q42" s="14">
        <f t="shared" si="5"/>
        <v>1.58</v>
      </c>
      <c r="R42" s="14">
        <f t="shared" si="5"/>
        <v>1.58</v>
      </c>
      <c r="S42" s="14">
        <f t="shared" si="5"/>
        <v>1.58</v>
      </c>
      <c r="T42" s="14">
        <f t="shared" si="5"/>
        <v>0</v>
      </c>
      <c r="U42" s="14">
        <f t="shared" si="5"/>
        <v>0</v>
      </c>
      <c r="V42" s="14">
        <f t="shared" si="5"/>
        <v>4.7</v>
      </c>
      <c r="W42" s="14">
        <f t="shared" si="5"/>
        <v>0</v>
      </c>
      <c r="X42" s="14">
        <f t="shared" si="5"/>
        <v>0</v>
      </c>
      <c r="Y42" s="14">
        <f t="shared" si="5"/>
        <v>0</v>
      </c>
      <c r="Z42" s="14">
        <f t="shared" si="5"/>
        <v>0</v>
      </c>
      <c r="AA42" s="14">
        <f t="shared" si="5"/>
        <v>0</v>
      </c>
      <c r="AB42" s="14">
        <f t="shared" si="5"/>
        <v>3</v>
      </c>
      <c r="AC42" s="14">
        <f t="shared" si="5"/>
        <v>0</v>
      </c>
      <c r="AD42" s="14">
        <f t="shared" si="5"/>
        <v>3.7</v>
      </c>
      <c r="AE42" s="14">
        <f t="shared" si="5"/>
        <v>0</v>
      </c>
      <c r="AF42" s="14">
        <f t="shared" si="5"/>
        <v>0</v>
      </c>
      <c r="AG42" s="14">
        <f t="shared" si="5"/>
        <v>2.13</v>
      </c>
      <c r="AH42" s="14">
        <f t="shared" si="5"/>
        <v>0</v>
      </c>
      <c r="AI42" s="14">
        <f t="shared" si="5"/>
        <v>0</v>
      </c>
      <c r="AJ42" s="14">
        <f t="shared" si="5"/>
        <v>0</v>
      </c>
      <c r="AK42" s="14"/>
      <c r="AL42" s="14"/>
      <c r="AM42" s="14"/>
      <c r="AN42" s="14"/>
      <c r="AO42" s="14"/>
      <c r="AP42" s="14"/>
      <c r="AQ42" s="14"/>
      <c r="AR42" s="14"/>
      <c r="AS42" s="14"/>
      <c r="AT42" s="14"/>
    </row>
    <row r="43" spans="1:46" x14ac:dyDescent="0.25">
      <c r="A43" s="29"/>
      <c r="B43" s="14" t="s">
        <v>24</v>
      </c>
      <c r="E43" s="14"/>
      <c r="F43" s="14">
        <f>(F40+F41)-F42</f>
        <v>0</v>
      </c>
      <c r="G43" s="14">
        <f>(F43+G40+G41)-G42</f>
        <v>0</v>
      </c>
      <c r="H43" s="14">
        <f t="shared" ref="H43:AJ43" si="6">(G43+H40+H41)-H42</f>
        <v>1.7100000000000002</v>
      </c>
      <c r="I43" s="14">
        <f t="shared" si="6"/>
        <v>1.7100000000000002</v>
      </c>
      <c r="J43" s="14">
        <f t="shared" si="6"/>
        <v>1.0000000000000231E-2</v>
      </c>
      <c r="K43" s="14">
        <f t="shared" si="6"/>
        <v>1.0000000000000231E-2</v>
      </c>
      <c r="L43" s="14">
        <f t="shared" si="6"/>
        <v>-1.6899999999999997</v>
      </c>
      <c r="M43" s="14">
        <f t="shared" si="6"/>
        <v>-3.3899999999999997</v>
      </c>
      <c r="N43" s="14">
        <f t="shared" si="6"/>
        <v>-5.09</v>
      </c>
      <c r="O43" s="14">
        <f t="shared" si="6"/>
        <v>1.71</v>
      </c>
      <c r="P43" s="14">
        <f>(O43+P40+P41)-P42</f>
        <v>0</v>
      </c>
      <c r="Q43" s="14">
        <f>(P43+Q40+Q41)-Q42</f>
        <v>-1.58</v>
      </c>
      <c r="R43" s="14">
        <f t="shared" si="6"/>
        <v>1.58</v>
      </c>
      <c r="S43" s="14">
        <f t="shared" si="6"/>
        <v>0</v>
      </c>
      <c r="T43" s="14">
        <f t="shared" si="6"/>
        <v>0</v>
      </c>
      <c r="U43" s="14">
        <f t="shared" si="6"/>
        <v>0</v>
      </c>
      <c r="V43" s="14">
        <f t="shared" si="6"/>
        <v>3.0000000000000249E-2</v>
      </c>
      <c r="W43" s="14">
        <f t="shared" si="6"/>
        <v>3.0000000000000249E-2</v>
      </c>
      <c r="X43" s="14">
        <f t="shared" si="6"/>
        <v>3.0000000000000249E-2</v>
      </c>
      <c r="Y43" s="14">
        <f t="shared" si="6"/>
        <v>3.0300000000000002</v>
      </c>
      <c r="Z43" s="14">
        <f t="shared" si="6"/>
        <v>3.0300000000000002</v>
      </c>
      <c r="AA43" s="14">
        <f t="shared" si="6"/>
        <v>3.0300000000000002</v>
      </c>
      <c r="AB43" s="14">
        <f t="shared" si="6"/>
        <v>3.7300000000000004</v>
      </c>
      <c r="AC43" s="14">
        <f t="shared" si="6"/>
        <v>3.7300000000000004</v>
      </c>
      <c r="AD43" s="14">
        <f t="shared" si="6"/>
        <v>3.0000000000000249E-2</v>
      </c>
      <c r="AE43" s="14">
        <f t="shared" si="6"/>
        <v>3.0000000000000249E-2</v>
      </c>
      <c r="AF43" s="14">
        <f t="shared" si="6"/>
        <v>2.1300000000000003</v>
      </c>
      <c r="AG43" s="14">
        <f t="shared" si="6"/>
        <v>0</v>
      </c>
      <c r="AH43" s="14">
        <f t="shared" si="6"/>
        <v>0</v>
      </c>
      <c r="AI43" s="14">
        <f t="shared" si="6"/>
        <v>0</v>
      </c>
      <c r="AJ43" s="14">
        <f t="shared" si="6"/>
        <v>0</v>
      </c>
      <c r="AK43" s="14"/>
      <c r="AL43" s="14"/>
      <c r="AM43" s="29"/>
      <c r="AN43" s="29"/>
      <c r="AO43" s="29"/>
      <c r="AP43" s="29"/>
      <c r="AQ43" s="14"/>
      <c r="AR43" s="14"/>
      <c r="AS43" s="32"/>
      <c r="AT43" s="39">
        <f>AT38</f>
        <v>8316.16</v>
      </c>
    </row>
    <row r="44" spans="1:46" x14ac:dyDescent="0.25">
      <c r="A44" s="29"/>
      <c r="B44" s="14" t="s">
        <v>2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29"/>
      <c r="AL44" s="29"/>
      <c r="AM44" s="29"/>
      <c r="AN44" s="29"/>
      <c r="AO44" s="29"/>
      <c r="AP44" s="29"/>
      <c r="AQ44" s="14"/>
      <c r="AR44" s="14"/>
      <c r="AS44" s="32"/>
      <c r="AT44" s="14"/>
    </row>
    <row r="45" spans="1:46" ht="16.5" thickBot="1" x14ac:dyDescent="0.3">
      <c r="A45" s="29"/>
      <c r="B45" s="14" t="s">
        <v>25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2"/>
      <c r="AL45" s="2"/>
      <c r="AM45" s="2"/>
      <c r="AN45" s="2"/>
      <c r="AO45" s="29"/>
      <c r="AP45" s="29"/>
      <c r="AQ45" s="2" t="s">
        <v>26</v>
      </c>
      <c r="AR45" s="29"/>
      <c r="AS45" s="29"/>
      <c r="AT45" s="41">
        <f>F40*294</f>
        <v>0</v>
      </c>
    </row>
    <row r="46" spans="1:46" ht="16.5" thickTop="1" x14ac:dyDescent="0.25">
      <c r="A46" s="29"/>
      <c r="B46" s="14" t="s">
        <v>27</v>
      </c>
      <c r="C46" s="14"/>
      <c r="D46" s="14"/>
      <c r="E46" s="14">
        <f>SUM(F41:AJ41)</f>
        <v>28.48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2"/>
      <c r="AL46" s="2"/>
      <c r="AM46" s="2"/>
      <c r="AN46" s="30"/>
      <c r="AO46" s="29"/>
      <c r="AP46" s="29"/>
      <c r="AQ46" s="2" t="s">
        <v>28</v>
      </c>
      <c r="AR46" s="29"/>
      <c r="AS46" s="29"/>
      <c r="AT46" s="37">
        <f>AT43-AT45</f>
        <v>8316.16</v>
      </c>
    </row>
    <row r="47" spans="1:46" x14ac:dyDescent="0.25">
      <c r="A47" s="29"/>
      <c r="B47" s="14" t="s">
        <v>29</v>
      </c>
      <c r="C47" s="14"/>
      <c r="D47" s="14"/>
      <c r="E47" s="14">
        <f>AK38</f>
        <v>28.48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29"/>
      <c r="AL47" s="29"/>
      <c r="AM47" s="29"/>
      <c r="AN47" s="29"/>
      <c r="AO47" s="29"/>
      <c r="AP47" s="29"/>
      <c r="AQ47" s="14"/>
      <c r="AR47" s="14"/>
      <c r="AS47" s="32"/>
      <c r="AT47" s="14"/>
    </row>
    <row r="48" spans="1:46" ht="16.5" thickBot="1" x14ac:dyDescent="0.3">
      <c r="A48" s="29"/>
      <c r="B48" s="14" t="s">
        <v>30</v>
      </c>
      <c r="C48" s="14"/>
      <c r="D48" s="14"/>
      <c r="E48" s="33">
        <f>E45+E46-E47</f>
        <v>0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29"/>
      <c r="AL48" s="29"/>
      <c r="AM48" s="29"/>
      <c r="AN48" s="29"/>
      <c r="AO48" s="29"/>
      <c r="AP48" s="29"/>
      <c r="AQ48" s="14"/>
      <c r="AR48" s="14"/>
      <c r="AS48" s="32"/>
      <c r="AT48" s="14"/>
    </row>
    <row r="49" spans="1:46" ht="16.5" thickTop="1" x14ac:dyDescent="0.25">
      <c r="A49" s="29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29"/>
      <c r="AL49" s="29"/>
      <c r="AM49" s="29"/>
      <c r="AN49" s="29"/>
      <c r="AO49" s="29"/>
      <c r="AP49" s="29"/>
      <c r="AQ49" s="14"/>
      <c r="AR49" s="14"/>
      <c r="AS49" s="32"/>
      <c r="AT49" s="14"/>
    </row>
    <row r="50" spans="1:46" x14ac:dyDescent="0.25">
      <c r="A50" s="34"/>
      <c r="C50" s="14"/>
      <c r="D50" s="14"/>
      <c r="E50" s="35"/>
      <c r="K50" s="14"/>
      <c r="M50" s="36"/>
      <c r="N50" s="14"/>
      <c r="P50" s="14"/>
      <c r="Q50" s="14"/>
      <c r="R50" s="14"/>
      <c r="U50" s="36"/>
      <c r="V50" s="14"/>
      <c r="W50" s="14"/>
      <c r="X50" s="14"/>
      <c r="Y50" s="14"/>
      <c r="Z50" s="14"/>
      <c r="AA50" s="14"/>
      <c r="AB50" s="36"/>
      <c r="AC50" s="14"/>
      <c r="AD50" s="14"/>
      <c r="AE50" s="14"/>
      <c r="AF50" s="14"/>
      <c r="AG50" s="14"/>
      <c r="AH50" s="36"/>
      <c r="AI50" s="14"/>
      <c r="AJ50" s="14"/>
      <c r="AK50" s="14"/>
      <c r="AL50" s="29"/>
      <c r="AM50" s="29"/>
      <c r="AN50" s="29"/>
      <c r="AO50" s="29"/>
      <c r="AP50" s="29"/>
      <c r="AQ50" s="14"/>
      <c r="AR50" s="14"/>
      <c r="AS50" s="32"/>
      <c r="AT50" s="14"/>
    </row>
    <row r="51" spans="1:46" x14ac:dyDescent="0.25">
      <c r="A51" s="14"/>
      <c r="C51" s="14"/>
      <c r="D51" s="14"/>
      <c r="E51" s="35"/>
      <c r="K51" s="14"/>
      <c r="M51" s="36"/>
      <c r="N51" s="14"/>
      <c r="P51" s="14"/>
      <c r="Q51" s="14"/>
      <c r="R51" s="14"/>
      <c r="U51" s="36"/>
      <c r="V51" s="14"/>
      <c r="W51" s="14"/>
      <c r="X51" s="14"/>
      <c r="Y51" s="14"/>
      <c r="Z51" s="14"/>
      <c r="AA51" s="14"/>
      <c r="AB51" s="36"/>
      <c r="AC51" s="14"/>
      <c r="AD51" s="14"/>
      <c r="AE51" s="14"/>
      <c r="AF51" s="14"/>
      <c r="AG51" s="14"/>
      <c r="AH51" s="36"/>
      <c r="AI51" s="14"/>
      <c r="AJ51" s="14"/>
      <c r="AK51" s="14"/>
      <c r="AL51" s="29"/>
      <c r="AM51" s="29"/>
      <c r="AN51" s="29"/>
      <c r="AO51" s="29"/>
      <c r="AP51" s="29"/>
      <c r="AQ51" s="14"/>
      <c r="AR51" s="14"/>
      <c r="AS51" s="32"/>
      <c r="AT51" s="14"/>
    </row>
    <row r="52" spans="1:46" x14ac:dyDescent="0.25">
      <c r="A52" s="14"/>
      <c r="C52" s="14"/>
      <c r="D52" s="14"/>
      <c r="E52" s="35"/>
      <c r="K52" s="14"/>
      <c r="M52" s="36"/>
      <c r="N52" s="14"/>
      <c r="P52" s="14"/>
      <c r="Q52" s="14"/>
      <c r="R52" s="14"/>
      <c r="U52" s="36"/>
      <c r="V52" s="14"/>
      <c r="W52" s="14"/>
      <c r="X52" s="14"/>
      <c r="Y52" s="14"/>
      <c r="Z52" s="14"/>
      <c r="AA52" s="14"/>
      <c r="AB52" s="36"/>
      <c r="AC52" s="14"/>
      <c r="AD52" s="14"/>
      <c r="AE52" s="14"/>
      <c r="AF52" s="14"/>
      <c r="AG52" s="14"/>
      <c r="AH52" s="36"/>
      <c r="AI52" s="14"/>
      <c r="AJ52" s="14"/>
      <c r="AK52" s="14"/>
      <c r="AL52" s="29"/>
      <c r="AM52" s="29"/>
      <c r="AN52" s="29"/>
      <c r="AO52" s="29"/>
      <c r="AP52" s="29"/>
      <c r="AQ52" s="14"/>
      <c r="AR52" s="14"/>
      <c r="AS52" s="32"/>
      <c r="AT52" s="14"/>
    </row>
  </sheetData>
  <mergeCells count="37">
    <mergeCell ref="AP32:AP33"/>
    <mergeCell ref="AQ32:AQ33"/>
    <mergeCell ref="AR32:AR33"/>
    <mergeCell ref="AS32:AS33"/>
    <mergeCell ref="AT32:AT33"/>
    <mergeCell ref="B38:E38"/>
    <mergeCell ref="F32:AJ32"/>
    <mergeCell ref="AK32:AK33"/>
    <mergeCell ref="AL32:AL33"/>
    <mergeCell ref="AM32:AM33"/>
    <mergeCell ref="AN32:AN33"/>
    <mergeCell ref="AO32:AO33"/>
    <mergeCell ref="B14:E14"/>
    <mergeCell ref="B15:E15"/>
    <mergeCell ref="A32:A33"/>
    <mergeCell ref="B32:B33"/>
    <mergeCell ref="C32:C33"/>
    <mergeCell ref="D32:D33"/>
    <mergeCell ref="E32:E33"/>
    <mergeCell ref="AQ3:AQ4"/>
    <mergeCell ref="AR3:AR4"/>
    <mergeCell ref="AS3:AS4"/>
    <mergeCell ref="AT3:AT4"/>
    <mergeCell ref="AN6:AP6"/>
    <mergeCell ref="AO3:AO4"/>
    <mergeCell ref="AP3:AP4"/>
    <mergeCell ref="B9:E9"/>
    <mergeCell ref="AK3:AK4"/>
    <mergeCell ref="AL3:AL4"/>
    <mergeCell ref="AM3:AM4"/>
    <mergeCell ref="AN3:AN4"/>
    <mergeCell ref="F3:AJ3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22E7B-854D-4263-9248-8AF150D6B6A8}">
  <dimension ref="A1:AV23"/>
  <sheetViews>
    <sheetView topLeftCell="F1" zoomScale="60" zoomScaleNormal="60" workbookViewId="0">
      <selection activeCell="Y20" sqref="Y20"/>
    </sheetView>
  </sheetViews>
  <sheetFormatPr defaultRowHeight="15" x14ac:dyDescent="0.25"/>
  <sheetData>
    <row r="1" spans="1:48" s="2" customFormat="1" ht="15.75" x14ac:dyDescent="0.25">
      <c r="A1" s="14"/>
      <c r="C1" s="14"/>
      <c r="D1" s="14"/>
      <c r="E1" s="35"/>
      <c r="K1" s="14"/>
      <c r="M1" s="36"/>
      <c r="N1" s="14"/>
      <c r="P1" s="14"/>
      <c r="Q1" s="14"/>
      <c r="R1" s="14"/>
      <c r="U1" s="36"/>
      <c r="V1" s="14"/>
      <c r="W1" s="14"/>
      <c r="X1" s="14"/>
      <c r="Y1" s="14"/>
      <c r="Z1" s="14"/>
      <c r="AA1" s="14"/>
      <c r="AB1" s="36"/>
      <c r="AC1" s="14"/>
      <c r="AD1" s="14"/>
      <c r="AE1" s="14"/>
      <c r="AF1" s="14"/>
      <c r="AG1" s="14"/>
      <c r="AH1" s="36"/>
      <c r="AI1" s="14"/>
      <c r="AJ1" s="14"/>
      <c r="AK1" s="14"/>
      <c r="AL1" s="29"/>
      <c r="AM1" s="29"/>
      <c r="AN1" s="29"/>
      <c r="AO1" s="29"/>
      <c r="AP1" s="29"/>
      <c r="AQ1" s="14"/>
      <c r="AR1" s="14"/>
      <c r="AS1" s="32"/>
      <c r="AT1" s="14"/>
      <c r="AU1" s="14"/>
      <c r="AV1" s="14"/>
    </row>
    <row r="2" spans="1:48" s="2" customFormat="1" ht="15.75" x14ac:dyDescent="0.25">
      <c r="A2" s="1" t="s">
        <v>0</v>
      </c>
      <c r="E2" s="3" t="s">
        <v>1</v>
      </c>
      <c r="R2" s="3"/>
      <c r="AK2" s="4"/>
      <c r="AL2" s="4"/>
      <c r="AM2" s="4"/>
      <c r="AN2" s="4"/>
      <c r="AO2" s="4"/>
      <c r="AP2" s="4"/>
      <c r="AS2" s="5"/>
    </row>
    <row r="3" spans="1:48" s="2" customFormat="1" ht="15.75" x14ac:dyDescent="0.25">
      <c r="A3" s="1" t="s">
        <v>32</v>
      </c>
      <c r="E3" s="3" t="s">
        <v>49</v>
      </c>
      <c r="R3" s="3" t="s">
        <v>2</v>
      </c>
      <c r="AK3" s="4"/>
      <c r="AL3" s="4"/>
      <c r="AM3" s="4"/>
      <c r="AN3" s="4"/>
      <c r="AO3" s="4"/>
      <c r="AP3" s="4"/>
      <c r="AS3" s="5"/>
    </row>
    <row r="4" spans="1:48" s="2" customFormat="1" ht="25.5" customHeight="1" x14ac:dyDescent="0.25">
      <c r="A4" s="43" t="s">
        <v>3</v>
      </c>
      <c r="B4" s="43" t="s">
        <v>4</v>
      </c>
      <c r="C4" s="43" t="s">
        <v>5</v>
      </c>
      <c r="D4" s="43" t="s">
        <v>6</v>
      </c>
      <c r="E4" s="43" t="s">
        <v>7</v>
      </c>
      <c r="F4" s="50" t="s">
        <v>8</v>
      </c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2"/>
      <c r="AK4" s="43" t="s">
        <v>9</v>
      </c>
      <c r="AL4" s="43" t="s">
        <v>10</v>
      </c>
      <c r="AM4" s="43" t="s">
        <v>11</v>
      </c>
      <c r="AN4" s="43" t="s">
        <v>12</v>
      </c>
      <c r="AO4" s="43" t="s">
        <v>13</v>
      </c>
      <c r="AP4" s="43" t="s">
        <v>14</v>
      </c>
      <c r="AQ4" s="43" t="s">
        <v>15</v>
      </c>
      <c r="AR4" s="43" t="s">
        <v>16</v>
      </c>
      <c r="AS4" s="45" t="s">
        <v>17</v>
      </c>
      <c r="AT4" s="43" t="s">
        <v>18</v>
      </c>
    </row>
    <row r="5" spans="1:48" s="2" customFormat="1" ht="42.75" customHeight="1" x14ac:dyDescent="0.25">
      <c r="A5" s="44"/>
      <c r="B5" s="44"/>
      <c r="C5" s="44"/>
      <c r="D5" s="44"/>
      <c r="E5" s="44"/>
      <c r="F5" s="6">
        <v>1</v>
      </c>
      <c r="G5" s="6">
        <v>2</v>
      </c>
      <c r="H5" s="6">
        <v>3</v>
      </c>
      <c r="I5" s="6">
        <v>4</v>
      </c>
      <c r="J5" s="6">
        <v>5</v>
      </c>
      <c r="K5" s="6">
        <v>6</v>
      </c>
      <c r="L5" s="6">
        <v>7</v>
      </c>
      <c r="M5" s="6">
        <v>8</v>
      </c>
      <c r="N5" s="6">
        <v>9</v>
      </c>
      <c r="O5" s="6">
        <v>10</v>
      </c>
      <c r="P5" s="6">
        <v>11</v>
      </c>
      <c r="Q5" s="6">
        <v>12</v>
      </c>
      <c r="R5" s="6">
        <v>13</v>
      </c>
      <c r="S5" s="6">
        <v>14</v>
      </c>
      <c r="T5" s="6">
        <v>15</v>
      </c>
      <c r="U5" s="6">
        <v>16</v>
      </c>
      <c r="V5" s="6">
        <v>17</v>
      </c>
      <c r="W5" s="6">
        <v>18</v>
      </c>
      <c r="X5" s="6">
        <v>19</v>
      </c>
      <c r="Y5" s="6">
        <v>20</v>
      </c>
      <c r="Z5" s="6">
        <v>21</v>
      </c>
      <c r="AA5" s="6">
        <v>22</v>
      </c>
      <c r="AB5" s="6">
        <v>23</v>
      </c>
      <c r="AC5" s="6">
        <v>24</v>
      </c>
      <c r="AD5" s="6">
        <v>25</v>
      </c>
      <c r="AE5" s="6">
        <v>26</v>
      </c>
      <c r="AF5" s="6">
        <v>27</v>
      </c>
      <c r="AG5" s="6">
        <v>28</v>
      </c>
      <c r="AH5" s="6">
        <v>29</v>
      </c>
      <c r="AI5" s="6">
        <v>30</v>
      </c>
      <c r="AJ5" s="6">
        <v>31</v>
      </c>
      <c r="AK5" s="44"/>
      <c r="AL5" s="44"/>
      <c r="AM5" s="44"/>
      <c r="AN5" s="44"/>
      <c r="AO5" s="44"/>
      <c r="AP5" s="44"/>
      <c r="AQ5" s="44"/>
      <c r="AR5" s="44"/>
      <c r="AS5" s="46"/>
      <c r="AT5" s="44"/>
    </row>
    <row r="6" spans="1:48" s="2" customFormat="1" ht="16.5" thickBot="1" x14ac:dyDescent="0.3">
      <c r="A6" s="8">
        <v>1</v>
      </c>
      <c r="B6" s="9" t="s">
        <v>42</v>
      </c>
      <c r="C6" s="9" t="s">
        <v>45</v>
      </c>
      <c r="D6" s="9" t="s">
        <v>46</v>
      </c>
      <c r="E6" s="9" t="s">
        <v>44</v>
      </c>
      <c r="F6" s="11"/>
      <c r="G6" s="11"/>
      <c r="H6" s="11"/>
      <c r="I6" s="11">
        <v>2.0099999999999998</v>
      </c>
      <c r="J6" s="11"/>
      <c r="K6" s="11"/>
      <c r="L6" s="11">
        <v>1.26</v>
      </c>
      <c r="M6" s="11">
        <v>1.26</v>
      </c>
      <c r="N6" s="11">
        <v>1.26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>
        <v>2.5099999999999998</v>
      </c>
      <c r="AB6" s="11">
        <v>1.25</v>
      </c>
      <c r="AC6" s="11"/>
      <c r="AD6" s="11"/>
      <c r="AE6" s="11">
        <v>2.5</v>
      </c>
      <c r="AF6" s="11"/>
      <c r="AG6" s="11">
        <v>2.5</v>
      </c>
      <c r="AH6" s="11"/>
      <c r="AI6" s="11">
        <v>2.5</v>
      </c>
      <c r="AJ6" s="11"/>
      <c r="AK6" s="20">
        <f>SUM(F6:AJ6)</f>
        <v>17.049999999999997</v>
      </c>
      <c r="AL6" s="11"/>
      <c r="AM6" s="8"/>
      <c r="AN6" s="8"/>
      <c r="AO6" s="8"/>
      <c r="AP6" s="8"/>
      <c r="AQ6" s="38"/>
      <c r="AR6" s="10"/>
      <c r="AS6" s="12">
        <v>292</v>
      </c>
      <c r="AT6" s="13">
        <f>AS6*AK6</f>
        <v>4978.5999999999995</v>
      </c>
    </row>
    <row r="7" spans="1:48" s="2" customFormat="1" ht="16.5" thickTop="1" x14ac:dyDescent="0.25">
      <c r="A7" s="11"/>
      <c r="B7" s="9"/>
      <c r="C7" s="9"/>
      <c r="D7" s="9"/>
      <c r="E7" s="9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5"/>
      <c r="AR7" s="9"/>
      <c r="AS7" s="12"/>
      <c r="AT7" s="13">
        <f>AS7*AK7</f>
        <v>0</v>
      </c>
    </row>
    <row r="8" spans="1:48" s="2" customFormat="1" ht="15.75" x14ac:dyDescent="0.25">
      <c r="A8" s="11"/>
      <c r="B8" s="9"/>
      <c r="C8" s="17"/>
      <c r="D8" s="9"/>
      <c r="E8" s="9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5"/>
      <c r="AR8" s="9"/>
      <c r="AS8" s="9"/>
      <c r="AT8" s="16"/>
    </row>
    <row r="9" spans="1:48" s="2" customFormat="1" ht="15.75" x14ac:dyDescent="0.25">
      <c r="A9" s="11"/>
      <c r="B9" s="9"/>
      <c r="C9" s="9"/>
      <c r="D9" s="9"/>
      <c r="E9" s="9"/>
      <c r="F9" s="11"/>
      <c r="G9" s="11"/>
      <c r="H9" s="11"/>
      <c r="I9" s="11"/>
      <c r="J9" s="11"/>
      <c r="K9" s="11"/>
      <c r="L9" s="11"/>
      <c r="M9" s="11"/>
      <c r="N9" s="18"/>
      <c r="O9" s="18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8"/>
      <c r="AL9" s="11"/>
      <c r="AM9" s="18"/>
      <c r="AN9" s="11"/>
      <c r="AO9" s="11"/>
      <c r="AP9" s="11"/>
      <c r="AQ9" s="15"/>
      <c r="AR9" s="9"/>
      <c r="AS9" s="9"/>
      <c r="AT9" s="19"/>
    </row>
    <row r="10" spans="1:48" s="2" customFormat="1" ht="16.5" customHeight="1" thickBot="1" x14ac:dyDescent="0.3">
      <c r="A10" s="11"/>
      <c r="B10" s="47" t="s">
        <v>19</v>
      </c>
      <c r="C10" s="48"/>
      <c r="D10" s="48"/>
      <c r="E10" s="49"/>
      <c r="F10" s="20">
        <f t="shared" ref="F10:AM10" si="0">SUM(F6:F9)</f>
        <v>0</v>
      </c>
      <c r="G10" s="20">
        <f t="shared" si="0"/>
        <v>0</v>
      </c>
      <c r="H10" s="20">
        <f t="shared" si="0"/>
        <v>0</v>
      </c>
      <c r="I10" s="20">
        <f t="shared" si="0"/>
        <v>2.0099999999999998</v>
      </c>
      <c r="J10" s="20">
        <f t="shared" si="0"/>
        <v>0</v>
      </c>
      <c r="K10" s="20">
        <f t="shared" si="0"/>
        <v>0</v>
      </c>
      <c r="L10" s="20">
        <f t="shared" si="0"/>
        <v>1.26</v>
      </c>
      <c r="M10" s="20">
        <f t="shared" si="0"/>
        <v>1.26</v>
      </c>
      <c r="N10" s="20">
        <f t="shared" si="0"/>
        <v>1.26</v>
      </c>
      <c r="O10" s="20">
        <f t="shared" si="0"/>
        <v>0</v>
      </c>
      <c r="P10" s="20">
        <f t="shared" si="0"/>
        <v>0</v>
      </c>
      <c r="Q10" s="20">
        <f t="shared" si="0"/>
        <v>0</v>
      </c>
      <c r="R10" s="20">
        <f t="shared" si="0"/>
        <v>0</v>
      </c>
      <c r="S10" s="20">
        <f t="shared" si="0"/>
        <v>0</v>
      </c>
      <c r="T10" s="20">
        <f t="shared" si="0"/>
        <v>0</v>
      </c>
      <c r="U10" s="20">
        <f t="shared" si="0"/>
        <v>0</v>
      </c>
      <c r="V10" s="20">
        <f t="shared" si="0"/>
        <v>0</v>
      </c>
      <c r="W10" s="20">
        <f t="shared" si="0"/>
        <v>0</v>
      </c>
      <c r="X10" s="20">
        <f t="shared" si="0"/>
        <v>0</v>
      </c>
      <c r="Y10" s="20">
        <f t="shared" si="0"/>
        <v>0</v>
      </c>
      <c r="Z10" s="20">
        <f t="shared" si="0"/>
        <v>0</v>
      </c>
      <c r="AA10" s="20">
        <f t="shared" si="0"/>
        <v>2.5099999999999998</v>
      </c>
      <c r="AB10" s="20">
        <f t="shared" si="0"/>
        <v>1.25</v>
      </c>
      <c r="AC10" s="20">
        <f t="shared" si="0"/>
        <v>0</v>
      </c>
      <c r="AD10" s="20">
        <f t="shared" si="0"/>
        <v>0</v>
      </c>
      <c r="AE10" s="20">
        <f t="shared" si="0"/>
        <v>2.5</v>
      </c>
      <c r="AF10" s="20">
        <f t="shared" si="0"/>
        <v>0</v>
      </c>
      <c r="AG10" s="20">
        <f t="shared" si="0"/>
        <v>2.5</v>
      </c>
      <c r="AH10" s="20">
        <f t="shared" si="0"/>
        <v>0</v>
      </c>
      <c r="AI10" s="20">
        <f t="shared" si="0"/>
        <v>2.5</v>
      </c>
      <c r="AJ10" s="20">
        <f t="shared" si="0"/>
        <v>0</v>
      </c>
      <c r="AK10" s="20">
        <f t="shared" si="0"/>
        <v>17.049999999999997</v>
      </c>
      <c r="AL10" s="20">
        <f t="shared" si="0"/>
        <v>0</v>
      </c>
      <c r="AM10" s="20">
        <f t="shared" si="0"/>
        <v>0</v>
      </c>
      <c r="AN10" s="22"/>
      <c r="AO10" s="22"/>
      <c r="AP10" s="22"/>
      <c r="AQ10" s="22"/>
      <c r="AR10" s="22"/>
      <c r="AS10" s="22">
        <f>SUM(AS6:AS9)</f>
        <v>292</v>
      </c>
      <c r="AT10" s="22">
        <f>SUM(AT6:AT9)</f>
        <v>4978.5999999999995</v>
      </c>
    </row>
    <row r="11" spans="1:48" s="2" customFormat="1" ht="16.5" thickTop="1" x14ac:dyDescent="0.25">
      <c r="A11" s="11"/>
      <c r="B11" s="9"/>
      <c r="C11" s="9"/>
      <c r="D11" s="9"/>
      <c r="E11" s="9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11"/>
      <c r="AL11" s="23"/>
      <c r="AM11" s="23"/>
      <c r="AN11" s="11"/>
      <c r="AO11" s="11"/>
      <c r="AP11" s="11"/>
      <c r="AQ11" s="15"/>
      <c r="AR11" s="9"/>
      <c r="AS11" s="9"/>
      <c r="AT11" s="9"/>
    </row>
    <row r="12" spans="1:48" s="2" customFormat="1" ht="15.75" x14ac:dyDescent="0.25">
      <c r="A12" s="29"/>
      <c r="B12" s="30" t="s">
        <v>21</v>
      </c>
      <c r="C12" s="31"/>
      <c r="D12" s="31"/>
      <c r="E12" s="31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</row>
    <row r="13" spans="1:48" s="2" customFormat="1" ht="15.75" x14ac:dyDescent="0.25">
      <c r="A13" s="29"/>
      <c r="B13" s="30" t="s">
        <v>22</v>
      </c>
      <c r="C13" s="31"/>
      <c r="D13" s="31"/>
      <c r="E13" s="31"/>
      <c r="F13" s="14"/>
      <c r="G13" s="14"/>
      <c r="H13" s="14"/>
      <c r="I13" s="14">
        <v>5.79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>
        <v>3.76</v>
      </c>
      <c r="AB13" s="14"/>
      <c r="AC13" s="14"/>
      <c r="AD13" s="14">
        <v>5</v>
      </c>
      <c r="AE13" s="14"/>
      <c r="AF13" s="14"/>
      <c r="AG13" s="14"/>
      <c r="AH13" s="14"/>
      <c r="AI13" s="14">
        <v>5</v>
      </c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</row>
    <row r="14" spans="1:48" s="2" customFormat="1" ht="15.75" x14ac:dyDescent="0.25">
      <c r="A14" s="29"/>
      <c r="B14" s="14" t="s">
        <v>23</v>
      </c>
      <c r="E14" s="14"/>
      <c r="F14" s="14">
        <f>F10</f>
        <v>0</v>
      </c>
      <c r="G14" s="14">
        <f t="shared" ref="G14:AJ14" si="1">G10</f>
        <v>0</v>
      </c>
      <c r="H14" s="14">
        <f t="shared" si="1"/>
        <v>0</v>
      </c>
      <c r="I14" s="14">
        <f t="shared" si="1"/>
        <v>2.0099999999999998</v>
      </c>
      <c r="J14" s="14">
        <f t="shared" si="1"/>
        <v>0</v>
      </c>
      <c r="K14" s="14">
        <f t="shared" si="1"/>
        <v>0</v>
      </c>
      <c r="L14" s="14">
        <f t="shared" si="1"/>
        <v>1.26</v>
      </c>
      <c r="M14" s="14">
        <f t="shared" si="1"/>
        <v>1.26</v>
      </c>
      <c r="N14" s="14">
        <f t="shared" si="1"/>
        <v>1.26</v>
      </c>
      <c r="O14" s="14">
        <f t="shared" si="1"/>
        <v>0</v>
      </c>
      <c r="P14" s="14">
        <f t="shared" si="1"/>
        <v>0</v>
      </c>
      <c r="Q14" s="14">
        <f t="shared" si="1"/>
        <v>0</v>
      </c>
      <c r="R14" s="14">
        <f t="shared" si="1"/>
        <v>0</v>
      </c>
      <c r="S14" s="14">
        <f t="shared" si="1"/>
        <v>0</v>
      </c>
      <c r="T14" s="14">
        <f t="shared" si="1"/>
        <v>0</v>
      </c>
      <c r="U14" s="14">
        <f t="shared" si="1"/>
        <v>0</v>
      </c>
      <c r="V14" s="14">
        <f t="shared" si="1"/>
        <v>0</v>
      </c>
      <c r="W14" s="14">
        <f t="shared" si="1"/>
        <v>0</v>
      </c>
      <c r="X14" s="14">
        <f t="shared" si="1"/>
        <v>0</v>
      </c>
      <c r="Y14" s="14">
        <f t="shared" si="1"/>
        <v>0</v>
      </c>
      <c r="Z14" s="14">
        <f t="shared" si="1"/>
        <v>0</v>
      </c>
      <c r="AA14" s="14">
        <f t="shared" si="1"/>
        <v>2.5099999999999998</v>
      </c>
      <c r="AB14" s="14">
        <f t="shared" si="1"/>
        <v>1.25</v>
      </c>
      <c r="AC14" s="14">
        <f t="shared" si="1"/>
        <v>0</v>
      </c>
      <c r="AD14" s="14">
        <f t="shared" si="1"/>
        <v>0</v>
      </c>
      <c r="AE14" s="14">
        <f t="shared" si="1"/>
        <v>2.5</v>
      </c>
      <c r="AF14" s="14">
        <f t="shared" si="1"/>
        <v>0</v>
      </c>
      <c r="AG14" s="14">
        <f t="shared" si="1"/>
        <v>2.5</v>
      </c>
      <c r="AH14" s="14">
        <f t="shared" si="1"/>
        <v>0</v>
      </c>
      <c r="AI14" s="14">
        <f t="shared" si="1"/>
        <v>2.5</v>
      </c>
      <c r="AJ14" s="14">
        <f t="shared" si="1"/>
        <v>0</v>
      </c>
      <c r="AK14" s="14"/>
      <c r="AL14" s="14"/>
      <c r="AM14" s="14"/>
      <c r="AN14" s="14"/>
      <c r="AO14" s="14"/>
      <c r="AP14" s="14"/>
      <c r="AQ14" s="14"/>
      <c r="AR14" s="14"/>
      <c r="AS14" s="14"/>
      <c r="AT14" s="14"/>
    </row>
    <row r="15" spans="1:48" s="2" customFormat="1" ht="15.75" x14ac:dyDescent="0.25">
      <c r="A15" s="29"/>
      <c r="B15" s="14" t="s">
        <v>24</v>
      </c>
      <c r="E15" s="14"/>
      <c r="F15" s="14">
        <f>(F12+F13)-F14</f>
        <v>0</v>
      </c>
      <c r="G15" s="14">
        <f>(F15+G12+G13)-G14</f>
        <v>0</v>
      </c>
      <c r="H15" s="14">
        <f t="shared" ref="H15:AJ15" si="2">(G15+H12+H13)-H14</f>
        <v>0</v>
      </c>
      <c r="I15" s="14">
        <f t="shared" si="2"/>
        <v>3.7800000000000002</v>
      </c>
      <c r="J15" s="14">
        <f t="shared" si="2"/>
        <v>3.7800000000000002</v>
      </c>
      <c r="K15" s="14">
        <f t="shared" si="2"/>
        <v>3.7800000000000002</v>
      </c>
      <c r="L15" s="14">
        <f t="shared" si="2"/>
        <v>2.5200000000000005</v>
      </c>
      <c r="M15" s="14">
        <f t="shared" si="2"/>
        <v>1.2600000000000005</v>
      </c>
      <c r="N15" s="14">
        <f t="shared" si="2"/>
        <v>0</v>
      </c>
      <c r="O15" s="14">
        <f t="shared" si="2"/>
        <v>0</v>
      </c>
      <c r="P15" s="14">
        <f>(O15+P12+P13)-P14</f>
        <v>0</v>
      </c>
      <c r="Q15" s="14">
        <f>(P15+Q12+Q13)-Q14</f>
        <v>0</v>
      </c>
      <c r="R15" s="14">
        <f t="shared" si="2"/>
        <v>0</v>
      </c>
      <c r="S15" s="14">
        <f t="shared" si="2"/>
        <v>0</v>
      </c>
      <c r="T15" s="14">
        <f t="shared" si="2"/>
        <v>0</v>
      </c>
      <c r="U15" s="14">
        <f t="shared" si="2"/>
        <v>0</v>
      </c>
      <c r="V15" s="14">
        <f t="shared" si="2"/>
        <v>0</v>
      </c>
      <c r="W15" s="14">
        <f t="shared" si="2"/>
        <v>0</v>
      </c>
      <c r="X15" s="14">
        <f t="shared" si="2"/>
        <v>0</v>
      </c>
      <c r="Y15" s="14">
        <f t="shared" si="2"/>
        <v>0</v>
      </c>
      <c r="Z15" s="14">
        <f t="shared" si="2"/>
        <v>0</v>
      </c>
      <c r="AA15" s="14">
        <f t="shared" si="2"/>
        <v>1.25</v>
      </c>
      <c r="AB15" s="14">
        <f t="shared" si="2"/>
        <v>0</v>
      </c>
      <c r="AC15" s="14">
        <f t="shared" si="2"/>
        <v>0</v>
      </c>
      <c r="AD15" s="14">
        <f t="shared" si="2"/>
        <v>5</v>
      </c>
      <c r="AE15" s="14">
        <f t="shared" si="2"/>
        <v>2.5</v>
      </c>
      <c r="AF15" s="14">
        <f t="shared" si="2"/>
        <v>2.5</v>
      </c>
      <c r="AG15" s="14">
        <f t="shared" si="2"/>
        <v>0</v>
      </c>
      <c r="AH15" s="14">
        <f t="shared" si="2"/>
        <v>0</v>
      </c>
      <c r="AI15" s="14">
        <f t="shared" si="2"/>
        <v>2.5</v>
      </c>
      <c r="AJ15" s="14">
        <f t="shared" si="2"/>
        <v>2.5</v>
      </c>
      <c r="AK15" s="14"/>
      <c r="AL15" s="14"/>
      <c r="AM15" s="29"/>
      <c r="AN15" s="29"/>
      <c r="AO15" s="29"/>
      <c r="AP15" s="29"/>
      <c r="AQ15" s="14"/>
      <c r="AR15" s="14"/>
      <c r="AS15" s="32"/>
      <c r="AT15" s="39">
        <f>AT10</f>
        <v>4978.5999999999995</v>
      </c>
    </row>
    <row r="16" spans="1:48" s="2" customFormat="1" ht="15.75" x14ac:dyDescent="0.25">
      <c r="A16" s="29"/>
      <c r="B16" s="14" t="s">
        <v>2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29"/>
      <c r="AL16" s="29"/>
      <c r="AM16" s="29"/>
      <c r="AN16" s="29"/>
      <c r="AO16" s="29"/>
      <c r="AP16" s="29"/>
      <c r="AQ16" s="14"/>
      <c r="AR16" s="14"/>
      <c r="AS16" s="32"/>
      <c r="AT16" s="14"/>
    </row>
    <row r="17" spans="1:46" s="2" customFormat="1" ht="16.5" thickBot="1" x14ac:dyDescent="0.3">
      <c r="A17" s="29"/>
      <c r="B17" s="14" t="s">
        <v>25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O17" s="29"/>
      <c r="AP17" s="29"/>
      <c r="AQ17" s="2" t="s">
        <v>26</v>
      </c>
      <c r="AR17" s="29"/>
      <c r="AS17" s="29"/>
      <c r="AT17" s="41">
        <f>F12*294</f>
        <v>0</v>
      </c>
    </row>
    <row r="18" spans="1:46" s="2" customFormat="1" ht="16.5" thickTop="1" x14ac:dyDescent="0.25">
      <c r="A18" s="29"/>
      <c r="B18" s="14" t="s">
        <v>27</v>
      </c>
      <c r="C18" s="14"/>
      <c r="D18" s="14"/>
      <c r="E18" s="14">
        <f>SUM(F13:AJ13)</f>
        <v>19.55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N18" s="30"/>
      <c r="AO18" s="29"/>
      <c r="AP18" s="29"/>
      <c r="AQ18" s="2" t="s">
        <v>28</v>
      </c>
      <c r="AR18" s="29"/>
      <c r="AS18" s="29"/>
      <c r="AT18" s="37">
        <f>AT15-AT17</f>
        <v>4978.5999999999995</v>
      </c>
    </row>
    <row r="19" spans="1:46" s="2" customFormat="1" ht="15.75" x14ac:dyDescent="0.25">
      <c r="A19" s="29"/>
      <c r="B19" s="14" t="s">
        <v>29</v>
      </c>
      <c r="C19" s="14"/>
      <c r="D19" s="14"/>
      <c r="E19" s="14">
        <f>AK10</f>
        <v>17.049999999999997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29"/>
      <c r="AL19" s="29"/>
      <c r="AM19" s="29"/>
      <c r="AN19" s="29"/>
      <c r="AO19" s="29"/>
      <c r="AP19" s="29"/>
      <c r="AQ19" s="14"/>
      <c r="AR19" s="14"/>
      <c r="AS19" s="32"/>
      <c r="AT19" s="14"/>
    </row>
    <row r="20" spans="1:46" s="2" customFormat="1" ht="16.5" thickBot="1" x14ac:dyDescent="0.3">
      <c r="A20" s="29"/>
      <c r="B20" s="14" t="s">
        <v>30</v>
      </c>
      <c r="C20" s="14"/>
      <c r="D20" s="14"/>
      <c r="E20" s="33">
        <f>E17+E18-E19</f>
        <v>2.5000000000000036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29"/>
      <c r="AL20" s="29"/>
      <c r="AM20" s="29"/>
      <c r="AN20" s="29"/>
      <c r="AO20" s="29"/>
      <c r="AP20" s="29"/>
      <c r="AQ20" s="14"/>
      <c r="AR20" s="14"/>
      <c r="AS20" s="32"/>
      <c r="AT20" s="14"/>
    </row>
    <row r="21" spans="1:46" s="2" customFormat="1" ht="16.5" thickTop="1" x14ac:dyDescent="0.25">
      <c r="A21" s="29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29"/>
      <c r="AL21" s="29"/>
      <c r="AM21" s="29"/>
      <c r="AN21" s="29"/>
      <c r="AO21" s="29"/>
      <c r="AP21" s="29"/>
      <c r="AQ21" s="14"/>
      <c r="AR21" s="14"/>
      <c r="AS21" s="32"/>
      <c r="AT21" s="14"/>
    </row>
    <row r="22" spans="1:46" s="2" customFormat="1" ht="15.75" x14ac:dyDescent="0.25">
      <c r="A22" s="34"/>
      <c r="C22" s="14"/>
      <c r="D22" s="14"/>
      <c r="E22" s="35"/>
      <c r="K22" s="14"/>
      <c r="M22" s="36"/>
      <c r="N22" s="14"/>
      <c r="P22" s="14"/>
      <c r="Q22" s="14"/>
      <c r="R22" s="14"/>
      <c r="U22" s="36"/>
      <c r="V22" s="14"/>
      <c r="W22" s="14"/>
      <c r="X22" s="14"/>
      <c r="Y22" s="14"/>
      <c r="Z22" s="14"/>
      <c r="AA22" s="14"/>
      <c r="AB22" s="36"/>
      <c r="AC22" s="14"/>
      <c r="AD22" s="14"/>
      <c r="AE22" s="14"/>
      <c r="AF22" s="14"/>
      <c r="AG22" s="14"/>
      <c r="AH22" s="36"/>
      <c r="AI22" s="14"/>
      <c r="AJ22" s="14"/>
      <c r="AK22" s="14"/>
      <c r="AL22" s="29"/>
      <c r="AM22" s="29"/>
      <c r="AN22" s="29"/>
      <c r="AO22" s="29"/>
      <c r="AP22" s="29"/>
      <c r="AQ22" s="14"/>
      <c r="AR22" s="14"/>
      <c r="AS22" s="32"/>
      <c r="AT22" s="14"/>
    </row>
    <row r="23" spans="1:46" s="2" customFormat="1" ht="15.75" x14ac:dyDescent="0.25">
      <c r="A23" s="14"/>
      <c r="C23" s="14"/>
      <c r="D23" s="14"/>
      <c r="E23" s="35"/>
      <c r="K23" s="14"/>
      <c r="M23" s="36"/>
      <c r="N23" s="14"/>
      <c r="P23" s="14"/>
      <c r="Q23" s="14"/>
      <c r="R23" s="14"/>
      <c r="U23" s="36"/>
      <c r="V23" s="14"/>
      <c r="W23" s="14"/>
      <c r="X23" s="14"/>
      <c r="Y23" s="14"/>
      <c r="Z23" s="14"/>
      <c r="AA23" s="14"/>
      <c r="AB23" s="36"/>
      <c r="AC23" s="14"/>
      <c r="AD23" s="14"/>
      <c r="AE23" s="14"/>
      <c r="AF23" s="14"/>
      <c r="AG23" s="14"/>
      <c r="AH23" s="36"/>
      <c r="AI23" s="14"/>
      <c r="AJ23" s="14"/>
      <c r="AK23" s="14"/>
      <c r="AL23" s="29"/>
      <c r="AM23" s="29"/>
      <c r="AN23" s="29"/>
      <c r="AO23" s="29"/>
      <c r="AP23" s="29"/>
      <c r="AQ23" s="14"/>
      <c r="AR23" s="14"/>
      <c r="AS23" s="32"/>
      <c r="AT23" s="14"/>
    </row>
  </sheetData>
  <mergeCells count="17">
    <mergeCell ref="A4:A5"/>
    <mergeCell ref="B4:B5"/>
    <mergeCell ref="C4:C5"/>
    <mergeCell ref="D4:D5"/>
    <mergeCell ref="E4:E5"/>
    <mergeCell ref="AQ4:AQ5"/>
    <mergeCell ref="AR4:AR5"/>
    <mergeCell ref="AS4:AS5"/>
    <mergeCell ref="AT4:AT5"/>
    <mergeCell ref="B10:E10"/>
    <mergeCell ref="AK4:AK5"/>
    <mergeCell ref="AL4:AL5"/>
    <mergeCell ref="AM4:AM5"/>
    <mergeCell ref="AN4:AN5"/>
    <mergeCell ref="AO4:AO5"/>
    <mergeCell ref="AP4:AP5"/>
    <mergeCell ref="F4:A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82257-261B-48B4-BD2B-7770E2FE80CC}">
  <dimension ref="A1:AV23"/>
  <sheetViews>
    <sheetView tabSelected="1" topLeftCell="C1" zoomScale="60" zoomScaleNormal="60" workbookViewId="0">
      <selection activeCell="P22" sqref="P22"/>
    </sheetView>
  </sheetViews>
  <sheetFormatPr defaultRowHeight="15" x14ac:dyDescent="0.25"/>
  <sheetData>
    <row r="1" spans="1:48" s="2" customFormat="1" ht="15.75" x14ac:dyDescent="0.25">
      <c r="A1" s="14"/>
      <c r="C1" s="14"/>
      <c r="D1" s="14"/>
      <c r="E1" s="35"/>
      <c r="K1" s="14"/>
      <c r="M1" s="36"/>
      <c r="N1" s="14"/>
      <c r="P1" s="14"/>
      <c r="Q1" s="14"/>
      <c r="R1" s="14"/>
      <c r="U1" s="36"/>
      <c r="V1" s="14"/>
      <c r="W1" s="14"/>
      <c r="X1" s="14"/>
      <c r="Y1" s="14"/>
      <c r="Z1" s="14"/>
      <c r="AA1" s="14"/>
      <c r="AB1" s="36"/>
      <c r="AC1" s="14"/>
      <c r="AD1" s="14"/>
      <c r="AE1" s="14"/>
      <c r="AF1" s="14"/>
      <c r="AG1" s="14"/>
      <c r="AH1" s="36"/>
      <c r="AI1" s="14"/>
      <c r="AJ1" s="14"/>
      <c r="AK1" s="14"/>
      <c r="AL1" s="29"/>
      <c r="AM1" s="29"/>
      <c r="AN1" s="29"/>
      <c r="AO1" s="29"/>
      <c r="AP1" s="29"/>
      <c r="AQ1" s="14"/>
      <c r="AR1" s="14"/>
      <c r="AS1" s="32"/>
      <c r="AT1" s="14"/>
      <c r="AU1" s="14"/>
      <c r="AV1" s="14"/>
    </row>
    <row r="2" spans="1:48" s="2" customFormat="1" ht="15.75" x14ac:dyDescent="0.25">
      <c r="A2" s="1" t="s">
        <v>0</v>
      </c>
      <c r="E2" s="3" t="s">
        <v>1</v>
      </c>
      <c r="R2" s="3"/>
      <c r="AK2" s="4"/>
      <c r="AL2" s="4"/>
      <c r="AM2" s="4"/>
      <c r="AN2" s="4"/>
      <c r="AO2" s="4"/>
      <c r="AP2" s="4"/>
      <c r="AS2" s="5"/>
    </row>
    <row r="3" spans="1:48" s="2" customFormat="1" ht="15.75" x14ac:dyDescent="0.25">
      <c r="A3" s="1" t="s">
        <v>32</v>
      </c>
      <c r="E3" s="3" t="s">
        <v>50</v>
      </c>
      <c r="R3" s="3" t="s">
        <v>2</v>
      </c>
      <c r="AK3" s="4"/>
      <c r="AL3" s="4"/>
      <c r="AM3" s="4"/>
      <c r="AN3" s="4"/>
      <c r="AO3" s="4"/>
      <c r="AP3" s="4"/>
      <c r="AS3" s="5"/>
    </row>
    <row r="4" spans="1:48" s="2" customFormat="1" ht="25.5" customHeight="1" x14ac:dyDescent="0.25">
      <c r="A4" s="43" t="s">
        <v>3</v>
      </c>
      <c r="B4" s="43" t="s">
        <v>4</v>
      </c>
      <c r="C4" s="43" t="s">
        <v>5</v>
      </c>
      <c r="D4" s="43" t="s">
        <v>6</v>
      </c>
      <c r="E4" s="43" t="s">
        <v>7</v>
      </c>
      <c r="F4" s="50" t="s">
        <v>8</v>
      </c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2"/>
      <c r="AK4" s="43" t="s">
        <v>9</v>
      </c>
      <c r="AL4" s="43" t="s">
        <v>10</v>
      </c>
      <c r="AM4" s="43" t="s">
        <v>11</v>
      </c>
      <c r="AN4" s="43" t="s">
        <v>12</v>
      </c>
      <c r="AO4" s="43" t="s">
        <v>13</v>
      </c>
      <c r="AP4" s="43" t="s">
        <v>14</v>
      </c>
      <c r="AQ4" s="43" t="s">
        <v>15</v>
      </c>
      <c r="AR4" s="43" t="s">
        <v>16</v>
      </c>
      <c r="AS4" s="45" t="s">
        <v>17</v>
      </c>
      <c r="AT4" s="43" t="s">
        <v>18</v>
      </c>
    </row>
    <row r="5" spans="1:48" s="2" customFormat="1" ht="42.75" customHeight="1" x14ac:dyDescent="0.25">
      <c r="A5" s="44"/>
      <c r="B5" s="44"/>
      <c r="C5" s="44"/>
      <c r="D5" s="44"/>
      <c r="E5" s="44"/>
      <c r="F5" s="6">
        <v>1</v>
      </c>
      <c r="G5" s="6">
        <v>2</v>
      </c>
      <c r="H5" s="6">
        <v>3</v>
      </c>
      <c r="I5" s="6">
        <v>4</v>
      </c>
      <c r="J5" s="6">
        <v>5</v>
      </c>
      <c r="K5" s="6">
        <v>6</v>
      </c>
      <c r="L5" s="6">
        <v>7</v>
      </c>
      <c r="M5" s="6">
        <v>8</v>
      </c>
      <c r="N5" s="6">
        <v>9</v>
      </c>
      <c r="O5" s="6">
        <v>10</v>
      </c>
      <c r="P5" s="6">
        <v>11</v>
      </c>
      <c r="Q5" s="6">
        <v>12</v>
      </c>
      <c r="R5" s="6">
        <v>13</v>
      </c>
      <c r="S5" s="6">
        <v>14</v>
      </c>
      <c r="T5" s="6">
        <v>15</v>
      </c>
      <c r="U5" s="6">
        <v>16</v>
      </c>
      <c r="V5" s="6">
        <v>17</v>
      </c>
      <c r="W5" s="6">
        <v>18</v>
      </c>
      <c r="X5" s="6">
        <v>19</v>
      </c>
      <c r="Y5" s="6">
        <v>20</v>
      </c>
      <c r="Z5" s="6">
        <v>21</v>
      </c>
      <c r="AA5" s="6">
        <v>22</v>
      </c>
      <c r="AB5" s="6">
        <v>23</v>
      </c>
      <c r="AC5" s="6">
        <v>24</v>
      </c>
      <c r="AD5" s="6">
        <v>25</v>
      </c>
      <c r="AE5" s="6">
        <v>26</v>
      </c>
      <c r="AF5" s="6">
        <v>27</v>
      </c>
      <c r="AG5" s="6">
        <v>28</v>
      </c>
      <c r="AH5" s="6">
        <v>29</v>
      </c>
      <c r="AI5" s="6">
        <v>30</v>
      </c>
      <c r="AJ5" s="6">
        <v>31</v>
      </c>
      <c r="AK5" s="44"/>
      <c r="AL5" s="44"/>
      <c r="AM5" s="44"/>
      <c r="AN5" s="44"/>
      <c r="AO5" s="44"/>
      <c r="AP5" s="44"/>
      <c r="AQ5" s="44"/>
      <c r="AR5" s="44"/>
      <c r="AS5" s="46"/>
      <c r="AT5" s="44"/>
    </row>
    <row r="6" spans="1:48" s="2" customFormat="1" ht="16.5" thickBot="1" x14ac:dyDescent="0.3">
      <c r="A6" s="8">
        <v>1</v>
      </c>
      <c r="B6" s="9" t="s">
        <v>42</v>
      </c>
      <c r="C6" s="9" t="s">
        <v>45</v>
      </c>
      <c r="D6" s="9" t="s">
        <v>46</v>
      </c>
      <c r="E6" s="9" t="s">
        <v>44</v>
      </c>
      <c r="F6" s="11"/>
      <c r="G6" s="11">
        <v>2.5</v>
      </c>
      <c r="H6" s="11"/>
      <c r="I6" s="56">
        <v>2.4</v>
      </c>
      <c r="J6" s="56">
        <v>1.2</v>
      </c>
      <c r="K6" s="11">
        <v>2.4</v>
      </c>
      <c r="L6" s="11"/>
      <c r="M6" s="11"/>
      <c r="N6" s="11">
        <v>1.2</v>
      </c>
      <c r="O6" s="11">
        <v>2.4</v>
      </c>
      <c r="P6" s="11"/>
      <c r="Q6" s="11">
        <v>2.4</v>
      </c>
      <c r="R6" s="11"/>
      <c r="S6" s="11">
        <v>1.2</v>
      </c>
      <c r="T6" s="11">
        <v>2.4</v>
      </c>
      <c r="U6" s="11"/>
      <c r="V6" s="11"/>
      <c r="W6" s="11">
        <v>2.4</v>
      </c>
      <c r="X6" s="11"/>
      <c r="Y6" s="11">
        <v>2.4</v>
      </c>
      <c r="Z6" s="11"/>
      <c r="AA6" s="11">
        <v>2.4</v>
      </c>
      <c r="AB6" s="11"/>
      <c r="AC6" s="11">
        <v>2.4</v>
      </c>
      <c r="AD6" s="11"/>
      <c r="AE6" s="11">
        <v>2.4</v>
      </c>
      <c r="AF6" s="11"/>
      <c r="AG6" s="11"/>
      <c r="AH6" s="11"/>
      <c r="AI6" s="11"/>
      <c r="AJ6" s="11"/>
      <c r="AK6" s="20">
        <f>SUM(F6:AJ6)</f>
        <v>30.099999999999991</v>
      </c>
      <c r="AL6" s="11"/>
      <c r="AM6" s="8"/>
      <c r="AN6" s="8"/>
      <c r="AO6" s="8"/>
      <c r="AP6" s="8"/>
      <c r="AQ6" s="38"/>
      <c r="AR6" s="10"/>
      <c r="AS6" s="12">
        <v>292</v>
      </c>
      <c r="AT6" s="13">
        <f>AS6*AK6</f>
        <v>8789.1999999999971</v>
      </c>
    </row>
    <row r="7" spans="1:48" s="2" customFormat="1" ht="17.25" thickTop="1" thickBot="1" x14ac:dyDescent="0.3">
      <c r="A7" s="11"/>
      <c r="B7" s="9" t="s">
        <v>51</v>
      </c>
      <c r="C7" s="9"/>
      <c r="D7" s="9"/>
      <c r="E7" s="9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>
        <v>4.8</v>
      </c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20">
        <f>SUM(F7:AJ7)</f>
        <v>4.8</v>
      </c>
      <c r="AL7" s="11"/>
      <c r="AM7" s="11"/>
      <c r="AN7" s="11"/>
      <c r="AO7" s="11"/>
      <c r="AP7" s="11"/>
      <c r="AQ7" s="15"/>
      <c r="AR7" s="9"/>
      <c r="AS7" s="12"/>
      <c r="AT7" s="13">
        <f>AS7*AK7</f>
        <v>0</v>
      </c>
    </row>
    <row r="8" spans="1:48" s="2" customFormat="1" ht="16.5" thickTop="1" x14ac:dyDescent="0.25">
      <c r="A8" s="11"/>
      <c r="B8" s="9"/>
      <c r="C8" s="17"/>
      <c r="D8" s="9"/>
      <c r="E8" s="9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5"/>
      <c r="AR8" s="9"/>
      <c r="AS8" s="9"/>
      <c r="AT8" s="16"/>
    </row>
    <row r="9" spans="1:48" s="2" customFormat="1" ht="15.75" x14ac:dyDescent="0.25">
      <c r="A9" s="11"/>
      <c r="B9" s="9"/>
      <c r="C9" s="9"/>
      <c r="D9" s="9"/>
      <c r="E9" s="9"/>
      <c r="F9" s="11"/>
      <c r="G9" s="11"/>
      <c r="H9" s="11"/>
      <c r="I9" s="11"/>
      <c r="J9" s="11"/>
      <c r="K9" s="11"/>
      <c r="L9" s="11"/>
      <c r="M9" s="11"/>
      <c r="N9" s="18"/>
      <c r="O9" s="18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8"/>
      <c r="AL9" s="11"/>
      <c r="AM9" s="18"/>
      <c r="AN9" s="11"/>
      <c r="AO9" s="11"/>
      <c r="AP9" s="11"/>
      <c r="AQ9" s="15"/>
      <c r="AR9" s="9"/>
      <c r="AS9" s="9"/>
      <c r="AT9" s="19"/>
    </row>
    <row r="10" spans="1:48" s="2" customFormat="1" ht="16.5" customHeight="1" thickBot="1" x14ac:dyDescent="0.3">
      <c r="A10" s="11"/>
      <c r="B10" s="47" t="s">
        <v>19</v>
      </c>
      <c r="C10" s="48"/>
      <c r="D10" s="48"/>
      <c r="E10" s="49"/>
      <c r="F10" s="20">
        <f t="shared" ref="F10:AM10" si="0">SUM(F6:F9)</f>
        <v>0</v>
      </c>
      <c r="G10" s="20">
        <f t="shared" si="0"/>
        <v>2.5</v>
      </c>
      <c r="H10" s="20">
        <f t="shared" si="0"/>
        <v>0</v>
      </c>
      <c r="I10" s="20">
        <f t="shared" si="0"/>
        <v>2.4</v>
      </c>
      <c r="J10" s="20">
        <f t="shared" si="0"/>
        <v>1.2</v>
      </c>
      <c r="K10" s="20">
        <f t="shared" si="0"/>
        <v>2.4</v>
      </c>
      <c r="L10" s="20">
        <f t="shared" si="0"/>
        <v>0</v>
      </c>
      <c r="M10" s="20">
        <f t="shared" si="0"/>
        <v>0</v>
      </c>
      <c r="N10" s="20">
        <f t="shared" si="0"/>
        <v>1.2</v>
      </c>
      <c r="O10" s="20">
        <f t="shared" si="0"/>
        <v>2.4</v>
      </c>
      <c r="P10" s="20">
        <f t="shared" si="0"/>
        <v>0</v>
      </c>
      <c r="Q10" s="20">
        <f t="shared" si="0"/>
        <v>2.4</v>
      </c>
      <c r="R10" s="20">
        <f t="shared" si="0"/>
        <v>0</v>
      </c>
      <c r="S10" s="20">
        <f t="shared" si="0"/>
        <v>1.2</v>
      </c>
      <c r="T10" s="20">
        <f t="shared" si="0"/>
        <v>2.4</v>
      </c>
      <c r="U10" s="20">
        <f t="shared" si="0"/>
        <v>4.8</v>
      </c>
      <c r="V10" s="20">
        <f t="shared" si="0"/>
        <v>0</v>
      </c>
      <c r="W10" s="20">
        <f t="shared" si="0"/>
        <v>2.4</v>
      </c>
      <c r="X10" s="20">
        <f t="shared" si="0"/>
        <v>0</v>
      </c>
      <c r="Y10" s="20">
        <f t="shared" si="0"/>
        <v>2.4</v>
      </c>
      <c r="Z10" s="20">
        <f t="shared" si="0"/>
        <v>0</v>
      </c>
      <c r="AA10" s="20">
        <f t="shared" si="0"/>
        <v>2.4</v>
      </c>
      <c r="AB10" s="20">
        <f t="shared" si="0"/>
        <v>0</v>
      </c>
      <c r="AC10" s="20">
        <f t="shared" si="0"/>
        <v>2.4</v>
      </c>
      <c r="AD10" s="20">
        <f t="shared" si="0"/>
        <v>0</v>
      </c>
      <c r="AE10" s="20">
        <f t="shared" si="0"/>
        <v>2.4</v>
      </c>
      <c r="AF10" s="20">
        <f t="shared" si="0"/>
        <v>0</v>
      </c>
      <c r="AG10" s="20">
        <f t="shared" si="0"/>
        <v>0</v>
      </c>
      <c r="AH10" s="20">
        <f t="shared" si="0"/>
        <v>0</v>
      </c>
      <c r="AI10" s="20">
        <f t="shared" si="0"/>
        <v>0</v>
      </c>
      <c r="AJ10" s="20">
        <f t="shared" si="0"/>
        <v>0</v>
      </c>
      <c r="AK10" s="20">
        <f t="shared" si="0"/>
        <v>34.899999999999991</v>
      </c>
      <c r="AL10" s="20">
        <f t="shared" si="0"/>
        <v>0</v>
      </c>
      <c r="AM10" s="20">
        <f t="shared" si="0"/>
        <v>0</v>
      </c>
      <c r="AN10" s="22"/>
      <c r="AO10" s="22"/>
      <c r="AP10" s="22"/>
      <c r="AQ10" s="22"/>
      <c r="AR10" s="22"/>
      <c r="AS10" s="22">
        <f>SUM(AS6:AS9)</f>
        <v>292</v>
      </c>
      <c r="AT10" s="22">
        <f>SUM(AT6:AT9)</f>
        <v>8789.1999999999971</v>
      </c>
    </row>
    <row r="11" spans="1:48" s="2" customFormat="1" ht="16.5" thickTop="1" x14ac:dyDescent="0.25">
      <c r="A11" s="11"/>
      <c r="B11" s="9"/>
      <c r="C11" s="9"/>
      <c r="D11" s="9"/>
      <c r="E11" s="9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11"/>
      <c r="AL11" s="23"/>
      <c r="AM11" s="23"/>
      <c r="AN11" s="11"/>
      <c r="AO11" s="11"/>
      <c r="AP11" s="11"/>
      <c r="AQ11" s="15"/>
      <c r="AR11" s="9"/>
      <c r="AS11" s="9"/>
      <c r="AT11" s="9"/>
    </row>
    <row r="12" spans="1:48" s="2" customFormat="1" ht="15.75" x14ac:dyDescent="0.25">
      <c r="A12" s="29"/>
      <c r="B12" s="30" t="s">
        <v>21</v>
      </c>
      <c r="C12" s="31"/>
      <c r="D12" s="31"/>
      <c r="E12" s="31"/>
      <c r="F12" s="14">
        <v>2.5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</row>
    <row r="13" spans="1:48" s="2" customFormat="1" ht="15.75" x14ac:dyDescent="0.25">
      <c r="A13" s="29"/>
      <c r="B13" s="30" t="s">
        <v>22</v>
      </c>
      <c r="C13" s="31"/>
      <c r="D13" s="31"/>
      <c r="E13" s="31"/>
      <c r="F13" s="14"/>
      <c r="G13" s="14"/>
      <c r="H13" s="14"/>
      <c r="I13" s="57">
        <v>3.6</v>
      </c>
      <c r="J13" s="14"/>
      <c r="K13" s="14"/>
      <c r="L13" s="14"/>
      <c r="M13" s="14">
        <v>6</v>
      </c>
      <c r="N13" s="14"/>
      <c r="O13" s="14"/>
      <c r="P13" s="14"/>
      <c r="Q13" s="14">
        <v>2.4</v>
      </c>
      <c r="R13" s="14"/>
      <c r="S13" s="14"/>
      <c r="T13" s="14">
        <v>8.4</v>
      </c>
      <c r="U13" s="14"/>
      <c r="V13" s="14"/>
      <c r="W13" s="14"/>
      <c r="X13" s="14">
        <v>4.8</v>
      </c>
      <c r="Y13" s="14"/>
      <c r="Z13" s="14"/>
      <c r="AA13" s="14"/>
      <c r="AB13" s="14">
        <v>4.8</v>
      </c>
      <c r="AC13" s="14"/>
      <c r="AD13" s="14"/>
      <c r="AE13" s="14">
        <v>2.4</v>
      </c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</row>
    <row r="14" spans="1:48" s="2" customFormat="1" ht="15.75" x14ac:dyDescent="0.25">
      <c r="A14" s="29"/>
      <c r="B14" s="14" t="s">
        <v>23</v>
      </c>
      <c r="E14" s="14"/>
      <c r="F14" s="14">
        <f>F10</f>
        <v>0</v>
      </c>
      <c r="G14" s="14">
        <f t="shared" ref="G14:AJ14" si="1">G10</f>
        <v>2.5</v>
      </c>
      <c r="H14" s="14">
        <f t="shared" si="1"/>
        <v>0</v>
      </c>
      <c r="I14" s="14">
        <f t="shared" si="1"/>
        <v>2.4</v>
      </c>
      <c r="J14" s="14">
        <f t="shared" si="1"/>
        <v>1.2</v>
      </c>
      <c r="K14" s="14">
        <f t="shared" si="1"/>
        <v>2.4</v>
      </c>
      <c r="L14" s="14">
        <f t="shared" si="1"/>
        <v>0</v>
      </c>
      <c r="M14" s="14">
        <f t="shared" si="1"/>
        <v>0</v>
      </c>
      <c r="N14" s="14">
        <f t="shared" si="1"/>
        <v>1.2</v>
      </c>
      <c r="O14" s="14">
        <f t="shared" si="1"/>
        <v>2.4</v>
      </c>
      <c r="P14" s="14">
        <f t="shared" si="1"/>
        <v>0</v>
      </c>
      <c r="Q14" s="14">
        <f t="shared" si="1"/>
        <v>2.4</v>
      </c>
      <c r="R14" s="14">
        <f t="shared" si="1"/>
        <v>0</v>
      </c>
      <c r="S14" s="14">
        <f t="shared" si="1"/>
        <v>1.2</v>
      </c>
      <c r="T14" s="14">
        <f t="shared" si="1"/>
        <v>2.4</v>
      </c>
      <c r="U14" s="14">
        <f t="shared" si="1"/>
        <v>4.8</v>
      </c>
      <c r="V14" s="14">
        <f t="shared" si="1"/>
        <v>0</v>
      </c>
      <c r="W14" s="14">
        <f t="shared" si="1"/>
        <v>2.4</v>
      </c>
      <c r="X14" s="14">
        <f t="shared" si="1"/>
        <v>0</v>
      </c>
      <c r="Y14" s="14">
        <f t="shared" si="1"/>
        <v>2.4</v>
      </c>
      <c r="Z14" s="14">
        <f t="shared" si="1"/>
        <v>0</v>
      </c>
      <c r="AA14" s="14">
        <f t="shared" si="1"/>
        <v>2.4</v>
      </c>
      <c r="AB14" s="14">
        <f t="shared" si="1"/>
        <v>0</v>
      </c>
      <c r="AC14" s="14">
        <f t="shared" si="1"/>
        <v>2.4</v>
      </c>
      <c r="AD14" s="14">
        <f t="shared" si="1"/>
        <v>0</v>
      </c>
      <c r="AE14" s="14">
        <f t="shared" si="1"/>
        <v>2.4</v>
      </c>
      <c r="AF14" s="14">
        <f t="shared" si="1"/>
        <v>0</v>
      </c>
      <c r="AG14" s="14">
        <f t="shared" si="1"/>
        <v>0</v>
      </c>
      <c r="AH14" s="14">
        <f t="shared" si="1"/>
        <v>0</v>
      </c>
      <c r="AI14" s="14">
        <f t="shared" si="1"/>
        <v>0</v>
      </c>
      <c r="AJ14" s="14">
        <f t="shared" si="1"/>
        <v>0</v>
      </c>
      <c r="AK14" s="14"/>
      <c r="AL14" s="14"/>
      <c r="AM14" s="14"/>
      <c r="AN14" s="14"/>
      <c r="AO14" s="14"/>
      <c r="AP14" s="14"/>
      <c r="AQ14" s="14"/>
      <c r="AR14" s="14"/>
      <c r="AS14" s="14"/>
      <c r="AT14" s="14"/>
    </row>
    <row r="15" spans="1:48" s="2" customFormat="1" ht="15.75" x14ac:dyDescent="0.25">
      <c r="A15" s="29"/>
      <c r="B15" s="14" t="s">
        <v>24</v>
      </c>
      <c r="E15" s="14"/>
      <c r="F15" s="14">
        <f>(F12+F13)-F14</f>
        <v>2.5</v>
      </c>
      <c r="G15" s="14">
        <f>(F15+G12+G13)-G14</f>
        <v>0</v>
      </c>
      <c r="H15" s="14">
        <f t="shared" ref="H15:AJ15" si="2">(G15+H12+H13)-H14</f>
        <v>0</v>
      </c>
      <c r="I15" s="14">
        <f t="shared" si="2"/>
        <v>1.2000000000000002</v>
      </c>
      <c r="J15" s="14">
        <f t="shared" si="2"/>
        <v>0</v>
      </c>
      <c r="K15" s="14">
        <f t="shared" si="2"/>
        <v>-2.4</v>
      </c>
      <c r="L15" s="14">
        <f t="shared" si="2"/>
        <v>-2.4</v>
      </c>
      <c r="M15" s="14">
        <f t="shared" si="2"/>
        <v>3.6</v>
      </c>
      <c r="N15" s="14">
        <f t="shared" si="2"/>
        <v>2.4000000000000004</v>
      </c>
      <c r="O15" s="14">
        <f t="shared" si="2"/>
        <v>0</v>
      </c>
      <c r="P15" s="14">
        <f>(O15+P12+P13)-P14</f>
        <v>0</v>
      </c>
      <c r="Q15" s="14">
        <f>(P15+Q12+Q13)-Q14</f>
        <v>0</v>
      </c>
      <c r="R15" s="14">
        <f t="shared" si="2"/>
        <v>0</v>
      </c>
      <c r="S15" s="14">
        <f t="shared" si="2"/>
        <v>-1.2</v>
      </c>
      <c r="T15" s="14">
        <f t="shared" si="2"/>
        <v>4.8000000000000007</v>
      </c>
      <c r="U15" s="14">
        <f t="shared" si="2"/>
        <v>0</v>
      </c>
      <c r="V15" s="14">
        <f t="shared" si="2"/>
        <v>0</v>
      </c>
      <c r="W15" s="14">
        <f t="shared" si="2"/>
        <v>-2.4</v>
      </c>
      <c r="X15" s="14">
        <f t="shared" si="2"/>
        <v>2.4</v>
      </c>
      <c r="Y15" s="14">
        <f t="shared" si="2"/>
        <v>0</v>
      </c>
      <c r="Z15" s="14">
        <f t="shared" si="2"/>
        <v>0</v>
      </c>
      <c r="AA15" s="14">
        <f t="shared" si="2"/>
        <v>-2.4</v>
      </c>
      <c r="AB15" s="14">
        <f t="shared" si="2"/>
        <v>2.4</v>
      </c>
      <c r="AC15" s="14">
        <f t="shared" si="2"/>
        <v>0</v>
      </c>
      <c r="AD15" s="14">
        <f t="shared" si="2"/>
        <v>0</v>
      </c>
      <c r="AE15" s="14">
        <f t="shared" si="2"/>
        <v>0</v>
      </c>
      <c r="AF15" s="14">
        <f t="shared" si="2"/>
        <v>0</v>
      </c>
      <c r="AG15" s="14">
        <f t="shared" si="2"/>
        <v>0</v>
      </c>
      <c r="AH15" s="14">
        <f t="shared" si="2"/>
        <v>0</v>
      </c>
      <c r="AI15" s="14">
        <f t="shared" si="2"/>
        <v>0</v>
      </c>
      <c r="AJ15" s="14">
        <f t="shared" si="2"/>
        <v>0</v>
      </c>
      <c r="AK15" s="14"/>
      <c r="AL15" s="14"/>
      <c r="AM15" s="29"/>
      <c r="AN15" s="29"/>
      <c r="AO15" s="29"/>
      <c r="AP15" s="29"/>
      <c r="AQ15" s="14"/>
      <c r="AR15" s="14"/>
      <c r="AS15" s="32"/>
      <c r="AT15" s="39">
        <f>AT10</f>
        <v>8789.1999999999971</v>
      </c>
    </row>
    <row r="16" spans="1:48" s="2" customFormat="1" ht="15.75" x14ac:dyDescent="0.25">
      <c r="A16" s="29"/>
      <c r="B16" s="14" t="s">
        <v>2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29"/>
      <c r="AL16" s="29"/>
      <c r="AM16" s="29"/>
      <c r="AN16" s="29"/>
      <c r="AO16" s="29"/>
      <c r="AP16" s="29"/>
      <c r="AQ16" s="14"/>
      <c r="AR16" s="14"/>
      <c r="AS16" s="32"/>
      <c r="AT16" s="14"/>
    </row>
    <row r="17" spans="1:46" s="2" customFormat="1" ht="16.5" thickBot="1" x14ac:dyDescent="0.3">
      <c r="A17" s="29"/>
      <c r="B17" s="14" t="s">
        <v>25</v>
      </c>
      <c r="C17" s="14"/>
      <c r="D17" s="14"/>
      <c r="E17" s="14">
        <v>2.5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O17" s="29"/>
      <c r="AP17" s="29"/>
      <c r="AQ17" s="2" t="s">
        <v>26</v>
      </c>
      <c r="AR17" s="29"/>
      <c r="AS17" s="29"/>
      <c r="AT17" s="41">
        <f>F12*294</f>
        <v>735</v>
      </c>
    </row>
    <row r="18" spans="1:46" s="2" customFormat="1" ht="16.5" thickTop="1" x14ac:dyDescent="0.25">
      <c r="A18" s="29"/>
      <c r="B18" s="14" t="s">
        <v>27</v>
      </c>
      <c r="C18" s="14"/>
      <c r="D18" s="14"/>
      <c r="E18" s="14">
        <f>SUM(F13:AJ13)</f>
        <v>32.4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N18" s="30"/>
      <c r="AO18" s="29"/>
      <c r="AP18" s="29"/>
      <c r="AQ18" s="2" t="s">
        <v>28</v>
      </c>
      <c r="AR18" s="29"/>
      <c r="AS18" s="29"/>
      <c r="AT18" s="37">
        <f>AT15-AT17</f>
        <v>8054.1999999999971</v>
      </c>
    </row>
    <row r="19" spans="1:46" s="2" customFormat="1" ht="15.75" x14ac:dyDescent="0.25">
      <c r="A19" s="29"/>
      <c r="B19" s="14" t="s">
        <v>29</v>
      </c>
      <c r="C19" s="14"/>
      <c r="D19" s="14"/>
      <c r="E19" s="14">
        <f>AK10</f>
        <v>34.899999999999991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29"/>
      <c r="AL19" s="29"/>
      <c r="AM19" s="29"/>
      <c r="AN19" s="29"/>
      <c r="AO19" s="29"/>
      <c r="AP19" s="29"/>
      <c r="AQ19" s="14"/>
      <c r="AR19" s="14"/>
      <c r="AS19" s="32"/>
      <c r="AT19" s="14"/>
    </row>
    <row r="20" spans="1:46" s="2" customFormat="1" ht="16.5" thickBot="1" x14ac:dyDescent="0.3">
      <c r="A20" s="29"/>
      <c r="B20" s="14" t="s">
        <v>30</v>
      </c>
      <c r="C20" s="14"/>
      <c r="D20" s="14"/>
      <c r="E20" s="33">
        <f>E17+E18-E19</f>
        <v>0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29"/>
      <c r="AL20" s="29"/>
      <c r="AM20" s="29"/>
      <c r="AN20" s="29"/>
      <c r="AO20" s="29"/>
      <c r="AP20" s="29"/>
      <c r="AQ20" s="14"/>
      <c r="AR20" s="14"/>
      <c r="AS20" s="32"/>
      <c r="AT20" s="14"/>
    </row>
    <row r="21" spans="1:46" s="2" customFormat="1" ht="16.5" thickTop="1" x14ac:dyDescent="0.25">
      <c r="A21" s="29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29"/>
      <c r="AL21" s="29"/>
      <c r="AM21" s="29"/>
      <c r="AN21" s="29"/>
      <c r="AO21" s="29"/>
      <c r="AP21" s="29"/>
      <c r="AQ21" s="14"/>
      <c r="AR21" s="14"/>
      <c r="AS21" s="32"/>
      <c r="AT21" s="14"/>
    </row>
    <row r="22" spans="1:46" s="2" customFormat="1" ht="15.75" x14ac:dyDescent="0.25">
      <c r="A22" s="34"/>
      <c r="C22" s="14"/>
      <c r="D22" s="14"/>
      <c r="E22" s="35"/>
      <c r="K22" s="14"/>
      <c r="M22" s="36"/>
      <c r="N22" s="14"/>
      <c r="P22" s="14"/>
      <c r="Q22" s="14"/>
      <c r="R22" s="14"/>
      <c r="U22" s="36"/>
      <c r="V22" s="14"/>
      <c r="W22" s="14"/>
      <c r="X22" s="14"/>
      <c r="Y22" s="14"/>
      <c r="Z22" s="14"/>
      <c r="AA22" s="14"/>
      <c r="AB22" s="36"/>
      <c r="AC22" s="14"/>
      <c r="AD22" s="14"/>
      <c r="AE22" s="14"/>
      <c r="AF22" s="14"/>
      <c r="AG22" s="14"/>
      <c r="AH22" s="36"/>
      <c r="AI22" s="14"/>
      <c r="AJ22" s="14"/>
      <c r="AK22" s="14"/>
      <c r="AL22" s="29"/>
      <c r="AM22" s="29"/>
      <c r="AN22" s="29"/>
      <c r="AO22" s="29"/>
      <c r="AP22" s="29"/>
      <c r="AQ22" s="14"/>
      <c r="AR22" s="14"/>
      <c r="AS22" s="32"/>
      <c r="AT22" s="14"/>
    </row>
    <row r="23" spans="1:46" s="2" customFormat="1" ht="15.75" x14ac:dyDescent="0.25">
      <c r="A23" s="14"/>
      <c r="C23" s="14"/>
      <c r="D23" s="14"/>
      <c r="E23" s="35"/>
      <c r="K23" s="14"/>
      <c r="M23" s="36"/>
      <c r="N23" s="14"/>
      <c r="P23" s="14"/>
      <c r="Q23" s="14"/>
      <c r="R23" s="14"/>
      <c r="U23" s="36"/>
      <c r="V23" s="14"/>
      <c r="W23" s="14"/>
      <c r="X23" s="14"/>
      <c r="Y23" s="14"/>
      <c r="Z23" s="14"/>
      <c r="AA23" s="14"/>
      <c r="AB23" s="36"/>
      <c r="AC23" s="14"/>
      <c r="AD23" s="14"/>
      <c r="AE23" s="14"/>
      <c r="AF23" s="14"/>
      <c r="AG23" s="14"/>
      <c r="AH23" s="36"/>
      <c r="AI23" s="14"/>
      <c r="AJ23" s="14"/>
      <c r="AK23" s="14"/>
      <c r="AL23" s="29"/>
      <c r="AM23" s="29"/>
      <c r="AN23" s="29"/>
      <c r="AO23" s="29"/>
      <c r="AP23" s="29"/>
      <c r="AQ23" s="14"/>
      <c r="AR23" s="14"/>
      <c r="AS23" s="32"/>
      <c r="AT23" s="14"/>
    </row>
  </sheetData>
  <mergeCells count="17">
    <mergeCell ref="A4:A5"/>
    <mergeCell ref="B4:B5"/>
    <mergeCell ref="C4:C5"/>
    <mergeCell ref="D4:D5"/>
    <mergeCell ref="E4:E5"/>
    <mergeCell ref="AQ4:AQ5"/>
    <mergeCell ref="AR4:AR5"/>
    <mergeCell ref="AS4:AS5"/>
    <mergeCell ref="AT4:AT5"/>
    <mergeCell ref="B10:E10"/>
    <mergeCell ref="AK4:AK5"/>
    <mergeCell ref="AL4:AL5"/>
    <mergeCell ref="AM4:AM5"/>
    <mergeCell ref="AN4:AN5"/>
    <mergeCell ref="AO4:AO5"/>
    <mergeCell ref="AP4:AP5"/>
    <mergeCell ref="F4:AJ4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A2EA7-8285-46A2-8EAD-486FB233593C}">
  <dimension ref="A1:AV23"/>
  <sheetViews>
    <sheetView zoomScale="70" zoomScaleNormal="70" workbookViewId="0">
      <selection activeCell="F14" sqref="F14"/>
    </sheetView>
  </sheetViews>
  <sheetFormatPr defaultRowHeight="15" x14ac:dyDescent="0.25"/>
  <sheetData>
    <row r="1" spans="1:48" s="2" customFormat="1" ht="15.75" x14ac:dyDescent="0.25">
      <c r="A1" s="14"/>
      <c r="C1" s="14"/>
      <c r="D1" s="14"/>
      <c r="E1" s="35"/>
      <c r="K1" s="14"/>
      <c r="M1" s="36"/>
      <c r="N1" s="14"/>
      <c r="P1" s="14"/>
      <c r="Q1" s="14"/>
      <c r="R1" s="14"/>
      <c r="U1" s="36"/>
      <c r="V1" s="14"/>
      <c r="W1" s="14"/>
      <c r="X1" s="14"/>
      <c r="Y1" s="14"/>
      <c r="Z1" s="14"/>
      <c r="AA1" s="14"/>
      <c r="AB1" s="36"/>
      <c r="AC1" s="14"/>
      <c r="AD1" s="14"/>
      <c r="AE1" s="14"/>
      <c r="AF1" s="14"/>
      <c r="AG1" s="14"/>
      <c r="AH1" s="36"/>
      <c r="AI1" s="14"/>
      <c r="AJ1" s="14"/>
      <c r="AK1" s="14"/>
      <c r="AL1" s="29"/>
      <c r="AM1" s="29"/>
      <c r="AN1" s="29"/>
      <c r="AO1" s="29"/>
      <c r="AP1" s="29"/>
      <c r="AQ1" s="14"/>
      <c r="AR1" s="14"/>
      <c r="AS1" s="32"/>
      <c r="AT1" s="14"/>
      <c r="AU1" s="14"/>
      <c r="AV1" s="14"/>
    </row>
    <row r="2" spans="1:48" s="2" customFormat="1" ht="15.75" x14ac:dyDescent="0.25">
      <c r="A2" s="1" t="s">
        <v>0</v>
      </c>
      <c r="E2" s="3" t="s">
        <v>1</v>
      </c>
      <c r="R2" s="3"/>
      <c r="AK2" s="4"/>
      <c r="AL2" s="4"/>
      <c r="AM2" s="4"/>
      <c r="AN2" s="4"/>
      <c r="AO2" s="4"/>
      <c r="AP2" s="4"/>
      <c r="AS2" s="5"/>
    </row>
    <row r="3" spans="1:48" s="2" customFormat="1" ht="15.75" x14ac:dyDescent="0.25">
      <c r="A3" s="1" t="s">
        <v>32</v>
      </c>
      <c r="E3" s="3" t="s">
        <v>50</v>
      </c>
      <c r="R3" s="3" t="s">
        <v>2</v>
      </c>
      <c r="AK3" s="4"/>
      <c r="AL3" s="4"/>
      <c r="AM3" s="4"/>
      <c r="AN3" s="4"/>
      <c r="AO3" s="4"/>
      <c r="AP3" s="4"/>
      <c r="AS3" s="5"/>
    </row>
    <row r="4" spans="1:48" s="2" customFormat="1" ht="25.5" customHeight="1" x14ac:dyDescent="0.25">
      <c r="A4" s="43" t="s">
        <v>3</v>
      </c>
      <c r="B4" s="43" t="s">
        <v>4</v>
      </c>
      <c r="C4" s="43" t="s">
        <v>5</v>
      </c>
      <c r="D4" s="43" t="s">
        <v>6</v>
      </c>
      <c r="E4" s="43" t="s">
        <v>7</v>
      </c>
      <c r="F4" s="50" t="s">
        <v>8</v>
      </c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2"/>
      <c r="AK4" s="43" t="s">
        <v>9</v>
      </c>
      <c r="AL4" s="43" t="s">
        <v>10</v>
      </c>
      <c r="AM4" s="43" t="s">
        <v>11</v>
      </c>
      <c r="AN4" s="43" t="s">
        <v>12</v>
      </c>
      <c r="AO4" s="43" t="s">
        <v>13</v>
      </c>
      <c r="AP4" s="43" t="s">
        <v>14</v>
      </c>
      <c r="AQ4" s="43" t="s">
        <v>15</v>
      </c>
      <c r="AR4" s="43" t="s">
        <v>16</v>
      </c>
      <c r="AS4" s="45" t="s">
        <v>17</v>
      </c>
      <c r="AT4" s="43" t="s">
        <v>18</v>
      </c>
    </row>
    <row r="5" spans="1:48" s="2" customFormat="1" ht="42.75" customHeight="1" x14ac:dyDescent="0.25">
      <c r="A5" s="44"/>
      <c r="B5" s="44"/>
      <c r="C5" s="44"/>
      <c r="D5" s="44"/>
      <c r="E5" s="44"/>
      <c r="F5" s="6">
        <v>1</v>
      </c>
      <c r="G5" s="6">
        <v>2</v>
      </c>
      <c r="H5" s="6">
        <v>3</v>
      </c>
      <c r="I5" s="6">
        <v>4</v>
      </c>
      <c r="J5" s="6">
        <v>5</v>
      </c>
      <c r="K5" s="6">
        <v>6</v>
      </c>
      <c r="L5" s="6">
        <v>7</v>
      </c>
      <c r="M5" s="6">
        <v>8</v>
      </c>
      <c r="N5" s="6">
        <v>9</v>
      </c>
      <c r="O5" s="6">
        <v>10</v>
      </c>
      <c r="P5" s="6">
        <v>11</v>
      </c>
      <c r="Q5" s="6">
        <v>12</v>
      </c>
      <c r="R5" s="6">
        <v>13</v>
      </c>
      <c r="S5" s="6">
        <v>14</v>
      </c>
      <c r="T5" s="6">
        <v>15</v>
      </c>
      <c r="U5" s="6">
        <v>16</v>
      </c>
      <c r="V5" s="6">
        <v>17</v>
      </c>
      <c r="W5" s="6">
        <v>18</v>
      </c>
      <c r="X5" s="6">
        <v>19</v>
      </c>
      <c r="Y5" s="6">
        <v>20</v>
      </c>
      <c r="Z5" s="6">
        <v>21</v>
      </c>
      <c r="AA5" s="6">
        <v>22</v>
      </c>
      <c r="AB5" s="6">
        <v>23</v>
      </c>
      <c r="AC5" s="6">
        <v>24</v>
      </c>
      <c r="AD5" s="6">
        <v>25</v>
      </c>
      <c r="AE5" s="6">
        <v>26</v>
      </c>
      <c r="AF5" s="6">
        <v>27</v>
      </c>
      <c r="AG5" s="6">
        <v>28</v>
      </c>
      <c r="AH5" s="6">
        <v>29</v>
      </c>
      <c r="AI5" s="6">
        <v>30</v>
      </c>
      <c r="AJ5" s="6">
        <v>31</v>
      </c>
      <c r="AK5" s="44"/>
      <c r="AL5" s="44"/>
      <c r="AM5" s="44"/>
      <c r="AN5" s="44"/>
      <c r="AO5" s="44"/>
      <c r="AP5" s="44"/>
      <c r="AQ5" s="44"/>
      <c r="AR5" s="44"/>
      <c r="AS5" s="46"/>
      <c r="AT5" s="44"/>
    </row>
    <row r="6" spans="1:48" s="2" customFormat="1" ht="16.5" thickBot="1" x14ac:dyDescent="0.3">
      <c r="A6" s="8">
        <v>1</v>
      </c>
      <c r="B6" s="9" t="s">
        <v>42</v>
      </c>
      <c r="C6" s="9" t="s">
        <v>45</v>
      </c>
      <c r="D6" s="9" t="s">
        <v>46</v>
      </c>
      <c r="E6" s="9" t="s">
        <v>44</v>
      </c>
      <c r="F6" s="11">
        <v>2.2999999999999998</v>
      </c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20">
        <f>SUM(F6:AJ6)</f>
        <v>2.2999999999999998</v>
      </c>
      <c r="AL6" s="11"/>
      <c r="AM6" s="8"/>
      <c r="AN6" s="8"/>
      <c r="AO6" s="8"/>
      <c r="AP6" s="8"/>
      <c r="AQ6" s="38"/>
      <c r="AR6" s="10"/>
      <c r="AS6" s="12">
        <v>292</v>
      </c>
      <c r="AT6" s="13">
        <f>AS6*AK6</f>
        <v>671.59999999999991</v>
      </c>
    </row>
    <row r="7" spans="1:48" s="2" customFormat="1" ht="16.5" thickTop="1" x14ac:dyDescent="0.25">
      <c r="A7" s="11"/>
      <c r="B7" s="9" t="s">
        <v>51</v>
      </c>
      <c r="C7" s="9"/>
      <c r="D7" s="9"/>
      <c r="E7" s="9"/>
      <c r="F7" s="11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5"/>
      <c r="AR7" s="9"/>
      <c r="AS7" s="12"/>
      <c r="AT7" s="13">
        <f>AS7*AK7</f>
        <v>0</v>
      </c>
    </row>
    <row r="8" spans="1:48" s="2" customFormat="1" ht="15.75" x14ac:dyDescent="0.25">
      <c r="A8" s="11"/>
      <c r="B8" s="9"/>
      <c r="C8" s="17"/>
      <c r="D8" s="9"/>
      <c r="E8" s="9"/>
      <c r="F8" s="11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5"/>
      <c r="AR8" s="9"/>
      <c r="AS8" s="9"/>
      <c r="AT8" s="16"/>
    </row>
    <row r="9" spans="1:48" s="2" customFormat="1" ht="15.75" x14ac:dyDescent="0.25">
      <c r="A9" s="11"/>
      <c r="B9" s="9"/>
      <c r="C9" s="9"/>
      <c r="D9" s="9"/>
      <c r="E9" s="9"/>
      <c r="F9" s="11"/>
      <c r="G9" s="11"/>
      <c r="H9" s="11"/>
      <c r="I9" s="11"/>
      <c r="J9" s="11"/>
      <c r="K9" s="11"/>
      <c r="L9" s="11"/>
      <c r="M9" s="11"/>
      <c r="N9" s="18"/>
      <c r="O9" s="18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8"/>
      <c r="AL9" s="11"/>
      <c r="AM9" s="18"/>
      <c r="AN9" s="11"/>
      <c r="AO9" s="11"/>
      <c r="AP9" s="11"/>
      <c r="AQ9" s="15"/>
      <c r="AR9" s="9"/>
      <c r="AS9" s="9"/>
      <c r="AT9" s="19"/>
    </row>
    <row r="10" spans="1:48" s="2" customFormat="1" ht="16.5" customHeight="1" thickBot="1" x14ac:dyDescent="0.3">
      <c r="A10" s="11"/>
      <c r="B10" s="47" t="s">
        <v>19</v>
      </c>
      <c r="C10" s="48"/>
      <c r="D10" s="48"/>
      <c r="E10" s="49"/>
      <c r="F10" s="20">
        <f t="shared" ref="F10:AM10" si="0">SUM(F6:F9)</f>
        <v>2.2999999999999998</v>
      </c>
      <c r="G10" s="20">
        <f t="shared" si="0"/>
        <v>0</v>
      </c>
      <c r="H10" s="20">
        <f t="shared" si="0"/>
        <v>0</v>
      </c>
      <c r="I10" s="20">
        <f t="shared" si="0"/>
        <v>0</v>
      </c>
      <c r="J10" s="20">
        <f t="shared" si="0"/>
        <v>0</v>
      </c>
      <c r="K10" s="20">
        <f t="shared" si="0"/>
        <v>0</v>
      </c>
      <c r="L10" s="20">
        <f t="shared" si="0"/>
        <v>0</v>
      </c>
      <c r="M10" s="20">
        <f t="shared" si="0"/>
        <v>0</v>
      </c>
      <c r="N10" s="20">
        <f t="shared" si="0"/>
        <v>0</v>
      </c>
      <c r="O10" s="20">
        <f t="shared" si="0"/>
        <v>0</v>
      </c>
      <c r="P10" s="20">
        <f t="shared" si="0"/>
        <v>0</v>
      </c>
      <c r="Q10" s="20">
        <f t="shared" si="0"/>
        <v>0</v>
      </c>
      <c r="R10" s="20">
        <f t="shared" si="0"/>
        <v>0</v>
      </c>
      <c r="S10" s="20">
        <f t="shared" si="0"/>
        <v>0</v>
      </c>
      <c r="T10" s="20">
        <f t="shared" si="0"/>
        <v>0</v>
      </c>
      <c r="U10" s="20">
        <f t="shared" si="0"/>
        <v>0</v>
      </c>
      <c r="V10" s="20">
        <f t="shared" si="0"/>
        <v>0</v>
      </c>
      <c r="W10" s="20">
        <f t="shared" si="0"/>
        <v>0</v>
      </c>
      <c r="X10" s="20">
        <f t="shared" si="0"/>
        <v>0</v>
      </c>
      <c r="Y10" s="20">
        <f t="shared" si="0"/>
        <v>0</v>
      </c>
      <c r="Z10" s="20">
        <f t="shared" si="0"/>
        <v>0</v>
      </c>
      <c r="AA10" s="20">
        <f t="shared" si="0"/>
        <v>0</v>
      </c>
      <c r="AB10" s="20">
        <f t="shared" si="0"/>
        <v>0</v>
      </c>
      <c r="AC10" s="20">
        <f t="shared" si="0"/>
        <v>0</v>
      </c>
      <c r="AD10" s="20">
        <f t="shared" si="0"/>
        <v>0</v>
      </c>
      <c r="AE10" s="20">
        <f t="shared" si="0"/>
        <v>0</v>
      </c>
      <c r="AF10" s="20">
        <f t="shared" si="0"/>
        <v>0</v>
      </c>
      <c r="AG10" s="20">
        <f t="shared" si="0"/>
        <v>0</v>
      </c>
      <c r="AH10" s="20">
        <f t="shared" si="0"/>
        <v>0</v>
      </c>
      <c r="AI10" s="20">
        <f t="shared" si="0"/>
        <v>0</v>
      </c>
      <c r="AJ10" s="20">
        <f t="shared" si="0"/>
        <v>0</v>
      </c>
      <c r="AK10" s="20">
        <f t="shared" si="0"/>
        <v>2.2999999999999998</v>
      </c>
      <c r="AL10" s="20">
        <f t="shared" si="0"/>
        <v>0</v>
      </c>
      <c r="AM10" s="20">
        <f t="shared" si="0"/>
        <v>0</v>
      </c>
      <c r="AN10" s="22"/>
      <c r="AO10" s="22"/>
      <c r="AP10" s="22"/>
      <c r="AQ10" s="22"/>
      <c r="AR10" s="22"/>
      <c r="AS10" s="22">
        <f>SUM(AS6:AS9)</f>
        <v>292</v>
      </c>
      <c r="AT10" s="22">
        <f>SUM(AT6:AT9)</f>
        <v>671.59999999999991</v>
      </c>
    </row>
    <row r="11" spans="1:48" s="2" customFormat="1" ht="16.5" thickTop="1" x14ac:dyDescent="0.25">
      <c r="A11" s="11"/>
      <c r="B11" s="9"/>
      <c r="C11" s="9"/>
      <c r="D11" s="9"/>
      <c r="E11" s="9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11"/>
      <c r="AL11" s="23"/>
      <c r="AM11" s="23"/>
      <c r="AN11" s="11"/>
      <c r="AO11" s="11"/>
      <c r="AP11" s="11"/>
      <c r="AQ11" s="15"/>
      <c r="AR11" s="9"/>
      <c r="AS11" s="9"/>
      <c r="AT11" s="9"/>
    </row>
    <row r="12" spans="1:48" s="2" customFormat="1" ht="15.75" x14ac:dyDescent="0.25">
      <c r="A12" s="29"/>
      <c r="B12" s="30" t="s">
        <v>21</v>
      </c>
      <c r="C12" s="31"/>
      <c r="D12" s="31"/>
      <c r="E12" s="31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</row>
    <row r="13" spans="1:48" s="2" customFormat="1" ht="15.75" x14ac:dyDescent="0.25">
      <c r="A13" s="29"/>
      <c r="B13" s="30" t="s">
        <v>22</v>
      </c>
      <c r="C13" s="31"/>
      <c r="D13" s="31"/>
      <c r="E13" s="31"/>
      <c r="F13" s="14">
        <v>2.2999999999999998</v>
      </c>
      <c r="G13" s="14"/>
      <c r="H13" s="14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</row>
    <row r="14" spans="1:48" s="2" customFormat="1" ht="15.75" x14ac:dyDescent="0.25">
      <c r="A14" s="29"/>
      <c r="B14" s="14" t="s">
        <v>23</v>
      </c>
      <c r="E14" s="14"/>
      <c r="F14" s="14">
        <f>F10</f>
        <v>2.2999999999999998</v>
      </c>
      <c r="G14" s="14">
        <f t="shared" ref="G14:AJ14" si="1">G10</f>
        <v>0</v>
      </c>
      <c r="H14" s="14">
        <f t="shared" si="1"/>
        <v>0</v>
      </c>
      <c r="I14" s="14">
        <f t="shared" si="1"/>
        <v>0</v>
      </c>
      <c r="J14" s="14">
        <f t="shared" si="1"/>
        <v>0</v>
      </c>
      <c r="K14" s="14">
        <f t="shared" si="1"/>
        <v>0</v>
      </c>
      <c r="L14" s="14">
        <f t="shared" si="1"/>
        <v>0</v>
      </c>
      <c r="M14" s="14">
        <f t="shared" si="1"/>
        <v>0</v>
      </c>
      <c r="N14" s="14">
        <f t="shared" si="1"/>
        <v>0</v>
      </c>
      <c r="O14" s="14">
        <f t="shared" si="1"/>
        <v>0</v>
      </c>
      <c r="P14" s="14">
        <f t="shared" si="1"/>
        <v>0</v>
      </c>
      <c r="Q14" s="14">
        <f t="shared" si="1"/>
        <v>0</v>
      </c>
      <c r="R14" s="14">
        <f t="shared" si="1"/>
        <v>0</v>
      </c>
      <c r="S14" s="14">
        <f t="shared" si="1"/>
        <v>0</v>
      </c>
      <c r="T14" s="14">
        <f t="shared" si="1"/>
        <v>0</v>
      </c>
      <c r="U14" s="14">
        <f t="shared" si="1"/>
        <v>0</v>
      </c>
      <c r="V14" s="14">
        <f t="shared" si="1"/>
        <v>0</v>
      </c>
      <c r="W14" s="14">
        <f t="shared" si="1"/>
        <v>0</v>
      </c>
      <c r="X14" s="14">
        <f t="shared" si="1"/>
        <v>0</v>
      </c>
      <c r="Y14" s="14">
        <f t="shared" si="1"/>
        <v>0</v>
      </c>
      <c r="Z14" s="14">
        <f t="shared" si="1"/>
        <v>0</v>
      </c>
      <c r="AA14" s="14">
        <f t="shared" si="1"/>
        <v>0</v>
      </c>
      <c r="AB14" s="14">
        <f t="shared" si="1"/>
        <v>0</v>
      </c>
      <c r="AC14" s="14">
        <f t="shared" si="1"/>
        <v>0</v>
      </c>
      <c r="AD14" s="14">
        <f t="shared" si="1"/>
        <v>0</v>
      </c>
      <c r="AE14" s="14">
        <f t="shared" si="1"/>
        <v>0</v>
      </c>
      <c r="AF14" s="14">
        <f t="shared" si="1"/>
        <v>0</v>
      </c>
      <c r="AG14" s="14">
        <f t="shared" si="1"/>
        <v>0</v>
      </c>
      <c r="AH14" s="14">
        <f t="shared" si="1"/>
        <v>0</v>
      </c>
      <c r="AI14" s="14">
        <f t="shared" si="1"/>
        <v>0</v>
      </c>
      <c r="AJ14" s="14">
        <f t="shared" si="1"/>
        <v>0</v>
      </c>
      <c r="AK14" s="14"/>
      <c r="AL14" s="14"/>
      <c r="AM14" s="14"/>
      <c r="AN14" s="14"/>
      <c r="AO14" s="14"/>
      <c r="AP14" s="14"/>
      <c r="AQ14" s="14"/>
      <c r="AR14" s="14"/>
      <c r="AS14" s="14"/>
      <c r="AT14" s="14"/>
    </row>
    <row r="15" spans="1:48" s="2" customFormat="1" ht="15.75" x14ac:dyDescent="0.25">
      <c r="A15" s="29"/>
      <c r="B15" s="14" t="s">
        <v>24</v>
      </c>
      <c r="E15" s="14"/>
      <c r="F15" s="14">
        <f>(F12+F13)-F14</f>
        <v>0</v>
      </c>
      <c r="G15" s="14">
        <f>(F15+G12+G13)-G14</f>
        <v>0</v>
      </c>
      <c r="H15" s="14">
        <f t="shared" ref="H15:AJ15" si="2">(G15+H12+H13)-H14</f>
        <v>0</v>
      </c>
      <c r="I15" s="14">
        <f t="shared" si="2"/>
        <v>0</v>
      </c>
      <c r="J15" s="14">
        <f t="shared" si="2"/>
        <v>0</v>
      </c>
      <c r="K15" s="14">
        <f t="shared" si="2"/>
        <v>0</v>
      </c>
      <c r="L15" s="14">
        <f t="shared" si="2"/>
        <v>0</v>
      </c>
      <c r="M15" s="14">
        <f t="shared" si="2"/>
        <v>0</v>
      </c>
      <c r="N15" s="14">
        <f t="shared" si="2"/>
        <v>0</v>
      </c>
      <c r="O15" s="14">
        <f t="shared" si="2"/>
        <v>0</v>
      </c>
      <c r="P15" s="14">
        <f>(O15+P12+P13)-P14</f>
        <v>0</v>
      </c>
      <c r="Q15" s="14">
        <f>(P15+Q12+Q13)-Q14</f>
        <v>0</v>
      </c>
      <c r="R15" s="14">
        <f t="shared" si="2"/>
        <v>0</v>
      </c>
      <c r="S15" s="14">
        <f t="shared" si="2"/>
        <v>0</v>
      </c>
      <c r="T15" s="14">
        <f t="shared" si="2"/>
        <v>0</v>
      </c>
      <c r="U15" s="14">
        <f t="shared" si="2"/>
        <v>0</v>
      </c>
      <c r="V15" s="14">
        <f t="shared" si="2"/>
        <v>0</v>
      </c>
      <c r="W15" s="14">
        <f t="shared" si="2"/>
        <v>0</v>
      </c>
      <c r="X15" s="14">
        <f t="shared" si="2"/>
        <v>0</v>
      </c>
      <c r="Y15" s="14">
        <f t="shared" si="2"/>
        <v>0</v>
      </c>
      <c r="Z15" s="14">
        <f t="shared" si="2"/>
        <v>0</v>
      </c>
      <c r="AA15" s="14">
        <f t="shared" si="2"/>
        <v>0</v>
      </c>
      <c r="AB15" s="14">
        <f t="shared" si="2"/>
        <v>0</v>
      </c>
      <c r="AC15" s="14">
        <f t="shared" si="2"/>
        <v>0</v>
      </c>
      <c r="AD15" s="14">
        <f t="shared" si="2"/>
        <v>0</v>
      </c>
      <c r="AE15" s="14">
        <f t="shared" si="2"/>
        <v>0</v>
      </c>
      <c r="AF15" s="14">
        <f t="shared" si="2"/>
        <v>0</v>
      </c>
      <c r="AG15" s="14">
        <f t="shared" si="2"/>
        <v>0</v>
      </c>
      <c r="AH15" s="14">
        <f t="shared" si="2"/>
        <v>0</v>
      </c>
      <c r="AI15" s="14">
        <f t="shared" si="2"/>
        <v>0</v>
      </c>
      <c r="AJ15" s="14">
        <f t="shared" si="2"/>
        <v>0</v>
      </c>
      <c r="AK15" s="14"/>
      <c r="AL15" s="14"/>
      <c r="AM15" s="29"/>
      <c r="AN15" s="29"/>
      <c r="AO15" s="29"/>
      <c r="AP15" s="29"/>
      <c r="AQ15" s="14"/>
      <c r="AR15" s="14"/>
      <c r="AS15" s="32"/>
      <c r="AT15" s="39">
        <f>AT10</f>
        <v>671.59999999999991</v>
      </c>
    </row>
    <row r="16" spans="1:48" s="2" customFormat="1" ht="15.75" x14ac:dyDescent="0.25">
      <c r="A16" s="29"/>
      <c r="B16" s="14" t="s">
        <v>2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29"/>
      <c r="AL16" s="29"/>
      <c r="AM16" s="29"/>
      <c r="AN16" s="29"/>
      <c r="AO16" s="29"/>
      <c r="AP16" s="29"/>
      <c r="AQ16" s="14"/>
      <c r="AR16" s="14"/>
      <c r="AS16" s="32"/>
      <c r="AT16" s="14"/>
    </row>
    <row r="17" spans="1:46" s="2" customFormat="1" ht="16.5" thickBot="1" x14ac:dyDescent="0.3">
      <c r="A17" s="29"/>
      <c r="B17" s="14" t="s">
        <v>25</v>
      </c>
      <c r="C17" s="14"/>
      <c r="D17" s="14"/>
      <c r="E17" s="14">
        <v>2.5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O17" s="29"/>
      <c r="AP17" s="29"/>
      <c r="AQ17" s="2" t="s">
        <v>26</v>
      </c>
      <c r="AR17" s="29"/>
      <c r="AS17" s="29"/>
      <c r="AT17" s="41">
        <f>F12*294</f>
        <v>0</v>
      </c>
    </row>
    <row r="18" spans="1:46" s="2" customFormat="1" ht="16.5" thickTop="1" x14ac:dyDescent="0.25">
      <c r="A18" s="29"/>
      <c r="B18" s="14" t="s">
        <v>27</v>
      </c>
      <c r="C18" s="14"/>
      <c r="D18" s="14"/>
      <c r="E18" s="14">
        <f>SUM(F13:AJ13)</f>
        <v>2.2999999999999998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N18" s="30"/>
      <c r="AO18" s="29"/>
      <c r="AP18" s="29"/>
      <c r="AQ18" s="2" t="s">
        <v>28</v>
      </c>
      <c r="AR18" s="29"/>
      <c r="AS18" s="29"/>
      <c r="AT18" s="37">
        <f>AT15-AT17</f>
        <v>671.59999999999991</v>
      </c>
    </row>
    <row r="19" spans="1:46" s="2" customFormat="1" ht="15.75" x14ac:dyDescent="0.25">
      <c r="A19" s="29"/>
      <c r="B19" s="14" t="s">
        <v>29</v>
      </c>
      <c r="C19" s="14"/>
      <c r="D19" s="14"/>
      <c r="E19" s="14">
        <f>AK10</f>
        <v>2.2999999999999998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29"/>
      <c r="AL19" s="29"/>
      <c r="AM19" s="29"/>
      <c r="AN19" s="29"/>
      <c r="AO19" s="29"/>
      <c r="AP19" s="29"/>
      <c r="AQ19" s="14"/>
      <c r="AR19" s="14"/>
      <c r="AS19" s="32"/>
      <c r="AT19" s="14"/>
    </row>
    <row r="20" spans="1:46" s="2" customFormat="1" ht="16.5" thickBot="1" x14ac:dyDescent="0.3">
      <c r="A20" s="29"/>
      <c r="B20" s="14" t="s">
        <v>30</v>
      </c>
      <c r="C20" s="14"/>
      <c r="D20" s="14"/>
      <c r="E20" s="33">
        <f>E17+E18-E19</f>
        <v>2.5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29"/>
      <c r="AL20" s="29"/>
      <c r="AM20" s="29"/>
      <c r="AN20" s="29"/>
      <c r="AO20" s="29"/>
      <c r="AP20" s="29"/>
      <c r="AQ20" s="14"/>
      <c r="AR20" s="14"/>
      <c r="AS20" s="32"/>
      <c r="AT20" s="14"/>
    </row>
    <row r="21" spans="1:46" s="2" customFormat="1" ht="16.5" thickTop="1" x14ac:dyDescent="0.25">
      <c r="A21" s="29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29"/>
      <c r="AL21" s="29"/>
      <c r="AM21" s="29"/>
      <c r="AN21" s="29"/>
      <c r="AO21" s="29"/>
      <c r="AP21" s="29"/>
      <c r="AQ21" s="14"/>
      <c r="AR21" s="14"/>
      <c r="AS21" s="32"/>
      <c r="AT21" s="14"/>
    </row>
    <row r="22" spans="1:46" s="2" customFormat="1" ht="15.75" x14ac:dyDescent="0.25">
      <c r="A22" s="34"/>
      <c r="C22" s="14"/>
      <c r="D22" s="14"/>
      <c r="E22" s="35"/>
      <c r="K22" s="14"/>
      <c r="M22" s="36"/>
      <c r="N22" s="14"/>
      <c r="P22" s="14"/>
      <c r="Q22" s="14"/>
      <c r="R22" s="14"/>
      <c r="U22" s="36"/>
      <c r="V22" s="14"/>
      <c r="W22" s="14"/>
      <c r="X22" s="14"/>
      <c r="Y22" s="14"/>
      <c r="Z22" s="14"/>
      <c r="AA22" s="14"/>
      <c r="AB22" s="36"/>
      <c r="AC22" s="14"/>
      <c r="AD22" s="14"/>
      <c r="AE22" s="14"/>
      <c r="AF22" s="14"/>
      <c r="AG22" s="14"/>
      <c r="AH22" s="36"/>
      <c r="AI22" s="14"/>
      <c r="AJ22" s="14"/>
      <c r="AK22" s="14"/>
      <c r="AL22" s="29"/>
      <c r="AM22" s="29"/>
      <c r="AN22" s="29"/>
      <c r="AO22" s="29"/>
      <c r="AP22" s="29"/>
      <c r="AQ22" s="14"/>
      <c r="AR22" s="14"/>
      <c r="AS22" s="32"/>
      <c r="AT22" s="14"/>
    </row>
    <row r="23" spans="1:46" s="2" customFormat="1" ht="15.75" x14ac:dyDescent="0.25">
      <c r="A23" s="14"/>
      <c r="C23" s="14"/>
      <c r="D23" s="14"/>
      <c r="E23" s="35"/>
      <c r="K23" s="14"/>
      <c r="M23" s="36"/>
      <c r="N23" s="14"/>
      <c r="P23" s="14"/>
      <c r="Q23" s="14"/>
      <c r="R23" s="14"/>
      <c r="U23" s="36"/>
      <c r="V23" s="14"/>
      <c r="W23" s="14"/>
      <c r="X23" s="14"/>
      <c r="Y23" s="14"/>
      <c r="Z23" s="14"/>
      <c r="AA23" s="14"/>
      <c r="AB23" s="36"/>
      <c r="AC23" s="14"/>
      <c r="AD23" s="14"/>
      <c r="AE23" s="14"/>
      <c r="AF23" s="14"/>
      <c r="AG23" s="14"/>
      <c r="AH23" s="36"/>
      <c r="AI23" s="14"/>
      <c r="AJ23" s="14"/>
      <c r="AK23" s="14"/>
      <c r="AL23" s="29"/>
      <c r="AM23" s="29"/>
      <c r="AN23" s="29"/>
      <c r="AO23" s="29"/>
      <c r="AP23" s="29"/>
      <c r="AQ23" s="14"/>
      <c r="AR23" s="14"/>
      <c r="AS23" s="32"/>
      <c r="AT23" s="14"/>
    </row>
  </sheetData>
  <mergeCells count="17">
    <mergeCell ref="AQ4:AQ5"/>
    <mergeCell ref="AR4:AR5"/>
    <mergeCell ref="AS4:AS5"/>
    <mergeCell ref="AT4:AT5"/>
    <mergeCell ref="B10:E10"/>
    <mergeCell ref="AK4:AK5"/>
    <mergeCell ref="AL4:AL5"/>
    <mergeCell ref="AM4:AM5"/>
    <mergeCell ref="AN4:AN5"/>
    <mergeCell ref="AO4:AO5"/>
    <mergeCell ref="AP4:AP5"/>
    <mergeCell ref="A4:A5"/>
    <mergeCell ref="B4:B5"/>
    <mergeCell ref="C4:C5"/>
    <mergeCell ref="D4:D5"/>
    <mergeCell ref="E4:E5"/>
    <mergeCell ref="F4:A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January 2026</vt:lpstr>
      <vt:lpstr>February 2026</vt:lpstr>
      <vt:lpstr>March 2026</vt:lpstr>
      <vt:lpstr>April 2026</vt:lpstr>
      <vt:lpstr>may 2026</vt:lpstr>
      <vt:lpstr>June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2026-06-04T06:47:11Z</dcterms:modified>
</cp:coreProperties>
</file>