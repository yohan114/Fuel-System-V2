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l Issue Register" sheetId="1" state="visible" r:id="rId3"/>
    <sheet name="Daily Stock Reconciliation" sheetId="2" state="visible" r:id="rId4"/>
    <sheet name="Vehicle Summary" sheetId="3" state="visible" r:id="rId5"/>
    <sheet name="Meter &amp; Fuel Rate" sheetId="4" state="visible" r:id="rId6"/>
    <sheet name="Control Findings" sheetId="5" state="visible" r:id="rId7"/>
    <sheet name="Source Sheet Log" sheetId="6" state="visible" r:id="rId8"/>
    <sheet name="Driver Summary" sheetId="7" state="visible" r:id="rId9"/>
  </sheets>
  <definedNames>
    <definedName function="false" hidden="true" localSheetId="0" name="_xlnm._FilterDatabase" vbProcedure="false">'Fuel Issue Register'!$A$5:$K$43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<sst xmlns="http://schemas.openxmlformats.org/spreadsheetml/2006/main" count="583" uniqueCount="260">
  <si>
    <t xml:space="preserve">EDWARD &amp; CHRISTIE (PVT) LTD  -  CEP/3 WADAKADA</t>
  </si>
  <si>
    <t xml:space="preserve">DAILY FUEL &amp; LUBRICANT ISSUE - TRANSACTION REGISTER</t>
  </si>
  <si>
    <t xml:space="preserve">Transcribed from six handwritten daily issue notes, 01 Aug 2026 to 06 Aug 2026. Diesel only - no petrol, kerosene, oil or grease was issued on any of the six days. Store Keeper on all sheets: Darshana.</t>
  </si>
  <si>
    <t xml:space="preserve">Date</t>
  </si>
  <si>
    <t xml:space="preserve">Day</t>
  </si>
  <si>
    <t xml:space="preserve">Line
No</t>
  </si>
  <si>
    <t xml:space="preserve">Vehicle No
(as written)</t>
  </si>
  <si>
    <t xml:space="preserve">Vehicle No
(normalised)</t>
  </si>
  <si>
    <t xml:space="preserve">Diesel
Qty (L)</t>
  </si>
  <si>
    <t xml:space="preserve">Current Meter
(as read)</t>
  </si>
  <si>
    <t xml:space="preserve">Meter
Read
Confidence</t>
  </si>
  <si>
    <t xml:space="preserve">Driver / Operator</t>
  </si>
  <si>
    <t xml:space="preserve">Source
Image</t>
  </si>
  <si>
    <t xml:space="preserve">Remarks / Legibility Note</t>
  </si>
  <si>
    <t xml:space="preserve">2026-08-01</t>
  </si>
  <si>
    <t xml:space="preserve">Saturday</t>
  </si>
  <si>
    <t xml:space="preserve">ZA-8395</t>
  </si>
  <si>
    <t xml:space="preserve">Medium</t>
  </si>
  <si>
    <t xml:space="preserve">Chathuranga</t>
  </si>
  <si>
    <t xml:space="preserve">IMG-2 (09_32_45)</t>
  </si>
  <si>
    <t xml:space="preserve">DAB-5905</t>
  </si>
  <si>
    <t xml:space="preserve">Kasun</t>
  </si>
  <si>
    <t xml:space="preserve">Reading shown with leading zero as 068608.4</t>
  </si>
  <si>
    <t xml:space="preserve">LP-7183</t>
  </si>
  <si>
    <t xml:space="preserve">Kalinda</t>
  </si>
  <si>
    <t xml:space="preserve">LP-1577</t>
  </si>
  <si>
    <t xml:space="preserve">High</t>
  </si>
  <si>
    <t xml:space="preserve">Danushka</t>
  </si>
  <si>
    <t xml:space="preserve">ZB-8395</t>
  </si>
  <si>
    <t xml:space="preserve">Low</t>
  </si>
  <si>
    <t xml:space="preserve">Same numeric as line 1 but different prefix - confirm whether ZA or ZB</t>
  </si>
  <si>
    <t xml:space="preserve">LP-1575</t>
  </si>
  <si>
    <t xml:space="preserve">Sahiraj</t>
  </si>
  <si>
    <t xml:space="preserve">CL-0980</t>
  </si>
  <si>
    <t xml:space="preserve">Jayasekara</t>
  </si>
  <si>
    <t xml:space="preserve">Meter column left blank</t>
  </si>
  <si>
    <t xml:space="preserve">Sub-total issued 2026-08-01</t>
  </si>
  <si>
    <t xml:space="preserve">7 issue lines</t>
  </si>
  <si>
    <t xml:space="preserve">2026-08-02</t>
  </si>
  <si>
    <t xml:space="preserve">Sunday</t>
  </si>
  <si>
    <t xml:space="preserve">NP-19</t>
  </si>
  <si>
    <t xml:space="preserve">Ananda</t>
  </si>
  <si>
    <t xml:space="preserve">IMG-5 (09_32_46)</t>
  </si>
  <si>
    <t xml:space="preserve">Plate/machine ID poorly legible - reads NP-19 or NF-19</t>
  </si>
  <si>
    <t xml:space="preserve">Second issue to same vehicle on same day, no meter recorded</t>
  </si>
  <si>
    <t xml:space="preserve">Sub-total issued 2026-08-02</t>
  </si>
  <si>
    <t xml:space="preserve">3 issue lines</t>
  </si>
  <si>
    <t xml:space="preserve">2026-08-03</t>
  </si>
  <si>
    <t xml:space="preserve">Monday</t>
  </si>
  <si>
    <t xml:space="preserve">LD-09</t>
  </si>
  <si>
    <t xml:space="preserve">Asantha</t>
  </si>
  <si>
    <t xml:space="preserve">IMG-6 (09_32_47)</t>
  </si>
  <si>
    <t xml:space="preserve">ZA-0050</t>
  </si>
  <si>
    <t xml:space="preserve">Kaushalya</t>
  </si>
  <si>
    <t xml:space="preserve">ZA-7083</t>
  </si>
  <si>
    <t xml:space="preserve">Thusara</t>
  </si>
  <si>
    <t xml:space="preserve">ZA-2612</t>
  </si>
  <si>
    <t xml:space="preserve">Manjula</t>
  </si>
  <si>
    <t xml:space="preserve">GE-60</t>
  </si>
  <si>
    <t xml:space="preserve">Only trailing digits legible - likely 20251.4, verify against book</t>
  </si>
  <si>
    <t xml:space="preserve">Sub-total issued 2026-08-03</t>
  </si>
  <si>
    <t xml:space="preserve">5 issue lines</t>
  </si>
  <si>
    <t xml:space="preserve">2026-08-04</t>
  </si>
  <si>
    <t xml:space="preserve">Tuesday</t>
  </si>
  <si>
    <t xml:space="preserve">IMG-4 (09_32_46_2)</t>
  </si>
  <si>
    <t xml:space="preserve">ZA-2999</t>
  </si>
  <si>
    <t xml:space="preserve">Plate reads ZA-2999 or ZA-2900</t>
  </si>
  <si>
    <t xml:space="preserve">ZB-0050</t>
  </si>
  <si>
    <t xml:space="preserve">Written ZB-0050; fleet elsewhere shows ZA-0050 - confirm</t>
  </si>
  <si>
    <t xml:space="preserve">ZA-8511</t>
  </si>
  <si>
    <t xml:space="preserve">Sanjeewa</t>
  </si>
  <si>
    <t xml:space="preserve">Kosal</t>
  </si>
  <si>
    <t xml:space="preserve">Second issue to same vehicle on same day</t>
  </si>
  <si>
    <t xml:space="preserve">Sub-total issued 2026-08-04</t>
  </si>
  <si>
    <t xml:space="preserve">2026-08-05</t>
  </si>
  <si>
    <t xml:space="preserve">Wednesday</t>
  </si>
  <si>
    <t xml:space="preserve">ZA-8929</t>
  </si>
  <si>
    <t xml:space="preserve">IMG-3 (09_32_46_1)</t>
  </si>
  <si>
    <t xml:space="preserve">Plate reads ZA-8929 or ZA-8399; meter reads 5295 or 3295</t>
  </si>
  <si>
    <t xml:space="preserve">Gopal</t>
  </si>
  <si>
    <t xml:space="preserve">Sub-total issued 2026-08-05</t>
  </si>
  <si>
    <t xml:space="preserve">2026-08-06</t>
  </si>
  <si>
    <t xml:space="preserve">Thursday</t>
  </si>
  <si>
    <t xml:space="preserve">Thusara/Thrisankaran</t>
  </si>
  <si>
    <t xml:space="preserve">IMG-1 (08_47_38)</t>
  </si>
  <si>
    <t xml:space="preserve">ZA-8931</t>
  </si>
  <si>
    <t xml:space="preserve">Thisara</t>
  </si>
  <si>
    <t xml:space="preserve">Plate reads ZA-8931 or ZA-8934</t>
  </si>
  <si>
    <t xml:space="preserve">Ashith</t>
  </si>
  <si>
    <t xml:space="preserve">Only trailing digits legible - likely 20068.8, verify against book</t>
  </si>
  <si>
    <t xml:space="preserve">LN-8288</t>
  </si>
  <si>
    <t xml:space="preserve">Nalin</t>
  </si>
  <si>
    <t xml:space="preserve">2 L only - small engine / generator / hand tool</t>
  </si>
  <si>
    <t xml:space="preserve">PA-8511</t>
  </si>
  <si>
    <t xml:space="preserve">Written PA-8511; fleet elsewhere shows ZA-8511 - confirm</t>
  </si>
  <si>
    <t xml:space="preserve">Read as 60350 but sequence confirms 69350</t>
  </si>
  <si>
    <t xml:space="preserve">Sub-total issued 2026-08-06</t>
  </si>
  <si>
    <t xml:space="preserve">GRAND TOTAL DIESEL ISSUED (01-06 Aug 2026)</t>
  </si>
  <si>
    <t xml:space="preserve">32 issue lines</t>
  </si>
  <si>
    <t xml:space="preserve">LEGEND AND TRANSCRIPTION BASIS</t>
  </si>
  <si>
    <t xml:space="preserve">Meter Read Confidence - High</t>
  </si>
  <si>
    <t xml:space="preserve">All digits clearly legible in the scan and consistent with the surrounding sequence.</t>
  </si>
  <si>
    <t xml:space="preserve">Meter Read Confidence - Medium</t>
  </si>
  <si>
    <t xml:space="preserve">Legible but one or more digits could be read two ways. Check against the original book before billing.</t>
  </si>
  <si>
    <t xml:space="preserve">Meter Read Confidence - Low</t>
  </si>
  <si>
    <t xml:space="preserve">Reading or plate number is doubtful. Do not use for costing until verified against the original book.</t>
  </si>
  <si>
    <t xml:space="preserve">Blank meter cell</t>
  </si>
  <si>
    <t xml:space="preserve">The Current Meter column was left empty on the original sheet. Nothing has been estimated or filled in.</t>
  </si>
  <si>
    <t xml:space="preserve">Vehicle No (normalised)</t>
  </si>
  <si>
    <t xml:space="preserve">Where the same unit was written two ways across days, one spelling has been adopted so totals group correctly. The as-written value is preserved in the column to its left.</t>
  </si>
  <si>
    <t xml:space="preserve">Lubricants</t>
  </si>
  <si>
    <t xml:space="preserve">Petrol, kerosene, DB-40, HD-40, 15W40, grease, 20W40, HD-90 and HD-150 columns are printed on the form and are empty on all six sheets. No lubricant was issued in the period.</t>
  </si>
  <si>
    <t xml:space="preserve">DAILY DIESEL STOCK RECONCILIATION</t>
  </si>
  <si>
    <t xml:space="preserve">Balance Forward + Received - Issued = Closing Stock. Every daily total on the sheet is re-added from the individual issue lines and compared against the figure written by the store keeper.</t>
  </si>
  <si>
    <t xml:space="preserve">Balance
Forward (L)</t>
  </si>
  <si>
    <t xml:space="preserve">Received
(L)</t>
  </si>
  <si>
    <t xml:space="preserve">Total
Available (L)</t>
  </si>
  <si>
    <t xml:space="preserve">Issued -
as written (L)</t>
  </si>
  <si>
    <t xml:space="preserve">Issued -
sum of lines (L)</t>
  </si>
  <si>
    <t xml:space="preserve">Variance
(L)</t>
  </si>
  <si>
    <t xml:space="preserve">Closing Stock -
as written (L)</t>
  </si>
  <si>
    <t xml:space="preserve">Closing Stock -
computed (L)</t>
  </si>
  <si>
    <t xml:space="preserve">Reconciles?</t>
  </si>
  <si>
    <t xml:space="preserve">Note</t>
  </si>
  <si>
    <t xml:space="preserve">Balance Forward on the sheet is faint. 234 L is the only value consistent with 122 L issued and 112 L closing.</t>
  </si>
  <si>
    <t xml:space="preserve">Bowser / barrel receipt of 400 L recorded.</t>
  </si>
  <si>
    <t xml:space="preserve">No receipt. Closing figure on the sheet is smudged; 332 L is the arithmetic result.</t>
  </si>
  <si>
    <t xml:space="preserve">No receipt.</t>
  </si>
  <si>
    <t xml:space="preserve">Second receipt of 400 L recorded.</t>
  </si>
  <si>
    <t xml:space="preserve">No receipt. Only sheet carrying a site name (CEP/3 Wadakada).</t>
  </si>
  <si>
    <t xml:space="preserve">PERIOD TOTAL</t>
  </si>
  <si>
    <t xml:space="preserve">PERIOD PROOF</t>
  </si>
  <si>
    <t xml:space="preserve">Opening balance carried into 01 Aug 2026 (L)</t>
  </si>
  <si>
    <t xml:space="preserve">Total diesel received 01-06 Aug 2026 (L)</t>
  </si>
  <si>
    <t xml:space="preserve">Total diesel issued 01-06 Aug 2026 (L)</t>
  </si>
  <si>
    <t xml:space="preserve">Expected closing stock at 06 Aug 2026 (L)</t>
  </si>
  <si>
    <t xml:space="preserve">Closing stock written on 06 Aug sheet (L)</t>
  </si>
  <si>
    <t xml:space="preserve">Difference (L)</t>
  </si>
  <si>
    <t xml:space="preserve">VEHICLE / MACHINE CONSUMPTION SUMMARY</t>
  </si>
  <si>
    <t xml:space="preserve">18 distinct units drew diesel over the six days, ranked by total litres issued. First / Last Meter use only fully written readings. Partial readings are counted separately and excluded from the movement calculation.</t>
  </si>
  <si>
    <t xml:space="preserve">Rank</t>
  </si>
  <si>
    <t xml:space="preserve">Vehicle No</t>
  </si>
  <si>
    <t xml:space="preserve">Issue
Lines</t>
  </si>
  <si>
    <t xml:space="preserve">Days
Drawn</t>
  </si>
  <si>
    <t xml:space="preserve">Total Diesel
Issued (L)</t>
  </si>
  <si>
    <t xml:space="preserve">Average per
Issue (L)</t>
  </si>
  <si>
    <t xml:space="preserve">Largest
Single Issue (L)</t>
  </si>
  <si>
    <t xml:space="preserve">% of Period
Total</t>
  </si>
  <si>
    <t xml:space="preserve">Usable Meter
Readings</t>
  </si>
  <si>
    <t xml:space="preserve">Partial /
Unusable</t>
  </si>
  <si>
    <t xml:space="preserve">First Meter</t>
  </si>
  <si>
    <t xml:space="preserve">Last Meter</t>
  </si>
  <si>
    <t xml:space="preserve">Meter
Movement</t>
  </si>
  <si>
    <t xml:space="preserve">Driver(s) / Operator(s) Recorded</t>
  </si>
  <si>
    <t xml:space="preserve">Kasun, Kosal</t>
  </si>
  <si>
    <t xml:space="preserve">Kaushalya, Thusara/Thrisankaran</t>
  </si>
  <si>
    <t xml:space="preserve">Asantha, Ashith</t>
  </si>
  <si>
    <t xml:space="preserve">Danushka, Sanjeewa</t>
  </si>
  <si>
    <t xml:space="preserve">TOTAL - ALL UNITS</t>
  </si>
  <si>
    <t xml:space="preserve">METER MOVEMENT AND DIESEL RATE (WHERE TWO OR MORE READINGS EXIST)</t>
  </si>
  <si>
    <t xml:space="preserve">Only 5 of 18 units have two or more legible meter readings in the period. Unit = km for road vehicles and hours for machines - confirm per unit before using these rates commercially.</t>
  </si>
  <si>
    <t xml:space="preserve">From Date</t>
  </si>
  <si>
    <t xml:space="preserve">To Date</t>
  </si>
  <si>
    <t xml:space="preserve">Opening
Meter</t>
  </si>
  <si>
    <t xml:space="preserve">Closing
Meter</t>
  </si>
  <si>
    <t xml:space="preserve">Diesel Issued
in Window (L)</t>
  </si>
  <si>
    <t xml:space="preserve">Units per
Litre</t>
  </si>
  <si>
    <t xml:space="preserve">Litres per
100 Units</t>
  </si>
  <si>
    <t xml:space="preserve">Confidence</t>
  </si>
  <si>
    <t xml:space="preserve">Comment</t>
  </si>
  <si>
    <t xml:space="preserve">1 intervening issue(s) had no meter recorded - litres shown are the tank-to-tank total for the window.</t>
  </si>
  <si>
    <t xml:space="preserve">Two issues to the same unit on the same day.</t>
  </si>
  <si>
    <t xml:space="preserve">DAB-5905 - period</t>
  </si>
  <si>
    <t xml:space="preserve">Whole-period average across all fills between the first and last usable reading.</t>
  </si>
  <si>
    <t xml:space="preserve">Only ONE usable meter reading, so no rate can be calculated: LD-09, GE-60, NP-19, ZA-8395, ZA-8929, LP-1575, LP-7183, ZB-8395.    NO meter reading at all on any line: ZA-0050, ZA-2612, ZA-8511, ZA-7083, ZA-2999, ZA-8931, CL-0980, LN-8288.    GE-60 (03 Aug) and LD-09 (06 Aug) each have a second reading on the sheet, but only the trailing digits were written, so both are excluded here.    Readings carrying a decimal (DAB-5905, GE-60, LD-09, NP-19) are most likely hour meters; readings without one are most likely odometers. Confirm per unit before using any rate for billing.</t>
  </si>
  <si>
    <t xml:space="preserve">DATA QUALITY AND CONTROL FINDINGS</t>
  </si>
  <si>
    <t xml:space="preserve">Observations arising from transcription of the 01-06 Aug 2026 issue notes.</t>
  </si>
  <si>
    <t xml:space="preserve">No</t>
  </si>
  <si>
    <t xml:space="preserve">Finding</t>
  </si>
  <si>
    <t xml:space="preserve">Category</t>
  </si>
  <si>
    <t xml:space="preserve">Severity</t>
  </si>
  <si>
    <t xml:space="preserve">Evidence in the six sheets</t>
  </si>
  <si>
    <t xml:space="preserve">Recommended action</t>
  </si>
  <si>
    <t xml:space="preserve">Current Meter left blank on most lines</t>
  </si>
  <si>
    <t xml:space="preserve">Recording discipline</t>
  </si>
  <si>
    <t xml:space="preserve">17 of 32 issue lines (53%) carry no meter reading. On 03 Aug four of five lines are blank; on 06 Aug five of seven are blank.</t>
  </si>
  <si>
    <t xml:space="preserve">Make the meter reading a mandatory field. No meter, no issue. Store keeper to refuse the line if the operator cannot state a reading.</t>
  </si>
  <si>
    <t xml:space="preserve">Previous Meter and Consumption columns never used</t>
  </si>
  <si>
    <t xml:space="preserve">Form design / control</t>
  </si>
  <si>
    <t xml:space="preserve">Both columns are printed on the form and are empty on all six sheets. Consumption is therefore never computed at the point of issue.</t>
  </si>
  <si>
    <t xml:space="preserve">Either enforce use of the columns or drop them and compute consumption in the fuel system. An unused control column signals to staff that the control is optional.</t>
  </si>
  <si>
    <t xml:space="preserve">Issue Note No. never filled</t>
  </si>
  <si>
    <t xml:space="preserve">Traceability</t>
  </si>
  <si>
    <t xml:space="preserve">The Issue Note No. field is blank on all six sheets. Sheets are identifiable only by date.</t>
  </si>
  <si>
    <t xml:space="preserve">Pre-print sequential issue note numbers on the pad so a missing sheet becomes visible.</t>
  </si>
  <si>
    <t xml:space="preserve">Officer name and signature column blank</t>
  </si>
  <si>
    <t xml:space="preserve">Segregation of duties</t>
  </si>
  <si>
    <t xml:space="preserve">The Officer / Name / Signature block is empty on all six sheets. Only the driver signs and only the store keeper certifies.</t>
  </si>
  <si>
    <t xml:space="preserve">Require a site officer counter-signature on the daily total, independent of the store keeper.</t>
  </si>
  <si>
    <t xml:space="preserve">Site not stated on five of six sheets</t>
  </si>
  <si>
    <t xml:space="preserve">Only the 06 Aug sheet carries CEP/3 Wadakada, handwritten above the letterhead. The other five sheets carry no site.</t>
  </si>
  <si>
    <t xml:space="preserve">Pre-print or rubber-stamp the site code on every pad issued to a site.</t>
  </si>
  <si>
    <t xml:space="preserve">Same vehicle drawing twice in one day with no meter on the second issue</t>
  </si>
  <si>
    <t xml:space="preserve">Fraud exposure</t>
  </si>
  <si>
    <t xml:space="preserve">DAB-5905 drew 10 L twice on 02 Aug (second issue no meter) and 10 L twice on 04 Aug. Seven separate issues in six days, 70 L total, the highest line count in the period.</t>
  </si>
  <si>
    <t xml:space="preserve">Flag repeat same-day issues for the same unit. Require the second issue to carry a meter reading and a written reason.</t>
  </si>
  <si>
    <t xml:space="preserve">Plate numbers written inconsistently</t>
  </si>
  <si>
    <t xml:space="preserve">Master data</t>
  </si>
  <si>
    <t xml:space="preserve">ZA-0050 appears as ZB-0050 on 04 Aug. ZA-8511 appears as PA-8511 on 06 Aug. ZA-8395 and ZB-8395 both appear on 01 Aug with different meters.</t>
  </si>
  <si>
    <t xml:space="preserve">Issue a printed fleet list to each site store. Store keeper to copy the plate from the list, not from the driver.</t>
  </si>
  <si>
    <t xml:space="preserve">Balance Forward on 01 Aug not legible</t>
  </si>
  <si>
    <t xml:space="preserve">The opening figure is faint. 234 L is inferred from 122 L issued and 112 L closing, and is confirmed by the six-day chain balancing exactly.</t>
  </si>
  <si>
    <t xml:space="preserve">Store keeper to overwrite faint figures clearly rather than leave them.</t>
  </si>
  <si>
    <t xml:space="preserve">Meter readings partially written</t>
  </si>
  <si>
    <t xml:space="preserve">GE-60 on 03 Aug shows only 251.4 against 20253.3 two days later. LD-09 on 06 Aug shows only 688 against 20060.8 on 03 Aug.</t>
  </si>
  <si>
    <t xml:space="preserve">Require the full meter reading including all leading digits, not just the digits that changed.</t>
  </si>
  <si>
    <t xml:space="preserve">Driver names only, no employee number</t>
  </si>
  <si>
    <t xml:space="preserve">Drivers are recorded by first name only. Kasun, Thusara, Danushka, Chathuranga and Manjula each appear on several days with no unique identifier.</t>
  </si>
  <si>
    <t xml:space="preserve">Add an EPF or employee number column so the issue ties to a payroll record.</t>
  </si>
  <si>
    <t xml:space="preserve">Positive finding - stock chain reconciles exactly</t>
  </si>
  <si>
    <t xml:space="preserve">Stock control</t>
  </si>
  <si>
    <t xml:space="preserve">Positive</t>
  </si>
  <si>
    <t xml:space="preserve">234 L opening plus 800 L received less 634 L issued equals 400 L closing, and every daily line total re-adds to the written daily total with zero variance across all six days.</t>
  </si>
  <si>
    <t xml:space="preserve">No action. Confirm the two 400 L receipts against the supplier delivery notes to close the loop.</t>
  </si>
  <si>
    <t xml:space="preserve">SOURCE DOCUMENT LOG</t>
  </si>
  <si>
    <t xml:space="preserve">One row per scanned sheet, for audit trail back to the original book.</t>
  </si>
  <si>
    <t xml:space="preserve">Date on sheet</t>
  </si>
  <si>
    <t xml:space="preserve">Source image file</t>
  </si>
  <si>
    <t xml:space="preserve">Site written on sheet</t>
  </si>
  <si>
    <t xml:space="preserve">Issue Note No.</t>
  </si>
  <si>
    <t xml:space="preserve">Issue lines</t>
  </si>
  <si>
    <t xml:space="preserve">Diesel issued (L)</t>
  </si>
  <si>
    <t xml:space="preserve">Received (L)</t>
  </si>
  <si>
    <t xml:space="preserve">Closing stock (L)</t>
  </si>
  <si>
    <t xml:space="preserve">Certified by</t>
  </si>
  <si>
    <t xml:space="preserve">Designation</t>
  </si>
  <si>
    <t xml:space="preserve">Date signed</t>
  </si>
  <si>
    <t xml:space="preserve">WhatsApp_Image_2026-08-07_at_09_32_45.jpeg</t>
  </si>
  <si>
    <t xml:space="preserve">(not stated on sheet)</t>
  </si>
  <si>
    <t xml:space="preserve">(blank on sheet)</t>
  </si>
  <si>
    <t xml:space="preserve">Darshana</t>
  </si>
  <si>
    <t xml:space="preserve">SK (Store Keeper)</t>
  </si>
  <si>
    <t xml:space="preserve">WhatsApp_Image_2026-08-07_at_09_32_46.jpeg</t>
  </si>
  <si>
    <t xml:space="preserve">WhatsApp_Image_2026-08-07_at_09_32_47.jpeg</t>
  </si>
  <si>
    <t xml:space="preserve">WhatsApp_Image_2026-08-07_at_09_32_46__2_.jpeg</t>
  </si>
  <si>
    <t xml:space="preserve">WhatsApp_Image_2026-08-07_at_09_32_46__1_.jpeg</t>
  </si>
  <si>
    <t xml:space="preserve">WhatsApp_Image_2026-08-07_at_08_47_38.jpeg</t>
  </si>
  <si>
    <t xml:space="preserve">CEP/3 Wadakada</t>
  </si>
  <si>
    <t xml:space="preserve">TOTAL</t>
  </si>
  <si>
    <t xml:space="preserve">DRIVER AND OPERATOR SUMMARY</t>
  </si>
  <si>
    <t xml:space="preserve">Names are transcribed from handwritten signatures and first names only, with no employee number on the form. Treat every name here as provisional until matched against the site attendance register.</t>
  </si>
  <si>
    <t xml:space="preserve">Driver / Operator
(as read from handwriting)</t>
  </si>
  <si>
    <t xml:space="preserve">Days
Appearing</t>
  </si>
  <si>
    <t xml:space="preserve">Total Diesel
Drawn (L)</t>
  </si>
  <si>
    <t xml:space="preserve">Units
Driven</t>
  </si>
  <si>
    <t xml:space="preserve">Vehicles / machines signed for</t>
  </si>
  <si>
    <t xml:space="preserve">ZA-2999, ZA-7083</t>
  </si>
  <si>
    <t xml:space="preserve">ZA-8395, ZA-8929, ZB-8395</t>
  </si>
  <si>
    <t xml:space="preserve">LP-1577, ZA-8511</t>
  </si>
  <si>
    <t xml:space="preserve">(name not recorded)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</si>
</sst>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#,##0.0"/>
    <numFmt numFmtId="168" formatCode="0.0%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C8A"/>
        <bgColor rgb="FF1F3864"/>
      </patternFill>
    </fill>
    <fill>
      <patternFill patternType="solid">
        <fgColor rgb="FFFFF2CC"/>
        <bgColor rgb="FFF2F6FB"/>
      </patternFill>
    </fill>
    <fill>
      <patternFill patternType="solid">
        <fgColor rgb="FFFFD9D9"/>
        <bgColor rgb="FFFFF2CC"/>
      </patternFill>
    </fill>
    <fill>
      <patternFill patternType="solid">
        <fgColor rgb="FFDCE6F1"/>
        <bgColor rgb="FFD9EAD3"/>
      </patternFill>
    </fill>
    <fill>
      <patternFill patternType="solid">
        <fgColor rgb="FFF2F6FB"/>
        <bgColor rgb="FFFFFFFF"/>
      </patternFill>
    </fill>
    <fill>
      <patternFill patternType="solid">
        <fgColor rgb="FFD9EAD3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B7C4D6"/>
      </right>
      <top style="medium">
        <color rgb="FF2E5C8A"/>
      </top>
      <bottom style="medium">
        <color rgb="FF2E5C8A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5C8A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D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4D6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D9EAD3"/>
      <rgbColor rgb="FFFFFF99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4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  <c r="C6" s="6" t="n">
        <v>1</v>
      </c>
      <c r="D6" s="7" t="s">
        <v>16</v>
      </c>
      <c r="E6" s="7" t="s">
        <v>16</v>
      </c>
      <c r="F6" s="8" t="n">
        <v>30</v>
      </c>
      <c r="G6" s="9" t="n">
        <v>3275</v>
      </c>
      <c r="H6" s="10" t="s">
        <v>17</v>
      </c>
      <c r="I6" s="7" t="s">
        <v>18</v>
      </c>
      <c r="J6" s="5" t="s">
        <v>19</v>
      </c>
      <c r="K6" s="7"/>
    </row>
    <row r="7" customFormat="false" ht="15" hidden="false" customHeight="false" outlineLevel="0" collapsed="false">
      <c r="A7" s="5" t="s">
        <v>14</v>
      </c>
      <c r="B7" s="5" t="s">
        <v>15</v>
      </c>
      <c r="C7" s="6" t="n">
        <v>2</v>
      </c>
      <c r="D7" s="7" t="s">
        <v>20</v>
      </c>
      <c r="E7" s="7" t="s">
        <v>20</v>
      </c>
      <c r="F7" s="8" t="n">
        <v>10</v>
      </c>
      <c r="G7" s="9" t="n">
        <v>68608.4</v>
      </c>
      <c r="H7" s="10" t="s">
        <v>17</v>
      </c>
      <c r="I7" s="7" t="s">
        <v>21</v>
      </c>
      <c r="J7" s="5" t="s">
        <v>19</v>
      </c>
      <c r="K7" s="7" t="s">
        <v>22</v>
      </c>
    </row>
    <row r="8" customFormat="false" ht="15" hidden="false" customHeight="false" outlineLevel="0" collapsed="false">
      <c r="A8" s="5" t="s">
        <v>14</v>
      </c>
      <c r="B8" s="5" t="s">
        <v>15</v>
      </c>
      <c r="C8" s="6" t="n">
        <v>3</v>
      </c>
      <c r="D8" s="7" t="s">
        <v>23</v>
      </c>
      <c r="E8" s="7" t="s">
        <v>23</v>
      </c>
      <c r="F8" s="8" t="n">
        <v>20</v>
      </c>
      <c r="G8" s="9" t="n">
        <v>151402</v>
      </c>
      <c r="H8" s="10" t="s">
        <v>17</v>
      </c>
      <c r="I8" s="7" t="s">
        <v>24</v>
      </c>
      <c r="J8" s="5" t="s">
        <v>19</v>
      </c>
      <c r="K8" s="7"/>
    </row>
    <row r="9" customFormat="false" ht="15" hidden="false" customHeight="false" outlineLevel="0" collapsed="false">
      <c r="A9" s="5" t="s">
        <v>14</v>
      </c>
      <c r="B9" s="5" t="s">
        <v>15</v>
      </c>
      <c r="C9" s="6" t="n">
        <v>4</v>
      </c>
      <c r="D9" s="7" t="s">
        <v>25</v>
      </c>
      <c r="E9" s="7" t="s">
        <v>25</v>
      </c>
      <c r="F9" s="8" t="n">
        <v>20</v>
      </c>
      <c r="G9" s="9" t="n">
        <v>81920</v>
      </c>
      <c r="H9" s="5" t="s">
        <v>26</v>
      </c>
      <c r="I9" s="7" t="s">
        <v>27</v>
      </c>
      <c r="J9" s="5" t="s">
        <v>19</v>
      </c>
      <c r="K9" s="7"/>
    </row>
    <row r="10" customFormat="false" ht="22.35" hidden="false" customHeight="false" outlineLevel="0" collapsed="false">
      <c r="A10" s="5" t="s">
        <v>14</v>
      </c>
      <c r="B10" s="5" t="s">
        <v>15</v>
      </c>
      <c r="C10" s="6" t="n">
        <v>5</v>
      </c>
      <c r="D10" s="7" t="s">
        <v>28</v>
      </c>
      <c r="E10" s="7" t="s">
        <v>28</v>
      </c>
      <c r="F10" s="8" t="n">
        <v>10</v>
      </c>
      <c r="G10" s="9" t="n">
        <v>9278</v>
      </c>
      <c r="H10" s="11" t="s">
        <v>29</v>
      </c>
      <c r="I10" s="7" t="s">
        <v>18</v>
      </c>
      <c r="J10" s="5" t="s">
        <v>19</v>
      </c>
      <c r="K10" s="7" t="s">
        <v>30</v>
      </c>
    </row>
    <row r="11" customFormat="false" ht="15" hidden="false" customHeight="false" outlineLevel="0" collapsed="false">
      <c r="A11" s="5" t="s">
        <v>14</v>
      </c>
      <c r="B11" s="5" t="s">
        <v>15</v>
      </c>
      <c r="C11" s="6" t="n">
        <v>6</v>
      </c>
      <c r="D11" s="7" t="s">
        <v>31</v>
      </c>
      <c r="E11" s="7" t="s">
        <v>31</v>
      </c>
      <c r="F11" s="8" t="n">
        <v>20</v>
      </c>
      <c r="G11" s="9" t="n">
        <v>28976</v>
      </c>
      <c r="H11" s="10" t="s">
        <v>17</v>
      </c>
      <c r="I11" s="7" t="s">
        <v>32</v>
      </c>
      <c r="J11" s="5" t="s">
        <v>19</v>
      </c>
      <c r="K11" s="7"/>
    </row>
    <row r="12" customFormat="false" ht="15" hidden="false" customHeight="false" outlineLevel="0" collapsed="false">
      <c r="A12" s="5" t="s">
        <v>14</v>
      </c>
      <c r="B12" s="5" t="s">
        <v>15</v>
      </c>
      <c r="C12" s="6" t="n">
        <v>7</v>
      </c>
      <c r="D12" s="7" t="s">
        <v>33</v>
      </c>
      <c r="E12" s="7" t="s">
        <v>33</v>
      </c>
      <c r="F12" s="8" t="n">
        <v>12</v>
      </c>
      <c r="G12" s="9"/>
      <c r="H12" s="5"/>
      <c r="I12" s="7" t="s">
        <v>34</v>
      </c>
      <c r="J12" s="5" t="s">
        <v>19</v>
      </c>
      <c r="K12" s="7" t="s">
        <v>35</v>
      </c>
    </row>
    <row r="13" customFormat="false" ht="15" hidden="false" customHeight="false" outlineLevel="0" collapsed="false">
      <c r="A13" s="12" t="s">
        <v>36</v>
      </c>
      <c r="B13" s="12"/>
      <c r="C13" s="12"/>
      <c r="D13" s="12"/>
      <c r="E13" s="12"/>
      <c r="F13" s="13" t="n">
        <f aca="false">SUM(F6:F12)</f>
        <v>122</v>
      </c>
      <c r="G13" s="12" t="s">
        <v>37</v>
      </c>
      <c r="H13" s="14"/>
      <c r="I13" s="14"/>
      <c r="J13" s="14"/>
      <c r="K13" s="14"/>
    </row>
    <row r="14" customFormat="false" ht="15" hidden="false" customHeight="false" outlineLevel="0" collapsed="false">
      <c r="A14" s="15" t="s">
        <v>38</v>
      </c>
      <c r="B14" s="15" t="s">
        <v>39</v>
      </c>
      <c r="C14" s="16" t="n">
        <v>1</v>
      </c>
      <c r="D14" s="17" t="s">
        <v>40</v>
      </c>
      <c r="E14" s="17" t="s">
        <v>40</v>
      </c>
      <c r="F14" s="18" t="n">
        <v>30</v>
      </c>
      <c r="G14" s="19" t="n">
        <v>12969.9</v>
      </c>
      <c r="H14" s="11" t="s">
        <v>29</v>
      </c>
      <c r="I14" s="17" t="s">
        <v>41</v>
      </c>
      <c r="J14" s="15" t="s">
        <v>42</v>
      </c>
      <c r="K14" s="17" t="s">
        <v>43</v>
      </c>
    </row>
    <row r="15" customFormat="false" ht="15" hidden="false" customHeight="false" outlineLevel="0" collapsed="false">
      <c r="A15" s="15" t="s">
        <v>38</v>
      </c>
      <c r="B15" s="15" t="s">
        <v>39</v>
      </c>
      <c r="C15" s="16" t="n">
        <v>2</v>
      </c>
      <c r="D15" s="17" t="s">
        <v>20</v>
      </c>
      <c r="E15" s="17" t="s">
        <v>20</v>
      </c>
      <c r="F15" s="18" t="n">
        <v>10</v>
      </c>
      <c r="G15" s="19" t="n">
        <v>68688</v>
      </c>
      <c r="H15" s="15" t="s">
        <v>26</v>
      </c>
      <c r="I15" s="17" t="s">
        <v>21</v>
      </c>
      <c r="J15" s="15" t="s">
        <v>42</v>
      </c>
      <c r="K15" s="17"/>
    </row>
    <row r="16" customFormat="false" ht="22.35" hidden="false" customHeight="false" outlineLevel="0" collapsed="false">
      <c r="A16" s="15" t="s">
        <v>38</v>
      </c>
      <c r="B16" s="15" t="s">
        <v>39</v>
      </c>
      <c r="C16" s="16" t="n">
        <v>3</v>
      </c>
      <c r="D16" s="17" t="s">
        <v>20</v>
      </c>
      <c r="E16" s="17" t="s">
        <v>20</v>
      </c>
      <c r="F16" s="18" t="n">
        <v>10</v>
      </c>
      <c r="G16" s="19"/>
      <c r="H16" s="15"/>
      <c r="I16" s="17" t="s">
        <v>21</v>
      </c>
      <c r="J16" s="15" t="s">
        <v>42</v>
      </c>
      <c r="K16" s="17" t="s">
        <v>44</v>
      </c>
    </row>
    <row r="17" customFormat="false" ht="15" hidden="false" customHeight="false" outlineLevel="0" collapsed="false">
      <c r="A17" s="12" t="s">
        <v>45</v>
      </c>
      <c r="B17" s="12"/>
      <c r="C17" s="12"/>
      <c r="D17" s="12"/>
      <c r="E17" s="12"/>
      <c r="F17" s="13" t="n">
        <f aca="false">SUM(F14:F16)</f>
        <v>50</v>
      </c>
      <c r="G17" s="12" t="s">
        <v>46</v>
      </c>
      <c r="H17" s="14"/>
      <c r="I17" s="14"/>
      <c r="J17" s="14"/>
      <c r="K17" s="14"/>
    </row>
    <row r="18" customFormat="false" ht="15" hidden="false" customHeight="false" outlineLevel="0" collapsed="false">
      <c r="A18" s="5" t="s">
        <v>47</v>
      </c>
      <c r="B18" s="5" t="s">
        <v>48</v>
      </c>
      <c r="C18" s="6" t="n">
        <v>1</v>
      </c>
      <c r="D18" s="7" t="s">
        <v>49</v>
      </c>
      <c r="E18" s="7" t="s">
        <v>49</v>
      </c>
      <c r="F18" s="8" t="n">
        <v>30</v>
      </c>
      <c r="G18" s="9" t="n">
        <v>20060.8</v>
      </c>
      <c r="H18" s="10" t="s">
        <v>17</v>
      </c>
      <c r="I18" s="7" t="s">
        <v>50</v>
      </c>
      <c r="J18" s="5" t="s">
        <v>51</v>
      </c>
      <c r="K18" s="7"/>
    </row>
    <row r="19" customFormat="false" ht="15" hidden="false" customHeight="false" outlineLevel="0" collapsed="false">
      <c r="A19" s="5" t="s">
        <v>47</v>
      </c>
      <c r="B19" s="5" t="s">
        <v>48</v>
      </c>
      <c r="C19" s="6" t="n">
        <v>2</v>
      </c>
      <c r="D19" s="7" t="s">
        <v>52</v>
      </c>
      <c r="E19" s="7" t="s">
        <v>52</v>
      </c>
      <c r="F19" s="8" t="n">
        <v>20</v>
      </c>
      <c r="G19" s="9"/>
      <c r="H19" s="5"/>
      <c r="I19" s="7" t="s">
        <v>53</v>
      </c>
      <c r="J19" s="5" t="s">
        <v>51</v>
      </c>
      <c r="K19" s="7" t="s">
        <v>35</v>
      </c>
    </row>
    <row r="20" customFormat="false" ht="15" hidden="false" customHeight="false" outlineLevel="0" collapsed="false">
      <c r="A20" s="5" t="s">
        <v>47</v>
      </c>
      <c r="B20" s="5" t="s">
        <v>48</v>
      </c>
      <c r="C20" s="6" t="n">
        <v>3</v>
      </c>
      <c r="D20" s="7" t="s">
        <v>54</v>
      </c>
      <c r="E20" s="7" t="s">
        <v>54</v>
      </c>
      <c r="F20" s="8" t="n">
        <v>30</v>
      </c>
      <c r="G20" s="9"/>
      <c r="H20" s="5"/>
      <c r="I20" s="7" t="s">
        <v>55</v>
      </c>
      <c r="J20" s="5" t="s">
        <v>51</v>
      </c>
      <c r="K20" s="7" t="s">
        <v>35</v>
      </c>
    </row>
    <row r="21" customFormat="false" ht="15" hidden="false" customHeight="false" outlineLevel="0" collapsed="false">
      <c r="A21" s="5" t="s">
        <v>47</v>
      </c>
      <c r="B21" s="5" t="s">
        <v>48</v>
      </c>
      <c r="C21" s="6" t="n">
        <v>4</v>
      </c>
      <c r="D21" s="7" t="s">
        <v>56</v>
      </c>
      <c r="E21" s="7" t="s">
        <v>56</v>
      </c>
      <c r="F21" s="8" t="n">
        <v>30</v>
      </c>
      <c r="G21" s="9"/>
      <c r="H21" s="5"/>
      <c r="I21" s="7" t="s">
        <v>57</v>
      </c>
      <c r="J21" s="5" t="s">
        <v>51</v>
      </c>
      <c r="K21" s="7" t="s">
        <v>35</v>
      </c>
    </row>
    <row r="22" customFormat="false" ht="15" hidden="false" customHeight="false" outlineLevel="0" collapsed="false">
      <c r="A22" s="5" t="s">
        <v>47</v>
      </c>
      <c r="B22" s="5" t="s">
        <v>48</v>
      </c>
      <c r="C22" s="6" t="n">
        <v>5</v>
      </c>
      <c r="D22" s="7" t="s">
        <v>58</v>
      </c>
      <c r="E22" s="7" t="s">
        <v>58</v>
      </c>
      <c r="F22" s="8" t="n">
        <v>20</v>
      </c>
      <c r="G22" s="9" t="n">
        <v>251.4</v>
      </c>
      <c r="H22" s="11" t="s">
        <v>29</v>
      </c>
      <c r="I22" s="7"/>
      <c r="J22" s="5" t="s">
        <v>51</v>
      </c>
      <c r="K22" s="7" t="s">
        <v>59</v>
      </c>
    </row>
    <row r="23" customFormat="false" ht="15" hidden="false" customHeight="false" outlineLevel="0" collapsed="false">
      <c r="A23" s="12" t="s">
        <v>60</v>
      </c>
      <c r="B23" s="12"/>
      <c r="C23" s="12"/>
      <c r="D23" s="12"/>
      <c r="E23" s="12"/>
      <c r="F23" s="13" t="n">
        <f aca="false">SUM(F18:F22)</f>
        <v>130</v>
      </c>
      <c r="G23" s="12" t="s">
        <v>61</v>
      </c>
      <c r="H23" s="14"/>
      <c r="I23" s="14"/>
      <c r="J23" s="14"/>
      <c r="K23" s="14"/>
    </row>
    <row r="24" customFormat="false" ht="15" hidden="false" customHeight="false" outlineLevel="0" collapsed="false">
      <c r="A24" s="15" t="s">
        <v>62</v>
      </c>
      <c r="B24" s="15" t="s">
        <v>63</v>
      </c>
      <c r="C24" s="16" t="n">
        <v>1</v>
      </c>
      <c r="D24" s="17" t="s">
        <v>20</v>
      </c>
      <c r="E24" s="17" t="s">
        <v>20</v>
      </c>
      <c r="F24" s="18" t="n">
        <v>10</v>
      </c>
      <c r="G24" s="19" t="n">
        <v>68909</v>
      </c>
      <c r="H24" s="15" t="s">
        <v>26</v>
      </c>
      <c r="I24" s="17" t="s">
        <v>21</v>
      </c>
      <c r="J24" s="15" t="s">
        <v>64</v>
      </c>
      <c r="K24" s="17"/>
    </row>
    <row r="25" customFormat="false" ht="15" hidden="false" customHeight="false" outlineLevel="0" collapsed="false">
      <c r="A25" s="15" t="s">
        <v>62</v>
      </c>
      <c r="B25" s="15" t="s">
        <v>63</v>
      </c>
      <c r="C25" s="16" t="n">
        <v>2</v>
      </c>
      <c r="D25" s="17" t="s">
        <v>65</v>
      </c>
      <c r="E25" s="17" t="s">
        <v>65</v>
      </c>
      <c r="F25" s="18" t="n">
        <v>30</v>
      </c>
      <c r="G25" s="19"/>
      <c r="H25" s="15"/>
      <c r="I25" s="17" t="s">
        <v>55</v>
      </c>
      <c r="J25" s="15" t="s">
        <v>64</v>
      </c>
      <c r="K25" s="17" t="s">
        <v>66</v>
      </c>
    </row>
    <row r="26" customFormat="false" ht="15" hidden="false" customHeight="false" outlineLevel="0" collapsed="false">
      <c r="A26" s="15" t="s">
        <v>62</v>
      </c>
      <c r="B26" s="15" t="s">
        <v>63</v>
      </c>
      <c r="C26" s="16" t="n">
        <v>3</v>
      </c>
      <c r="D26" s="17" t="s">
        <v>67</v>
      </c>
      <c r="E26" s="17" t="s">
        <v>52</v>
      </c>
      <c r="F26" s="18" t="n">
        <v>25</v>
      </c>
      <c r="G26" s="19"/>
      <c r="H26" s="15"/>
      <c r="I26" s="17" t="s">
        <v>53</v>
      </c>
      <c r="J26" s="15" t="s">
        <v>64</v>
      </c>
      <c r="K26" s="17" t="s">
        <v>68</v>
      </c>
    </row>
    <row r="27" customFormat="false" ht="15" hidden="false" customHeight="false" outlineLevel="0" collapsed="false">
      <c r="A27" s="15" t="s">
        <v>62</v>
      </c>
      <c r="B27" s="15" t="s">
        <v>63</v>
      </c>
      <c r="C27" s="16" t="n">
        <v>4</v>
      </c>
      <c r="D27" s="17" t="s">
        <v>69</v>
      </c>
      <c r="E27" s="17" t="s">
        <v>69</v>
      </c>
      <c r="F27" s="18" t="n">
        <v>25</v>
      </c>
      <c r="G27" s="19"/>
      <c r="H27" s="15"/>
      <c r="I27" s="17" t="s">
        <v>70</v>
      </c>
      <c r="J27" s="15" t="s">
        <v>64</v>
      </c>
      <c r="K27" s="17" t="s">
        <v>35</v>
      </c>
    </row>
    <row r="28" customFormat="false" ht="15" hidden="false" customHeight="false" outlineLevel="0" collapsed="false">
      <c r="A28" s="15" t="s">
        <v>62</v>
      </c>
      <c r="B28" s="15" t="s">
        <v>63</v>
      </c>
      <c r="C28" s="16" t="n">
        <v>5</v>
      </c>
      <c r="D28" s="17" t="s">
        <v>20</v>
      </c>
      <c r="E28" s="17" t="s">
        <v>20</v>
      </c>
      <c r="F28" s="18" t="n">
        <v>10</v>
      </c>
      <c r="G28" s="19" t="n">
        <v>69009</v>
      </c>
      <c r="H28" s="15" t="s">
        <v>26</v>
      </c>
      <c r="I28" s="17" t="s">
        <v>71</v>
      </c>
      <c r="J28" s="15" t="s">
        <v>64</v>
      </c>
      <c r="K28" s="17" t="s">
        <v>72</v>
      </c>
    </row>
    <row r="29" customFormat="false" ht="15" hidden="false" customHeight="false" outlineLevel="0" collapsed="false">
      <c r="A29" s="12" t="s">
        <v>73</v>
      </c>
      <c r="B29" s="12"/>
      <c r="C29" s="12"/>
      <c r="D29" s="12"/>
      <c r="E29" s="12"/>
      <c r="F29" s="13" t="n">
        <f aca="false">SUM(F24:F28)</f>
        <v>100</v>
      </c>
      <c r="G29" s="12" t="s">
        <v>61</v>
      </c>
      <c r="H29" s="14"/>
      <c r="I29" s="14"/>
      <c r="J29" s="14"/>
      <c r="K29" s="14"/>
    </row>
    <row r="30" customFormat="false" ht="15" hidden="false" customHeight="false" outlineLevel="0" collapsed="false">
      <c r="A30" s="5" t="s">
        <v>74</v>
      </c>
      <c r="B30" s="5" t="s">
        <v>75</v>
      </c>
      <c r="C30" s="6" t="n">
        <v>1</v>
      </c>
      <c r="D30" s="7" t="s">
        <v>76</v>
      </c>
      <c r="E30" s="7" t="s">
        <v>76</v>
      </c>
      <c r="F30" s="8" t="n">
        <v>30</v>
      </c>
      <c r="G30" s="9" t="n">
        <v>5295</v>
      </c>
      <c r="H30" s="11" t="s">
        <v>29</v>
      </c>
      <c r="I30" s="7" t="s">
        <v>18</v>
      </c>
      <c r="J30" s="5" t="s">
        <v>77</v>
      </c>
      <c r="K30" s="7" t="s">
        <v>78</v>
      </c>
    </row>
    <row r="31" customFormat="false" ht="15" hidden="false" customHeight="false" outlineLevel="0" collapsed="false">
      <c r="A31" s="5" t="s">
        <v>74</v>
      </c>
      <c r="B31" s="5" t="s">
        <v>75</v>
      </c>
      <c r="C31" s="6" t="n">
        <v>2</v>
      </c>
      <c r="D31" s="7" t="s">
        <v>25</v>
      </c>
      <c r="E31" s="7" t="s">
        <v>25</v>
      </c>
      <c r="F31" s="8" t="n">
        <v>5</v>
      </c>
      <c r="G31" s="9" t="n">
        <v>82066</v>
      </c>
      <c r="H31" s="10" t="s">
        <v>17</v>
      </c>
      <c r="I31" s="7" t="s">
        <v>27</v>
      </c>
      <c r="J31" s="5" t="s">
        <v>77</v>
      </c>
      <c r="K31" s="7"/>
    </row>
    <row r="32" customFormat="false" ht="15" hidden="false" customHeight="false" outlineLevel="0" collapsed="false">
      <c r="A32" s="5" t="s">
        <v>74</v>
      </c>
      <c r="B32" s="5" t="s">
        <v>75</v>
      </c>
      <c r="C32" s="6" t="n">
        <v>3</v>
      </c>
      <c r="D32" s="7" t="s">
        <v>20</v>
      </c>
      <c r="E32" s="7" t="s">
        <v>20</v>
      </c>
      <c r="F32" s="8" t="n">
        <v>10</v>
      </c>
      <c r="G32" s="9" t="n">
        <v>69125</v>
      </c>
      <c r="H32" s="5" t="s">
        <v>26</v>
      </c>
      <c r="I32" s="7" t="s">
        <v>21</v>
      </c>
      <c r="J32" s="5" t="s">
        <v>77</v>
      </c>
      <c r="K32" s="7"/>
    </row>
    <row r="33" customFormat="false" ht="15" hidden="false" customHeight="false" outlineLevel="0" collapsed="false">
      <c r="A33" s="5" t="s">
        <v>74</v>
      </c>
      <c r="B33" s="5" t="s">
        <v>75</v>
      </c>
      <c r="C33" s="6" t="n">
        <v>4</v>
      </c>
      <c r="D33" s="7" t="s">
        <v>54</v>
      </c>
      <c r="E33" s="7" t="s">
        <v>54</v>
      </c>
      <c r="F33" s="8" t="n">
        <v>15</v>
      </c>
      <c r="G33" s="9"/>
      <c r="H33" s="5"/>
      <c r="I33" s="7" t="s">
        <v>55</v>
      </c>
      <c r="J33" s="5" t="s">
        <v>77</v>
      </c>
      <c r="K33" s="7" t="s">
        <v>35</v>
      </c>
    </row>
    <row r="34" customFormat="false" ht="15" hidden="false" customHeight="false" outlineLevel="0" collapsed="false">
      <c r="A34" s="5" t="s">
        <v>74</v>
      </c>
      <c r="B34" s="5" t="s">
        <v>75</v>
      </c>
      <c r="C34" s="6" t="n">
        <v>5</v>
      </c>
      <c r="D34" s="7" t="s">
        <v>58</v>
      </c>
      <c r="E34" s="7" t="s">
        <v>58</v>
      </c>
      <c r="F34" s="8" t="n">
        <v>20</v>
      </c>
      <c r="G34" s="9" t="n">
        <v>20253.3</v>
      </c>
      <c r="H34" s="10" t="s">
        <v>17</v>
      </c>
      <c r="I34" s="7" t="s">
        <v>79</v>
      </c>
      <c r="J34" s="5" t="s">
        <v>77</v>
      </c>
      <c r="K34" s="7"/>
    </row>
    <row r="35" customFormat="false" ht="15" hidden="false" customHeight="false" outlineLevel="0" collapsed="false">
      <c r="A35" s="12" t="s">
        <v>80</v>
      </c>
      <c r="B35" s="12"/>
      <c r="C35" s="12"/>
      <c r="D35" s="12"/>
      <c r="E35" s="12"/>
      <c r="F35" s="13" t="n">
        <f aca="false">SUM(F30:F34)</f>
        <v>80</v>
      </c>
      <c r="G35" s="12" t="s">
        <v>61</v>
      </c>
      <c r="H35" s="14"/>
      <c r="I35" s="14"/>
      <c r="J35" s="14"/>
      <c r="K35" s="14"/>
    </row>
    <row r="36" customFormat="false" ht="15" hidden="false" customHeight="false" outlineLevel="0" collapsed="false">
      <c r="A36" s="15" t="s">
        <v>81</v>
      </c>
      <c r="B36" s="15" t="s">
        <v>82</v>
      </c>
      <c r="C36" s="16" t="n">
        <v>1</v>
      </c>
      <c r="D36" s="17" t="s">
        <v>52</v>
      </c>
      <c r="E36" s="17" t="s">
        <v>52</v>
      </c>
      <c r="F36" s="18" t="n">
        <v>25</v>
      </c>
      <c r="G36" s="19"/>
      <c r="H36" s="15"/>
      <c r="I36" s="17" t="s">
        <v>83</v>
      </c>
      <c r="J36" s="15" t="s">
        <v>84</v>
      </c>
      <c r="K36" s="17" t="s">
        <v>35</v>
      </c>
    </row>
    <row r="37" customFormat="false" ht="15" hidden="false" customHeight="false" outlineLevel="0" collapsed="false">
      <c r="A37" s="15" t="s">
        <v>81</v>
      </c>
      <c r="B37" s="15" t="s">
        <v>82</v>
      </c>
      <c r="C37" s="16" t="n">
        <v>2</v>
      </c>
      <c r="D37" s="17" t="s">
        <v>85</v>
      </c>
      <c r="E37" s="17" t="s">
        <v>85</v>
      </c>
      <c r="F37" s="18" t="n">
        <v>30</v>
      </c>
      <c r="G37" s="19"/>
      <c r="H37" s="15"/>
      <c r="I37" s="17" t="s">
        <v>86</v>
      </c>
      <c r="J37" s="15" t="s">
        <v>84</v>
      </c>
      <c r="K37" s="17" t="s">
        <v>87</v>
      </c>
    </row>
    <row r="38" customFormat="false" ht="15" hidden="false" customHeight="false" outlineLevel="0" collapsed="false">
      <c r="A38" s="15" t="s">
        <v>81</v>
      </c>
      <c r="B38" s="15" t="s">
        <v>82</v>
      </c>
      <c r="C38" s="16" t="n">
        <v>3</v>
      </c>
      <c r="D38" s="17" t="s">
        <v>49</v>
      </c>
      <c r="E38" s="17" t="s">
        <v>49</v>
      </c>
      <c r="F38" s="18" t="n">
        <v>30</v>
      </c>
      <c r="G38" s="19" t="n">
        <v>688</v>
      </c>
      <c r="H38" s="11" t="s">
        <v>29</v>
      </c>
      <c r="I38" s="17" t="s">
        <v>88</v>
      </c>
      <c r="J38" s="15" t="s">
        <v>84</v>
      </c>
      <c r="K38" s="17" t="s">
        <v>89</v>
      </c>
    </row>
    <row r="39" customFormat="false" ht="15" hidden="false" customHeight="false" outlineLevel="0" collapsed="false">
      <c r="A39" s="15" t="s">
        <v>81</v>
      </c>
      <c r="B39" s="15" t="s">
        <v>82</v>
      </c>
      <c r="C39" s="16" t="n">
        <v>4</v>
      </c>
      <c r="D39" s="17" t="s">
        <v>56</v>
      </c>
      <c r="E39" s="17" t="s">
        <v>56</v>
      </c>
      <c r="F39" s="18" t="n">
        <v>30</v>
      </c>
      <c r="G39" s="19"/>
      <c r="H39" s="15"/>
      <c r="I39" s="17" t="s">
        <v>57</v>
      </c>
      <c r="J39" s="15" t="s">
        <v>84</v>
      </c>
      <c r="K39" s="17" t="s">
        <v>35</v>
      </c>
    </row>
    <row r="40" customFormat="false" ht="15" hidden="false" customHeight="false" outlineLevel="0" collapsed="false">
      <c r="A40" s="15" t="s">
        <v>81</v>
      </c>
      <c r="B40" s="15" t="s">
        <v>82</v>
      </c>
      <c r="C40" s="16" t="n">
        <v>5</v>
      </c>
      <c r="D40" s="17" t="s">
        <v>90</v>
      </c>
      <c r="E40" s="17" t="s">
        <v>90</v>
      </c>
      <c r="F40" s="18" t="n">
        <v>2</v>
      </c>
      <c r="G40" s="19"/>
      <c r="H40" s="15"/>
      <c r="I40" s="17" t="s">
        <v>91</v>
      </c>
      <c r="J40" s="15" t="s">
        <v>84</v>
      </c>
      <c r="K40" s="17" t="s">
        <v>92</v>
      </c>
    </row>
    <row r="41" customFormat="false" ht="15" hidden="false" customHeight="false" outlineLevel="0" collapsed="false">
      <c r="A41" s="15" t="s">
        <v>81</v>
      </c>
      <c r="B41" s="15" t="s">
        <v>82</v>
      </c>
      <c r="C41" s="16" t="n">
        <v>6</v>
      </c>
      <c r="D41" s="17" t="s">
        <v>93</v>
      </c>
      <c r="E41" s="17" t="s">
        <v>69</v>
      </c>
      <c r="F41" s="18" t="n">
        <v>25</v>
      </c>
      <c r="G41" s="19"/>
      <c r="H41" s="15"/>
      <c r="I41" s="17" t="s">
        <v>27</v>
      </c>
      <c r="J41" s="15" t="s">
        <v>84</v>
      </c>
      <c r="K41" s="17" t="s">
        <v>94</v>
      </c>
    </row>
    <row r="42" customFormat="false" ht="15" hidden="false" customHeight="false" outlineLevel="0" collapsed="false">
      <c r="A42" s="15" t="s">
        <v>81</v>
      </c>
      <c r="B42" s="15" t="s">
        <v>82</v>
      </c>
      <c r="C42" s="16" t="n">
        <v>7</v>
      </c>
      <c r="D42" s="17" t="s">
        <v>20</v>
      </c>
      <c r="E42" s="17" t="s">
        <v>20</v>
      </c>
      <c r="F42" s="18" t="n">
        <v>10</v>
      </c>
      <c r="G42" s="19" t="n">
        <v>69350</v>
      </c>
      <c r="H42" s="10" t="s">
        <v>17</v>
      </c>
      <c r="I42" s="17" t="s">
        <v>21</v>
      </c>
      <c r="J42" s="15" t="s">
        <v>84</v>
      </c>
      <c r="K42" s="17" t="s">
        <v>95</v>
      </c>
    </row>
    <row r="43" customFormat="false" ht="15" hidden="false" customHeight="false" outlineLevel="0" collapsed="false">
      <c r="A43" s="12" t="s">
        <v>96</v>
      </c>
      <c r="B43" s="12"/>
      <c r="C43" s="12"/>
      <c r="D43" s="12"/>
      <c r="E43" s="12"/>
      <c r="F43" s="13" t="n">
        <f aca="false">SUM(F36:F42)</f>
        <v>152</v>
      </c>
      <c r="G43" s="12" t="s">
        <v>37</v>
      </c>
      <c r="H43" s="14"/>
      <c r="I43" s="14"/>
      <c r="J43" s="14"/>
      <c r="K43" s="14"/>
    </row>
    <row r="44" customFormat="false" ht="15" hidden="false" customHeight="false" outlineLevel="0" collapsed="false">
      <c r="A44" s="20" t="s">
        <v>97</v>
      </c>
      <c r="B44" s="20"/>
      <c r="C44" s="20"/>
      <c r="D44" s="20"/>
      <c r="E44" s="20"/>
      <c r="F44" s="21" t="n">
        <f aca="false">SUMIF($C$6:$C$43,"&gt;0",$F$6:$F$43)</f>
        <v>634</v>
      </c>
      <c r="G44" s="20" t="s">
        <v>98</v>
      </c>
      <c r="H44" s="22"/>
      <c r="I44" s="22"/>
      <c r="J44" s="22"/>
      <c r="K44" s="22"/>
    </row>
    <row r="46" customFormat="false" ht="15" hidden="false" customHeight="false" outlineLevel="0" collapsed="false">
      <c r="A46" s="23" t="s">
        <v>99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customFormat="false" ht="25.5" hidden="false" customHeight="true" outlineLevel="0" collapsed="false">
      <c r="A47" s="24" t="s">
        <v>100</v>
      </c>
      <c r="B47" s="24"/>
      <c r="C47" s="24"/>
      <c r="D47" s="25" t="s">
        <v>101</v>
      </c>
      <c r="E47" s="25"/>
      <c r="F47" s="25"/>
      <c r="G47" s="25"/>
      <c r="H47" s="25"/>
      <c r="I47" s="25"/>
      <c r="J47" s="25"/>
      <c r="K47" s="25"/>
    </row>
    <row r="48" customFormat="false" ht="25.5" hidden="false" customHeight="true" outlineLevel="0" collapsed="false">
      <c r="A48" s="24" t="s">
        <v>102</v>
      </c>
      <c r="B48" s="24"/>
      <c r="C48" s="24"/>
      <c r="D48" s="25" t="s">
        <v>103</v>
      </c>
      <c r="E48" s="25"/>
      <c r="F48" s="25"/>
      <c r="G48" s="25"/>
      <c r="H48" s="25"/>
      <c r="I48" s="25"/>
      <c r="J48" s="25"/>
      <c r="K48" s="25"/>
    </row>
    <row r="49" customFormat="false" ht="25.5" hidden="false" customHeight="true" outlineLevel="0" collapsed="false">
      <c r="A49" s="24" t="s">
        <v>104</v>
      </c>
      <c r="B49" s="24"/>
      <c r="C49" s="24"/>
      <c r="D49" s="25" t="s">
        <v>105</v>
      </c>
      <c r="E49" s="25"/>
      <c r="F49" s="25"/>
      <c r="G49" s="25"/>
      <c r="H49" s="25"/>
      <c r="I49" s="25"/>
      <c r="J49" s="25"/>
      <c r="K49" s="25"/>
    </row>
    <row r="50" customFormat="false" ht="25.5" hidden="false" customHeight="true" outlineLevel="0" collapsed="false">
      <c r="A50" s="24" t="s">
        <v>106</v>
      </c>
      <c r="B50" s="24"/>
      <c r="C50" s="24"/>
      <c r="D50" s="25" t="s">
        <v>107</v>
      </c>
      <c r="E50" s="25"/>
      <c r="F50" s="25"/>
      <c r="G50" s="25"/>
      <c r="H50" s="25"/>
      <c r="I50" s="25"/>
      <c r="J50" s="25"/>
      <c r="K50" s="25"/>
    </row>
    <row r="51" customFormat="false" ht="25.5" hidden="false" customHeight="true" outlineLevel="0" collapsed="false">
      <c r="A51" s="24" t="s">
        <v>108</v>
      </c>
      <c r="B51" s="24"/>
      <c r="C51" s="24"/>
      <c r="D51" s="25" t="s">
        <v>109</v>
      </c>
      <c r="E51" s="25"/>
      <c r="F51" s="25"/>
      <c r="G51" s="25"/>
      <c r="H51" s="25"/>
      <c r="I51" s="25"/>
      <c r="J51" s="25"/>
      <c r="K51" s="25"/>
    </row>
    <row r="52" customFormat="false" ht="25.5" hidden="false" customHeight="true" outlineLevel="0" collapsed="false">
      <c r="A52" s="24" t="s">
        <v>110</v>
      </c>
      <c r="B52" s="24"/>
      <c r="C52" s="24"/>
      <c r="D52" s="25" t="s">
        <v>111</v>
      </c>
      <c r="E52" s="25"/>
      <c r="F52" s="25"/>
      <c r="G52" s="25"/>
      <c r="H52" s="25"/>
      <c r="I52" s="25"/>
      <c r="J52" s="25"/>
      <c r="K52" s="25"/>
    </row>
  </sheetData>
  <autoFilter ref="A5:K43"/>
  <mergeCells count="23">
    <mergeCell ref="A1:K1"/>
    <mergeCell ref="A2:K2"/>
    <mergeCell ref="A3:K3"/>
    <mergeCell ref="A13:E13"/>
    <mergeCell ref="A17:E17"/>
    <mergeCell ref="A23:E23"/>
    <mergeCell ref="A29:E29"/>
    <mergeCell ref="A35:E35"/>
    <mergeCell ref="A43:E43"/>
    <mergeCell ref="A44:E44"/>
    <mergeCell ref="A46:K46"/>
    <mergeCell ref="A47:C47"/>
    <mergeCell ref="D47:K47"/>
    <mergeCell ref="A48:C48"/>
    <mergeCell ref="D48:K48"/>
    <mergeCell ref="A49:C49"/>
    <mergeCell ref="D49:K49"/>
    <mergeCell ref="A50:C50"/>
    <mergeCell ref="D50:K50"/>
    <mergeCell ref="A51:C51"/>
    <mergeCell ref="D51:K51"/>
    <mergeCell ref="A52:C52"/>
    <mergeCell ref="D52:K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5"/>
    <col collapsed="false" customWidth="true" hidden="false" outlineLevel="0" max="11" min="11" style="0" width="12"/>
    <col collapsed="false" customWidth="true" hidden="false" outlineLevel="0" max="12" min="12" style="0" width="4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113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114</v>
      </c>
      <c r="D5" s="4" t="s">
        <v>115</v>
      </c>
      <c r="E5" s="4" t="s">
        <v>116</v>
      </c>
      <c r="F5" s="4" t="s">
        <v>117</v>
      </c>
      <c r="G5" s="4" t="s">
        <v>118</v>
      </c>
      <c r="H5" s="4" t="s">
        <v>119</v>
      </c>
      <c r="I5" s="4" t="s">
        <v>120</v>
      </c>
      <c r="J5" s="4" t="s">
        <v>121</v>
      </c>
      <c r="K5" s="4" t="s">
        <v>122</v>
      </c>
      <c r="L5" s="4" t="s">
        <v>123</v>
      </c>
    </row>
    <row r="6" customFormat="false" ht="19.4" hidden="false" customHeight="false" outlineLevel="0" collapsed="false">
      <c r="A6" s="5" t="s">
        <v>14</v>
      </c>
      <c r="B6" s="5" t="s">
        <v>15</v>
      </c>
      <c r="C6" s="8" t="n">
        <v>234</v>
      </c>
      <c r="D6" s="8" t="n">
        <v>0</v>
      </c>
      <c r="E6" s="18" t="n">
        <f aca="false">C6+D6</f>
        <v>234</v>
      </c>
      <c r="F6" s="8" t="n">
        <v>122</v>
      </c>
      <c r="G6" s="8" t="n">
        <f aca="false">'Fuel Issue Register'!F13</f>
        <v>122</v>
      </c>
      <c r="H6" s="8" t="n">
        <f aca="false">F6-G6</f>
        <v>0</v>
      </c>
      <c r="I6" s="8" t="n">
        <v>112</v>
      </c>
      <c r="J6" s="18" t="n">
        <f aca="false">E6-G6</f>
        <v>112</v>
      </c>
      <c r="K6" s="26" t="str">
        <f aca="false">IF(AND(H6=0,I6=J6),"OK","CHECK")</f>
        <v>OK</v>
      </c>
      <c r="L6" s="25" t="s">
        <v>124</v>
      </c>
    </row>
    <row r="7" customFormat="false" ht="15" hidden="false" customHeight="false" outlineLevel="0" collapsed="false">
      <c r="A7" s="5" t="s">
        <v>38</v>
      </c>
      <c r="B7" s="5" t="s">
        <v>39</v>
      </c>
      <c r="C7" s="8" t="n">
        <v>112</v>
      </c>
      <c r="D7" s="8" t="n">
        <v>400</v>
      </c>
      <c r="E7" s="18" t="n">
        <f aca="false">C7+D7</f>
        <v>512</v>
      </c>
      <c r="F7" s="8" t="n">
        <v>50</v>
      </c>
      <c r="G7" s="8" t="n">
        <f aca="false">'Fuel Issue Register'!F17</f>
        <v>50</v>
      </c>
      <c r="H7" s="8" t="n">
        <f aca="false">F7-G7</f>
        <v>0</v>
      </c>
      <c r="I7" s="8" t="n">
        <v>462</v>
      </c>
      <c r="J7" s="18" t="n">
        <f aca="false">E7-G7</f>
        <v>462</v>
      </c>
      <c r="K7" s="26" t="str">
        <f aca="false">IF(AND(H7=0,I7=J7),"OK","CHECK")</f>
        <v>OK</v>
      </c>
      <c r="L7" s="25" t="s">
        <v>125</v>
      </c>
    </row>
    <row r="8" customFormat="false" ht="19.4" hidden="false" customHeight="false" outlineLevel="0" collapsed="false">
      <c r="A8" s="5" t="s">
        <v>47</v>
      </c>
      <c r="B8" s="5" t="s">
        <v>48</v>
      </c>
      <c r="C8" s="8" t="n">
        <v>462</v>
      </c>
      <c r="D8" s="8" t="n">
        <v>0</v>
      </c>
      <c r="E8" s="18" t="n">
        <f aca="false">C8+D8</f>
        <v>462</v>
      </c>
      <c r="F8" s="8" t="n">
        <v>130</v>
      </c>
      <c r="G8" s="8" t="n">
        <f aca="false">'Fuel Issue Register'!F23</f>
        <v>130</v>
      </c>
      <c r="H8" s="8" t="n">
        <f aca="false">F8-G8</f>
        <v>0</v>
      </c>
      <c r="I8" s="8" t="n">
        <v>332</v>
      </c>
      <c r="J8" s="18" t="n">
        <f aca="false">E8-G8</f>
        <v>332</v>
      </c>
      <c r="K8" s="26" t="str">
        <f aca="false">IF(AND(H8=0,I8=J8),"OK","CHECK")</f>
        <v>OK</v>
      </c>
      <c r="L8" s="25" t="s">
        <v>126</v>
      </c>
    </row>
    <row r="9" customFormat="false" ht="15" hidden="false" customHeight="false" outlineLevel="0" collapsed="false">
      <c r="A9" s="5" t="s">
        <v>62</v>
      </c>
      <c r="B9" s="5" t="s">
        <v>63</v>
      </c>
      <c r="C9" s="8" t="n">
        <v>332</v>
      </c>
      <c r="D9" s="8" t="n">
        <v>0</v>
      </c>
      <c r="E9" s="18" t="n">
        <f aca="false">C9+D9</f>
        <v>332</v>
      </c>
      <c r="F9" s="8" t="n">
        <v>100</v>
      </c>
      <c r="G9" s="8" t="n">
        <f aca="false">'Fuel Issue Register'!F29</f>
        <v>100</v>
      </c>
      <c r="H9" s="8" t="n">
        <f aca="false">F9-G9</f>
        <v>0</v>
      </c>
      <c r="I9" s="8" t="n">
        <v>232</v>
      </c>
      <c r="J9" s="18" t="n">
        <f aca="false">E9-G9</f>
        <v>232</v>
      </c>
      <c r="K9" s="26" t="str">
        <f aca="false">IF(AND(H9=0,I9=J9),"OK","CHECK")</f>
        <v>OK</v>
      </c>
      <c r="L9" s="25" t="s">
        <v>127</v>
      </c>
    </row>
    <row r="10" customFormat="false" ht="15" hidden="false" customHeight="false" outlineLevel="0" collapsed="false">
      <c r="A10" s="5" t="s">
        <v>74</v>
      </c>
      <c r="B10" s="5" t="s">
        <v>75</v>
      </c>
      <c r="C10" s="8" t="n">
        <v>232</v>
      </c>
      <c r="D10" s="8" t="n">
        <v>400</v>
      </c>
      <c r="E10" s="18" t="n">
        <f aca="false">C10+D10</f>
        <v>632</v>
      </c>
      <c r="F10" s="8" t="n">
        <v>80</v>
      </c>
      <c r="G10" s="8" t="n">
        <f aca="false">'Fuel Issue Register'!F35</f>
        <v>80</v>
      </c>
      <c r="H10" s="8" t="n">
        <f aca="false">F10-G10</f>
        <v>0</v>
      </c>
      <c r="I10" s="8" t="n">
        <v>552</v>
      </c>
      <c r="J10" s="18" t="n">
        <f aca="false">E10-G10</f>
        <v>552</v>
      </c>
      <c r="K10" s="26" t="str">
        <f aca="false">IF(AND(H10=0,I10=J10),"OK","CHECK")</f>
        <v>OK</v>
      </c>
      <c r="L10" s="25" t="s">
        <v>128</v>
      </c>
    </row>
    <row r="11" customFormat="false" ht="15" hidden="false" customHeight="false" outlineLevel="0" collapsed="false">
      <c r="A11" s="5" t="s">
        <v>81</v>
      </c>
      <c r="B11" s="5" t="s">
        <v>82</v>
      </c>
      <c r="C11" s="8" t="n">
        <v>552</v>
      </c>
      <c r="D11" s="8" t="n">
        <v>0</v>
      </c>
      <c r="E11" s="18" t="n">
        <f aca="false">C11+D11</f>
        <v>552</v>
      </c>
      <c r="F11" s="8" t="n">
        <v>152</v>
      </c>
      <c r="G11" s="8" t="n">
        <f aca="false">'Fuel Issue Register'!F43</f>
        <v>152</v>
      </c>
      <c r="H11" s="8" t="n">
        <f aca="false">F11-G11</f>
        <v>0</v>
      </c>
      <c r="I11" s="8" t="n">
        <v>400</v>
      </c>
      <c r="J11" s="18" t="n">
        <f aca="false">E11-G11</f>
        <v>400</v>
      </c>
      <c r="K11" s="26" t="str">
        <f aca="false">IF(AND(H11=0,I11=J11),"OK","CHECK")</f>
        <v>OK</v>
      </c>
      <c r="L11" s="25" t="s">
        <v>129</v>
      </c>
    </row>
    <row r="12" customFormat="false" ht="15" hidden="false" customHeight="false" outlineLevel="0" collapsed="false">
      <c r="A12" s="20" t="s">
        <v>130</v>
      </c>
      <c r="B12" s="20"/>
      <c r="C12" s="21" t="n">
        <f aca="false">C6</f>
        <v>234</v>
      </c>
      <c r="D12" s="21" t="n">
        <f aca="false">SUM(D6:D11)</f>
        <v>800</v>
      </c>
      <c r="E12" s="22"/>
      <c r="F12" s="21" t="n">
        <f aca="false">SUM(F6:F11)</f>
        <v>634</v>
      </c>
      <c r="G12" s="21" t="n">
        <f aca="false">SUM(G6:G11)</f>
        <v>634</v>
      </c>
      <c r="H12" s="21" t="n">
        <f aca="false">SUM(H6:H11)</f>
        <v>0</v>
      </c>
      <c r="I12" s="21" t="n">
        <f aca="false">I11</f>
        <v>400</v>
      </c>
      <c r="J12" s="22"/>
      <c r="K12" s="22"/>
      <c r="L12" s="22"/>
    </row>
    <row r="14" customFormat="false" ht="15" hidden="false" customHeight="false" outlineLevel="0" collapsed="false">
      <c r="A14" s="23" t="s">
        <v>131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customFormat="false" ht="15" hidden="false" customHeight="true" outlineLevel="0" collapsed="false">
      <c r="A15" s="7" t="s">
        <v>132</v>
      </c>
      <c r="B15" s="7"/>
      <c r="C15" s="7"/>
      <c r="D15" s="8" t="n">
        <f aca="false">C6</f>
        <v>234</v>
      </c>
    </row>
    <row r="16" customFormat="false" ht="15" hidden="false" customHeight="true" outlineLevel="0" collapsed="false">
      <c r="A16" s="7" t="s">
        <v>133</v>
      </c>
      <c r="B16" s="7"/>
      <c r="C16" s="7"/>
      <c r="D16" s="8" t="n">
        <f aca="false">SUM(D6:D11)</f>
        <v>800</v>
      </c>
    </row>
    <row r="17" customFormat="false" ht="15" hidden="false" customHeight="true" outlineLevel="0" collapsed="false">
      <c r="A17" s="7" t="s">
        <v>134</v>
      </c>
      <c r="B17" s="7"/>
      <c r="C17" s="7"/>
      <c r="D17" s="8" t="n">
        <f aca="false">SUM(G6:G11)</f>
        <v>634</v>
      </c>
    </row>
    <row r="18" customFormat="false" ht="15" hidden="false" customHeight="true" outlineLevel="0" collapsed="false">
      <c r="A18" s="27" t="s">
        <v>135</v>
      </c>
      <c r="B18" s="27"/>
      <c r="C18" s="27"/>
      <c r="D18" s="13" t="n">
        <f aca="false">D15+D16-D17</f>
        <v>400</v>
      </c>
    </row>
    <row r="19" customFormat="false" ht="15" hidden="false" customHeight="true" outlineLevel="0" collapsed="false">
      <c r="A19" s="7" t="s">
        <v>136</v>
      </c>
      <c r="B19" s="7"/>
      <c r="C19" s="7"/>
      <c r="D19" s="8" t="n">
        <f aca="false">I11</f>
        <v>400</v>
      </c>
    </row>
    <row r="20" customFormat="false" ht="15" hidden="false" customHeight="true" outlineLevel="0" collapsed="false">
      <c r="A20" s="27" t="s">
        <v>137</v>
      </c>
      <c r="B20" s="27"/>
      <c r="C20" s="27"/>
      <c r="D20" s="28" t="n">
        <f aca="false">D19-D18</f>
        <v>0</v>
      </c>
    </row>
  </sheetData>
  <mergeCells count="11">
    <mergeCell ref="A1:L1"/>
    <mergeCell ref="A2:L2"/>
    <mergeCell ref="A3:L3"/>
    <mergeCell ref="A12:B12"/>
    <mergeCell ref="A14:L14"/>
    <mergeCell ref="A15:C15"/>
    <mergeCell ref="A16:C16"/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4" min="3" style="0" width="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12"/>
    <col collapsed="false" customWidth="true" hidden="false" outlineLevel="0" max="14" min="14" style="0" width="3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139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31.5" hidden="false" customHeight="true" outlineLevel="0" collapsed="false">
      <c r="A5" s="4" t="s">
        <v>140</v>
      </c>
      <c r="B5" s="4" t="s">
        <v>141</v>
      </c>
      <c r="C5" s="4" t="s">
        <v>142</v>
      </c>
      <c r="D5" s="4" t="s">
        <v>143</v>
      </c>
      <c r="E5" s="4" t="s">
        <v>144</v>
      </c>
      <c r="F5" s="4" t="s">
        <v>145</v>
      </c>
      <c r="G5" s="4" t="s">
        <v>146</v>
      </c>
      <c r="H5" s="4" t="s">
        <v>147</v>
      </c>
      <c r="I5" s="4" t="s">
        <v>148</v>
      </c>
      <c r="J5" s="4" t="s">
        <v>149</v>
      </c>
      <c r="K5" s="4" t="s">
        <v>150</v>
      </c>
      <c r="L5" s="4" t="s">
        <v>151</v>
      </c>
      <c r="M5" s="4" t="s">
        <v>152</v>
      </c>
      <c r="N5" s="4" t="s">
        <v>153</v>
      </c>
    </row>
    <row r="6" customFormat="false" ht="15" hidden="false" customHeight="false" outlineLevel="0" collapsed="false">
      <c r="A6" s="8" t="n">
        <v>1</v>
      </c>
      <c r="B6" s="27" t="s">
        <v>20</v>
      </c>
      <c r="C6" s="8" t="n">
        <v>7</v>
      </c>
      <c r="D6" s="8" t="n">
        <v>5</v>
      </c>
      <c r="E6" s="8" t="n">
        <v>70</v>
      </c>
      <c r="F6" s="29" t="n">
        <f aca="false">IF(C6=0,0,E6/C6)</f>
        <v>10</v>
      </c>
      <c r="G6" s="8" t="n">
        <v>10</v>
      </c>
      <c r="H6" s="30" t="n">
        <f aca="false">E6/$E$24</f>
        <v>0.110410094637224</v>
      </c>
      <c r="I6" s="8" t="n">
        <v>6</v>
      </c>
      <c r="J6" s="8" t="n">
        <v>0</v>
      </c>
      <c r="K6" s="9" t="n">
        <v>68608.4</v>
      </c>
      <c r="L6" s="9" t="n">
        <v>69350</v>
      </c>
      <c r="M6" s="9" t="n">
        <f aca="false">L6-K6</f>
        <v>741.600000000006</v>
      </c>
      <c r="N6" s="25" t="s">
        <v>154</v>
      </c>
    </row>
    <row r="7" customFormat="false" ht="15" hidden="false" customHeight="false" outlineLevel="0" collapsed="false">
      <c r="A7" s="8" t="n">
        <v>2</v>
      </c>
      <c r="B7" s="27" t="s">
        <v>52</v>
      </c>
      <c r="C7" s="8" t="n">
        <v>3</v>
      </c>
      <c r="D7" s="8" t="n">
        <v>3</v>
      </c>
      <c r="E7" s="8" t="n">
        <v>70</v>
      </c>
      <c r="F7" s="29" t="n">
        <f aca="false">IF(C7=0,0,E7/C7)</f>
        <v>23.3333333333333</v>
      </c>
      <c r="G7" s="8" t="n">
        <v>25</v>
      </c>
      <c r="H7" s="30" t="n">
        <f aca="false">E7/$E$24</f>
        <v>0.110410094637224</v>
      </c>
      <c r="I7" s="31" t="n">
        <v>0</v>
      </c>
      <c r="J7" s="8" t="n">
        <v>0</v>
      </c>
      <c r="K7" s="9"/>
      <c r="L7" s="9"/>
      <c r="M7" s="9"/>
      <c r="N7" s="25" t="s">
        <v>155</v>
      </c>
    </row>
    <row r="8" customFormat="false" ht="15" hidden="false" customHeight="false" outlineLevel="0" collapsed="false">
      <c r="A8" s="8" t="n">
        <v>3</v>
      </c>
      <c r="B8" s="27" t="s">
        <v>49</v>
      </c>
      <c r="C8" s="8" t="n">
        <v>2</v>
      </c>
      <c r="D8" s="8" t="n">
        <v>2</v>
      </c>
      <c r="E8" s="8" t="n">
        <v>60</v>
      </c>
      <c r="F8" s="29" t="n">
        <f aca="false">IF(C8=0,0,E8/C8)</f>
        <v>30</v>
      </c>
      <c r="G8" s="8" t="n">
        <v>30</v>
      </c>
      <c r="H8" s="30" t="n">
        <f aca="false">E8/$E$24</f>
        <v>0.0946372239747634</v>
      </c>
      <c r="I8" s="8" t="n">
        <v>1</v>
      </c>
      <c r="J8" s="32" t="n">
        <v>1</v>
      </c>
      <c r="K8" s="9" t="n">
        <v>20060.8</v>
      </c>
      <c r="L8" s="9"/>
      <c r="M8" s="9"/>
      <c r="N8" s="25" t="s">
        <v>156</v>
      </c>
    </row>
    <row r="9" customFormat="false" ht="15" hidden="false" customHeight="false" outlineLevel="0" collapsed="false">
      <c r="A9" s="8" t="n">
        <v>4</v>
      </c>
      <c r="B9" s="27" t="s">
        <v>56</v>
      </c>
      <c r="C9" s="8" t="n">
        <v>2</v>
      </c>
      <c r="D9" s="8" t="n">
        <v>2</v>
      </c>
      <c r="E9" s="8" t="n">
        <v>60</v>
      </c>
      <c r="F9" s="29" t="n">
        <f aca="false">IF(C9=0,0,E9/C9)</f>
        <v>30</v>
      </c>
      <c r="G9" s="8" t="n">
        <v>30</v>
      </c>
      <c r="H9" s="30" t="n">
        <f aca="false">E9/$E$24</f>
        <v>0.0946372239747634</v>
      </c>
      <c r="I9" s="31" t="n">
        <v>0</v>
      </c>
      <c r="J9" s="8" t="n">
        <v>0</v>
      </c>
      <c r="K9" s="9"/>
      <c r="L9" s="9"/>
      <c r="M9" s="9"/>
      <c r="N9" s="25" t="s">
        <v>57</v>
      </c>
    </row>
    <row r="10" customFormat="false" ht="15" hidden="false" customHeight="false" outlineLevel="0" collapsed="false">
      <c r="A10" s="8" t="n">
        <v>5</v>
      </c>
      <c r="B10" s="27" t="s">
        <v>69</v>
      </c>
      <c r="C10" s="8" t="n">
        <v>2</v>
      </c>
      <c r="D10" s="8" t="n">
        <v>2</v>
      </c>
      <c r="E10" s="8" t="n">
        <v>50</v>
      </c>
      <c r="F10" s="29" t="n">
        <f aca="false">IF(C10=0,0,E10/C10)</f>
        <v>25</v>
      </c>
      <c r="G10" s="8" t="n">
        <v>25</v>
      </c>
      <c r="H10" s="30" t="n">
        <f aca="false">E10/$E$24</f>
        <v>0.0788643533123028</v>
      </c>
      <c r="I10" s="31" t="n">
        <v>0</v>
      </c>
      <c r="J10" s="8" t="n">
        <v>0</v>
      </c>
      <c r="K10" s="9"/>
      <c r="L10" s="9"/>
      <c r="M10" s="9"/>
      <c r="N10" s="25" t="s">
        <v>157</v>
      </c>
    </row>
    <row r="11" customFormat="false" ht="15" hidden="false" customHeight="false" outlineLevel="0" collapsed="false">
      <c r="A11" s="8" t="n">
        <v>6</v>
      </c>
      <c r="B11" s="27" t="s">
        <v>54</v>
      </c>
      <c r="C11" s="8" t="n">
        <v>2</v>
      </c>
      <c r="D11" s="8" t="n">
        <v>2</v>
      </c>
      <c r="E11" s="8" t="n">
        <v>45</v>
      </c>
      <c r="F11" s="29" t="n">
        <f aca="false">IF(C11=0,0,E11/C11)</f>
        <v>22.5</v>
      </c>
      <c r="G11" s="8" t="n">
        <v>30</v>
      </c>
      <c r="H11" s="30" t="n">
        <f aca="false">E11/$E$24</f>
        <v>0.0709779179810726</v>
      </c>
      <c r="I11" s="31" t="n">
        <v>0</v>
      </c>
      <c r="J11" s="8" t="n">
        <v>0</v>
      </c>
      <c r="K11" s="9"/>
      <c r="L11" s="9"/>
      <c r="M11" s="9"/>
      <c r="N11" s="25" t="s">
        <v>55</v>
      </c>
    </row>
    <row r="12" customFormat="false" ht="15" hidden="false" customHeight="false" outlineLevel="0" collapsed="false">
      <c r="A12" s="8" t="n">
        <v>7</v>
      </c>
      <c r="B12" s="27" t="s">
        <v>58</v>
      </c>
      <c r="C12" s="8" t="n">
        <v>2</v>
      </c>
      <c r="D12" s="8" t="n">
        <v>2</v>
      </c>
      <c r="E12" s="8" t="n">
        <v>40</v>
      </c>
      <c r="F12" s="29" t="n">
        <f aca="false">IF(C12=0,0,E12/C12)</f>
        <v>20</v>
      </c>
      <c r="G12" s="8" t="n">
        <v>20</v>
      </c>
      <c r="H12" s="30" t="n">
        <f aca="false">E12/$E$24</f>
        <v>0.0630914826498423</v>
      </c>
      <c r="I12" s="8" t="n">
        <v>1</v>
      </c>
      <c r="J12" s="32" t="n">
        <v>1</v>
      </c>
      <c r="K12" s="9" t="n">
        <v>20253.3</v>
      </c>
      <c r="L12" s="9"/>
      <c r="M12" s="9"/>
      <c r="N12" s="25" t="s">
        <v>79</v>
      </c>
    </row>
    <row r="13" customFormat="false" ht="15" hidden="false" customHeight="false" outlineLevel="0" collapsed="false">
      <c r="A13" s="8" t="n">
        <v>8</v>
      </c>
      <c r="B13" s="27" t="s">
        <v>40</v>
      </c>
      <c r="C13" s="8" t="n">
        <v>1</v>
      </c>
      <c r="D13" s="8" t="n">
        <v>1</v>
      </c>
      <c r="E13" s="8" t="n">
        <v>30</v>
      </c>
      <c r="F13" s="29" t="n">
        <f aca="false">IF(C13=0,0,E13/C13)</f>
        <v>30</v>
      </c>
      <c r="G13" s="8" t="n">
        <v>30</v>
      </c>
      <c r="H13" s="30" t="n">
        <f aca="false">E13/$E$24</f>
        <v>0.0473186119873817</v>
      </c>
      <c r="I13" s="8" t="n">
        <v>1</v>
      </c>
      <c r="J13" s="8" t="n">
        <v>0</v>
      </c>
      <c r="K13" s="9" t="n">
        <v>12969.9</v>
      </c>
      <c r="L13" s="9"/>
      <c r="M13" s="9"/>
      <c r="N13" s="25" t="s">
        <v>41</v>
      </c>
    </row>
    <row r="14" customFormat="false" ht="15" hidden="false" customHeight="false" outlineLevel="0" collapsed="false">
      <c r="A14" s="8" t="n">
        <v>9</v>
      </c>
      <c r="B14" s="27" t="s">
        <v>65</v>
      </c>
      <c r="C14" s="8" t="n">
        <v>1</v>
      </c>
      <c r="D14" s="8" t="n">
        <v>1</v>
      </c>
      <c r="E14" s="8" t="n">
        <v>30</v>
      </c>
      <c r="F14" s="29" t="n">
        <f aca="false">IF(C14=0,0,E14/C14)</f>
        <v>30</v>
      </c>
      <c r="G14" s="8" t="n">
        <v>30</v>
      </c>
      <c r="H14" s="30" t="n">
        <f aca="false">E14/$E$24</f>
        <v>0.0473186119873817</v>
      </c>
      <c r="I14" s="31" t="n">
        <v>0</v>
      </c>
      <c r="J14" s="8" t="n">
        <v>0</v>
      </c>
      <c r="K14" s="9"/>
      <c r="L14" s="9"/>
      <c r="M14" s="9"/>
      <c r="N14" s="25" t="s">
        <v>55</v>
      </c>
    </row>
    <row r="15" customFormat="false" ht="15" hidden="false" customHeight="false" outlineLevel="0" collapsed="false">
      <c r="A15" s="8" t="n">
        <v>10</v>
      </c>
      <c r="B15" s="27" t="s">
        <v>16</v>
      </c>
      <c r="C15" s="8" t="n">
        <v>1</v>
      </c>
      <c r="D15" s="8" t="n">
        <v>1</v>
      </c>
      <c r="E15" s="8" t="n">
        <v>30</v>
      </c>
      <c r="F15" s="29" t="n">
        <f aca="false">IF(C15=0,0,E15/C15)</f>
        <v>30</v>
      </c>
      <c r="G15" s="8" t="n">
        <v>30</v>
      </c>
      <c r="H15" s="30" t="n">
        <f aca="false">E15/$E$24</f>
        <v>0.0473186119873817</v>
      </c>
      <c r="I15" s="8" t="n">
        <v>1</v>
      </c>
      <c r="J15" s="8" t="n">
        <v>0</v>
      </c>
      <c r="K15" s="9" t="n">
        <v>3275</v>
      </c>
      <c r="L15" s="9"/>
      <c r="M15" s="9"/>
      <c r="N15" s="25" t="s">
        <v>18</v>
      </c>
    </row>
    <row r="16" customFormat="false" ht="15" hidden="false" customHeight="false" outlineLevel="0" collapsed="false">
      <c r="A16" s="8" t="n">
        <v>11</v>
      </c>
      <c r="B16" s="27" t="s">
        <v>76</v>
      </c>
      <c r="C16" s="8" t="n">
        <v>1</v>
      </c>
      <c r="D16" s="8" t="n">
        <v>1</v>
      </c>
      <c r="E16" s="8" t="n">
        <v>30</v>
      </c>
      <c r="F16" s="29" t="n">
        <f aca="false">IF(C16=0,0,E16/C16)</f>
        <v>30</v>
      </c>
      <c r="G16" s="8" t="n">
        <v>30</v>
      </c>
      <c r="H16" s="30" t="n">
        <f aca="false">E16/$E$24</f>
        <v>0.0473186119873817</v>
      </c>
      <c r="I16" s="8" t="n">
        <v>1</v>
      </c>
      <c r="J16" s="8" t="n">
        <v>0</v>
      </c>
      <c r="K16" s="9" t="n">
        <v>5295</v>
      </c>
      <c r="L16" s="9"/>
      <c r="M16" s="9"/>
      <c r="N16" s="25" t="s">
        <v>18</v>
      </c>
    </row>
    <row r="17" customFormat="false" ht="15" hidden="false" customHeight="false" outlineLevel="0" collapsed="false">
      <c r="A17" s="8" t="n">
        <v>12</v>
      </c>
      <c r="B17" s="27" t="s">
        <v>85</v>
      </c>
      <c r="C17" s="8" t="n">
        <v>1</v>
      </c>
      <c r="D17" s="8" t="n">
        <v>1</v>
      </c>
      <c r="E17" s="8" t="n">
        <v>30</v>
      </c>
      <c r="F17" s="29" t="n">
        <f aca="false">IF(C17=0,0,E17/C17)</f>
        <v>30</v>
      </c>
      <c r="G17" s="8" t="n">
        <v>30</v>
      </c>
      <c r="H17" s="30" t="n">
        <f aca="false">E17/$E$24</f>
        <v>0.0473186119873817</v>
      </c>
      <c r="I17" s="31" t="n">
        <v>0</v>
      </c>
      <c r="J17" s="8" t="n">
        <v>0</v>
      </c>
      <c r="K17" s="9"/>
      <c r="L17" s="9"/>
      <c r="M17" s="9"/>
      <c r="N17" s="25" t="s">
        <v>86</v>
      </c>
    </row>
    <row r="18" customFormat="false" ht="15" hidden="false" customHeight="false" outlineLevel="0" collapsed="false">
      <c r="A18" s="8" t="n">
        <v>13</v>
      </c>
      <c r="B18" s="27" t="s">
        <v>25</v>
      </c>
      <c r="C18" s="8" t="n">
        <v>2</v>
      </c>
      <c r="D18" s="8" t="n">
        <v>2</v>
      </c>
      <c r="E18" s="8" t="n">
        <v>25</v>
      </c>
      <c r="F18" s="29" t="n">
        <f aca="false">IF(C18=0,0,E18/C18)</f>
        <v>12.5</v>
      </c>
      <c r="G18" s="8" t="n">
        <v>20</v>
      </c>
      <c r="H18" s="30" t="n">
        <f aca="false">E18/$E$24</f>
        <v>0.0394321766561514</v>
      </c>
      <c r="I18" s="8" t="n">
        <v>2</v>
      </c>
      <c r="J18" s="8" t="n">
        <v>0</v>
      </c>
      <c r="K18" s="9" t="n">
        <v>81920</v>
      </c>
      <c r="L18" s="9" t="n">
        <v>82066</v>
      </c>
      <c r="M18" s="9" t="n">
        <f aca="false">L18-K18</f>
        <v>146</v>
      </c>
      <c r="N18" s="25" t="s">
        <v>27</v>
      </c>
    </row>
    <row r="19" customFormat="false" ht="15" hidden="false" customHeight="false" outlineLevel="0" collapsed="false">
      <c r="A19" s="8" t="n">
        <v>14</v>
      </c>
      <c r="B19" s="27" t="s">
        <v>31</v>
      </c>
      <c r="C19" s="8" t="n">
        <v>1</v>
      </c>
      <c r="D19" s="8" t="n">
        <v>1</v>
      </c>
      <c r="E19" s="8" t="n">
        <v>20</v>
      </c>
      <c r="F19" s="29" t="n">
        <f aca="false">IF(C19=0,0,E19/C19)</f>
        <v>20</v>
      </c>
      <c r="G19" s="8" t="n">
        <v>20</v>
      </c>
      <c r="H19" s="30" t="n">
        <f aca="false">E19/$E$24</f>
        <v>0.0315457413249211</v>
      </c>
      <c r="I19" s="8" t="n">
        <v>1</v>
      </c>
      <c r="J19" s="8" t="n">
        <v>0</v>
      </c>
      <c r="K19" s="9" t="n">
        <v>28976</v>
      </c>
      <c r="L19" s="9"/>
      <c r="M19" s="9"/>
      <c r="N19" s="25" t="s">
        <v>32</v>
      </c>
    </row>
    <row r="20" customFormat="false" ht="15" hidden="false" customHeight="false" outlineLevel="0" collapsed="false">
      <c r="A20" s="8" t="n">
        <v>15</v>
      </c>
      <c r="B20" s="27" t="s">
        <v>23</v>
      </c>
      <c r="C20" s="8" t="n">
        <v>1</v>
      </c>
      <c r="D20" s="8" t="n">
        <v>1</v>
      </c>
      <c r="E20" s="8" t="n">
        <v>20</v>
      </c>
      <c r="F20" s="29" t="n">
        <f aca="false">IF(C20=0,0,E20/C20)</f>
        <v>20</v>
      </c>
      <c r="G20" s="8" t="n">
        <v>20</v>
      </c>
      <c r="H20" s="30" t="n">
        <f aca="false">E20/$E$24</f>
        <v>0.0315457413249211</v>
      </c>
      <c r="I20" s="8" t="n">
        <v>1</v>
      </c>
      <c r="J20" s="8" t="n">
        <v>0</v>
      </c>
      <c r="K20" s="9" t="n">
        <v>151402</v>
      </c>
      <c r="L20" s="9"/>
      <c r="M20" s="9"/>
      <c r="N20" s="25" t="s">
        <v>24</v>
      </c>
    </row>
    <row r="21" customFormat="false" ht="15" hidden="false" customHeight="false" outlineLevel="0" collapsed="false">
      <c r="A21" s="8" t="n">
        <v>16</v>
      </c>
      <c r="B21" s="27" t="s">
        <v>33</v>
      </c>
      <c r="C21" s="8" t="n">
        <v>1</v>
      </c>
      <c r="D21" s="8" t="n">
        <v>1</v>
      </c>
      <c r="E21" s="8" t="n">
        <v>12</v>
      </c>
      <c r="F21" s="29" t="n">
        <f aca="false">IF(C21=0,0,E21/C21)</f>
        <v>12</v>
      </c>
      <c r="G21" s="8" t="n">
        <v>12</v>
      </c>
      <c r="H21" s="30" t="n">
        <f aca="false">E21/$E$24</f>
        <v>0.0189274447949527</v>
      </c>
      <c r="I21" s="31" t="n">
        <v>0</v>
      </c>
      <c r="J21" s="8" t="n">
        <v>0</v>
      </c>
      <c r="K21" s="9"/>
      <c r="L21" s="9"/>
      <c r="M21" s="9"/>
      <c r="N21" s="25" t="s">
        <v>34</v>
      </c>
    </row>
    <row r="22" customFormat="false" ht="15" hidden="false" customHeight="false" outlineLevel="0" collapsed="false">
      <c r="A22" s="8" t="n">
        <v>17</v>
      </c>
      <c r="B22" s="27" t="s">
        <v>28</v>
      </c>
      <c r="C22" s="8" t="n">
        <v>1</v>
      </c>
      <c r="D22" s="8" t="n">
        <v>1</v>
      </c>
      <c r="E22" s="8" t="n">
        <v>10</v>
      </c>
      <c r="F22" s="29" t="n">
        <f aca="false">IF(C22=0,0,E22/C22)</f>
        <v>10</v>
      </c>
      <c r="G22" s="8" t="n">
        <v>10</v>
      </c>
      <c r="H22" s="30" t="n">
        <f aca="false">E22/$E$24</f>
        <v>0.0157728706624606</v>
      </c>
      <c r="I22" s="8" t="n">
        <v>1</v>
      </c>
      <c r="J22" s="8" t="n">
        <v>0</v>
      </c>
      <c r="K22" s="9" t="n">
        <v>9278</v>
      </c>
      <c r="L22" s="9"/>
      <c r="M22" s="9"/>
      <c r="N22" s="25" t="s">
        <v>18</v>
      </c>
    </row>
    <row r="23" customFormat="false" ht="15" hidden="false" customHeight="false" outlineLevel="0" collapsed="false">
      <c r="A23" s="8" t="n">
        <v>18</v>
      </c>
      <c r="B23" s="27" t="s">
        <v>90</v>
      </c>
      <c r="C23" s="8" t="n">
        <v>1</v>
      </c>
      <c r="D23" s="8" t="n">
        <v>1</v>
      </c>
      <c r="E23" s="8" t="n">
        <v>2</v>
      </c>
      <c r="F23" s="29" t="n">
        <f aca="false">IF(C23=0,0,E23/C23)</f>
        <v>2</v>
      </c>
      <c r="G23" s="8" t="n">
        <v>2</v>
      </c>
      <c r="H23" s="30" t="n">
        <f aca="false">E23/$E$24</f>
        <v>0.00315457413249211</v>
      </c>
      <c r="I23" s="31" t="n">
        <v>0</v>
      </c>
      <c r="J23" s="8" t="n">
        <v>0</v>
      </c>
      <c r="K23" s="9"/>
      <c r="L23" s="9"/>
      <c r="M23" s="9"/>
      <c r="N23" s="25" t="s">
        <v>91</v>
      </c>
    </row>
    <row r="24" customFormat="false" ht="15" hidden="false" customHeight="false" outlineLevel="0" collapsed="false">
      <c r="A24" s="20" t="s">
        <v>158</v>
      </c>
      <c r="B24" s="20"/>
      <c r="C24" s="21" t="n">
        <f aca="false">SUM(C6:C23)</f>
        <v>32</v>
      </c>
      <c r="D24" s="22"/>
      <c r="E24" s="21" t="n">
        <f aca="false">SUM(E6:E23)</f>
        <v>634</v>
      </c>
      <c r="F24" s="22"/>
      <c r="G24" s="22"/>
      <c r="H24" s="33" t="n">
        <f aca="false">SUM(H6:H23)</f>
        <v>1</v>
      </c>
      <c r="I24" s="22"/>
      <c r="J24" s="22"/>
      <c r="K24" s="22"/>
      <c r="L24" s="22"/>
      <c r="M24" s="22"/>
      <c r="N24" s="22"/>
    </row>
  </sheetData>
  <mergeCells count="4">
    <mergeCell ref="A1:N1"/>
    <mergeCell ref="A2:N2"/>
    <mergeCell ref="A3:N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5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3" t="s">
        <v>160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A5" s="4" t="s">
        <v>141</v>
      </c>
      <c r="B5" s="4" t="s">
        <v>161</v>
      </c>
      <c r="C5" s="4" t="s">
        <v>162</v>
      </c>
      <c r="D5" s="4" t="s">
        <v>163</v>
      </c>
      <c r="E5" s="4" t="s">
        <v>164</v>
      </c>
      <c r="F5" s="4" t="s">
        <v>152</v>
      </c>
      <c r="G5" s="4" t="s">
        <v>165</v>
      </c>
      <c r="H5" s="4" t="s">
        <v>166</v>
      </c>
      <c r="I5" s="4" t="s">
        <v>167</v>
      </c>
      <c r="J5" s="4" t="s">
        <v>168</v>
      </c>
      <c r="K5" s="4" t="s">
        <v>169</v>
      </c>
    </row>
    <row r="6" customFormat="false" ht="15" hidden="false" customHeight="false" outlineLevel="0" collapsed="false">
      <c r="A6" s="27" t="s">
        <v>20</v>
      </c>
      <c r="B6" s="5" t="s">
        <v>14</v>
      </c>
      <c r="C6" s="5" t="s">
        <v>38</v>
      </c>
      <c r="D6" s="9" t="n">
        <v>68608.4</v>
      </c>
      <c r="E6" s="9" t="n">
        <v>68688</v>
      </c>
      <c r="F6" s="9" t="n">
        <f aca="false">E6-D6</f>
        <v>79.6000000000058</v>
      </c>
      <c r="G6" s="9" t="n">
        <v>10</v>
      </c>
      <c r="H6" s="34" t="n">
        <f aca="false">IFERROR(F6/G6,"")</f>
        <v>7.96000000000058</v>
      </c>
      <c r="I6" s="34" t="n">
        <f aca="false">IFERROR(G6/F6*100,"")</f>
        <v>12.5628140703508</v>
      </c>
      <c r="J6" s="10" t="s">
        <v>17</v>
      </c>
      <c r="K6" s="25"/>
    </row>
    <row r="7" customFormat="false" ht="19.4" hidden="false" customHeight="false" outlineLevel="0" collapsed="false">
      <c r="A7" s="27" t="s">
        <v>20</v>
      </c>
      <c r="B7" s="5" t="s">
        <v>38</v>
      </c>
      <c r="C7" s="5" t="s">
        <v>62</v>
      </c>
      <c r="D7" s="9" t="n">
        <v>68688</v>
      </c>
      <c r="E7" s="9" t="n">
        <v>68909</v>
      </c>
      <c r="F7" s="9" t="n">
        <f aca="false">E7-D7</f>
        <v>221</v>
      </c>
      <c r="G7" s="9" t="n">
        <v>20</v>
      </c>
      <c r="H7" s="34" t="n">
        <f aca="false">IFERROR(F7/G7,"")</f>
        <v>11.05</v>
      </c>
      <c r="I7" s="34" t="n">
        <f aca="false">IFERROR(G7/F7*100,"")</f>
        <v>9.04977375565611</v>
      </c>
      <c r="J7" s="5" t="s">
        <v>26</v>
      </c>
      <c r="K7" s="25" t="s">
        <v>170</v>
      </c>
    </row>
    <row r="8" customFormat="false" ht="15" hidden="false" customHeight="false" outlineLevel="0" collapsed="false">
      <c r="A8" s="27" t="s">
        <v>20</v>
      </c>
      <c r="B8" s="5" t="s">
        <v>62</v>
      </c>
      <c r="C8" s="5" t="s">
        <v>62</v>
      </c>
      <c r="D8" s="9" t="n">
        <v>68909</v>
      </c>
      <c r="E8" s="9" t="n">
        <v>69009</v>
      </c>
      <c r="F8" s="9" t="n">
        <f aca="false">E8-D8</f>
        <v>100</v>
      </c>
      <c r="G8" s="9" t="n">
        <v>10</v>
      </c>
      <c r="H8" s="34" t="n">
        <f aca="false">IFERROR(F8/G8,"")</f>
        <v>10</v>
      </c>
      <c r="I8" s="34" t="n">
        <f aca="false">IFERROR(G8/F8*100,"")</f>
        <v>10</v>
      </c>
      <c r="J8" s="5" t="s">
        <v>26</v>
      </c>
      <c r="K8" s="25" t="s">
        <v>171</v>
      </c>
    </row>
    <row r="9" customFormat="false" ht="15" hidden="false" customHeight="false" outlineLevel="0" collapsed="false">
      <c r="A9" s="27" t="s">
        <v>20</v>
      </c>
      <c r="B9" s="5" t="s">
        <v>62</v>
      </c>
      <c r="C9" s="5" t="s">
        <v>74</v>
      </c>
      <c r="D9" s="9" t="n">
        <v>69009</v>
      </c>
      <c r="E9" s="9" t="n">
        <v>69125</v>
      </c>
      <c r="F9" s="9" t="n">
        <f aca="false">E9-D9</f>
        <v>116</v>
      </c>
      <c r="G9" s="9" t="n">
        <v>10</v>
      </c>
      <c r="H9" s="34" t="n">
        <f aca="false">IFERROR(F9/G9,"")</f>
        <v>11.6</v>
      </c>
      <c r="I9" s="34" t="n">
        <f aca="false">IFERROR(G9/F9*100,"")</f>
        <v>8.62068965517242</v>
      </c>
      <c r="J9" s="5" t="s">
        <v>26</v>
      </c>
      <c r="K9" s="25"/>
    </row>
    <row r="10" customFormat="false" ht="15" hidden="false" customHeight="false" outlineLevel="0" collapsed="false">
      <c r="A10" s="27" t="s">
        <v>20</v>
      </c>
      <c r="B10" s="5" t="s">
        <v>74</v>
      </c>
      <c r="C10" s="5" t="s">
        <v>81</v>
      </c>
      <c r="D10" s="9" t="n">
        <v>69125</v>
      </c>
      <c r="E10" s="9" t="n">
        <v>69350</v>
      </c>
      <c r="F10" s="9" t="n">
        <f aca="false">E10-D10</f>
        <v>225</v>
      </c>
      <c r="G10" s="9" t="n">
        <v>10</v>
      </c>
      <c r="H10" s="34" t="n">
        <f aca="false">IFERROR(F10/G10,"")</f>
        <v>22.5</v>
      </c>
      <c r="I10" s="34" t="n">
        <f aca="false">IFERROR(G10/F10*100,"")</f>
        <v>4.44444444444445</v>
      </c>
      <c r="J10" s="10" t="s">
        <v>17</v>
      </c>
      <c r="K10" s="25"/>
    </row>
    <row r="11" customFormat="false" ht="22.35" hidden="false" customHeight="false" outlineLevel="0" collapsed="false">
      <c r="A11" s="24" t="s">
        <v>172</v>
      </c>
      <c r="B11" s="35" t="s">
        <v>14</v>
      </c>
      <c r="C11" s="35" t="s">
        <v>81</v>
      </c>
      <c r="D11" s="36" t="n">
        <v>68608.4</v>
      </c>
      <c r="E11" s="36" t="n">
        <v>69350</v>
      </c>
      <c r="F11" s="36" t="n">
        <f aca="false">E11-D11</f>
        <v>741.600000000006</v>
      </c>
      <c r="G11" s="36" t="n">
        <v>60</v>
      </c>
      <c r="H11" s="37" t="n">
        <f aca="false">IFERROR(F11/G11,"")</f>
        <v>12.3600000000001</v>
      </c>
      <c r="I11" s="37" t="n">
        <f aca="false">IFERROR(G11/F11*100,"")</f>
        <v>8.09061488673133</v>
      </c>
      <c r="J11" s="35"/>
      <c r="K11" s="38" t="s">
        <v>173</v>
      </c>
    </row>
    <row r="12" customFormat="false" ht="15" hidden="false" customHeight="false" outlineLevel="0" collapsed="false">
      <c r="A12" s="27" t="s">
        <v>25</v>
      </c>
      <c r="B12" s="5" t="s">
        <v>14</v>
      </c>
      <c r="C12" s="5" t="s">
        <v>74</v>
      </c>
      <c r="D12" s="9" t="n">
        <v>81920</v>
      </c>
      <c r="E12" s="9" t="n">
        <v>82066</v>
      </c>
      <c r="F12" s="9" t="n">
        <f aca="false">E12-D12</f>
        <v>146</v>
      </c>
      <c r="G12" s="9" t="n">
        <v>20</v>
      </c>
      <c r="H12" s="34" t="n">
        <f aca="false">IFERROR(F12/G12,"")</f>
        <v>7.3</v>
      </c>
      <c r="I12" s="34" t="n">
        <f aca="false">IFERROR(G12/F12*100,"")</f>
        <v>13.6986301369863</v>
      </c>
      <c r="J12" s="10" t="s">
        <v>17</v>
      </c>
      <c r="K12" s="25"/>
    </row>
    <row r="14" customFormat="false" ht="30" hidden="false" customHeight="true" outlineLevel="0" collapsed="false">
      <c r="A14" s="39" t="s">
        <v>174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</row>
  </sheetData>
  <mergeCells count="4">
    <mergeCell ref="A1:K1"/>
    <mergeCell ref="A2:K2"/>
    <mergeCell ref="A3:K3"/>
    <mergeCell ref="A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5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175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176</v>
      </c>
      <c r="B3" s="3"/>
      <c r="C3" s="3"/>
      <c r="D3" s="3"/>
      <c r="E3" s="3"/>
      <c r="F3" s="3"/>
    </row>
    <row r="5" customFormat="false" ht="31.5" hidden="false" customHeight="true" outlineLevel="0" collapsed="false">
      <c r="A5" s="4" t="s">
        <v>177</v>
      </c>
      <c r="B5" s="4" t="s">
        <v>178</v>
      </c>
      <c r="C5" s="4" t="s">
        <v>179</v>
      </c>
      <c r="D5" s="4" t="s">
        <v>180</v>
      </c>
      <c r="E5" s="4" t="s">
        <v>181</v>
      </c>
      <c r="F5" s="4" t="s">
        <v>182</v>
      </c>
    </row>
    <row r="6" customFormat="false" ht="45.75" hidden="false" customHeight="true" outlineLevel="0" collapsed="false">
      <c r="A6" s="5" t="n">
        <v>1</v>
      </c>
      <c r="B6" s="27" t="s">
        <v>183</v>
      </c>
      <c r="C6" s="7" t="s">
        <v>184</v>
      </c>
      <c r="D6" s="40" t="s">
        <v>26</v>
      </c>
      <c r="E6" s="7" t="s">
        <v>185</v>
      </c>
      <c r="F6" s="7" t="s">
        <v>186</v>
      </c>
    </row>
    <row r="7" customFormat="false" ht="45.75" hidden="false" customHeight="true" outlineLevel="0" collapsed="false">
      <c r="A7" s="5" t="n">
        <v>2</v>
      </c>
      <c r="B7" s="27" t="s">
        <v>187</v>
      </c>
      <c r="C7" s="7" t="s">
        <v>188</v>
      </c>
      <c r="D7" s="40" t="s">
        <v>26</v>
      </c>
      <c r="E7" s="7" t="s">
        <v>189</v>
      </c>
      <c r="F7" s="7" t="s">
        <v>190</v>
      </c>
    </row>
    <row r="8" customFormat="false" ht="45.75" hidden="false" customHeight="true" outlineLevel="0" collapsed="false">
      <c r="A8" s="5" t="n">
        <v>3</v>
      </c>
      <c r="B8" s="27" t="s">
        <v>191</v>
      </c>
      <c r="C8" s="7" t="s">
        <v>192</v>
      </c>
      <c r="D8" s="41" t="s">
        <v>17</v>
      </c>
      <c r="E8" s="7" t="s">
        <v>193</v>
      </c>
      <c r="F8" s="7" t="s">
        <v>194</v>
      </c>
    </row>
    <row r="9" customFormat="false" ht="45.75" hidden="false" customHeight="true" outlineLevel="0" collapsed="false">
      <c r="A9" s="5" t="n">
        <v>4</v>
      </c>
      <c r="B9" s="27" t="s">
        <v>195</v>
      </c>
      <c r="C9" s="7" t="s">
        <v>196</v>
      </c>
      <c r="D9" s="40" t="s">
        <v>26</v>
      </c>
      <c r="E9" s="7" t="s">
        <v>197</v>
      </c>
      <c r="F9" s="7" t="s">
        <v>198</v>
      </c>
    </row>
    <row r="10" customFormat="false" ht="45.75" hidden="false" customHeight="true" outlineLevel="0" collapsed="false">
      <c r="A10" s="5" t="n">
        <v>5</v>
      </c>
      <c r="B10" s="27" t="s">
        <v>199</v>
      </c>
      <c r="C10" s="7" t="s">
        <v>192</v>
      </c>
      <c r="D10" s="41" t="s">
        <v>17</v>
      </c>
      <c r="E10" s="7" t="s">
        <v>200</v>
      </c>
      <c r="F10" s="7" t="s">
        <v>201</v>
      </c>
    </row>
    <row r="11" customFormat="false" ht="45.75" hidden="false" customHeight="true" outlineLevel="0" collapsed="false">
      <c r="A11" s="5" t="n">
        <v>6</v>
      </c>
      <c r="B11" s="27" t="s">
        <v>202</v>
      </c>
      <c r="C11" s="7" t="s">
        <v>203</v>
      </c>
      <c r="D11" s="40" t="s">
        <v>26</v>
      </c>
      <c r="E11" s="7" t="s">
        <v>204</v>
      </c>
      <c r="F11" s="7" t="s">
        <v>205</v>
      </c>
    </row>
    <row r="12" customFormat="false" ht="45.75" hidden="false" customHeight="true" outlineLevel="0" collapsed="false">
      <c r="A12" s="5" t="n">
        <v>7</v>
      </c>
      <c r="B12" s="27" t="s">
        <v>206</v>
      </c>
      <c r="C12" s="7" t="s">
        <v>207</v>
      </c>
      <c r="D12" s="41" t="s">
        <v>17</v>
      </c>
      <c r="E12" s="7" t="s">
        <v>208</v>
      </c>
      <c r="F12" s="7" t="s">
        <v>209</v>
      </c>
    </row>
    <row r="13" customFormat="false" ht="45.75" hidden="false" customHeight="true" outlineLevel="0" collapsed="false">
      <c r="A13" s="5" t="n">
        <v>8</v>
      </c>
      <c r="B13" s="27" t="s">
        <v>210</v>
      </c>
      <c r="C13" s="7" t="s">
        <v>184</v>
      </c>
      <c r="D13" s="42" t="s">
        <v>29</v>
      </c>
      <c r="E13" s="7" t="s">
        <v>211</v>
      </c>
      <c r="F13" s="7" t="s">
        <v>212</v>
      </c>
    </row>
    <row r="14" customFormat="false" ht="45.75" hidden="false" customHeight="true" outlineLevel="0" collapsed="false">
      <c r="A14" s="5" t="n">
        <v>9</v>
      </c>
      <c r="B14" s="27" t="s">
        <v>213</v>
      </c>
      <c r="C14" s="7" t="s">
        <v>184</v>
      </c>
      <c r="D14" s="41" t="s">
        <v>17</v>
      </c>
      <c r="E14" s="7" t="s">
        <v>214</v>
      </c>
      <c r="F14" s="7" t="s">
        <v>215</v>
      </c>
    </row>
    <row r="15" customFormat="false" ht="45.75" hidden="false" customHeight="true" outlineLevel="0" collapsed="false">
      <c r="A15" s="5" t="n">
        <v>10</v>
      </c>
      <c r="B15" s="27" t="s">
        <v>216</v>
      </c>
      <c r="C15" s="7" t="s">
        <v>192</v>
      </c>
      <c r="D15" s="41" t="s">
        <v>17</v>
      </c>
      <c r="E15" s="7" t="s">
        <v>217</v>
      </c>
      <c r="F15" s="7" t="s">
        <v>218</v>
      </c>
    </row>
    <row r="16" customFormat="false" ht="45.75" hidden="false" customHeight="true" outlineLevel="0" collapsed="false">
      <c r="A16" s="5" t="n">
        <v>11</v>
      </c>
      <c r="B16" s="27" t="s">
        <v>219</v>
      </c>
      <c r="C16" s="7" t="s">
        <v>220</v>
      </c>
      <c r="D16" s="26" t="s">
        <v>221</v>
      </c>
      <c r="E16" s="7" t="s">
        <v>222</v>
      </c>
      <c r="F16" s="7" t="s">
        <v>223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3" t="s">
        <v>225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A5" s="4" t="s">
        <v>226</v>
      </c>
      <c r="B5" s="4" t="s">
        <v>227</v>
      </c>
      <c r="C5" s="4" t="s">
        <v>228</v>
      </c>
      <c r="D5" s="4" t="s">
        <v>229</v>
      </c>
      <c r="E5" s="4" t="s">
        <v>230</v>
      </c>
      <c r="F5" s="4" t="s">
        <v>231</v>
      </c>
      <c r="G5" s="4" t="s">
        <v>232</v>
      </c>
      <c r="H5" s="4" t="s">
        <v>233</v>
      </c>
      <c r="I5" s="4" t="s">
        <v>234</v>
      </c>
      <c r="J5" s="4" t="s">
        <v>235</v>
      </c>
      <c r="K5" s="4" t="s">
        <v>236</v>
      </c>
    </row>
    <row r="6" customFormat="false" ht="19.4" hidden="false" customHeight="false" outlineLevel="0" collapsed="false">
      <c r="A6" s="5" t="s">
        <v>14</v>
      </c>
      <c r="B6" s="25" t="s">
        <v>237</v>
      </c>
      <c r="C6" s="5" t="s">
        <v>238</v>
      </c>
      <c r="D6" s="5" t="s">
        <v>239</v>
      </c>
      <c r="E6" s="8" t="n">
        <v>7</v>
      </c>
      <c r="F6" s="8" t="n">
        <f aca="false">'Fuel Issue Register'!F13</f>
        <v>122</v>
      </c>
      <c r="G6" s="8" t="n">
        <v>0</v>
      </c>
      <c r="H6" s="8" t="n">
        <v>112</v>
      </c>
      <c r="I6" s="5" t="s">
        <v>240</v>
      </c>
      <c r="J6" s="5" t="s">
        <v>241</v>
      </c>
      <c r="K6" s="5" t="s">
        <v>14</v>
      </c>
    </row>
    <row r="7" customFormat="false" ht="19.4" hidden="false" customHeight="false" outlineLevel="0" collapsed="false">
      <c r="A7" s="5" t="s">
        <v>38</v>
      </c>
      <c r="B7" s="25" t="s">
        <v>242</v>
      </c>
      <c r="C7" s="5" t="s">
        <v>238</v>
      </c>
      <c r="D7" s="5" t="s">
        <v>239</v>
      </c>
      <c r="E7" s="8" t="n">
        <v>3</v>
      </c>
      <c r="F7" s="8" t="n">
        <f aca="false">'Fuel Issue Register'!F17</f>
        <v>50</v>
      </c>
      <c r="G7" s="8" t="n">
        <v>400</v>
      </c>
      <c r="H7" s="8" t="n">
        <v>462</v>
      </c>
      <c r="I7" s="5" t="s">
        <v>240</v>
      </c>
      <c r="J7" s="5" t="s">
        <v>241</v>
      </c>
      <c r="K7" s="5" t="s">
        <v>38</v>
      </c>
    </row>
    <row r="8" customFormat="false" ht="19.4" hidden="false" customHeight="false" outlineLevel="0" collapsed="false">
      <c r="A8" s="5" t="s">
        <v>47</v>
      </c>
      <c r="B8" s="25" t="s">
        <v>243</v>
      </c>
      <c r="C8" s="5" t="s">
        <v>238</v>
      </c>
      <c r="D8" s="5" t="s">
        <v>239</v>
      </c>
      <c r="E8" s="8" t="n">
        <v>5</v>
      </c>
      <c r="F8" s="8" t="n">
        <f aca="false">'Fuel Issue Register'!F23</f>
        <v>130</v>
      </c>
      <c r="G8" s="8" t="n">
        <v>0</v>
      </c>
      <c r="H8" s="8" t="n">
        <v>332</v>
      </c>
      <c r="I8" s="5" t="s">
        <v>240</v>
      </c>
      <c r="J8" s="5" t="s">
        <v>241</v>
      </c>
      <c r="K8" s="5" t="s">
        <v>47</v>
      </c>
    </row>
    <row r="9" customFormat="false" ht="19.4" hidden="false" customHeight="false" outlineLevel="0" collapsed="false">
      <c r="A9" s="5" t="s">
        <v>62</v>
      </c>
      <c r="B9" s="25" t="s">
        <v>244</v>
      </c>
      <c r="C9" s="5" t="s">
        <v>238</v>
      </c>
      <c r="D9" s="5" t="s">
        <v>239</v>
      </c>
      <c r="E9" s="8" t="n">
        <v>5</v>
      </c>
      <c r="F9" s="8" t="n">
        <f aca="false">'Fuel Issue Register'!F29</f>
        <v>100</v>
      </c>
      <c r="G9" s="8" t="n">
        <v>0</v>
      </c>
      <c r="H9" s="8" t="n">
        <v>232</v>
      </c>
      <c r="I9" s="5" t="s">
        <v>240</v>
      </c>
      <c r="J9" s="5" t="s">
        <v>241</v>
      </c>
      <c r="K9" s="5" t="s">
        <v>62</v>
      </c>
    </row>
    <row r="10" customFormat="false" ht="19.4" hidden="false" customHeight="false" outlineLevel="0" collapsed="false">
      <c r="A10" s="5" t="s">
        <v>74</v>
      </c>
      <c r="B10" s="25" t="s">
        <v>245</v>
      </c>
      <c r="C10" s="5" t="s">
        <v>238</v>
      </c>
      <c r="D10" s="5" t="s">
        <v>239</v>
      </c>
      <c r="E10" s="8" t="n">
        <v>5</v>
      </c>
      <c r="F10" s="8" t="n">
        <f aca="false">'Fuel Issue Register'!F35</f>
        <v>80</v>
      </c>
      <c r="G10" s="8" t="n">
        <v>400</v>
      </c>
      <c r="H10" s="8" t="n">
        <v>552</v>
      </c>
      <c r="I10" s="5" t="s">
        <v>240</v>
      </c>
      <c r="J10" s="5" t="s">
        <v>241</v>
      </c>
      <c r="K10" s="5" t="s">
        <v>74</v>
      </c>
    </row>
    <row r="11" customFormat="false" ht="19.4" hidden="false" customHeight="false" outlineLevel="0" collapsed="false">
      <c r="A11" s="5" t="s">
        <v>81</v>
      </c>
      <c r="B11" s="25" t="s">
        <v>246</v>
      </c>
      <c r="C11" s="5" t="s">
        <v>247</v>
      </c>
      <c r="D11" s="5" t="s">
        <v>239</v>
      </c>
      <c r="E11" s="8" t="n">
        <v>7</v>
      </c>
      <c r="F11" s="8" t="n">
        <f aca="false">'Fuel Issue Register'!F43</f>
        <v>152</v>
      </c>
      <c r="G11" s="8" t="n">
        <v>0</v>
      </c>
      <c r="H11" s="8" t="n">
        <v>400</v>
      </c>
      <c r="I11" s="5" t="s">
        <v>240</v>
      </c>
      <c r="J11" s="5" t="s">
        <v>241</v>
      </c>
      <c r="K11" s="5" t="s">
        <v>81</v>
      </c>
    </row>
    <row r="12" customFormat="false" ht="15" hidden="false" customHeight="false" outlineLevel="0" collapsed="false">
      <c r="A12" s="20" t="s">
        <v>248</v>
      </c>
      <c r="B12" s="20"/>
      <c r="C12" s="20"/>
      <c r="D12" s="20"/>
      <c r="E12" s="21" t="n">
        <f aca="false">SUM(E6:E11)</f>
        <v>32</v>
      </c>
      <c r="F12" s="21" t="n">
        <f aca="false">SUM(F6:F11)</f>
        <v>634</v>
      </c>
      <c r="G12" s="21" t="n">
        <f aca="false">SUM(G6:G11)</f>
        <v>800</v>
      </c>
      <c r="H12" s="22"/>
      <c r="I12" s="22"/>
      <c r="J12" s="22"/>
      <c r="K12" s="22"/>
    </row>
  </sheetData>
  <mergeCells count="4">
    <mergeCell ref="A1:K1"/>
    <mergeCell ref="A2:K2"/>
    <mergeCell ref="A3:K3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5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249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250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140</v>
      </c>
      <c r="B5" s="4" t="s">
        <v>251</v>
      </c>
      <c r="C5" s="4" t="s">
        <v>142</v>
      </c>
      <c r="D5" s="4" t="s">
        <v>252</v>
      </c>
      <c r="E5" s="4" t="s">
        <v>253</v>
      </c>
      <c r="F5" s="4" t="s">
        <v>147</v>
      </c>
      <c r="G5" s="4" t="s">
        <v>254</v>
      </c>
      <c r="H5" s="4" t="s">
        <v>255</v>
      </c>
    </row>
    <row r="6" customFormat="false" ht="15" hidden="false" customHeight="false" outlineLevel="0" collapsed="false">
      <c r="A6" s="8" t="n">
        <v>1</v>
      </c>
      <c r="B6" s="27" t="s">
        <v>55</v>
      </c>
      <c r="C6" s="8" t="n">
        <v>3</v>
      </c>
      <c r="D6" s="8" t="n">
        <v>3</v>
      </c>
      <c r="E6" s="8" t="n">
        <v>75</v>
      </c>
      <c r="F6" s="30" t="n">
        <f aca="false">E6/$E$25</f>
        <v>0.118296529968454</v>
      </c>
      <c r="G6" s="8" t="n">
        <v>2</v>
      </c>
      <c r="H6" s="25" t="s">
        <v>256</v>
      </c>
    </row>
    <row r="7" customFormat="false" ht="15" hidden="false" customHeight="false" outlineLevel="0" collapsed="false">
      <c r="A7" s="8" t="n">
        <v>2</v>
      </c>
      <c r="B7" s="27" t="s">
        <v>18</v>
      </c>
      <c r="C7" s="8" t="n">
        <v>3</v>
      </c>
      <c r="D7" s="8" t="n">
        <v>2</v>
      </c>
      <c r="E7" s="8" t="n">
        <v>70</v>
      </c>
      <c r="F7" s="30" t="n">
        <f aca="false">E7/$E$25</f>
        <v>0.110410094637224</v>
      </c>
      <c r="G7" s="8" t="n">
        <v>3</v>
      </c>
      <c r="H7" s="25" t="s">
        <v>257</v>
      </c>
    </row>
    <row r="8" customFormat="false" ht="15" hidden="false" customHeight="false" outlineLevel="0" collapsed="false">
      <c r="A8" s="8" t="n">
        <v>3</v>
      </c>
      <c r="B8" s="27" t="s">
        <v>21</v>
      </c>
      <c r="C8" s="8" t="n">
        <v>6</v>
      </c>
      <c r="D8" s="8" t="n">
        <v>5</v>
      </c>
      <c r="E8" s="8" t="n">
        <v>60</v>
      </c>
      <c r="F8" s="30" t="n">
        <f aca="false">E8/$E$25</f>
        <v>0.0946372239747634</v>
      </c>
      <c r="G8" s="8" t="n">
        <v>1</v>
      </c>
      <c r="H8" s="25" t="s">
        <v>20</v>
      </c>
    </row>
    <row r="9" customFormat="false" ht="15" hidden="false" customHeight="false" outlineLevel="0" collapsed="false">
      <c r="A9" s="8" t="n">
        <v>4</v>
      </c>
      <c r="B9" s="27" t="s">
        <v>57</v>
      </c>
      <c r="C9" s="8" t="n">
        <v>2</v>
      </c>
      <c r="D9" s="8" t="n">
        <v>2</v>
      </c>
      <c r="E9" s="8" t="n">
        <v>60</v>
      </c>
      <c r="F9" s="30" t="n">
        <f aca="false">E9/$E$25</f>
        <v>0.0946372239747634</v>
      </c>
      <c r="G9" s="8" t="n">
        <v>1</v>
      </c>
      <c r="H9" s="25" t="s">
        <v>56</v>
      </c>
    </row>
    <row r="10" customFormat="false" ht="15" hidden="false" customHeight="false" outlineLevel="0" collapsed="false">
      <c r="A10" s="8" t="n">
        <v>5</v>
      </c>
      <c r="B10" s="27" t="s">
        <v>27</v>
      </c>
      <c r="C10" s="8" t="n">
        <v>3</v>
      </c>
      <c r="D10" s="8" t="n">
        <v>3</v>
      </c>
      <c r="E10" s="8" t="n">
        <v>50</v>
      </c>
      <c r="F10" s="30" t="n">
        <f aca="false">E10/$E$25</f>
        <v>0.0788643533123028</v>
      </c>
      <c r="G10" s="8" t="n">
        <v>2</v>
      </c>
      <c r="H10" s="25" t="s">
        <v>258</v>
      </c>
    </row>
    <row r="11" customFormat="false" ht="15" hidden="false" customHeight="false" outlineLevel="0" collapsed="false">
      <c r="A11" s="8" t="n">
        <v>6</v>
      </c>
      <c r="B11" s="27" t="s">
        <v>53</v>
      </c>
      <c r="C11" s="8" t="n">
        <v>2</v>
      </c>
      <c r="D11" s="8" t="n">
        <v>2</v>
      </c>
      <c r="E11" s="8" t="n">
        <v>45</v>
      </c>
      <c r="F11" s="30" t="n">
        <f aca="false">E11/$E$25</f>
        <v>0.0709779179810726</v>
      </c>
      <c r="G11" s="8" t="n">
        <v>1</v>
      </c>
      <c r="H11" s="25" t="s">
        <v>52</v>
      </c>
    </row>
    <row r="12" customFormat="false" ht="15" hidden="false" customHeight="false" outlineLevel="0" collapsed="false">
      <c r="A12" s="8" t="n">
        <v>7</v>
      </c>
      <c r="B12" s="27" t="s">
        <v>41</v>
      </c>
      <c r="C12" s="8" t="n">
        <v>1</v>
      </c>
      <c r="D12" s="8" t="n">
        <v>1</v>
      </c>
      <c r="E12" s="8" t="n">
        <v>30</v>
      </c>
      <c r="F12" s="30" t="n">
        <f aca="false">E12/$E$25</f>
        <v>0.0473186119873817</v>
      </c>
      <c r="G12" s="8" t="n">
        <v>1</v>
      </c>
      <c r="H12" s="25" t="s">
        <v>40</v>
      </c>
    </row>
    <row r="13" customFormat="false" ht="15" hidden="false" customHeight="false" outlineLevel="0" collapsed="false">
      <c r="A13" s="8" t="n">
        <v>8</v>
      </c>
      <c r="B13" s="27" t="s">
        <v>50</v>
      </c>
      <c r="C13" s="8" t="n">
        <v>1</v>
      </c>
      <c r="D13" s="8" t="n">
        <v>1</v>
      </c>
      <c r="E13" s="8" t="n">
        <v>30</v>
      </c>
      <c r="F13" s="30" t="n">
        <f aca="false">E13/$E$25</f>
        <v>0.0473186119873817</v>
      </c>
      <c r="G13" s="8" t="n">
        <v>1</v>
      </c>
      <c r="H13" s="25" t="s">
        <v>49</v>
      </c>
    </row>
    <row r="14" customFormat="false" ht="15" hidden="false" customHeight="false" outlineLevel="0" collapsed="false">
      <c r="A14" s="8" t="n">
        <v>9</v>
      </c>
      <c r="B14" s="27" t="s">
        <v>88</v>
      </c>
      <c r="C14" s="8" t="n">
        <v>1</v>
      </c>
      <c r="D14" s="8" t="n">
        <v>1</v>
      </c>
      <c r="E14" s="8" t="n">
        <v>30</v>
      </c>
      <c r="F14" s="30" t="n">
        <f aca="false">E14/$E$25</f>
        <v>0.0473186119873817</v>
      </c>
      <c r="G14" s="8" t="n">
        <v>1</v>
      </c>
      <c r="H14" s="25" t="s">
        <v>49</v>
      </c>
    </row>
    <row r="15" customFormat="false" ht="15" hidden="false" customHeight="false" outlineLevel="0" collapsed="false">
      <c r="A15" s="8" t="n">
        <v>10</v>
      </c>
      <c r="B15" s="27" t="s">
        <v>86</v>
      </c>
      <c r="C15" s="8" t="n">
        <v>1</v>
      </c>
      <c r="D15" s="8" t="n">
        <v>1</v>
      </c>
      <c r="E15" s="8" t="n">
        <v>30</v>
      </c>
      <c r="F15" s="30" t="n">
        <f aca="false">E15/$E$25</f>
        <v>0.0473186119873817</v>
      </c>
      <c r="G15" s="8" t="n">
        <v>1</v>
      </c>
      <c r="H15" s="25" t="s">
        <v>85</v>
      </c>
    </row>
    <row r="16" customFormat="false" ht="15" hidden="false" customHeight="false" outlineLevel="0" collapsed="false">
      <c r="A16" s="8" t="n">
        <v>11</v>
      </c>
      <c r="B16" s="27" t="s">
        <v>70</v>
      </c>
      <c r="C16" s="8" t="n">
        <v>1</v>
      </c>
      <c r="D16" s="8" t="n">
        <v>1</v>
      </c>
      <c r="E16" s="8" t="n">
        <v>25</v>
      </c>
      <c r="F16" s="30" t="n">
        <f aca="false">E16/$E$25</f>
        <v>0.0394321766561514</v>
      </c>
      <c r="G16" s="8" t="n">
        <v>1</v>
      </c>
      <c r="H16" s="25" t="s">
        <v>69</v>
      </c>
    </row>
    <row r="17" customFormat="false" ht="15" hidden="false" customHeight="false" outlineLevel="0" collapsed="false">
      <c r="A17" s="8" t="n">
        <v>12</v>
      </c>
      <c r="B17" s="27" t="s">
        <v>83</v>
      </c>
      <c r="C17" s="8" t="n">
        <v>1</v>
      </c>
      <c r="D17" s="8" t="n">
        <v>1</v>
      </c>
      <c r="E17" s="8" t="n">
        <v>25</v>
      </c>
      <c r="F17" s="30" t="n">
        <f aca="false">E17/$E$25</f>
        <v>0.0394321766561514</v>
      </c>
      <c r="G17" s="8" t="n">
        <v>1</v>
      </c>
      <c r="H17" s="25" t="s">
        <v>52</v>
      </c>
    </row>
    <row r="18" customFormat="false" ht="15" hidden="false" customHeight="false" outlineLevel="0" collapsed="false">
      <c r="A18" s="8" t="n">
        <v>13</v>
      </c>
      <c r="B18" s="27" t="s">
        <v>259</v>
      </c>
      <c r="C18" s="8" t="n">
        <v>1</v>
      </c>
      <c r="D18" s="8" t="n">
        <v>1</v>
      </c>
      <c r="E18" s="8" t="n">
        <v>20</v>
      </c>
      <c r="F18" s="30" t="n">
        <f aca="false">E18/$E$25</f>
        <v>0.0315457413249211</v>
      </c>
      <c r="G18" s="8" t="n">
        <v>1</v>
      </c>
      <c r="H18" s="25" t="s">
        <v>58</v>
      </c>
    </row>
    <row r="19" customFormat="false" ht="15" hidden="false" customHeight="false" outlineLevel="0" collapsed="false">
      <c r="A19" s="8" t="n">
        <v>14</v>
      </c>
      <c r="B19" s="27" t="s">
        <v>79</v>
      </c>
      <c r="C19" s="8" t="n">
        <v>1</v>
      </c>
      <c r="D19" s="8" t="n">
        <v>1</v>
      </c>
      <c r="E19" s="8" t="n">
        <v>20</v>
      </c>
      <c r="F19" s="30" t="n">
        <f aca="false">E19/$E$25</f>
        <v>0.0315457413249211</v>
      </c>
      <c r="G19" s="8" t="n">
        <v>1</v>
      </c>
      <c r="H19" s="25" t="s">
        <v>58</v>
      </c>
    </row>
    <row r="20" customFormat="false" ht="15" hidden="false" customHeight="false" outlineLevel="0" collapsed="false">
      <c r="A20" s="8" t="n">
        <v>15</v>
      </c>
      <c r="B20" s="27" t="s">
        <v>24</v>
      </c>
      <c r="C20" s="8" t="n">
        <v>1</v>
      </c>
      <c r="D20" s="8" t="n">
        <v>1</v>
      </c>
      <c r="E20" s="8" t="n">
        <v>20</v>
      </c>
      <c r="F20" s="30" t="n">
        <f aca="false">E20/$E$25</f>
        <v>0.0315457413249211</v>
      </c>
      <c r="G20" s="8" t="n">
        <v>1</v>
      </c>
      <c r="H20" s="25" t="s">
        <v>23</v>
      </c>
    </row>
    <row r="21" customFormat="false" ht="15" hidden="false" customHeight="false" outlineLevel="0" collapsed="false">
      <c r="A21" s="8" t="n">
        <v>16</v>
      </c>
      <c r="B21" s="27" t="s">
        <v>32</v>
      </c>
      <c r="C21" s="8" t="n">
        <v>1</v>
      </c>
      <c r="D21" s="8" t="n">
        <v>1</v>
      </c>
      <c r="E21" s="8" t="n">
        <v>20</v>
      </c>
      <c r="F21" s="30" t="n">
        <f aca="false">E21/$E$25</f>
        <v>0.0315457413249211</v>
      </c>
      <c r="G21" s="8" t="n">
        <v>1</v>
      </c>
      <c r="H21" s="25" t="s">
        <v>31</v>
      </c>
    </row>
    <row r="22" customFormat="false" ht="15" hidden="false" customHeight="false" outlineLevel="0" collapsed="false">
      <c r="A22" s="8" t="n">
        <v>17</v>
      </c>
      <c r="B22" s="27" t="s">
        <v>34</v>
      </c>
      <c r="C22" s="8" t="n">
        <v>1</v>
      </c>
      <c r="D22" s="8" t="n">
        <v>1</v>
      </c>
      <c r="E22" s="8" t="n">
        <v>12</v>
      </c>
      <c r="F22" s="30" t="n">
        <f aca="false">E22/$E$25</f>
        <v>0.0189274447949527</v>
      </c>
      <c r="G22" s="8" t="n">
        <v>1</v>
      </c>
      <c r="H22" s="25" t="s">
        <v>33</v>
      </c>
    </row>
    <row r="23" customFormat="false" ht="15" hidden="false" customHeight="false" outlineLevel="0" collapsed="false">
      <c r="A23" s="8" t="n">
        <v>18</v>
      </c>
      <c r="B23" s="27" t="s">
        <v>71</v>
      </c>
      <c r="C23" s="8" t="n">
        <v>1</v>
      </c>
      <c r="D23" s="8" t="n">
        <v>1</v>
      </c>
      <c r="E23" s="8" t="n">
        <v>10</v>
      </c>
      <c r="F23" s="30" t="n">
        <f aca="false">E23/$E$25</f>
        <v>0.0157728706624606</v>
      </c>
      <c r="G23" s="8" t="n">
        <v>1</v>
      </c>
      <c r="H23" s="25" t="s">
        <v>20</v>
      </c>
    </row>
    <row r="24" customFormat="false" ht="15" hidden="false" customHeight="false" outlineLevel="0" collapsed="false">
      <c r="A24" s="8" t="n">
        <v>19</v>
      </c>
      <c r="B24" s="27" t="s">
        <v>91</v>
      </c>
      <c r="C24" s="8" t="n">
        <v>1</v>
      </c>
      <c r="D24" s="8" t="n">
        <v>1</v>
      </c>
      <c r="E24" s="8" t="n">
        <v>2</v>
      </c>
      <c r="F24" s="30" t="n">
        <f aca="false">E24/$E$25</f>
        <v>0.00315457413249211</v>
      </c>
      <c r="G24" s="8" t="n">
        <v>1</v>
      </c>
      <c r="H24" s="25" t="s">
        <v>90</v>
      </c>
    </row>
    <row r="25" customFormat="false" ht="15" hidden="false" customHeight="false" outlineLevel="0" collapsed="false">
      <c r="A25" s="20" t="s">
        <v>248</v>
      </c>
      <c r="B25" s="20"/>
      <c r="C25" s="21" t="n">
        <f aca="false">SUM(C6:C24)</f>
        <v>32</v>
      </c>
      <c r="D25" s="22"/>
      <c r="E25" s="21" t="n">
        <f aca="false">SUM(E6:E24)</f>
        <v>634</v>
      </c>
      <c r="F25" s="33" t="n">
        <f aca="false">SUM(F6:F24)</f>
        <v>1</v>
      </c>
      <c r="G25" s="22"/>
      <c r="H25" s="22"/>
    </row>
  </sheetData>
  <mergeCells count="4">
    <mergeCell ref="A1:H1"/>
    <mergeCell ref="A2:H2"/>
    <mergeCell ref="A3:H3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2026-08-07T09:20:31Z</dcterms:created>
  <dc:creator>openpyxl</dc:creator>
  <dc:description/>
  <dc:language>en-US</dc:language>
  <cp:lastModifiedBy/>
  <dcterms:modified xsi:type="dcterms:W3CDTF">2026-08-07T09:20:31Z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