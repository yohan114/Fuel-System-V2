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B1D3837-3B36-4C11-BCD0-884C1C756B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uel Issue Register" sheetId="2" r:id="rId1"/>
  </sheets>
  <definedNames>
    <definedName name="_xlnm._FilterDatabase" localSheetId="0" hidden="1">'Fuel Issue Register'!$A$5:$N$25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6" i="2" l="1"/>
  <c r="G26" i="2"/>
  <c r="K26" i="2" s="1"/>
  <c r="C25" i="2"/>
  <c r="J24" i="2"/>
  <c r="K24" i="2" s="1"/>
  <c r="C24" i="2"/>
  <c r="C23" i="2"/>
  <c r="C22" i="2"/>
  <c r="C21" i="2"/>
  <c r="J20" i="2"/>
  <c r="K20" i="2" s="1"/>
  <c r="C20" i="2"/>
  <c r="C19" i="2"/>
  <c r="K18" i="2"/>
  <c r="J18" i="2"/>
  <c r="C18" i="2"/>
  <c r="C17" i="2"/>
  <c r="J16" i="2"/>
  <c r="K16" i="2" s="1"/>
  <c r="C16" i="2"/>
  <c r="C15" i="2"/>
  <c r="K14" i="2"/>
  <c r="J14" i="2"/>
  <c r="C14" i="2"/>
  <c r="C13" i="2"/>
  <c r="J12" i="2"/>
  <c r="K12" i="2" s="1"/>
  <c r="C12" i="2"/>
  <c r="C11" i="2"/>
  <c r="K10" i="2"/>
  <c r="J10" i="2"/>
  <c r="C10" i="2"/>
  <c r="C9" i="2"/>
  <c r="C8" i="2"/>
  <c r="K7" i="2"/>
  <c r="J7" i="2"/>
  <c r="C7" i="2"/>
  <c r="K6" i="2"/>
  <c r="J6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" authorId="0" shapeId="0" xr:uid="{00000000-0006-0000-0100-000001000000}">
      <text>
        <r>
          <rPr>
            <sz val="10"/>
            <rFont val="Arial"/>
            <family val="2"/>
          </rPr>
          <t>Meter units are not printed on the source form. Hour-meters are assumed for plant (SL-24, HEX-42, ZA-8395) and odometer km for road vehicles.</t>
        </r>
      </text>
    </comment>
  </commentList>
</comments>
</file>

<file path=xl/sharedStrings.xml><?xml version="1.0" encoding="utf-8"?>
<sst xmlns="http://schemas.openxmlformats.org/spreadsheetml/2006/main" count="157" uniqueCount="42">
  <si>
    <t>EDWARD &amp; CHRISTIE (PVT) LTD  |  BADALGAMA CENTRAL WORKSHOP</t>
  </si>
  <si>
    <t>Daily Fuel Issue Register - Diesel</t>
  </si>
  <si>
    <t>Transcribed from six handwritten Daily Fuel &amp; Lubricant Issue sheets, 01 Aug 2026 to 06 Aug 2026. Storekeeper: M.H.C.L.R. Rathnayaka (ASK).</t>
  </si>
  <si>
    <t>S/N</t>
  </si>
  <si>
    <t>Date</t>
  </si>
  <si>
    <t>Day</t>
  </si>
  <si>
    <t>Sheet Line</t>
  </si>
  <si>
    <t>Vehicle / Plant No</t>
  </si>
  <si>
    <t>Fuel</t>
  </si>
  <si>
    <t>Qty Issued (L)</t>
  </si>
  <si>
    <t>Current Meter</t>
  </si>
  <si>
    <t>Previous Meter</t>
  </si>
  <si>
    <t>Running (Hr/Km)</t>
  </si>
  <si>
    <t>Rate (L per Hr/Km)</t>
  </si>
  <si>
    <t>Driver / Operator</t>
  </si>
  <si>
    <t>Issuing Officer</t>
  </si>
  <si>
    <t>Remarks</t>
  </si>
  <si>
    <t>SL-24</t>
  </si>
  <si>
    <t>Diesel</t>
  </si>
  <si>
    <t>(Sinhala script)</t>
  </si>
  <si>
    <t>Chamara</t>
  </si>
  <si>
    <t>HEX-42</t>
  </si>
  <si>
    <t>Shanaka</t>
  </si>
  <si>
    <t>LL-0920</t>
  </si>
  <si>
    <t>-</t>
  </si>
  <si>
    <t>Jayasundara</t>
  </si>
  <si>
    <t>No meter reading recorded</t>
  </si>
  <si>
    <t>ZA-8395</t>
  </si>
  <si>
    <t>Chathuranga</t>
  </si>
  <si>
    <t>Chanaka</t>
  </si>
  <si>
    <t>ZA-7610</t>
  </si>
  <si>
    <t>Manjula</t>
  </si>
  <si>
    <t>Current meter digit unclear (3285 / 3289)</t>
  </si>
  <si>
    <t>Opening meter 3282 does not match 03/08 closing 3285</t>
  </si>
  <si>
    <t>RS-0483</t>
  </si>
  <si>
    <t>ZA-9033</t>
  </si>
  <si>
    <t>Vehicle no. appears twice on same sheet</t>
  </si>
  <si>
    <t>Munasinghe</t>
  </si>
  <si>
    <t>Earlier entry struck out and rewritten</t>
  </si>
  <si>
    <t>TOTAL</t>
  </si>
  <si>
    <t>Rate on total row = total litres / total recorded running; indicative only, as 12 of 20 lines carry no meter reading.</t>
  </si>
  <si>
    <t>HEX-05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</si>
</sst>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1F3864"/>
      <name val="Arial"/>
      <charset val="1"/>
    </font>
    <font>
      <i/>
      <sz val="8"/>
      <color rgb="FF7F7F7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i/>
      <sz val="8"/>
      <color rgb="FF9C3A2E"/>
      <name val="Arial"/>
      <charset val="1"/>
    </font>
    <font>
      <b/>
      <sz val="10"/>
      <color rgb="FFFFFFFF"/>
      <name val="Arial"/>
      <charset val="1"/>
    </font>
    <font>
      <i/>
      <sz val="8"/>
      <color rgb="FFFFFFFF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9F9F9"/>
      </patternFill>
    </fill>
    <fill>
      <patternFill patternType="solid">
        <fgColor rgb="FFFFF2CC"/>
        <bgColor rgb="FFFCE4E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2" borderId="2" xfId="0" applyFont="1" applyFill="1" applyBorder="1" applyAlignment="1">
      <alignment horizontal="right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15" fontId="5" fillId="3" borderId="1" xfId="0" applyNumberFormat="1" applyFont="1" applyFill="1" applyBorder="1"/>
    <xf numFmtId="0" fontId="6" fillId="3" borderId="1" xfId="0" applyFont="1" applyFill="1" applyBorder="1"/>
    <xf numFmtId="3" fontId="5" fillId="3" borderId="1" xfId="0" applyNumberFormat="1" applyFont="1" applyFill="1" applyBorder="1"/>
    <xf numFmtId="4" fontId="5" fillId="3" borderId="1" xfId="0" applyNumberFormat="1" applyFont="1" applyFill="1" applyBorder="1"/>
    <xf numFmtId="0" fontId="5" fillId="3" borderId="1" xfId="0" applyFont="1" applyFill="1" applyBorder="1"/>
    <xf numFmtId="0" fontId="5" fillId="4" borderId="1" xfId="0" applyFont="1" applyFill="1" applyBorder="1" applyAlignment="1">
      <alignment horizontal="center"/>
    </xf>
    <xf numFmtId="15" fontId="5" fillId="4" borderId="1" xfId="0" applyNumberFormat="1" applyFont="1" applyFill="1" applyBorder="1"/>
    <xf numFmtId="0" fontId="6" fillId="4" borderId="1" xfId="0" applyFont="1" applyFill="1" applyBorder="1"/>
    <xf numFmtId="3" fontId="5" fillId="4" borderId="1" xfId="0" applyNumberFormat="1" applyFont="1" applyFill="1" applyBorder="1"/>
    <xf numFmtId="4" fontId="5" fillId="4" borderId="1" xfId="0" applyNumberFormat="1" applyFont="1" applyFill="1" applyBorder="1"/>
    <xf numFmtId="0" fontId="5" fillId="4" borderId="1" xfId="0" applyFont="1" applyFill="1" applyBorder="1"/>
    <xf numFmtId="0" fontId="7" fillId="5" borderId="1" xfId="0" applyFont="1" applyFill="1" applyBorder="1"/>
    <xf numFmtId="3" fontId="8" fillId="2" borderId="2" xfId="0" applyNumberFormat="1" applyFont="1" applyFill="1" applyBorder="1"/>
    <xf numFmtId="0" fontId="8" fillId="2" borderId="2" xfId="0" applyFont="1" applyFill="1" applyBorder="1"/>
    <xf numFmtId="4" fontId="8" fillId="2" borderId="2" xfId="0" applyNumberFormat="1" applyFont="1" applyFill="1" applyBorder="1"/>
    <xf numFmtId="0" fontId="9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E3C"/>
      <rgbColor rgb="FF000080"/>
      <rgbColor rgb="FF8A6116"/>
      <rgbColor rgb="FF800080"/>
      <rgbColor rgb="FF008080"/>
      <rgbColor rgb="FFBFBFBF"/>
      <rgbColor rgb="FF7F7F7F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AFAFA"/>
      <rgbColor rgb="FF99CCFF"/>
      <rgbColor rgb="FFFF99CC"/>
      <rgbColor rgb="FFCC99FF"/>
      <rgbColor rgb="FFFCE4E4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C3A2E"/>
      <rgbColor rgb="FFC0504D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6"/>
  <sheetViews>
    <sheetView showGridLines="0" tabSelected="1" zoomScaleNormal="100" workbookViewId="0">
      <pane ySplit="5" topLeftCell="A9" activePane="bottomLeft" state="frozen"/>
      <selection pane="bottomLeft" activeCell="H11" sqref="H11"/>
    </sheetView>
  </sheetViews>
  <sheetFormatPr defaultColWidth="8.6640625" defaultRowHeight="14.4" x14ac:dyDescent="0.3"/>
  <cols>
    <col min="1" max="1" width="6" customWidth="1"/>
    <col min="2" max="2" width="11" customWidth="1"/>
    <col min="3" max="3" width="6" customWidth="1"/>
    <col min="4" max="4" width="9" customWidth="1"/>
    <col min="5" max="5" width="19" customWidth="1"/>
    <col min="6" max="6" width="8" customWidth="1"/>
    <col min="7" max="10" width="12" customWidth="1"/>
    <col min="11" max="11" width="14" customWidth="1"/>
    <col min="12" max="12" width="20" customWidth="1"/>
    <col min="13" max="13" width="15" customWidth="1"/>
    <col min="14" max="14" width="42" customWidth="1"/>
  </cols>
  <sheetData>
    <row r="1" spans="1:14" ht="24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9.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" customHeight="1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4" ht="30" customHeight="1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spans="1:14" x14ac:dyDescent="0.3">
      <c r="A6" s="6">
        <v>1</v>
      </c>
      <c r="B6" s="7">
        <v>46235</v>
      </c>
      <c r="C6" s="6" t="str">
        <f t="shared" ref="C6:C25" si="0">TEXT(B6,"ddd")</f>
        <v>Sat</v>
      </c>
      <c r="D6" s="6">
        <v>1</v>
      </c>
      <c r="E6" s="8" t="s">
        <v>17</v>
      </c>
      <c r="F6" s="6" t="s">
        <v>18</v>
      </c>
      <c r="G6" s="9">
        <v>20</v>
      </c>
      <c r="H6" s="10">
        <v>3838</v>
      </c>
      <c r="I6" s="10">
        <v>3835</v>
      </c>
      <c r="J6" s="10">
        <f>H6-I6</f>
        <v>3</v>
      </c>
      <c r="K6" s="10">
        <f>IFERROR(IF(J6&lt;=0,"",G6/J6),"")</f>
        <v>6.666666666666667</v>
      </c>
      <c r="L6" s="11" t="s">
        <v>19</v>
      </c>
      <c r="M6" s="11" t="s">
        <v>20</v>
      </c>
      <c r="N6" s="11"/>
    </row>
    <row r="7" spans="1:14" x14ac:dyDescent="0.3">
      <c r="A7" s="12">
        <v>2</v>
      </c>
      <c r="B7" s="13">
        <v>46235</v>
      </c>
      <c r="C7" s="12" t="str">
        <f t="shared" si="0"/>
        <v>Sat</v>
      </c>
      <c r="D7" s="12">
        <v>2</v>
      </c>
      <c r="E7" s="14" t="s">
        <v>21</v>
      </c>
      <c r="F7" s="12" t="s">
        <v>18</v>
      </c>
      <c r="G7" s="15">
        <v>50</v>
      </c>
      <c r="H7" s="16">
        <v>5408</v>
      </c>
      <c r="I7" s="16">
        <v>5403.1</v>
      </c>
      <c r="J7" s="16">
        <f>H7-I7</f>
        <v>4.8999999999996362</v>
      </c>
      <c r="K7" s="16">
        <f>IFERROR(IF(J7&lt;=0,"",G7/J7),"")</f>
        <v>10.20408163265382</v>
      </c>
      <c r="L7" s="17" t="s">
        <v>22</v>
      </c>
      <c r="M7" s="17" t="s">
        <v>20</v>
      </c>
      <c r="N7" s="17"/>
    </row>
    <row r="8" spans="1:14" x14ac:dyDescent="0.3">
      <c r="A8" s="6">
        <v>3</v>
      </c>
      <c r="B8" s="7">
        <v>46235</v>
      </c>
      <c r="C8" s="6" t="str">
        <f t="shared" si="0"/>
        <v>Sat</v>
      </c>
      <c r="D8" s="6">
        <v>3</v>
      </c>
      <c r="E8" s="8" t="s">
        <v>23</v>
      </c>
      <c r="F8" s="6" t="s">
        <v>18</v>
      </c>
      <c r="G8" s="9">
        <v>10</v>
      </c>
      <c r="H8" s="6" t="s">
        <v>24</v>
      </c>
      <c r="I8" s="6" t="s">
        <v>24</v>
      </c>
      <c r="J8" s="6" t="s">
        <v>24</v>
      </c>
      <c r="K8" s="6" t="s">
        <v>24</v>
      </c>
      <c r="L8" s="11" t="s">
        <v>25</v>
      </c>
      <c r="M8" s="11" t="s">
        <v>20</v>
      </c>
      <c r="N8" s="18" t="s">
        <v>26</v>
      </c>
    </row>
    <row r="9" spans="1:14" x14ac:dyDescent="0.3">
      <c r="A9" s="12">
        <v>4</v>
      </c>
      <c r="B9" s="13">
        <v>46236</v>
      </c>
      <c r="C9" s="12" t="str">
        <f t="shared" si="0"/>
        <v>Sun</v>
      </c>
      <c r="D9" s="12">
        <v>1</v>
      </c>
      <c r="E9" s="14" t="s">
        <v>23</v>
      </c>
      <c r="F9" s="12" t="s">
        <v>18</v>
      </c>
      <c r="G9" s="15">
        <v>20</v>
      </c>
      <c r="H9" s="12" t="s">
        <v>24</v>
      </c>
      <c r="I9" s="12" t="s">
        <v>24</v>
      </c>
      <c r="J9" s="12" t="s">
        <v>24</v>
      </c>
      <c r="K9" s="12" t="s">
        <v>24</v>
      </c>
      <c r="L9" s="17" t="s">
        <v>25</v>
      </c>
      <c r="M9" s="17" t="s">
        <v>20</v>
      </c>
      <c r="N9" s="18" t="s">
        <v>26</v>
      </c>
    </row>
    <row r="10" spans="1:14" x14ac:dyDescent="0.3">
      <c r="A10" s="6">
        <v>5</v>
      </c>
      <c r="B10" s="7">
        <v>46236</v>
      </c>
      <c r="C10" s="6" t="str">
        <f t="shared" si="0"/>
        <v>Sun</v>
      </c>
      <c r="D10" s="6">
        <v>2</v>
      </c>
      <c r="E10" s="8" t="s">
        <v>27</v>
      </c>
      <c r="F10" s="6" t="s">
        <v>18</v>
      </c>
      <c r="G10" s="9">
        <v>40</v>
      </c>
      <c r="H10" s="10">
        <v>3280</v>
      </c>
      <c r="I10" s="10">
        <v>3278</v>
      </c>
      <c r="J10" s="10">
        <f>H10-I10</f>
        <v>2</v>
      </c>
      <c r="K10" s="10">
        <f>IFERROR(IF(J10&lt;=0,"",G10/J10),"")</f>
        <v>20</v>
      </c>
      <c r="L10" s="11" t="s">
        <v>28</v>
      </c>
      <c r="M10" s="11" t="s">
        <v>29</v>
      </c>
      <c r="N10" s="11"/>
    </row>
    <row r="11" spans="1:14" x14ac:dyDescent="0.3">
      <c r="A11" s="12">
        <v>6</v>
      </c>
      <c r="B11" s="13">
        <v>46236</v>
      </c>
      <c r="C11" s="12" t="str">
        <f t="shared" si="0"/>
        <v>Sun</v>
      </c>
      <c r="D11" s="12">
        <v>3</v>
      </c>
      <c r="E11" s="14" t="s">
        <v>30</v>
      </c>
      <c r="F11" s="12" t="s">
        <v>18</v>
      </c>
      <c r="G11" s="15">
        <v>30</v>
      </c>
      <c r="H11" s="12" t="s">
        <v>24</v>
      </c>
      <c r="I11" s="12" t="s">
        <v>24</v>
      </c>
      <c r="J11" s="12" t="s">
        <v>24</v>
      </c>
      <c r="K11" s="12" t="s">
        <v>24</v>
      </c>
      <c r="L11" s="17" t="s">
        <v>31</v>
      </c>
      <c r="M11" s="17" t="s">
        <v>29</v>
      </c>
      <c r="N11" s="18" t="s">
        <v>26</v>
      </c>
    </row>
    <row r="12" spans="1:14" x14ac:dyDescent="0.3">
      <c r="A12" s="6">
        <v>7</v>
      </c>
      <c r="B12" s="7">
        <v>46236</v>
      </c>
      <c r="C12" s="6" t="str">
        <f t="shared" si="0"/>
        <v>Sun</v>
      </c>
      <c r="D12" s="6">
        <v>4</v>
      </c>
      <c r="E12" s="8" t="s">
        <v>17</v>
      </c>
      <c r="F12" s="6" t="s">
        <v>18</v>
      </c>
      <c r="G12" s="9">
        <v>10</v>
      </c>
      <c r="H12" s="10">
        <v>3840</v>
      </c>
      <c r="I12" s="10">
        <v>3838</v>
      </c>
      <c r="J12" s="10">
        <f>H12-I12</f>
        <v>2</v>
      </c>
      <c r="K12" s="10">
        <f>IFERROR(IF(J12&lt;=0,"",G12/J12),"")</f>
        <v>5</v>
      </c>
      <c r="L12" s="11" t="s">
        <v>19</v>
      </c>
      <c r="M12" s="11" t="s">
        <v>29</v>
      </c>
      <c r="N12" s="11"/>
    </row>
    <row r="13" spans="1:14" x14ac:dyDescent="0.3">
      <c r="A13" s="12">
        <v>8</v>
      </c>
      <c r="B13" s="13">
        <v>46236</v>
      </c>
      <c r="C13" s="12" t="str">
        <f t="shared" si="0"/>
        <v>Sun</v>
      </c>
      <c r="D13" s="12">
        <v>5</v>
      </c>
      <c r="E13" s="14" t="s">
        <v>41</v>
      </c>
      <c r="F13" s="12" t="s">
        <v>18</v>
      </c>
      <c r="G13" s="15">
        <v>15</v>
      </c>
      <c r="H13" s="12" t="s">
        <v>24</v>
      </c>
      <c r="I13" s="12" t="s">
        <v>24</v>
      </c>
      <c r="J13" s="12" t="s">
        <v>24</v>
      </c>
      <c r="K13" s="12" t="s">
        <v>24</v>
      </c>
      <c r="L13" s="17" t="s">
        <v>20</v>
      </c>
      <c r="M13" s="17" t="s">
        <v>29</v>
      </c>
      <c r="N13" s="18" t="s">
        <v>26</v>
      </c>
    </row>
    <row r="14" spans="1:14" x14ac:dyDescent="0.3">
      <c r="A14" s="6">
        <v>9</v>
      </c>
      <c r="B14" s="7">
        <v>46237</v>
      </c>
      <c r="C14" s="6" t="str">
        <f t="shared" si="0"/>
        <v>Mon</v>
      </c>
      <c r="D14" s="6">
        <v>1</v>
      </c>
      <c r="E14" s="8" t="s">
        <v>27</v>
      </c>
      <c r="F14" s="6" t="s">
        <v>18</v>
      </c>
      <c r="G14" s="9">
        <v>50</v>
      </c>
      <c r="H14" s="10">
        <v>3285</v>
      </c>
      <c r="I14" s="10">
        <v>3280</v>
      </c>
      <c r="J14" s="10">
        <f>H14-I14</f>
        <v>5</v>
      </c>
      <c r="K14" s="10">
        <f>IFERROR(IF(J14&lt;=0,"",G14/J14),"")</f>
        <v>10</v>
      </c>
      <c r="L14" s="11" t="s">
        <v>28</v>
      </c>
      <c r="M14" s="11" t="s">
        <v>20</v>
      </c>
      <c r="N14" s="18" t="s">
        <v>32</v>
      </c>
    </row>
    <row r="15" spans="1:14" x14ac:dyDescent="0.3">
      <c r="A15" s="12">
        <v>10</v>
      </c>
      <c r="B15" s="13">
        <v>46238</v>
      </c>
      <c r="C15" s="12" t="str">
        <f t="shared" si="0"/>
        <v>Tue</v>
      </c>
      <c r="D15" s="12">
        <v>1</v>
      </c>
      <c r="E15" s="14" t="s">
        <v>23</v>
      </c>
      <c r="F15" s="12" t="s">
        <v>18</v>
      </c>
      <c r="G15" s="15">
        <v>20</v>
      </c>
      <c r="H15" s="12" t="s">
        <v>24</v>
      </c>
      <c r="I15" s="12" t="s">
        <v>24</v>
      </c>
      <c r="J15" s="12" t="s">
        <v>24</v>
      </c>
      <c r="K15" s="12" t="s">
        <v>24</v>
      </c>
      <c r="L15" s="17" t="s">
        <v>25</v>
      </c>
      <c r="M15" s="17" t="s">
        <v>20</v>
      </c>
      <c r="N15" s="18" t="s">
        <v>26</v>
      </c>
    </row>
    <row r="16" spans="1:14" x14ac:dyDescent="0.3">
      <c r="A16" s="6">
        <v>11</v>
      </c>
      <c r="B16" s="7">
        <v>46238</v>
      </c>
      <c r="C16" s="6" t="str">
        <f t="shared" si="0"/>
        <v>Tue</v>
      </c>
      <c r="D16" s="6">
        <v>2</v>
      </c>
      <c r="E16" s="8" t="s">
        <v>27</v>
      </c>
      <c r="F16" s="6" t="s">
        <v>18</v>
      </c>
      <c r="G16" s="9">
        <v>30</v>
      </c>
      <c r="H16" s="10">
        <v>3292</v>
      </c>
      <c r="I16" s="10">
        <v>3282</v>
      </c>
      <c r="J16" s="10">
        <f>H16-I16</f>
        <v>10</v>
      </c>
      <c r="K16" s="10">
        <f>IFERROR(IF(J16&lt;=0,"",G16/J16),"")</f>
        <v>3</v>
      </c>
      <c r="L16" s="11" t="s">
        <v>28</v>
      </c>
      <c r="M16" s="11" t="s">
        <v>20</v>
      </c>
      <c r="N16" s="18" t="s">
        <v>33</v>
      </c>
    </row>
    <row r="17" spans="1:14" x14ac:dyDescent="0.3">
      <c r="A17" s="12">
        <v>12</v>
      </c>
      <c r="B17" s="13">
        <v>46239</v>
      </c>
      <c r="C17" s="12" t="str">
        <f t="shared" si="0"/>
        <v>Wed</v>
      </c>
      <c r="D17" s="12">
        <v>1</v>
      </c>
      <c r="E17" s="14" t="s">
        <v>23</v>
      </c>
      <c r="F17" s="12" t="s">
        <v>18</v>
      </c>
      <c r="G17" s="15">
        <v>30</v>
      </c>
      <c r="H17" s="12" t="s">
        <v>24</v>
      </c>
      <c r="I17" s="12" t="s">
        <v>24</v>
      </c>
      <c r="J17" s="12" t="s">
        <v>24</v>
      </c>
      <c r="K17" s="12" t="s">
        <v>24</v>
      </c>
      <c r="L17" s="17" t="s">
        <v>25</v>
      </c>
      <c r="M17" s="17" t="s">
        <v>20</v>
      </c>
      <c r="N17" s="18" t="s">
        <v>26</v>
      </c>
    </row>
    <row r="18" spans="1:14" x14ac:dyDescent="0.3">
      <c r="A18" s="6">
        <v>13</v>
      </c>
      <c r="B18" s="7">
        <v>46239</v>
      </c>
      <c r="C18" s="6" t="str">
        <f t="shared" si="0"/>
        <v>Wed</v>
      </c>
      <c r="D18" s="6">
        <v>2</v>
      </c>
      <c r="E18" s="8" t="s">
        <v>27</v>
      </c>
      <c r="F18" s="6" t="s">
        <v>18</v>
      </c>
      <c r="G18" s="9">
        <v>50</v>
      </c>
      <c r="H18" s="10">
        <v>3299</v>
      </c>
      <c r="I18" s="10">
        <v>3292</v>
      </c>
      <c r="J18" s="10">
        <f>H18-I18</f>
        <v>7</v>
      </c>
      <c r="K18" s="10">
        <f>IFERROR(IF(J18&lt;=0,"",G18/J18),"")</f>
        <v>7.1428571428571432</v>
      </c>
      <c r="L18" s="11" t="s">
        <v>28</v>
      </c>
      <c r="M18" s="11" t="s">
        <v>20</v>
      </c>
      <c r="N18" s="11"/>
    </row>
    <row r="19" spans="1:14" x14ac:dyDescent="0.3">
      <c r="A19" s="12">
        <v>14</v>
      </c>
      <c r="B19" s="13">
        <v>46239</v>
      </c>
      <c r="C19" s="12" t="str">
        <f t="shared" si="0"/>
        <v>Wed</v>
      </c>
      <c r="D19" s="12">
        <v>3</v>
      </c>
      <c r="E19" s="14" t="s">
        <v>34</v>
      </c>
      <c r="F19" s="12" t="s">
        <v>18</v>
      </c>
      <c r="G19" s="15">
        <v>10</v>
      </c>
      <c r="H19" s="12" t="s">
        <v>24</v>
      </c>
      <c r="I19" s="12" t="s">
        <v>24</v>
      </c>
      <c r="J19" s="12" t="s">
        <v>24</v>
      </c>
      <c r="K19" s="12" t="s">
        <v>24</v>
      </c>
      <c r="L19" s="17" t="s">
        <v>19</v>
      </c>
      <c r="M19" s="17" t="s">
        <v>20</v>
      </c>
      <c r="N19" s="18" t="s">
        <v>26</v>
      </c>
    </row>
    <row r="20" spans="1:14" x14ac:dyDescent="0.3">
      <c r="A20" s="6">
        <v>15</v>
      </c>
      <c r="B20" s="7">
        <v>46239</v>
      </c>
      <c r="C20" s="6" t="str">
        <f t="shared" si="0"/>
        <v>Wed</v>
      </c>
      <c r="D20" s="6">
        <v>4</v>
      </c>
      <c r="E20" s="8" t="s">
        <v>17</v>
      </c>
      <c r="F20" s="6" t="s">
        <v>18</v>
      </c>
      <c r="G20" s="9">
        <v>20</v>
      </c>
      <c r="H20" s="10">
        <v>3845.03</v>
      </c>
      <c r="I20" s="10">
        <v>3840</v>
      </c>
      <c r="J20" s="10">
        <f>H20-I20</f>
        <v>5.0300000000002001</v>
      </c>
      <c r="K20" s="10">
        <f>IFERROR(IF(J20&lt;=0,"",G20/J20),"")</f>
        <v>3.9761431411529236</v>
      </c>
      <c r="L20" s="11" t="s">
        <v>19</v>
      </c>
      <c r="M20" s="11" t="s">
        <v>20</v>
      </c>
      <c r="N20" s="11"/>
    </row>
    <row r="21" spans="1:14" x14ac:dyDescent="0.3">
      <c r="A21" s="12">
        <v>16</v>
      </c>
      <c r="B21" s="13">
        <v>46239</v>
      </c>
      <c r="C21" s="12" t="str">
        <f t="shared" si="0"/>
        <v>Wed</v>
      </c>
      <c r="D21" s="12">
        <v>5</v>
      </c>
      <c r="E21" s="14" t="s">
        <v>35</v>
      </c>
      <c r="F21" s="12" t="s">
        <v>18</v>
      </c>
      <c r="G21" s="15">
        <v>15</v>
      </c>
      <c r="H21" s="12" t="s">
        <v>24</v>
      </c>
      <c r="I21" s="12" t="s">
        <v>24</v>
      </c>
      <c r="J21" s="12" t="s">
        <v>24</v>
      </c>
      <c r="K21" s="12" t="s">
        <v>24</v>
      </c>
      <c r="L21" s="17" t="s">
        <v>19</v>
      </c>
      <c r="M21" s="17" t="s">
        <v>20</v>
      </c>
      <c r="N21" s="18" t="s">
        <v>36</v>
      </c>
    </row>
    <row r="22" spans="1:14" x14ac:dyDescent="0.3">
      <c r="A22" s="6">
        <v>17</v>
      </c>
      <c r="B22" s="7">
        <v>46239</v>
      </c>
      <c r="C22" s="6" t="str">
        <f t="shared" si="0"/>
        <v>Wed</v>
      </c>
      <c r="D22" s="6">
        <v>6</v>
      </c>
      <c r="E22" s="8" t="s">
        <v>35</v>
      </c>
      <c r="F22" s="6" t="s">
        <v>18</v>
      </c>
      <c r="G22" s="9">
        <v>10</v>
      </c>
      <c r="H22" s="6" t="s">
        <v>24</v>
      </c>
      <c r="I22" s="6" t="s">
        <v>24</v>
      </c>
      <c r="J22" s="6" t="s">
        <v>24</v>
      </c>
      <c r="K22" s="6" t="s">
        <v>24</v>
      </c>
      <c r="L22" s="11" t="s">
        <v>19</v>
      </c>
      <c r="M22" s="11" t="s">
        <v>20</v>
      </c>
      <c r="N22" s="18" t="s">
        <v>36</v>
      </c>
    </row>
    <row r="23" spans="1:14" x14ac:dyDescent="0.3">
      <c r="A23" s="12">
        <v>18</v>
      </c>
      <c r="B23" s="13">
        <v>46240</v>
      </c>
      <c r="C23" s="12" t="str">
        <f t="shared" si="0"/>
        <v>Thu</v>
      </c>
      <c r="D23" s="12">
        <v>1</v>
      </c>
      <c r="E23" s="14" t="s">
        <v>30</v>
      </c>
      <c r="F23" s="12" t="s">
        <v>18</v>
      </c>
      <c r="G23" s="15">
        <v>10</v>
      </c>
      <c r="H23" s="12" t="s">
        <v>24</v>
      </c>
      <c r="I23" s="12" t="s">
        <v>24</v>
      </c>
      <c r="J23" s="12" t="s">
        <v>24</v>
      </c>
      <c r="K23" s="12" t="s">
        <v>24</v>
      </c>
      <c r="L23" s="17" t="s">
        <v>37</v>
      </c>
      <c r="M23" s="17" t="s">
        <v>20</v>
      </c>
      <c r="N23" s="18" t="s">
        <v>26</v>
      </c>
    </row>
    <row r="24" spans="1:14" x14ac:dyDescent="0.3">
      <c r="A24" s="6">
        <v>19</v>
      </c>
      <c r="B24" s="7">
        <v>46240</v>
      </c>
      <c r="C24" s="6" t="str">
        <f t="shared" si="0"/>
        <v>Thu</v>
      </c>
      <c r="D24" s="6">
        <v>2</v>
      </c>
      <c r="E24" s="8" t="s">
        <v>27</v>
      </c>
      <c r="F24" s="6" t="s">
        <v>18</v>
      </c>
      <c r="G24" s="9">
        <v>50</v>
      </c>
      <c r="H24" s="10">
        <v>3306</v>
      </c>
      <c r="I24" s="10">
        <v>3299</v>
      </c>
      <c r="J24" s="10">
        <f>H24-I24</f>
        <v>7</v>
      </c>
      <c r="K24" s="10">
        <f>IFERROR(IF(J24&lt;=0,"",G24/J24),"")</f>
        <v>7.1428571428571432</v>
      </c>
      <c r="L24" s="11" t="s">
        <v>28</v>
      </c>
      <c r="M24" s="11" t="s">
        <v>20</v>
      </c>
      <c r="N24" s="18" t="s">
        <v>38</v>
      </c>
    </row>
    <row r="25" spans="1:14" x14ac:dyDescent="0.3">
      <c r="A25" s="12">
        <v>20</v>
      </c>
      <c r="B25" s="13">
        <v>46240</v>
      </c>
      <c r="C25" s="12" t="str">
        <f t="shared" si="0"/>
        <v>Thu</v>
      </c>
      <c r="D25" s="12">
        <v>3</v>
      </c>
      <c r="E25" s="14" t="s">
        <v>23</v>
      </c>
      <c r="F25" s="12" t="s">
        <v>18</v>
      </c>
      <c r="G25" s="15">
        <v>10</v>
      </c>
      <c r="H25" s="12" t="s">
        <v>24</v>
      </c>
      <c r="I25" s="12" t="s">
        <v>24</v>
      </c>
      <c r="J25" s="12" t="s">
        <v>24</v>
      </c>
      <c r="K25" s="12" t="s">
        <v>24</v>
      </c>
      <c r="L25" s="17" t="s">
        <v>25</v>
      </c>
      <c r="M25" s="17" t="s">
        <v>20</v>
      </c>
      <c r="N25" s="18" t="s">
        <v>26</v>
      </c>
    </row>
    <row r="26" spans="1:14" ht="20.399999999999999" x14ac:dyDescent="0.3">
      <c r="A26" s="1" t="s">
        <v>39</v>
      </c>
      <c r="B26" s="1"/>
      <c r="C26" s="1"/>
      <c r="D26" s="1"/>
      <c r="E26" s="1"/>
      <c r="F26" s="1"/>
      <c r="G26" s="19">
        <f>SUM(G6:G25)</f>
        <v>500</v>
      </c>
      <c r="H26" s="20"/>
      <c r="I26" s="20"/>
      <c r="J26" s="21">
        <f>SUM(J6:J25)</f>
        <v>45.929999999999836</v>
      </c>
      <c r="K26" s="21">
        <f>IFERROR(G26/J26,"")</f>
        <v>10.886131069018109</v>
      </c>
      <c r="L26" s="20"/>
      <c r="M26" s="20"/>
      <c r="N26" s="22" t="s">
        <v>40</v>
      </c>
    </row>
  </sheetData>
  <autoFilter ref="A5:N25" xr:uid="{00000000-0009-0000-0000-000001000000}"/>
  <mergeCells count="4">
    <mergeCell ref="A1:N1"/>
    <mergeCell ref="A2:N2"/>
    <mergeCell ref="A3:N3"/>
    <mergeCell ref="A26:F26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Issue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2026-08-07T06:54:17Z</dcterms:created>
  <dcterms:modified xsi:type="dcterms:W3CDTF">2026-08-07T08:26:28Z</dcterms:modified>
  <dc:language>en-US</dc:language>
</cp:coreProperties>
</file>