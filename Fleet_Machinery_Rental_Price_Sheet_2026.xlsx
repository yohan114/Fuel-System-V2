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uel &amp; Inputs" sheetId="2" state="visible" r:id="rId4"/>
    <sheet name="Fleet Price Sheet" sheetId="3" state="visible" r:id="rId5"/>
    <sheet name="Fleet — Per Unit" sheetId="4" state="visible" r:id="rId6"/>
    <sheet name="Machinery Price Sheet" sheetId="5" state="visible" r:id="rId7"/>
    <sheet name="Market Analysi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<sst xmlns="http://schemas.openxmlformats.org/spreadsheetml/2006/main" count="4887" uniqueCount="1582">
  <si>
    <t xml:space="preserve">FLEET &amp; MACHINERY RENTAL PRICE SHEET — 2026 (3-TIER: DRY / DRY+OPERATOR / WET)</t>
  </si>
  <si>
    <t xml:space="preserve">Market: Sri Lanka  |  Currency: LKR, EXCLUDING 18% VAT  |  Prepared 04-Jul-2026</t>
  </si>
  <si>
    <t xml:space="preserve">RATE DEFINITIONS</t>
  </si>
  <si>
    <t xml:space="preserve">DRY — Bare machine/vehicle only. Client supplies fuel, operator/driver, lubricants; tolls, fines, operator food at client cost.</t>
  </si>
  <si>
    <t xml:space="preserve">DRY + OPERATOR (dry with driver) — Machine + our trained operator/driver. Fuel &amp; lubricants supplied by client. Fleet: DRY + Rs.800/hr operator charge-out. Machinery: DRY + Rs.3,500/day operator (Rs.5,000/day skilled welder/cutter).</t>
  </si>
  <si>
    <t xml:space="preserve">WET (fully wet) — Machine + operator + fuel + routine consumables &amp; normal maintenance. Fleet WET = market-engineered 2026 rate card (validated vs SLLDC &amp; private market). Machinery WET = DRY+OPERATOR + fuel for stated duty hours/day at current CPC price.</t>
  </si>
  <si>
    <t xml:space="preserve">FUEL BASIS (edit on 'Fuel &amp; Inputs' — every rate recalculates)</t>
  </si>
  <si>
    <t xml:space="preserve">CPC/Ceypetco effective 29-Jun-2026: Auto Diesel Rs.382/L  •  Petrol 92 Rs.414/L.  (Super Diesel Rs.478, Petrol 95 Rs.495, Kerosene Rs.285 — eff. 30-May-2026, reference only.)</t>
  </si>
  <si>
    <t xml:space="preserve">2026 context: Middle-East conflict (Feb-26) + LKR depreciation pushed Auto Diesel from Rs.286 (Jan) to Rs.407 (30-May peak); cut back to Rs.382 on 29-Jun-26. Previous workbook v7 used Rs.478 — that is the SUPER Diesel price; corrected here.</t>
  </si>
  <si>
    <t xml:space="preserve">Because Auto Diesel Rs.382 equals the March-2026 engineering basis, the engineering cost floors behind the fleet WET card remain valid at today's pump price.</t>
  </si>
  <si>
    <t xml:space="preserve">BILLING RULES</t>
  </si>
  <si>
    <t xml:space="preserve">Fleet: hourly card. Daily = hourly x 4 hrs min x 0.95 (5% volume disc). Monthly = hourly x 120 hrs min x 0.85 (15% disc). Extra hours at hourly rate.</t>
  </si>
  <si>
    <t xml:space="preserve">Machinery: per-day hire, minimum 1 day, standard 8-hr working day; stated 'duty hrs/day' is the engine-running assumption inside the WET rate. Extra running: bill L/hr x CPC price. Diamond blades/core bits on cutters billed per mm cut / per core at cost + 15%.</t>
  </si>
  <si>
    <t xml:space="preserve">Age adjustment on fleet units (per unit, on top of card): 2020+ =100%, 2015-19 =92%, 2010-14 =82%, 2005-09 =72%, 2000-04 =65%, pre-2000 =58%.</t>
  </si>
  <si>
    <t xml:space="preserve">FUEL ESCALATION CLAUSE (recommended on every WET contract)</t>
  </si>
  <si>
    <t xml:space="preserve">"WET rates are based on CPC Auto Diesel Rs.382/L (29-Jun-2026). For every Rs.10/L movement in the CPC price, the WET rate adjusts by the machine's typical consumption (L/hr) x Rs.10." CPC revised prices 3 times Feb–Jun 2026 — do not quote WET without this clause.</t>
  </si>
  <si>
    <t xml:space="preserve">EXTRAS AT COST: transport / mobilisation (trailer one-way), tolls, fines, operator meals &amp; lodging out-station. 15-day advance payment standard. Add 18% VAT on all rates.</t>
  </si>
  <si>
    <t xml:space="preserve">SHEETS: Fuel &amp; Inputs (editable drivers) • Fleet Price Sheet (29 categories x 3 tiers, hourly/daily/monthly) • Machinery Price Sheet (76 items, 5 groups, capacities+efficiency+fuel) • Market Analysis (SL market position &amp; findings).</t>
  </si>
  <si>
    <t xml:space="preserve">GLOBAL INPUTS — edit BLUE cells; all rates in the workbook recalculate</t>
  </si>
  <si>
    <t xml:space="preserve">FUEL PRICES (CPC/Ceypetco pump prices)</t>
  </si>
  <si>
    <t xml:space="preserve">Auto Diesel (Rs./litre)</t>
  </si>
  <si>
    <t xml:space="preserve">CPC effective 29-Jun-2026 (cut of Rs.25)</t>
  </si>
  <si>
    <t xml:space="preserve">Petrol 92 Octane (Rs./litre)</t>
  </si>
  <si>
    <t xml:space="preserve">CPC effective 29-Jun-2026 (cut of Rs.20)</t>
  </si>
  <si>
    <t xml:space="preserve">Super Diesel Euro-4 (Rs./litre)</t>
  </si>
  <si>
    <t xml:space="preserve">Reference — eff. 30-May-2026</t>
  </si>
  <si>
    <t xml:space="preserve">Petrol 95 Octane (Rs./litre)</t>
  </si>
  <si>
    <t xml:space="preserve">Kerosene (Rs./litre)</t>
  </si>
  <si>
    <t xml:space="preserve">OPERATOR / DRIVER</t>
  </si>
  <si>
    <t xml:space="preserve">Fleet operator/driver cost (Rs./hour)</t>
  </si>
  <si>
    <t xml:space="preserve">Management input, Apr-2026</t>
  </si>
  <si>
    <t xml:space="preserve">Loading on operator (EPF/ETF, meals, admin)</t>
  </si>
  <si>
    <t xml:space="preserve">23% loading -&gt; charge-out</t>
  </si>
  <si>
    <t xml:space="preserve">Fleet operator charge-out (Rs./hour)</t>
  </si>
  <si>
    <t xml:space="preserve">cost x loading, rounded to 50</t>
  </si>
  <si>
    <t xml:space="preserve">Machinery operator (Rs./day, 8-hr)</t>
  </si>
  <si>
    <t xml:space="preserve">Semi-skilled plant operator, SL 2026</t>
  </si>
  <si>
    <t xml:space="preserve">Skilled welder / gas cutter (Rs./day)</t>
  </si>
  <si>
    <t xml:space="preserve">For welding plant &amp; gas cutting sets</t>
  </si>
  <si>
    <t xml:space="preserve">BILLING FACTORS</t>
  </si>
  <si>
    <t xml:space="preserve">Machinery standard working day (hrs)</t>
  </si>
  <si>
    <t xml:space="preserve">Duty hrs per item set on Machinery sheet</t>
  </si>
  <si>
    <t xml:space="preserve">Fleet daily minimum (hrs)</t>
  </si>
  <si>
    <t xml:space="preserve">Fleet monthly minimum (hrs)</t>
  </si>
  <si>
    <t xml:space="preserve">Daily volume factor</t>
  </si>
  <si>
    <t xml:space="preserve">5% discount on hourly x 4</t>
  </si>
  <si>
    <t xml:space="preserve">Monthly volume factor</t>
  </si>
  <si>
    <t xml:space="preserve">15% discount on hourly x 120</t>
  </si>
  <si>
    <t xml:space="preserve">VAT (add on all rates)</t>
  </si>
  <si>
    <t xml:space="preserve">Standard SL rate 2026</t>
  </si>
  <si>
    <t xml:space="preserve">FLEET PRICE SHEET 2026 — DRY  /  DRY + OPERATOR  /  WET   (Rs., excl. 18% VAT)</t>
  </si>
  <si>
    <t xml:space="preserve">WET = machine+operator+fuel+maintenance (market-engineered card). DRY+OPERATOR = DRY + operator charge-out (Fuel &amp; Inputs C13). Fuel Rs./hr at CPC Auto Diesel eff. 29-Jun-2026 (motorcycle: Petrol 92). Daily = hourly x 4 x 0.95 • Monthly = hourly x 120 x 0.85. Apply per-unit age factors.</t>
  </si>
  <si>
    <t xml:space="preserve">#</t>
  </si>
  <si>
    <t xml:space="preserve">Category</t>
  </si>
  <si>
    <t xml:space="preserve">Fuel
L/hr (typ)</t>
  </si>
  <si>
    <t xml:space="preserve">Fuel cost
Rs./hr</t>
  </si>
  <si>
    <t xml:space="preserve">DRY
Rs./hr</t>
  </si>
  <si>
    <t xml:space="preserve">DRY+OPERATOR
Rs./hr</t>
  </si>
  <si>
    <t xml:space="preserve">WET
Rs./hr</t>
  </si>
  <si>
    <t xml:space="preserve">Fuel recovery
in WET (Rs./hr)</t>
  </si>
  <si>
    <t xml:space="preserve">Margin
check</t>
  </si>
  <si>
    <t xml:space="preserve">DRY
Rs./day (4h)</t>
  </si>
  <si>
    <t xml:space="preserve">DRY+OP
Rs./day (4h)</t>
  </si>
  <si>
    <t xml:space="preserve">WET
Rs./day (4h)</t>
  </si>
  <si>
    <t xml:space="preserve">DRY
Rs./month (120h)</t>
  </si>
  <si>
    <t xml:space="preserve">DRY+OP
Rs./month (120h)</t>
  </si>
  <si>
    <t xml:space="preserve">WET
Rs./month (120h)</t>
  </si>
  <si>
    <t xml:space="preserve">Market basis (LOW • HIGH source)</t>
  </si>
  <si>
    <t xml:space="preserve">Backhoe Loader</t>
  </si>
  <si>
    <t xml:space="preserve">LOW: small private/Wedabima • HIGH: SLLDC JCB 3CX</t>
  </si>
  <si>
    <t xml:space="preserve">Wheel Loader</t>
  </si>
  <si>
    <t xml:space="preserve">LOW: used private • HIGH: SLLDC Doosan Mega 250</t>
  </si>
  <si>
    <t xml:space="preserve">Truck Mixer</t>
  </si>
  <si>
    <t xml:space="preserve">LOW: TATA mixer private • HIGH: large operators</t>
  </si>
  <si>
    <t xml:space="preserve">Self Loader Mixer</t>
  </si>
  <si>
    <t xml:space="preserve">LOW: FIORI/Ajax private • HIGH: large operators</t>
  </si>
  <si>
    <t xml:space="preserve">Static Roller</t>
  </si>
  <si>
    <t xml:space="preserve">LOW: private 10T • HIGH: SLLDC HAMM HD12vv</t>
  </si>
  <si>
    <t xml:space="preserve">Vibrating Roller</t>
  </si>
  <si>
    <t xml:space="preserve">LOW: BOMAG private • HIGH: large private 10T</t>
  </si>
  <si>
    <t xml:space="preserve">Pneumatic Roller</t>
  </si>
  <si>
    <t xml:space="preserve">LOW: Sakai/Dynapac private • HIGH: premium</t>
  </si>
  <si>
    <t xml:space="preserve">Motor Grader</t>
  </si>
  <si>
    <t xml:space="preserve">LOW: used CAT private • HIGH: premium/SLLDC class</t>
  </si>
  <si>
    <t xml:space="preserve">Skid Steer</t>
  </si>
  <si>
    <t xml:space="preserve">LOW: small private • HIGH: SLLDC Bobcat</t>
  </si>
  <si>
    <t xml:space="preserve">Asphalt Paver</t>
  </si>
  <si>
    <t xml:space="preserve">LOW: SUMITOMO private • HIGH: VOLVO premium</t>
  </si>
  <si>
    <t xml:space="preserve">Bitumen Bowser</t>
  </si>
  <si>
    <t xml:space="preserve">LOW: private 4-cu • HIGH: large insulated</t>
  </si>
  <si>
    <t xml:space="preserve">Mobile Crane</t>
  </si>
  <si>
    <t xml:space="preserve">LOW: private 25T • HIGH: SLLDC Kobelco RK250</t>
  </si>
  <si>
    <t xml:space="preserve">Boom Truck</t>
  </si>
  <si>
    <t xml:space="preserve">LOW: Califolink private • HIGH: SLLDC 17T 3T-crane</t>
  </si>
  <si>
    <t xml:space="preserve">Prime Mover / Low-bed</t>
  </si>
  <si>
    <t xml:space="preserve">LOW: HINO/TATA private • HIGH: premium lowbed</t>
  </si>
  <si>
    <t xml:space="preserve">Concrete Pump Truck</t>
  </si>
  <si>
    <t xml:space="preserve">LOW: Sany private • HIGH: premium operators</t>
  </si>
  <si>
    <t xml:space="preserve">Double Cab (Pickup)</t>
  </si>
  <si>
    <t xml:space="preserve">LOW: Hilux long-term • HIGH: Malkey/Lanka Rent</t>
  </si>
  <si>
    <t xml:space="preserve">Van</t>
  </si>
  <si>
    <t xml:space="preserve">LOW: Liteace private • HIGH: KDH200 premium</t>
  </si>
  <si>
    <t xml:space="preserve">Crew Cab</t>
  </si>
  <si>
    <t xml:space="preserve">LOW: JMC private • HIGH: ISUZU premium</t>
  </si>
  <si>
    <t xml:space="preserve">Single Cab</t>
  </si>
  <si>
    <t xml:space="preserve">LOW: Tata Ace • HIGH: Mahindra BMT premium</t>
  </si>
  <si>
    <t xml:space="preserve">Dump Truck (Tipper)</t>
  </si>
  <si>
    <t xml:space="preserve">LOW: ikman monthly • HIGH: premium TATA LPK1618</t>
  </si>
  <si>
    <t xml:space="preserve">Trailer (towed)</t>
  </si>
  <si>
    <t xml:space="preserve">LOW: tractor trailer private • HIGH: premium</t>
  </si>
  <si>
    <t xml:space="preserve">Lorry Trailer (towed)</t>
  </si>
  <si>
    <t xml:space="preserve">LOW: private Tantri • HIGH: Tantri TFB40</t>
  </si>
  <si>
    <t xml:space="preserve">Diesel Bowser</t>
  </si>
  <si>
    <t xml:space="preserve">LOW: private fuel bowser • HIGH: large premium</t>
  </si>
  <si>
    <t xml:space="preserve">Excavator (20T class)</t>
  </si>
  <si>
    <t xml:space="preserve">LOW: 20T Hyundai private • HIGH: SLLDC Doosan DX200</t>
  </si>
  <si>
    <t xml:space="preserve">Water Bowser</t>
  </si>
  <si>
    <t xml:space="preserve">LOW: small private • HIGH: SLLDC 6,000L equiv.</t>
  </si>
  <si>
    <t xml:space="preserve">Farm Tractor</t>
  </si>
  <si>
    <t xml:space="preserve">LOW: MASSEY/TAFE private • HIGH: MAHINDRA premium</t>
  </si>
  <si>
    <t xml:space="preserve">Motor Bicycle (self-ride)</t>
  </si>
  <si>
    <t xml:space="preserve">LOW: staff rental • HIGH: daily hire</t>
  </si>
  <si>
    <t xml:space="preserve">Tractor Bowser</t>
  </si>
  <si>
    <t xml:space="preserve">LOW: private combo • HIGH: premium combo</t>
  </si>
  <si>
    <t xml:space="preserve">Forklift (3T)</t>
  </si>
  <si>
    <t xml:space="preserve">LOW: private 3T • HIGH: premium/specialist</t>
  </si>
  <si>
    <t xml:space="preserve">Notes: trailers are towed (no engine/operator) — DRY+OPERATOR = DRY; motorcycle is self-ride, WET includes Petrol-92 for staff duty use. 'Margin check' = does the WET-vs-DRY+OPERATOR gap cover fuel at today's CPC price? THIN rows: attach the fuel escalation clause (README) and/or bill fuel actuals via the timesheet calculator.</t>
  </si>
  <si>
    <t xml:space="preserve">FLEET — UNIT-BY-UNIT PRICE LIST 2026 (518 units) — DRY / DRY + OPERATOR / WET   (Rs., excl. 18% VAT)</t>
  </si>
  <si>
    <t xml:space="preserve">Per-unit DRY &amp; WET carried over from the engineered Fleet Pricing card (age &amp; size adjusted). DRY+OPERATOR = DRY + operator charge-out (Fuel &amp; Inputs C13; trailers are towed and motorcycles self-ride — no operator added). Per-unit fuel = model-class typical consumption x age factor x CPC price (Auto Diesel Rs.382 / Petrol-92 Rs.414, eff. 29-Jun-2026); road vehicles shown in Rs./km. Daily = hourly x 4 x 0.95 • Monthly = hourly x 120 x 0.85.</t>
  </si>
  <si>
    <t xml:space="preserve">Brand</t>
  </si>
  <si>
    <t xml:space="preserve">Model</t>
  </si>
  <si>
    <t xml:space="preserve">Year</t>
  </si>
  <si>
    <t xml:space="preserve">E&amp;C No.</t>
  </si>
  <si>
    <t xml:space="preserve">Reg No.</t>
  </si>
  <si>
    <t xml:space="preserve">Fuel</t>
  </si>
  <si>
    <t xml:space="preserve">Cons. (typ)
L/hr | km/L</t>
  </si>
  <si>
    <t xml:space="preserve">Age
factor</t>
  </si>
  <si>
    <t xml:space="preserve">Fuel rate</t>
  </si>
  <si>
    <t xml:space="preserve">Unit</t>
  </si>
  <si>
    <t xml:space="preserve">DRY
Rs./mo (120h)</t>
  </si>
  <si>
    <t xml:space="preserve">DRY+OP
Rs./mo (120h)</t>
  </si>
  <si>
    <t xml:space="preserve">WET
Rs./mo (120h)</t>
  </si>
  <si>
    <t xml:space="preserve">BACKHOE LOADER</t>
  </si>
  <si>
    <t xml:space="preserve">BOB CAT</t>
  </si>
  <si>
    <t xml:space="preserve">B760</t>
  </si>
  <si>
    <t xml:space="preserve">2021</t>
  </si>
  <si>
    <t xml:space="preserve">LB-22</t>
  </si>
  <si>
    <t xml:space="preserve">ZB-2586</t>
  </si>
  <si>
    <t xml:space="preserve">Diesel</t>
  </si>
  <si>
    <t xml:space="preserve">Rs./hr</t>
  </si>
  <si>
    <t xml:space="preserve">LB-23</t>
  </si>
  <si>
    <t xml:space="preserve">ZB-2587</t>
  </si>
  <si>
    <t xml:space="preserve">LB-24</t>
  </si>
  <si>
    <t xml:space="preserve">ZB-2583</t>
  </si>
  <si>
    <t xml:space="preserve">J.C.B</t>
  </si>
  <si>
    <t xml:space="preserve">3DX</t>
  </si>
  <si>
    <t xml:space="preserve">2020</t>
  </si>
  <si>
    <t xml:space="preserve">LB-16</t>
  </si>
  <si>
    <t xml:space="preserve">ZB-1547</t>
  </si>
  <si>
    <t xml:space="preserve">JCB</t>
  </si>
  <si>
    <t xml:space="preserve">2012</t>
  </si>
  <si>
    <t xml:space="preserve">LB-02</t>
  </si>
  <si>
    <t xml:space="preserve">ZA-2963</t>
  </si>
  <si>
    <t xml:space="preserve">LB-03</t>
  </si>
  <si>
    <t xml:space="preserve">ZA-2964</t>
  </si>
  <si>
    <t xml:space="preserve">2015</t>
  </si>
  <si>
    <t xml:space="preserve">LB-09</t>
  </si>
  <si>
    <t xml:space="preserve">ZA-6069</t>
  </si>
  <si>
    <t xml:space="preserve">2016</t>
  </si>
  <si>
    <t xml:space="preserve">LB-11</t>
  </si>
  <si>
    <t xml:space="preserve">ZA-7092</t>
  </si>
  <si>
    <t xml:space="preserve">LB-13</t>
  </si>
  <si>
    <t xml:space="preserve">ZA-7965</t>
  </si>
  <si>
    <t xml:space="preserve">570ST</t>
  </si>
  <si>
    <t xml:space="preserve">2019</t>
  </si>
  <si>
    <t xml:space="preserve">LB-15</t>
  </si>
  <si>
    <t xml:space="preserve">ZB-1047</t>
  </si>
  <si>
    <t xml:space="preserve">JCB 3DX</t>
  </si>
  <si>
    <t xml:space="preserve">LB-10</t>
  </si>
  <si>
    <t xml:space="preserve">ZA-7034</t>
  </si>
  <si>
    <t xml:space="preserve">LB-14</t>
  </si>
  <si>
    <t xml:space="preserve">ZA-7968</t>
  </si>
  <si>
    <t xml:space="preserve">LB-12</t>
  </si>
  <si>
    <t xml:space="preserve">ZA-8337</t>
  </si>
  <si>
    <t xml:space="preserve">LB-17</t>
  </si>
  <si>
    <t xml:space="preserve">ZB-1546</t>
  </si>
  <si>
    <t xml:space="preserve">LB-18</t>
  </si>
  <si>
    <t xml:space="preserve">ZB-1548</t>
  </si>
  <si>
    <t xml:space="preserve">LB-08</t>
  </si>
  <si>
    <t xml:space="preserve">ZA-6068</t>
  </si>
  <si>
    <t xml:space="preserve">LB-19</t>
  </si>
  <si>
    <t xml:space="preserve">ZB-1978</t>
  </si>
  <si>
    <t xml:space="preserve">LB-01</t>
  </si>
  <si>
    <t xml:space="preserve">ZA-2609</t>
  </si>
  <si>
    <t xml:space="preserve">LB-20</t>
  </si>
  <si>
    <t xml:space="preserve">ZB-1979</t>
  </si>
  <si>
    <t xml:space="preserve">LB-21</t>
  </si>
  <si>
    <t xml:space="preserve">ZB-1980</t>
  </si>
  <si>
    <t xml:space="preserve">2006</t>
  </si>
  <si>
    <t xml:space="preserve">LB-05</t>
  </si>
  <si>
    <t xml:space="preserve">RS-0483</t>
  </si>
  <si>
    <t xml:space="preserve">JCB 3CX</t>
  </si>
  <si>
    <t xml:space="preserve">2004</t>
  </si>
  <si>
    <t xml:space="preserve">LB-07</t>
  </si>
  <si>
    <t xml:space="preserve">ZA-2608</t>
  </si>
  <si>
    <t xml:space="preserve">3CX</t>
  </si>
  <si>
    <t xml:space="preserve">2002</t>
  </si>
  <si>
    <t xml:space="preserve">LB-06</t>
  </si>
  <si>
    <t xml:space="preserve">ZA-0447</t>
  </si>
  <si>
    <t xml:space="preserve">SLP3CX</t>
  </si>
  <si>
    <t xml:space="preserve">1999</t>
  </si>
  <si>
    <t xml:space="preserve">LB-04</t>
  </si>
  <si>
    <t xml:space="preserve">RS-0401</t>
  </si>
  <si>
    <t xml:space="preserve">WHEEL LOADER</t>
  </si>
  <si>
    <t xml:space="preserve">SHANTUI</t>
  </si>
  <si>
    <t xml:space="preserve">SL-50WN</t>
  </si>
  <si>
    <t xml:space="preserve">LD-09</t>
  </si>
  <si>
    <t xml:space="preserve">—</t>
  </si>
  <si>
    <t xml:space="preserve">KOMATSU</t>
  </si>
  <si>
    <t xml:space="preserve">WA-80SS</t>
  </si>
  <si>
    <t xml:space="preserve">LD-07</t>
  </si>
  <si>
    <t xml:space="preserve">WA150</t>
  </si>
  <si>
    <t xml:space="preserve">2014</t>
  </si>
  <si>
    <t xml:space="preserve">LD-05</t>
  </si>
  <si>
    <t xml:space="preserve">SANTUI</t>
  </si>
  <si>
    <t xml:space="preserve">SL30W</t>
  </si>
  <si>
    <t xml:space="preserve">LD-08</t>
  </si>
  <si>
    <t xml:space="preserve">924F</t>
  </si>
  <si>
    <t xml:space="preserve">2013</t>
  </si>
  <si>
    <t xml:space="preserve">LD-04</t>
  </si>
  <si>
    <t xml:space="preserve">510</t>
  </si>
  <si>
    <t xml:space="preserve">LD-06</t>
  </si>
  <si>
    <t xml:space="preserve">ZA-3116</t>
  </si>
  <si>
    <t xml:space="preserve">WA100</t>
  </si>
  <si>
    <t xml:space="preserve">LD-03</t>
  </si>
  <si>
    <t xml:space="preserve">CAT</t>
  </si>
  <si>
    <t xml:space="preserve">CAT910</t>
  </si>
  <si>
    <t xml:space="preserve">2010</t>
  </si>
  <si>
    <t xml:space="preserve">LD-02</t>
  </si>
  <si>
    <t xml:space="preserve">910E</t>
  </si>
  <si>
    <t xml:space="preserve">2009</t>
  </si>
  <si>
    <t xml:space="preserve">LD-01</t>
  </si>
  <si>
    <t xml:space="preserve">TRUCK MIXER</t>
  </si>
  <si>
    <t xml:space="preserve">TATA</t>
  </si>
  <si>
    <t xml:space="preserve">LPK 1618</t>
  </si>
  <si>
    <t xml:space="preserve">2017</t>
  </si>
  <si>
    <t xml:space="preserve">TM-18</t>
  </si>
  <si>
    <t xml:space="preserve">ZA-8511</t>
  </si>
  <si>
    <t xml:space="preserve">LPK 2518</t>
  </si>
  <si>
    <t xml:space="preserve">TM-19</t>
  </si>
  <si>
    <t xml:space="preserve">ZA-8445</t>
  </si>
  <si>
    <t xml:space="preserve">TM-15</t>
  </si>
  <si>
    <t xml:space="preserve">ZA-7925</t>
  </si>
  <si>
    <t xml:space="preserve">ELCHER</t>
  </si>
  <si>
    <t xml:space="preserve">TERRA 16</t>
  </si>
  <si>
    <t xml:space="preserve">TM-11</t>
  </si>
  <si>
    <t xml:space="preserve">ZA-7291</t>
  </si>
  <si>
    <t xml:space="preserve">TM-12</t>
  </si>
  <si>
    <t xml:space="preserve">ZA-7290</t>
  </si>
  <si>
    <t xml:space="preserve">TM-14</t>
  </si>
  <si>
    <t xml:space="preserve">ZA-7810</t>
  </si>
  <si>
    <t xml:space="preserve">TM-16</t>
  </si>
  <si>
    <t xml:space="preserve">ZA-8033</t>
  </si>
  <si>
    <t xml:space="preserve">TM-21</t>
  </si>
  <si>
    <t xml:space="preserve">ZA-0050</t>
  </si>
  <si>
    <t xml:space="preserve">ASHOK LEYLAND</t>
  </si>
  <si>
    <t xml:space="preserve">TUSKER SUPER 1613</t>
  </si>
  <si>
    <t xml:space="preserve">TM-10</t>
  </si>
  <si>
    <t xml:space="preserve">ZA-6395</t>
  </si>
  <si>
    <t xml:space="preserve">MITSUBISHI</t>
  </si>
  <si>
    <t xml:space="preserve">KK-FE73EB CANTER</t>
  </si>
  <si>
    <t xml:space="preserve">2003</t>
  </si>
  <si>
    <t xml:space="preserve">TM-09</t>
  </si>
  <si>
    <t xml:space="preserve">ZA-6255</t>
  </si>
  <si>
    <t xml:space="preserve">ISUZU</t>
  </si>
  <si>
    <t xml:space="preserve">KK-NRR35C4 FORWARD</t>
  </si>
  <si>
    <t xml:space="preserve">2000</t>
  </si>
  <si>
    <t xml:space="preserve">TM-04</t>
  </si>
  <si>
    <t xml:space="preserve">LL-0690</t>
  </si>
  <si>
    <t xml:space="preserve">KC-NRR33C20</t>
  </si>
  <si>
    <t xml:space="preserve">1996</t>
  </si>
  <si>
    <t xml:space="preserve">TM-03</t>
  </si>
  <si>
    <t xml:space="preserve">LK-5047</t>
  </si>
  <si>
    <t xml:space="preserve">TM-08</t>
  </si>
  <si>
    <t xml:space="preserve">LJ-8055</t>
  </si>
  <si>
    <t xml:space="preserve">KC-FH217C</t>
  </si>
  <si>
    <t xml:space="preserve">TM-01</t>
  </si>
  <si>
    <t xml:space="preserve">LK-5048</t>
  </si>
  <si>
    <t xml:space="preserve">KC-FE517BN</t>
  </si>
  <si>
    <t xml:space="preserve">TM-05</t>
  </si>
  <si>
    <t xml:space="preserve">LH-5474</t>
  </si>
  <si>
    <t xml:space="preserve">U.FE315BN</t>
  </si>
  <si>
    <t xml:space="preserve">1991</t>
  </si>
  <si>
    <t xml:space="preserve">TM-06</t>
  </si>
  <si>
    <t xml:space="preserve">LH-5475</t>
  </si>
  <si>
    <t xml:space="preserve">SELF LOADER MIXER</t>
  </si>
  <si>
    <t xml:space="preserve">FIORI</t>
  </si>
  <si>
    <t xml:space="preserve">BF08H01307</t>
  </si>
  <si>
    <t xml:space="preserve">2018</t>
  </si>
  <si>
    <t xml:space="preserve">TM-20</t>
  </si>
  <si>
    <t xml:space="preserve">Fiori</t>
  </si>
  <si>
    <t xml:space="preserve">8FO8H01246</t>
  </si>
  <si>
    <t xml:space="preserve">TM-13</t>
  </si>
  <si>
    <t xml:space="preserve">8FO8H01252</t>
  </si>
  <si>
    <t xml:space="preserve">TM-17</t>
  </si>
  <si>
    <t xml:space="preserve">STATIC ROLLER</t>
  </si>
  <si>
    <t xml:space="preserve">DYNAPAC</t>
  </si>
  <si>
    <t xml:space="preserve">CC425</t>
  </si>
  <si>
    <t xml:space="preserve">SR-17</t>
  </si>
  <si>
    <t xml:space="preserve">CA30D</t>
  </si>
  <si>
    <t xml:space="preserve">SR-18</t>
  </si>
  <si>
    <t xml:space="preserve">SR-19</t>
  </si>
  <si>
    <t xml:space="preserve">CASE</t>
  </si>
  <si>
    <t xml:space="preserve">1107EXD</t>
  </si>
  <si>
    <t xml:space="preserve">SR-08</t>
  </si>
  <si>
    <t xml:space="preserve">MACADAM</t>
  </si>
  <si>
    <t xml:space="preserve">SR-15</t>
  </si>
  <si>
    <t xml:space="preserve">HAMM</t>
  </si>
  <si>
    <t xml:space="preserve">HAMM 311D</t>
  </si>
  <si>
    <t xml:space="preserve">SR-12</t>
  </si>
  <si>
    <t xml:space="preserve">SR-01</t>
  </si>
  <si>
    <t xml:space="preserve">SAKAI</t>
  </si>
  <si>
    <t xml:space="preserve">SW-900</t>
  </si>
  <si>
    <t xml:space="preserve">SR-05</t>
  </si>
  <si>
    <t xml:space="preserve">(Unknown)</t>
  </si>
  <si>
    <t xml:space="preserve">R12</t>
  </si>
  <si>
    <t xml:space="preserve">SR-02</t>
  </si>
  <si>
    <t xml:space="preserve">SR-03</t>
  </si>
  <si>
    <t xml:space="preserve">SR-04</t>
  </si>
  <si>
    <t xml:space="preserve">IR</t>
  </si>
  <si>
    <t xml:space="preserve">2860-01</t>
  </si>
  <si>
    <t xml:space="preserve">SR-07</t>
  </si>
  <si>
    <t xml:space="preserve">SR-06</t>
  </si>
  <si>
    <t xml:space="preserve">SR-09</t>
  </si>
  <si>
    <t xml:space="preserve">CA250D</t>
  </si>
  <si>
    <t xml:space="preserve">SR-13</t>
  </si>
  <si>
    <t xml:space="preserve">SR-16</t>
  </si>
  <si>
    <t xml:space="preserve">SR-11</t>
  </si>
  <si>
    <t xml:space="preserve">SR-10</t>
  </si>
  <si>
    <t xml:space="preserve">R2V</t>
  </si>
  <si>
    <t xml:space="preserve">SR-14</t>
  </si>
  <si>
    <t xml:space="preserve">VIBRATING ROLLER</t>
  </si>
  <si>
    <t xml:space="preserve">VR-01</t>
  </si>
  <si>
    <t xml:space="preserve">SL203468</t>
  </si>
  <si>
    <t xml:space="preserve">VR-02</t>
  </si>
  <si>
    <t xml:space="preserve">VR-03</t>
  </si>
  <si>
    <t xml:space="preserve">BOMAG</t>
  </si>
  <si>
    <t xml:space="preserve">BW-138 AD</t>
  </si>
  <si>
    <t xml:space="preserve">VR-14</t>
  </si>
  <si>
    <t xml:space="preserve">SA-00-350</t>
  </si>
  <si>
    <t xml:space="preserve">VR-18</t>
  </si>
  <si>
    <t xml:space="preserve">BW 75 H</t>
  </si>
  <si>
    <t xml:space="preserve">VR-31</t>
  </si>
  <si>
    <t xml:space="preserve">TACOM</t>
  </si>
  <si>
    <t xml:space="preserve">TFR60TDS</t>
  </si>
  <si>
    <t xml:space="preserve">VR-30</t>
  </si>
  <si>
    <t xml:space="preserve">VR-32</t>
  </si>
  <si>
    <t xml:space="preserve">VR-69</t>
  </si>
  <si>
    <t xml:space="preserve">VR-04</t>
  </si>
  <si>
    <t xml:space="preserve">VR-28</t>
  </si>
  <si>
    <t xml:space="preserve">VR-29</t>
  </si>
  <si>
    <t xml:space="preserve">VR-27</t>
  </si>
  <si>
    <t xml:space="preserve">VR-21</t>
  </si>
  <si>
    <t xml:space="preserve">VR-05</t>
  </si>
  <si>
    <t xml:space="preserve">VR-06</t>
  </si>
  <si>
    <t xml:space="preserve">BW 138 AD-05</t>
  </si>
  <si>
    <t xml:space="preserve">VR-10</t>
  </si>
  <si>
    <t xml:space="preserve">VR-70</t>
  </si>
  <si>
    <t xml:space="preserve">VR-24</t>
  </si>
  <si>
    <t xml:space="preserve">VR-71</t>
  </si>
  <si>
    <t xml:space="preserve">1650NK0285</t>
  </si>
  <si>
    <t xml:space="preserve">VR-07</t>
  </si>
  <si>
    <t xml:space="preserve">CC142 II</t>
  </si>
  <si>
    <t xml:space="preserve">VR-09</t>
  </si>
  <si>
    <t xml:space="preserve">CC1300</t>
  </si>
  <si>
    <t xml:space="preserve">VR-11</t>
  </si>
  <si>
    <t xml:space="preserve">SW-300</t>
  </si>
  <si>
    <t xml:space="preserve">VR-20</t>
  </si>
  <si>
    <t xml:space="preserve">ATLAS</t>
  </si>
  <si>
    <t xml:space="preserve">VR-08</t>
  </si>
  <si>
    <t xml:space="preserve">VR-12</t>
  </si>
  <si>
    <t xml:space="preserve">VR-13</t>
  </si>
  <si>
    <t xml:space="preserve">VR-15</t>
  </si>
  <si>
    <t xml:space="preserve">VR-16</t>
  </si>
  <si>
    <t xml:space="preserve">VR-17</t>
  </si>
  <si>
    <t xml:space="preserve">VR-19</t>
  </si>
  <si>
    <t xml:space="preserve">VR-22</t>
  </si>
  <si>
    <t xml:space="preserve">VR-23</t>
  </si>
  <si>
    <t xml:space="preserve">VR-25</t>
  </si>
  <si>
    <t xml:space="preserve">VR-26</t>
  </si>
  <si>
    <t xml:space="preserve">VR-33</t>
  </si>
  <si>
    <t xml:space="preserve">VR-34</t>
  </si>
  <si>
    <t xml:space="preserve">VR-35</t>
  </si>
  <si>
    <t xml:space="preserve">VR-36</t>
  </si>
  <si>
    <t xml:space="preserve">VR-37</t>
  </si>
  <si>
    <t xml:space="preserve">VR-38</t>
  </si>
  <si>
    <t xml:space="preserve">VR-39</t>
  </si>
  <si>
    <t xml:space="preserve">VR-40</t>
  </si>
  <si>
    <t xml:space="preserve">VR-41</t>
  </si>
  <si>
    <t xml:space="preserve">VR-42</t>
  </si>
  <si>
    <t xml:space="preserve">VR-43</t>
  </si>
  <si>
    <t xml:space="preserve">VR-46</t>
  </si>
  <si>
    <t xml:space="preserve">VR-47</t>
  </si>
  <si>
    <t xml:space="preserve">VR-48</t>
  </si>
  <si>
    <t xml:space="preserve">VR-49</t>
  </si>
  <si>
    <t xml:space="preserve">VR-50</t>
  </si>
  <si>
    <t xml:space="preserve">VR-51</t>
  </si>
  <si>
    <t xml:space="preserve">VR-52</t>
  </si>
  <si>
    <t xml:space="preserve">VR-53</t>
  </si>
  <si>
    <t xml:space="preserve">VR-54</t>
  </si>
  <si>
    <t xml:space="preserve">VR-55</t>
  </si>
  <si>
    <t xml:space="preserve">CC-1250</t>
  </si>
  <si>
    <t xml:space="preserve">VR-56</t>
  </si>
  <si>
    <t xml:space="preserve">VR-57</t>
  </si>
  <si>
    <t xml:space="preserve">VR-58</t>
  </si>
  <si>
    <t xml:space="preserve">VR-59</t>
  </si>
  <si>
    <t xml:space="preserve">VR-60</t>
  </si>
  <si>
    <t xml:space="preserve">VR-61</t>
  </si>
  <si>
    <t xml:space="preserve">VR-62</t>
  </si>
  <si>
    <t xml:space="preserve">VR-63</t>
  </si>
  <si>
    <t xml:space="preserve">VR-64</t>
  </si>
  <si>
    <t xml:space="preserve">VR-65</t>
  </si>
  <si>
    <t xml:space="preserve">VR-66</t>
  </si>
  <si>
    <t xml:space="preserve">VR-67</t>
  </si>
  <si>
    <t xml:space="preserve">CB-504C</t>
  </si>
  <si>
    <t xml:space="preserve">VR-44</t>
  </si>
  <si>
    <t xml:space="preserve">VR-68</t>
  </si>
  <si>
    <t xml:space="preserve">TW-41</t>
  </si>
  <si>
    <t xml:space="preserve">VR-45</t>
  </si>
  <si>
    <t xml:space="preserve">PNEUMATIC ROLLER</t>
  </si>
  <si>
    <t xml:space="preserve">PTR-03</t>
  </si>
  <si>
    <t xml:space="preserve">CP-201W</t>
  </si>
  <si>
    <t xml:space="preserve">PTR-04</t>
  </si>
  <si>
    <t xml:space="preserve">PTR-05</t>
  </si>
  <si>
    <t xml:space="preserve">FURUKAWA</t>
  </si>
  <si>
    <t xml:space="preserve">FT-20W</t>
  </si>
  <si>
    <t xml:space="preserve">PTR-07</t>
  </si>
  <si>
    <t xml:space="preserve">KAWASAKI</t>
  </si>
  <si>
    <t xml:space="preserve">KR-20 D</t>
  </si>
  <si>
    <t xml:space="preserve">PTR-01</t>
  </si>
  <si>
    <t xml:space="preserve">KTDTO</t>
  </si>
  <si>
    <t xml:space="preserve">RT-200W</t>
  </si>
  <si>
    <t xml:space="preserve">PTR-06</t>
  </si>
  <si>
    <t xml:space="preserve">6BD1LJ-01</t>
  </si>
  <si>
    <t xml:space="preserve">PTR-02</t>
  </si>
  <si>
    <t xml:space="preserve">C200</t>
  </si>
  <si>
    <t xml:space="preserve">PTR-09</t>
  </si>
  <si>
    <t xml:space="preserve">TS200</t>
  </si>
  <si>
    <t xml:space="preserve">1990</t>
  </si>
  <si>
    <t xml:space="preserve">PTR-10</t>
  </si>
  <si>
    <t xml:space="preserve">J.W 200</t>
  </si>
  <si>
    <t xml:space="preserve">PTR-08</t>
  </si>
  <si>
    <t xml:space="preserve">MOTOR GRADER</t>
  </si>
  <si>
    <t xml:space="preserve">SANY</t>
  </si>
  <si>
    <t xml:space="preserve">STG170C-8</t>
  </si>
  <si>
    <t xml:space="preserve">MG-12</t>
  </si>
  <si>
    <t xml:space="preserve">ZB-2564</t>
  </si>
  <si>
    <t xml:space="preserve">STG170C-9</t>
  </si>
  <si>
    <t xml:space="preserve">MG-13</t>
  </si>
  <si>
    <t xml:space="preserve">ZB-2585</t>
  </si>
  <si>
    <t xml:space="preserve">MG-09</t>
  </si>
  <si>
    <t xml:space="preserve">ZB-2562</t>
  </si>
  <si>
    <t xml:space="preserve">MG-08</t>
  </si>
  <si>
    <t xml:space="preserve">ZB-2561</t>
  </si>
  <si>
    <t xml:space="preserve">MG-10</t>
  </si>
  <si>
    <t xml:space="preserve">ZB-2559</t>
  </si>
  <si>
    <t xml:space="preserve">2GB00258</t>
  </si>
  <si>
    <t xml:space="preserve">MG-14</t>
  </si>
  <si>
    <t xml:space="preserve">2GB01241</t>
  </si>
  <si>
    <t xml:space="preserve">2008</t>
  </si>
  <si>
    <t xml:space="preserve">MG-15</t>
  </si>
  <si>
    <t xml:space="preserve">MG-01</t>
  </si>
  <si>
    <t xml:space="preserve">MG-02</t>
  </si>
  <si>
    <t xml:space="preserve">CATERPILLER</t>
  </si>
  <si>
    <t xml:space="preserve">*CAT0140HC5HM03479*</t>
  </si>
  <si>
    <t xml:space="preserve">MG-16</t>
  </si>
  <si>
    <t xml:space="preserve">MG-04</t>
  </si>
  <si>
    <t xml:space="preserve">2501</t>
  </si>
  <si>
    <t xml:space="preserve">MG-05</t>
  </si>
  <si>
    <t xml:space="preserve">MG-07</t>
  </si>
  <si>
    <t xml:space="preserve">ZA-4344</t>
  </si>
  <si>
    <t xml:space="preserve">MITSUBHISHI</t>
  </si>
  <si>
    <t xml:space="preserve">MG 230</t>
  </si>
  <si>
    <t xml:space="preserve">MG-11</t>
  </si>
  <si>
    <t xml:space="preserve">452-65-147</t>
  </si>
  <si>
    <t xml:space="preserve">MG-03</t>
  </si>
  <si>
    <t xml:space="preserve">320-11-21GD</t>
  </si>
  <si>
    <t xml:space="preserve">MG-06</t>
  </si>
  <si>
    <t xml:space="preserve">SKID STEER</t>
  </si>
  <si>
    <t xml:space="preserve">S-450</t>
  </si>
  <si>
    <t xml:space="preserve">SL-21</t>
  </si>
  <si>
    <t xml:space="preserve">BOB CAT S450</t>
  </si>
  <si>
    <t xml:space="preserve">SL-10</t>
  </si>
  <si>
    <t xml:space="preserve">SL-13</t>
  </si>
  <si>
    <t xml:space="preserve">S-16</t>
  </si>
  <si>
    <t xml:space="preserve">SL-24</t>
  </si>
  <si>
    <t xml:space="preserve">SL-14</t>
  </si>
  <si>
    <t xml:space="preserve">SL-20</t>
  </si>
  <si>
    <t xml:space="preserve">SL-01</t>
  </si>
  <si>
    <t xml:space="preserve">SL-03</t>
  </si>
  <si>
    <t xml:space="preserve">SL-04</t>
  </si>
  <si>
    <t xml:space="preserve">SL-05</t>
  </si>
  <si>
    <t xml:space="preserve">SL-11</t>
  </si>
  <si>
    <t xml:space="preserve">SL-15</t>
  </si>
  <si>
    <t xml:space="preserve">SL-16</t>
  </si>
  <si>
    <t xml:space="preserve">SL-17</t>
  </si>
  <si>
    <t xml:space="preserve">SL-06</t>
  </si>
  <si>
    <t xml:space="preserve">216B3</t>
  </si>
  <si>
    <t xml:space="preserve">SL-08</t>
  </si>
  <si>
    <t xml:space="preserve">SL-12</t>
  </si>
  <si>
    <t xml:space="preserve">SL-18</t>
  </si>
  <si>
    <t xml:space="preserve">SL-22</t>
  </si>
  <si>
    <t xml:space="preserve">SL-23</t>
  </si>
  <si>
    <t xml:space="preserve">S770</t>
  </si>
  <si>
    <t xml:space="preserve">SL-19</t>
  </si>
  <si>
    <t xml:space="preserve">SL-07</t>
  </si>
  <si>
    <t xml:space="preserve">S130</t>
  </si>
  <si>
    <t xml:space="preserve">SL-02</t>
  </si>
  <si>
    <t xml:space="preserve">SL-25</t>
  </si>
  <si>
    <t xml:space="preserve">SL-09</t>
  </si>
  <si>
    <t xml:space="preserve">ASPHALT PAVER</t>
  </si>
  <si>
    <t xml:space="preserve">SD2500C</t>
  </si>
  <si>
    <t xml:space="preserve">AP-10</t>
  </si>
  <si>
    <t xml:space="preserve">VOLVO</t>
  </si>
  <si>
    <t xml:space="preserve">P6820C</t>
  </si>
  <si>
    <t xml:space="preserve">AP-08</t>
  </si>
  <si>
    <t xml:space="preserve">MF-55WH</t>
  </si>
  <si>
    <t xml:space="preserve">AP-03</t>
  </si>
  <si>
    <t xml:space="preserve">MF60WD</t>
  </si>
  <si>
    <t xml:space="preserve">AP-04</t>
  </si>
  <si>
    <t xml:space="preserve">MF40WH</t>
  </si>
  <si>
    <t xml:space="preserve">AP-02</t>
  </si>
  <si>
    <t xml:space="preserve">NIGATA</t>
  </si>
  <si>
    <t xml:space="preserve">AP-05</t>
  </si>
  <si>
    <t xml:space="preserve">SUMITOMO</t>
  </si>
  <si>
    <t xml:space="preserve">HA45C-2065</t>
  </si>
  <si>
    <t xml:space="preserve">AP-01</t>
  </si>
  <si>
    <t xml:space="preserve">HA60W-7</t>
  </si>
  <si>
    <t xml:space="preserve">AP-09</t>
  </si>
  <si>
    <t xml:space="preserve">HA60W-5</t>
  </si>
  <si>
    <t xml:space="preserve">AP-11</t>
  </si>
  <si>
    <t xml:space="preserve">AP-06</t>
  </si>
  <si>
    <t xml:space="preserve">AP-07</t>
  </si>
  <si>
    <t xml:space="preserve">BITUMEN BOWSER</t>
  </si>
  <si>
    <t xml:space="preserve">DFAC</t>
  </si>
  <si>
    <t xml:space="preserve">EQ1110SJ8BDC</t>
  </si>
  <si>
    <t xml:space="preserve">BS-05</t>
  </si>
  <si>
    <t xml:space="preserve">ZB-1469</t>
  </si>
  <si>
    <t xml:space="preserve">LPT 709</t>
  </si>
  <si>
    <t xml:space="preserve">BS-02</t>
  </si>
  <si>
    <t xml:space="preserve">LL-0623</t>
  </si>
  <si>
    <t xml:space="preserve">FOTON</t>
  </si>
  <si>
    <t xml:space="preserve">BJ1056R</t>
  </si>
  <si>
    <t xml:space="preserve">BS-04</t>
  </si>
  <si>
    <t xml:space="preserve">LM-2298</t>
  </si>
  <si>
    <t xml:space="preserve">COMET SUPER</t>
  </si>
  <si>
    <t xml:space="preserve">1992</t>
  </si>
  <si>
    <t xml:space="preserve">BS-01</t>
  </si>
  <si>
    <t xml:space="preserve">43-3416</t>
  </si>
  <si>
    <t xml:space="preserve">MOBILE CRANE</t>
  </si>
  <si>
    <t xml:space="preserve">TADANO</t>
  </si>
  <si>
    <t xml:space="preserve">TR-350M-3-00101</t>
  </si>
  <si>
    <t xml:space="preserve">1998</t>
  </si>
  <si>
    <t xml:space="preserve">CR-01</t>
  </si>
  <si>
    <t xml:space="preserve">ZA-8395</t>
  </si>
  <si>
    <t xml:space="preserve">KOBELCO</t>
  </si>
  <si>
    <t xml:space="preserve">RK 250</t>
  </si>
  <si>
    <t xml:space="preserve">1995</t>
  </si>
  <si>
    <t xml:space="preserve">CR-02</t>
  </si>
  <si>
    <t xml:space="preserve">ZA-9716</t>
  </si>
  <si>
    <t xml:space="preserve">BOOM TRUCK</t>
  </si>
  <si>
    <t xml:space="preserve">LPT1613</t>
  </si>
  <si>
    <t xml:space="preserve">BM-02</t>
  </si>
  <si>
    <t xml:space="preserve">LC-0434</t>
  </si>
  <si>
    <t xml:space="preserve">PJ.CYZ51V5.OIOA</t>
  </si>
  <si>
    <t xml:space="preserve">2005</t>
  </si>
  <si>
    <t xml:space="preserve">BM-03</t>
  </si>
  <si>
    <t xml:space="preserve">LN-8277</t>
  </si>
  <si>
    <t xml:space="preserve">KL.FSR34LARFORWARD</t>
  </si>
  <si>
    <t xml:space="preserve">BM-04</t>
  </si>
  <si>
    <t xml:space="preserve">LN-8278</t>
  </si>
  <si>
    <t xml:space="preserve">FREIGHT ROVER</t>
  </si>
  <si>
    <t xml:space="preserve">BM-01</t>
  </si>
  <si>
    <t xml:space="preserve">48-4849</t>
  </si>
  <si>
    <t xml:space="preserve">PRIME MOVER / BED</t>
  </si>
  <si>
    <t xml:space="preserve">Prime Mover / Bed</t>
  </si>
  <si>
    <t xml:space="preserve">ASHOK LELAND</t>
  </si>
  <si>
    <t xml:space="preserve">TAURUS 2518</t>
  </si>
  <si>
    <t xml:space="preserve">BD-05</t>
  </si>
  <si>
    <t xml:space="preserve">LM-6653</t>
  </si>
  <si>
    <t xml:space="preserve">Rs./km</t>
  </si>
  <si>
    <t xml:space="preserve">RENAULT</t>
  </si>
  <si>
    <t xml:space="preserve">PREMIUM</t>
  </si>
  <si>
    <t xml:space="preserve">BD-04</t>
  </si>
  <si>
    <t xml:space="preserve">LY-4524</t>
  </si>
  <si>
    <t xml:space="preserve">LPS4018</t>
  </si>
  <si>
    <t xml:space="preserve">2011</t>
  </si>
  <si>
    <t xml:space="preserve">BD-03</t>
  </si>
  <si>
    <t xml:space="preserve">LY-1614</t>
  </si>
  <si>
    <t xml:space="preserve">LPT2516</t>
  </si>
  <si>
    <t xml:space="preserve">BM-05</t>
  </si>
  <si>
    <t xml:space="preserve">LK-5041</t>
  </si>
  <si>
    <t xml:space="preserve">HINO</t>
  </si>
  <si>
    <t xml:space="preserve">PROFLA</t>
  </si>
  <si>
    <t xml:space="preserve">BD-08</t>
  </si>
  <si>
    <t xml:space="preserve">LN-8279</t>
  </si>
  <si>
    <t xml:space="preserve">CAROO 709</t>
  </si>
  <si>
    <t xml:space="preserve">BD-06</t>
  </si>
  <si>
    <t xml:space="preserve">325-5120</t>
  </si>
  <si>
    <t xml:space="preserve">BD-02</t>
  </si>
  <si>
    <t xml:space="preserve">GL-0019</t>
  </si>
  <si>
    <t xml:space="preserve">GIGA</t>
  </si>
  <si>
    <t xml:space="preserve">BD-01</t>
  </si>
  <si>
    <t xml:space="preserve">LL-1782</t>
  </si>
  <si>
    <t xml:space="preserve">PUMP TRUCK (CONCRETE)</t>
  </si>
  <si>
    <t xml:space="preserve">Pump Truck (Concrete)</t>
  </si>
  <si>
    <t xml:space="preserve">LZZ1BCKH2KW579978</t>
  </si>
  <si>
    <t xml:space="preserve">PC-02</t>
  </si>
  <si>
    <t xml:space="preserve">ZB-1496</t>
  </si>
  <si>
    <t xml:space="preserve">FS1EWY</t>
  </si>
  <si>
    <t xml:space="preserve">PC-01</t>
  </si>
  <si>
    <t xml:space="preserve">ZA-8373</t>
  </si>
  <si>
    <t xml:space="preserve">DOUBLE CAB (PICKUP)</t>
  </si>
  <si>
    <t xml:space="preserve">TOYOTA</t>
  </si>
  <si>
    <t xml:space="preserve">HILUX</t>
  </si>
  <si>
    <t xml:space="preserve">DC-25</t>
  </si>
  <si>
    <t xml:space="preserve">PJ-5688</t>
  </si>
  <si>
    <t xml:space="preserve">DC-27</t>
  </si>
  <si>
    <t xml:space="preserve">PJ-7605</t>
  </si>
  <si>
    <t xml:space="preserve">DC-28</t>
  </si>
  <si>
    <t xml:space="preserve">PJ-7606</t>
  </si>
  <si>
    <t xml:space="preserve">DC-29</t>
  </si>
  <si>
    <t xml:space="preserve">PJ-7598</t>
  </si>
  <si>
    <t xml:space="preserve">DC-30</t>
  </si>
  <si>
    <t xml:space="preserve">PJ-7601</t>
  </si>
  <si>
    <t xml:space="preserve">DC-26</t>
  </si>
  <si>
    <t xml:space="preserve">PJ-7604</t>
  </si>
  <si>
    <t xml:space="preserve">HILUX CUN126R DTTLH</t>
  </si>
  <si>
    <t xml:space="preserve">DC-31</t>
  </si>
  <si>
    <t xml:space="preserve">PI-3982</t>
  </si>
  <si>
    <t xml:space="preserve">DC-32</t>
  </si>
  <si>
    <t xml:space="preserve">PH-9072</t>
  </si>
  <si>
    <t xml:space="preserve">MAHINDRA</t>
  </si>
  <si>
    <t xml:space="preserve">IMPERIO DCVX</t>
  </si>
  <si>
    <t xml:space="preserve">DC-21</t>
  </si>
  <si>
    <t xml:space="preserve">PH-3945</t>
  </si>
  <si>
    <t xml:space="preserve">BOLERO CAMPER GOLD</t>
  </si>
  <si>
    <t xml:space="preserve">DC-20</t>
  </si>
  <si>
    <t xml:space="preserve">PH-0765</t>
  </si>
  <si>
    <t xml:space="preserve">DC-22</t>
  </si>
  <si>
    <t xml:space="preserve">PE-3911</t>
  </si>
  <si>
    <t xml:space="preserve">DC-14</t>
  </si>
  <si>
    <t xml:space="preserve">PD-6917</t>
  </si>
  <si>
    <t xml:space="preserve">L 200</t>
  </si>
  <si>
    <t xml:space="preserve">DC-15</t>
  </si>
  <si>
    <t xml:space="preserve">PE-6582</t>
  </si>
  <si>
    <t xml:space="preserve">HILUX VIGO</t>
  </si>
  <si>
    <t xml:space="preserve">DC-18</t>
  </si>
  <si>
    <t xml:space="preserve">PE-5879</t>
  </si>
  <si>
    <t xml:space="preserve">2007</t>
  </si>
  <si>
    <t xml:space="preserve">DC-19</t>
  </si>
  <si>
    <t xml:space="preserve">PD-8451</t>
  </si>
  <si>
    <t xml:space="preserve">DC-23</t>
  </si>
  <si>
    <t xml:space="preserve">PD-4739</t>
  </si>
  <si>
    <t xml:space="preserve">HILUX HL2 D-4D 4*4</t>
  </si>
  <si>
    <t xml:space="preserve">DC-24</t>
  </si>
  <si>
    <t xml:space="preserve">PC-7812</t>
  </si>
  <si>
    <t xml:space="preserve">DC-06</t>
  </si>
  <si>
    <t xml:space="preserve">PA-4193</t>
  </si>
  <si>
    <t xml:space="preserve">VOLKSWAGON</t>
  </si>
  <si>
    <t xml:space="preserve">T5 TRANSPORTER</t>
  </si>
  <si>
    <t xml:space="preserve">DC-16</t>
  </si>
  <si>
    <t xml:space="preserve">PA-4102</t>
  </si>
  <si>
    <t xml:space="preserve">DC-11</t>
  </si>
  <si>
    <t xml:space="preserve">HU-5097</t>
  </si>
  <si>
    <t xml:space="preserve">MOTOR PIC-UP</t>
  </si>
  <si>
    <t xml:space="preserve">DC-12</t>
  </si>
  <si>
    <t xml:space="preserve">253-2574</t>
  </si>
  <si>
    <t xml:space="preserve">1997</t>
  </si>
  <si>
    <t xml:space="preserve">DC-08</t>
  </si>
  <si>
    <t xml:space="preserve">59-5421</t>
  </si>
  <si>
    <t xml:space="preserve">DATZEN</t>
  </si>
  <si>
    <t xml:space="preserve">1985</t>
  </si>
  <si>
    <t xml:space="preserve">DC-10</t>
  </si>
  <si>
    <t xml:space="preserve">28-4314</t>
  </si>
  <si>
    <t xml:space="preserve">DC-07</t>
  </si>
  <si>
    <t xml:space="preserve">51-8083</t>
  </si>
  <si>
    <t xml:space="preserve">VAN</t>
  </si>
  <si>
    <t xml:space="preserve">KDH200V</t>
  </si>
  <si>
    <t xml:space="preserve">PE-7986</t>
  </si>
  <si>
    <t xml:space="preserve">TOYOTA TOWNACE</t>
  </si>
  <si>
    <t xml:space="preserve">1989</t>
  </si>
  <si>
    <t xml:space="preserve">54-7084</t>
  </si>
  <si>
    <t xml:space="preserve">LITEACE</t>
  </si>
  <si>
    <t xml:space="preserve">1987</t>
  </si>
  <si>
    <t xml:space="preserve">PV-01</t>
  </si>
  <si>
    <t xml:space="preserve">51-7158</t>
  </si>
  <si>
    <t xml:space="preserve">CREW CAB</t>
  </si>
  <si>
    <t xml:space="preserve">JMC</t>
  </si>
  <si>
    <t xml:space="preserve">JX1032DSR</t>
  </si>
  <si>
    <t xml:space="preserve">HCC-09</t>
  </si>
  <si>
    <t xml:space="preserve">PJ-6376</t>
  </si>
  <si>
    <t xml:space="preserve">PR75KJ7104331</t>
  </si>
  <si>
    <t xml:space="preserve">HCC-11</t>
  </si>
  <si>
    <t xml:space="preserve">LO-9810</t>
  </si>
  <si>
    <t xml:space="preserve">1X1041DSLA2RS</t>
  </si>
  <si>
    <t xml:space="preserve">HCC-08</t>
  </si>
  <si>
    <t xml:space="preserve">LN-1867</t>
  </si>
  <si>
    <t xml:space="preserve">HCC-05</t>
  </si>
  <si>
    <t xml:space="preserve">PH-6742</t>
  </si>
  <si>
    <t xml:space="preserve">HCC-06</t>
  </si>
  <si>
    <t xml:space="preserve">PH-6744</t>
  </si>
  <si>
    <t xml:space="preserve">HCC-07</t>
  </si>
  <si>
    <t xml:space="preserve">PH-6747</t>
  </si>
  <si>
    <t xml:space="preserve">KO-LY132</t>
  </si>
  <si>
    <t xml:space="preserve">HCC-01</t>
  </si>
  <si>
    <t xml:space="preserve">PA-4879</t>
  </si>
  <si>
    <t xml:space="preserve">KC-LY101</t>
  </si>
  <si>
    <t xml:space="preserve">HCC-02</t>
  </si>
  <si>
    <t xml:space="preserve">PA-6398</t>
  </si>
  <si>
    <t xml:space="preserve">KC-LY111</t>
  </si>
  <si>
    <t xml:space="preserve">HCC-03</t>
  </si>
  <si>
    <t xml:space="preserve">PA-6399</t>
  </si>
  <si>
    <t xml:space="preserve">DATSUN</t>
  </si>
  <si>
    <t xml:space="preserve">AGY720-921207</t>
  </si>
  <si>
    <t xml:space="preserve">1984</t>
  </si>
  <si>
    <t xml:space="preserve">HCC-10</t>
  </si>
  <si>
    <t xml:space="preserve">40-8060</t>
  </si>
  <si>
    <t xml:space="preserve">BU19</t>
  </si>
  <si>
    <t xml:space="preserve">1973</t>
  </si>
  <si>
    <t xml:space="preserve">HCC-04</t>
  </si>
  <si>
    <t xml:space="preserve">325-3448</t>
  </si>
  <si>
    <t xml:space="preserve">SINGLE CAB</t>
  </si>
  <si>
    <t xml:space="preserve">BMT PLUS MTI</t>
  </si>
  <si>
    <t xml:space="preserve">SC-10</t>
  </si>
  <si>
    <t xml:space="preserve">DAH-2228</t>
  </si>
  <si>
    <t xml:space="preserve">SC-11</t>
  </si>
  <si>
    <t xml:space="preserve">DAH-2229</t>
  </si>
  <si>
    <t xml:space="preserve">SC-12</t>
  </si>
  <si>
    <t xml:space="preserve">DAH-2230</t>
  </si>
  <si>
    <t xml:space="preserve">SC-13</t>
  </si>
  <si>
    <t xml:space="preserve">DAH-2231</t>
  </si>
  <si>
    <t xml:space="preserve">YODHA BSIV</t>
  </si>
  <si>
    <t xml:space="preserve">SC-14</t>
  </si>
  <si>
    <t xml:space="preserve">DAH-2491</t>
  </si>
  <si>
    <t xml:space="preserve">207 RX PICKUP</t>
  </si>
  <si>
    <t xml:space="preserve">SC-06</t>
  </si>
  <si>
    <t xml:space="preserve">PY-2408</t>
  </si>
  <si>
    <t xml:space="preserve">DFSK</t>
  </si>
  <si>
    <t xml:space="preserve">EQ1020DR</t>
  </si>
  <si>
    <t xml:space="preserve">SC-07</t>
  </si>
  <si>
    <t xml:space="preserve">PX-2180</t>
  </si>
  <si>
    <t xml:space="preserve">207DI/28</t>
  </si>
  <si>
    <t xml:space="preserve">SC-04</t>
  </si>
  <si>
    <t xml:space="preserve">PT-1569</t>
  </si>
  <si>
    <t xml:space="preserve">SC-09</t>
  </si>
  <si>
    <t xml:space="preserve">PR-1469</t>
  </si>
  <si>
    <t xml:space="preserve">ACE</t>
  </si>
  <si>
    <t xml:space="preserve">SC-08</t>
  </si>
  <si>
    <t xml:space="preserve">PR-1504</t>
  </si>
  <si>
    <t xml:space="preserve">SC-15</t>
  </si>
  <si>
    <t xml:space="preserve">47-5112</t>
  </si>
  <si>
    <t xml:space="preserve">207 DI</t>
  </si>
  <si>
    <t xml:space="preserve">SC-02</t>
  </si>
  <si>
    <t xml:space="preserve">LB-4824</t>
  </si>
  <si>
    <t xml:space="preserve">SC-05</t>
  </si>
  <si>
    <t xml:space="preserve">PV-6889</t>
  </si>
  <si>
    <t xml:space="preserve">DUMP TRUCK (TIPPER)</t>
  </si>
  <si>
    <t xml:space="preserve">LPK1618</t>
  </si>
  <si>
    <t xml:space="preserve">DT-61</t>
  </si>
  <si>
    <t xml:space="preserve">LP-1581</t>
  </si>
  <si>
    <t xml:space="preserve">DT-08</t>
  </si>
  <si>
    <t xml:space="preserve">LI-7620</t>
  </si>
  <si>
    <t xml:space="preserve">DT-09</t>
  </si>
  <si>
    <t xml:space="preserve">LI-7701</t>
  </si>
  <si>
    <t xml:space="preserve">DT-11</t>
  </si>
  <si>
    <t xml:space="preserve">LK-6738</t>
  </si>
  <si>
    <t xml:space="preserve">DT-13</t>
  </si>
  <si>
    <t xml:space="preserve">LK-2366</t>
  </si>
  <si>
    <t xml:space="preserve">DT-18</t>
  </si>
  <si>
    <t xml:space="preserve">LM-5721</t>
  </si>
  <si>
    <t xml:space="preserve">DT-29</t>
  </si>
  <si>
    <t xml:space="preserve">LJ-5559</t>
  </si>
  <si>
    <t xml:space="preserve">DT-30</t>
  </si>
  <si>
    <t xml:space="preserve">LI-3851</t>
  </si>
  <si>
    <t xml:space="preserve">DT-32</t>
  </si>
  <si>
    <t xml:space="preserve">LM-5719</t>
  </si>
  <si>
    <t xml:space="preserve">DT-33</t>
  </si>
  <si>
    <t xml:space="preserve">LM-5723</t>
  </si>
  <si>
    <t xml:space="preserve">DT-34</t>
  </si>
  <si>
    <t xml:space="preserve">LM-5720</t>
  </si>
  <si>
    <t xml:space="preserve">DT-35</t>
  </si>
  <si>
    <t xml:space="preserve">LM-7940</t>
  </si>
  <si>
    <t xml:space="preserve">DT-36</t>
  </si>
  <si>
    <t xml:space="preserve">LM-7948</t>
  </si>
  <si>
    <t xml:space="preserve">DT-37</t>
  </si>
  <si>
    <t xml:space="preserve">LM-7949</t>
  </si>
  <si>
    <t xml:space="preserve">DT-38</t>
  </si>
  <si>
    <t xml:space="preserve">LM-7942</t>
  </si>
  <si>
    <t xml:space="preserve">DT-39</t>
  </si>
  <si>
    <t xml:space="preserve">LM-7951</t>
  </si>
  <si>
    <t xml:space="preserve">DT-43</t>
  </si>
  <si>
    <t xml:space="preserve">LO-4823</t>
  </si>
  <si>
    <t xml:space="preserve">DT-44</t>
  </si>
  <si>
    <t xml:space="preserve">LO-4824</t>
  </si>
  <si>
    <t xml:space="preserve">DT-45</t>
  </si>
  <si>
    <t xml:space="preserve">LO-4816</t>
  </si>
  <si>
    <t xml:space="preserve">DT-49</t>
  </si>
  <si>
    <t xml:space="preserve">LO-5984</t>
  </si>
  <si>
    <t xml:space="preserve">DT-50</t>
  </si>
  <si>
    <t xml:space="preserve">LO-5985</t>
  </si>
  <si>
    <t xml:space="preserve">DT-51</t>
  </si>
  <si>
    <t xml:space="preserve">LO-5981</t>
  </si>
  <si>
    <t xml:space="preserve">DT-53</t>
  </si>
  <si>
    <t xml:space="preserve">LO-7183</t>
  </si>
  <si>
    <t xml:space="preserve">DT-54</t>
  </si>
  <si>
    <t xml:space="preserve">LO-7180</t>
  </si>
  <si>
    <t xml:space="preserve">DT-55</t>
  </si>
  <si>
    <t xml:space="preserve">LO-7182</t>
  </si>
  <si>
    <t xml:space="preserve">DT-56</t>
  </si>
  <si>
    <t xml:space="preserve">LO-7181</t>
  </si>
  <si>
    <t xml:space="preserve">DT-57</t>
  </si>
  <si>
    <t xml:space="preserve">LO-7184</t>
  </si>
  <si>
    <t xml:space="preserve">DT-58</t>
  </si>
  <si>
    <t xml:space="preserve">LO-8349</t>
  </si>
  <si>
    <t xml:space="preserve">DT-42</t>
  </si>
  <si>
    <t xml:space="preserve">LO-4822</t>
  </si>
  <si>
    <t xml:space="preserve">DT-59</t>
  </si>
  <si>
    <t xml:space="preserve">LO-8348</t>
  </si>
  <si>
    <t xml:space="preserve">DT-60</t>
  </si>
  <si>
    <t xml:space="preserve">LO-8350</t>
  </si>
  <si>
    <t xml:space="preserve">DT-62</t>
  </si>
  <si>
    <t xml:space="preserve">LP-1573</t>
  </si>
  <si>
    <t xml:space="preserve">DT-46</t>
  </si>
  <si>
    <t xml:space="preserve">LO-4821</t>
  </si>
  <si>
    <t xml:space="preserve">LPK1615TC</t>
  </si>
  <si>
    <t xml:space="preserve">DT-48</t>
  </si>
  <si>
    <t xml:space="preserve">LO-5986</t>
  </si>
  <si>
    <t xml:space="preserve">DT-63</t>
  </si>
  <si>
    <t xml:space="preserve">LP-1567</t>
  </si>
  <si>
    <t xml:space="preserve">DT-64</t>
  </si>
  <si>
    <t xml:space="preserve">LP-1576</t>
  </si>
  <si>
    <t xml:space="preserve">DT-65</t>
  </si>
  <si>
    <t xml:space="preserve">LP-1571</t>
  </si>
  <si>
    <t xml:space="preserve">DT-66</t>
  </si>
  <si>
    <t xml:space="preserve">LP-1582</t>
  </si>
  <si>
    <t xml:space="preserve">DT-67</t>
  </si>
  <si>
    <t xml:space="preserve">LP-1572</t>
  </si>
  <si>
    <t xml:space="preserve">DT-68</t>
  </si>
  <si>
    <t xml:space="preserve">LP-1569</t>
  </si>
  <si>
    <t xml:space="preserve">DT-69</t>
  </si>
  <si>
    <t xml:space="preserve">LP-1579</t>
  </si>
  <si>
    <t xml:space="preserve">DT-70</t>
  </si>
  <si>
    <t xml:space="preserve">LP-1574</t>
  </si>
  <si>
    <t xml:space="preserve">DT-71</t>
  </si>
  <si>
    <t xml:space="preserve">LP-1578</t>
  </si>
  <si>
    <t xml:space="preserve">DT-72</t>
  </si>
  <si>
    <t xml:space="preserve">LP-1580</t>
  </si>
  <si>
    <t xml:space="preserve">10.80 TIPPER</t>
  </si>
  <si>
    <t xml:space="preserve">DT-40</t>
  </si>
  <si>
    <t xml:space="preserve">LN-9046</t>
  </si>
  <si>
    <t xml:space="preserve">LPK 1615</t>
  </si>
  <si>
    <t xml:space="preserve">DT-15</t>
  </si>
  <si>
    <t xml:space="preserve">LM-5722</t>
  </si>
  <si>
    <t xml:space="preserve">DT-73</t>
  </si>
  <si>
    <t xml:space="preserve">LP-1568</t>
  </si>
  <si>
    <t xml:space="preserve">DT-74</t>
  </si>
  <si>
    <t xml:space="preserve">LP-1577</t>
  </si>
  <si>
    <t xml:space="preserve">DT-75</t>
  </si>
  <si>
    <t xml:space="preserve">LP-1566</t>
  </si>
  <si>
    <t xml:space="preserve">DT-76</t>
  </si>
  <si>
    <t xml:space="preserve">LP-1710</t>
  </si>
  <si>
    <t xml:space="preserve">DT-77</t>
  </si>
  <si>
    <t xml:space="preserve">LP-1719</t>
  </si>
  <si>
    <t xml:space="preserve">DT-78</t>
  </si>
  <si>
    <t xml:space="preserve">LP-1709</t>
  </si>
  <si>
    <t xml:space="preserve">DT-79</t>
  </si>
  <si>
    <t xml:space="preserve">LP-1713</t>
  </si>
  <si>
    <t xml:space="preserve">DT-80</t>
  </si>
  <si>
    <t xml:space="preserve">LP-1720</t>
  </si>
  <si>
    <t xml:space="preserve">DT-81</t>
  </si>
  <si>
    <t xml:space="preserve">LP-1715</t>
  </si>
  <si>
    <t xml:space="preserve">DT-47</t>
  </si>
  <si>
    <t xml:space="preserve">LO-5983</t>
  </si>
  <si>
    <t xml:space="preserve">DT-82</t>
  </si>
  <si>
    <t xml:space="preserve">LP-1716</t>
  </si>
  <si>
    <t xml:space="preserve">DT-83</t>
  </si>
  <si>
    <t xml:space="preserve">LP-1712</t>
  </si>
  <si>
    <t xml:space="preserve">LPK 407</t>
  </si>
  <si>
    <t xml:space="preserve">DT-27</t>
  </si>
  <si>
    <t xml:space="preserve">LL-0936</t>
  </si>
  <si>
    <t xml:space="preserve">DT-02</t>
  </si>
  <si>
    <t xml:space="preserve">LL-0920</t>
  </si>
  <si>
    <t xml:space="preserve">COMMET TIPPER 1613</t>
  </si>
  <si>
    <t xml:space="preserve">DT-03</t>
  </si>
  <si>
    <t xml:space="preserve">LK-4057</t>
  </si>
  <si>
    <t xml:space="preserve">DT-05</t>
  </si>
  <si>
    <t xml:space="preserve">HS-1773</t>
  </si>
  <si>
    <t xml:space="preserve">DT-14</t>
  </si>
  <si>
    <t xml:space="preserve">LK-4056</t>
  </si>
  <si>
    <t xml:space="preserve">TAURUS 2516</t>
  </si>
  <si>
    <t xml:space="preserve">DT-25</t>
  </si>
  <si>
    <t xml:space="preserve">LK-4058</t>
  </si>
  <si>
    <t xml:space="preserve">DT-16</t>
  </si>
  <si>
    <t xml:space="preserve">LK-4059</t>
  </si>
  <si>
    <t xml:space="preserve">DT-10</t>
  </si>
  <si>
    <t xml:space="preserve">LK-6740</t>
  </si>
  <si>
    <t xml:space="preserve">DT-84</t>
  </si>
  <si>
    <t xml:space="preserve">LP-1711</t>
  </si>
  <si>
    <t xml:space="preserve">LPK 909</t>
  </si>
  <si>
    <t xml:space="preserve">DT-12</t>
  </si>
  <si>
    <t xml:space="preserve">LK-2276</t>
  </si>
  <si>
    <t xml:space="preserve">DT-85</t>
  </si>
  <si>
    <t xml:space="preserve">LP-1718</t>
  </si>
  <si>
    <t xml:space="preserve">DT-28</t>
  </si>
  <si>
    <t xml:space="preserve">LJ-5203</t>
  </si>
  <si>
    <t xml:space="preserve">DT-24</t>
  </si>
  <si>
    <t xml:space="preserve">LI-2427</t>
  </si>
  <si>
    <t xml:space="preserve">TERRA16 HDR</t>
  </si>
  <si>
    <t xml:space="preserve">DT-17</t>
  </si>
  <si>
    <t xml:space="preserve">LI-3402</t>
  </si>
  <si>
    <t xml:space="preserve">DT-19</t>
  </si>
  <si>
    <t xml:space="preserve">LI-3396</t>
  </si>
  <si>
    <t xml:space="preserve">DT-20</t>
  </si>
  <si>
    <t xml:space="preserve">LI-3401</t>
  </si>
  <si>
    <t xml:space="preserve">DT-21</t>
  </si>
  <si>
    <t xml:space="preserve">LI-3395</t>
  </si>
  <si>
    <t xml:space="preserve">DT-07</t>
  </si>
  <si>
    <t xml:space="preserve">LI-7618</t>
  </si>
  <si>
    <t xml:space="preserve">TAURUS</t>
  </si>
  <si>
    <t xml:space="preserve">DT-22</t>
  </si>
  <si>
    <t xml:space="preserve">LH-5586</t>
  </si>
  <si>
    <t xml:space="preserve">DT-23</t>
  </si>
  <si>
    <t xml:space="preserve">LK-5586</t>
  </si>
  <si>
    <t xml:space="preserve">20.16</t>
  </si>
  <si>
    <t xml:space="preserve">DT-31</t>
  </si>
  <si>
    <t xml:space="preserve">LE-4986</t>
  </si>
  <si>
    <t xml:space="preserve">COMET</t>
  </si>
  <si>
    <t xml:space="preserve">DT-01</t>
  </si>
  <si>
    <t xml:space="preserve">LB-9496</t>
  </si>
  <si>
    <t xml:space="preserve">DT-52</t>
  </si>
  <si>
    <t xml:space="preserve">LA-4229</t>
  </si>
  <si>
    <t xml:space="preserve">DT-04</t>
  </si>
  <si>
    <t xml:space="preserve">HS-1794</t>
  </si>
  <si>
    <t xml:space="preserve">DT-26</t>
  </si>
  <si>
    <t xml:space="preserve">LK-4061</t>
  </si>
  <si>
    <t xml:space="preserve">DT-41</t>
  </si>
  <si>
    <t xml:space="preserve">HO-9850</t>
  </si>
  <si>
    <t xml:space="preserve">TRAILER</t>
  </si>
  <si>
    <t xml:space="preserve">Trailer</t>
  </si>
  <si>
    <t xml:space="preserve">LOCALLY BUILT</t>
  </si>
  <si>
    <t xml:space="preserve">Tractor trailer</t>
  </si>
  <si>
    <t xml:space="preserve">RY-2390</t>
  </si>
  <si>
    <t xml:space="preserve">TANKER</t>
  </si>
  <si>
    <t xml:space="preserve">WIMALAORO</t>
  </si>
  <si>
    <t xml:space="preserve">RY-0614</t>
  </si>
  <si>
    <t xml:space="preserve">RV-1990</t>
  </si>
  <si>
    <t xml:space="preserve">LORRY TRAILER</t>
  </si>
  <si>
    <t xml:space="preserve">Lorry Trailer</t>
  </si>
  <si>
    <t xml:space="preserve">TANTRI</t>
  </si>
  <si>
    <t xml:space="preserve">TFB40</t>
  </si>
  <si>
    <t xml:space="preserve">LX-1679</t>
  </si>
  <si>
    <t xml:space="preserve">TSK 20</t>
  </si>
  <si>
    <t xml:space="preserve">HD-9005</t>
  </si>
  <si>
    <t xml:space="preserve">LX-1045</t>
  </si>
  <si>
    <t xml:space="preserve">DIESEL BOWSER</t>
  </si>
  <si>
    <t xml:space="preserve">DB-04</t>
  </si>
  <si>
    <t xml:space="preserve">41-1130</t>
  </si>
  <si>
    <t xml:space="preserve">DB-01</t>
  </si>
  <si>
    <t xml:space="preserve">LA-9208</t>
  </si>
  <si>
    <t xml:space="preserve">DB-05</t>
  </si>
  <si>
    <t xml:space="preserve">LA-1359</t>
  </si>
  <si>
    <t xml:space="preserve">DB-02</t>
  </si>
  <si>
    <t xml:space="preserve">68-5115</t>
  </si>
  <si>
    <t xml:space="preserve">NISSAN</t>
  </si>
  <si>
    <t xml:space="preserve">DB-03</t>
  </si>
  <si>
    <t xml:space="preserve">40-2955</t>
  </si>
  <si>
    <t xml:space="preserve">Petrol</t>
  </si>
  <si>
    <t xml:space="preserve">EXCAVATOR</t>
  </si>
  <si>
    <t xml:space="preserve">Excavator</t>
  </si>
  <si>
    <t xml:space="preserve">CX220C LC HD</t>
  </si>
  <si>
    <t xml:space="preserve">HEX-42</t>
  </si>
  <si>
    <t xml:space="preserve">HEX-43</t>
  </si>
  <si>
    <t xml:space="preserve">HEX-45</t>
  </si>
  <si>
    <t xml:space="preserve">HEX-46</t>
  </si>
  <si>
    <t xml:space="preserve">HYUNDAI</t>
  </si>
  <si>
    <t xml:space="preserve">E55W</t>
  </si>
  <si>
    <t xml:space="preserve">HEX-36</t>
  </si>
  <si>
    <t xml:space="preserve">R230LM</t>
  </si>
  <si>
    <t xml:space="preserve">HEX-25</t>
  </si>
  <si>
    <t xml:space="preserve">14160</t>
  </si>
  <si>
    <t xml:space="preserve">HEX-32</t>
  </si>
  <si>
    <t xml:space="preserve">HEX-33</t>
  </si>
  <si>
    <t xml:space="preserve">HEX-35</t>
  </si>
  <si>
    <t xml:space="preserve">HEX-38</t>
  </si>
  <si>
    <t xml:space="preserve">R220LC-9S</t>
  </si>
  <si>
    <t xml:space="preserve">HEX-34</t>
  </si>
  <si>
    <t xml:space="preserve">HEX-39</t>
  </si>
  <si>
    <t xml:space="preserve">KOBELKO</t>
  </si>
  <si>
    <t xml:space="preserve">200</t>
  </si>
  <si>
    <t xml:space="preserve">HEX-23</t>
  </si>
  <si>
    <t xml:space="preserve">303 CR</t>
  </si>
  <si>
    <t xml:space="preserve">HEX-14</t>
  </si>
  <si>
    <t xml:space="preserve">CATAPILLAR</t>
  </si>
  <si>
    <t xml:space="preserve">314C</t>
  </si>
  <si>
    <t xml:space="preserve">HEX-22</t>
  </si>
  <si>
    <t xml:space="preserve">HITHACHI</t>
  </si>
  <si>
    <t xml:space="preserve">EX75UR-3</t>
  </si>
  <si>
    <t xml:space="preserve">HEX-18</t>
  </si>
  <si>
    <t xml:space="preserve">YD-00418</t>
  </si>
  <si>
    <t xml:space="preserve">HEX-07</t>
  </si>
  <si>
    <t xml:space="preserve">PC-30</t>
  </si>
  <si>
    <t xml:space="preserve">HEX-31</t>
  </si>
  <si>
    <t xml:space="preserve">CAT308CCR</t>
  </si>
  <si>
    <t xml:space="preserve">HEX-29</t>
  </si>
  <si>
    <t xml:space="preserve">KUBOTA</t>
  </si>
  <si>
    <t xml:space="preserve">KX-040</t>
  </si>
  <si>
    <t xml:space="preserve">HEX-15</t>
  </si>
  <si>
    <t xml:space="preserve">EC210V</t>
  </si>
  <si>
    <t xml:space="preserve">HEX-01</t>
  </si>
  <si>
    <t xml:space="preserve">SK115SR</t>
  </si>
  <si>
    <t xml:space="preserve">HEX-21</t>
  </si>
  <si>
    <t xml:space="preserve">PC-40MR-1</t>
  </si>
  <si>
    <t xml:space="preserve">HEX-24</t>
  </si>
  <si>
    <t xml:space="preserve">PC-60-6</t>
  </si>
  <si>
    <t xml:space="preserve">HEX-28</t>
  </si>
  <si>
    <t xml:space="preserve">PC-100</t>
  </si>
  <si>
    <t xml:space="preserve">HEX-04</t>
  </si>
  <si>
    <t xml:space="preserve">HITACHI</t>
  </si>
  <si>
    <t xml:space="preserve">UH045</t>
  </si>
  <si>
    <t xml:space="preserve">HEX-03</t>
  </si>
  <si>
    <t xml:space="preserve">HEX-02</t>
  </si>
  <si>
    <t xml:space="preserve">U-25-35</t>
  </si>
  <si>
    <t xml:space="preserve">HEX-13</t>
  </si>
  <si>
    <t xml:space="preserve">PC60</t>
  </si>
  <si>
    <t xml:space="preserve">HEX-05</t>
  </si>
  <si>
    <t xml:space="preserve">PCS50UU-01</t>
  </si>
  <si>
    <t xml:space="preserve">HEX-06</t>
  </si>
  <si>
    <t xml:space="preserve">PC27R-8</t>
  </si>
  <si>
    <t xml:space="preserve">HEX-09</t>
  </si>
  <si>
    <t xml:space="preserve">PC-120-6EO</t>
  </si>
  <si>
    <t xml:space="preserve">HEX-19</t>
  </si>
  <si>
    <t xml:space="preserve">PC-40MR-02</t>
  </si>
  <si>
    <t xml:space="preserve">HEX-20</t>
  </si>
  <si>
    <t xml:space="preserve">HEX-12</t>
  </si>
  <si>
    <t xml:space="preserve">ROBEX330LC-9S</t>
  </si>
  <si>
    <t xml:space="preserve">HEX-26</t>
  </si>
  <si>
    <t xml:space="preserve">HEX-27</t>
  </si>
  <si>
    <t xml:space="preserve">0BEX220LC-9S</t>
  </si>
  <si>
    <t xml:space="preserve">HEX-17</t>
  </si>
  <si>
    <t xml:space="preserve">(ROBEX330LC-96)</t>
  </si>
  <si>
    <t xml:space="preserve">HEX-37</t>
  </si>
  <si>
    <t xml:space="preserve">220LC-7</t>
  </si>
  <si>
    <t xml:space="preserve">HEX-41</t>
  </si>
  <si>
    <t xml:space="preserve">SX 120</t>
  </si>
  <si>
    <t xml:space="preserve">HEX-44</t>
  </si>
  <si>
    <t xml:space="preserve">SE210</t>
  </si>
  <si>
    <t xml:space="preserve">HEX-40</t>
  </si>
  <si>
    <t xml:space="preserve">WATER BOWSER</t>
  </si>
  <si>
    <t xml:space="preserve">LPT1615TC</t>
  </si>
  <si>
    <t xml:space="preserve">WB-18</t>
  </si>
  <si>
    <t xml:space="preserve">LO-1059</t>
  </si>
  <si>
    <t xml:space="preserve">WB-04</t>
  </si>
  <si>
    <t xml:space="preserve">LI-3405</t>
  </si>
  <si>
    <t xml:space="preserve">WB-05</t>
  </si>
  <si>
    <t xml:space="preserve">WB-03</t>
  </si>
  <si>
    <t xml:space="preserve">IVECO-CARGO</t>
  </si>
  <si>
    <t xml:space="preserve">WB-06</t>
  </si>
  <si>
    <t xml:space="preserve">227-7971</t>
  </si>
  <si>
    <t xml:space="preserve">S1313/42 TANKER</t>
  </si>
  <si>
    <t xml:space="preserve">WB-01</t>
  </si>
  <si>
    <t xml:space="preserve">48-8072</t>
  </si>
  <si>
    <t xml:space="preserve">1210SE-CLOSED</t>
  </si>
  <si>
    <t xml:space="preserve">WB-02</t>
  </si>
  <si>
    <t xml:space="preserve">43-1191</t>
  </si>
  <si>
    <t xml:space="preserve">WB-08</t>
  </si>
  <si>
    <t xml:space="preserve">WB-09</t>
  </si>
  <si>
    <t xml:space="preserve">RY-0299</t>
  </si>
  <si>
    <t xml:space="preserve">WB-20</t>
  </si>
  <si>
    <t xml:space="preserve">LD-8875</t>
  </si>
  <si>
    <t xml:space="preserve">WB-10</t>
  </si>
  <si>
    <t xml:space="preserve">RY-0301</t>
  </si>
  <si>
    <t xml:space="preserve">WB-11</t>
  </si>
  <si>
    <t xml:space="preserve">RY-0304</t>
  </si>
  <si>
    <t xml:space="preserve">WB-12</t>
  </si>
  <si>
    <t xml:space="preserve">RY-2392</t>
  </si>
  <si>
    <t xml:space="preserve">WB-13</t>
  </si>
  <si>
    <t xml:space="preserve">WB-14</t>
  </si>
  <si>
    <t xml:space="preserve">WB-15</t>
  </si>
  <si>
    <t xml:space="preserve">WB-16</t>
  </si>
  <si>
    <t xml:space="preserve">WB-17</t>
  </si>
  <si>
    <t xml:space="preserve">WB-19</t>
  </si>
  <si>
    <t xml:space="preserve">FARM TRACTOR</t>
  </si>
  <si>
    <t xml:space="preserve">575DI</t>
  </si>
  <si>
    <t xml:space="preserve">FT-06</t>
  </si>
  <si>
    <t xml:space="preserve">RD-3536</t>
  </si>
  <si>
    <t xml:space="preserve">FT-08</t>
  </si>
  <si>
    <t xml:space="preserve">RD-3537</t>
  </si>
  <si>
    <t xml:space="preserve">275 DI</t>
  </si>
  <si>
    <t xml:space="preserve">FT-10</t>
  </si>
  <si>
    <t xml:space="preserve">RD-6318</t>
  </si>
  <si>
    <t xml:space="preserve">TAFE</t>
  </si>
  <si>
    <t xml:space="preserve">45DI</t>
  </si>
  <si>
    <t xml:space="preserve">FT-07</t>
  </si>
  <si>
    <t xml:space="preserve">RC-9894</t>
  </si>
  <si>
    <t xml:space="preserve">MASSEY FEROUSON</t>
  </si>
  <si>
    <t xml:space="preserve">MF 240</t>
  </si>
  <si>
    <t xml:space="preserve">FT-11</t>
  </si>
  <si>
    <t xml:space="preserve">RF-0748</t>
  </si>
  <si>
    <t xml:space="preserve">FT-03</t>
  </si>
  <si>
    <t xml:space="preserve">RA-3051</t>
  </si>
  <si>
    <t xml:space="preserve">FT-04</t>
  </si>
  <si>
    <t xml:space="preserve">RA-3052</t>
  </si>
  <si>
    <t xml:space="preserve">MASSEY FURGUSON</t>
  </si>
  <si>
    <t xml:space="preserve">1980</t>
  </si>
  <si>
    <t xml:space="preserve">FT-09</t>
  </si>
  <si>
    <t xml:space="preserve">49-5294</t>
  </si>
  <si>
    <t xml:space="preserve">135</t>
  </si>
  <si>
    <t xml:space="preserve">1974</t>
  </si>
  <si>
    <t xml:space="preserve">FT-02</t>
  </si>
  <si>
    <t xml:space="preserve">49-2289</t>
  </si>
  <si>
    <t xml:space="preserve">49-2288</t>
  </si>
  <si>
    <t xml:space="preserve">FT-05</t>
  </si>
  <si>
    <t xml:space="preserve">MOTOR BICYCLE</t>
  </si>
  <si>
    <t xml:space="preserve">Motor Bicycle</t>
  </si>
  <si>
    <t xml:space="preserve">BAJAJ</t>
  </si>
  <si>
    <t xml:space="preserve">PLATINA</t>
  </si>
  <si>
    <t xml:space="preserve">MB-11</t>
  </si>
  <si>
    <t xml:space="preserve">BET-3726</t>
  </si>
  <si>
    <t xml:space="preserve">CD DREAM DLX 110</t>
  </si>
  <si>
    <t xml:space="preserve">MB-09</t>
  </si>
  <si>
    <t xml:space="preserve">MV-5841</t>
  </si>
  <si>
    <t xml:space="preserve">MB-18</t>
  </si>
  <si>
    <t xml:space="preserve">WQ-9941</t>
  </si>
  <si>
    <t xml:space="preserve">MB-19</t>
  </si>
  <si>
    <t xml:space="preserve">BET-3772</t>
  </si>
  <si>
    <t xml:space="preserve">DISCOVER 125</t>
  </si>
  <si>
    <t xml:space="preserve">MB-10</t>
  </si>
  <si>
    <t xml:space="preserve">BEF-7850</t>
  </si>
  <si>
    <t xml:space="preserve">MB-15</t>
  </si>
  <si>
    <t xml:space="preserve">BEF-7836</t>
  </si>
  <si>
    <t xml:space="preserve">MB-35</t>
  </si>
  <si>
    <t xml:space="preserve">BEB-3132</t>
  </si>
  <si>
    <t xml:space="preserve">MB-25</t>
  </si>
  <si>
    <t xml:space="preserve">BDJ-2374</t>
  </si>
  <si>
    <t xml:space="preserve">DISCOVER 125 M</t>
  </si>
  <si>
    <t xml:space="preserve">MB-29</t>
  </si>
  <si>
    <t xml:space="preserve">BCN-9805</t>
  </si>
  <si>
    <t xml:space="preserve">PLATINA BM 125</t>
  </si>
  <si>
    <t xml:space="preserve">MB-32</t>
  </si>
  <si>
    <t xml:space="preserve">BAN-2012</t>
  </si>
  <si>
    <t xml:space="preserve">MB-17</t>
  </si>
  <si>
    <t xml:space="preserve">XW-9221</t>
  </si>
  <si>
    <t xml:space="preserve">MB-22</t>
  </si>
  <si>
    <t xml:space="preserve">BAB-8828</t>
  </si>
  <si>
    <t xml:space="preserve">MB-14</t>
  </si>
  <si>
    <t xml:space="preserve">XG-6801</t>
  </si>
  <si>
    <t xml:space="preserve">DISCOVER DTSI</t>
  </si>
  <si>
    <t xml:space="preserve">MB-13</t>
  </si>
  <si>
    <t xml:space="preserve">TS-5399</t>
  </si>
  <si>
    <t xml:space="preserve">CT100</t>
  </si>
  <si>
    <t xml:space="preserve">MB-08</t>
  </si>
  <si>
    <t xml:space="preserve">MV-4276</t>
  </si>
  <si>
    <t xml:space="preserve">TVS</t>
  </si>
  <si>
    <t xml:space="preserve">STAR CITY</t>
  </si>
  <si>
    <t xml:space="preserve">MB-07</t>
  </si>
  <si>
    <t xml:space="preserve">MP-3092</t>
  </si>
  <si>
    <t xml:space="preserve">HONDA</t>
  </si>
  <si>
    <t xml:space="preserve">CB-125T</t>
  </si>
  <si>
    <t xml:space="preserve">MB-16</t>
  </si>
  <si>
    <t xml:space="preserve">XP-8682</t>
  </si>
  <si>
    <t xml:space="preserve">BAJAJ BOXERCT-DELUXE</t>
  </si>
  <si>
    <t xml:space="preserve">MB-05</t>
  </si>
  <si>
    <t xml:space="preserve">HO-0217</t>
  </si>
  <si>
    <t xml:space="preserve">MB-20</t>
  </si>
  <si>
    <t xml:space="preserve">XW-9217</t>
  </si>
  <si>
    <t xml:space="preserve">MB-21</t>
  </si>
  <si>
    <t xml:space="preserve">XW-9222</t>
  </si>
  <si>
    <t xml:space="preserve">MB-23</t>
  </si>
  <si>
    <t xml:space="preserve">BAB-8832</t>
  </si>
  <si>
    <t xml:space="preserve">MB-26</t>
  </si>
  <si>
    <t xml:space="preserve">BDI-8546</t>
  </si>
  <si>
    <t xml:space="preserve">MB-27</t>
  </si>
  <si>
    <t xml:space="preserve">BDI-8556</t>
  </si>
  <si>
    <t xml:space="preserve">MB-28</t>
  </si>
  <si>
    <t xml:space="preserve">BDJ-2375</t>
  </si>
  <si>
    <t xml:space="preserve">MB-30</t>
  </si>
  <si>
    <t xml:space="preserve">BCN-9802</t>
  </si>
  <si>
    <t xml:space="preserve">MB-31</t>
  </si>
  <si>
    <t xml:space="preserve">BAB-8839</t>
  </si>
  <si>
    <t xml:space="preserve">MB-33</t>
  </si>
  <si>
    <t xml:space="preserve">BAN-2021</t>
  </si>
  <si>
    <t xml:space="preserve">MB-34</t>
  </si>
  <si>
    <t xml:space="preserve">WQ-9935</t>
  </si>
  <si>
    <t xml:space="preserve">ME4JC65BJJT080434</t>
  </si>
  <si>
    <t xml:space="preserve">BIE-8552</t>
  </si>
  <si>
    <t xml:space="preserve">MB-37</t>
  </si>
  <si>
    <t xml:space="preserve">BET-8556</t>
  </si>
  <si>
    <t xml:space="preserve">ME4JC679MJ8001960</t>
  </si>
  <si>
    <t xml:space="preserve">BFR-4276</t>
  </si>
  <si>
    <t xml:space="preserve">MD2A15BY8JWK40326</t>
  </si>
  <si>
    <t xml:space="preserve">BHT-3482</t>
  </si>
  <si>
    <t xml:space="preserve">BGI-5000</t>
  </si>
  <si>
    <t xml:space="preserve">BII-2125</t>
  </si>
  <si>
    <t xml:space="preserve">BIG-4988</t>
  </si>
  <si>
    <t xml:space="preserve">BGY-6440</t>
  </si>
  <si>
    <t xml:space="preserve">AA01-1115643</t>
  </si>
  <si>
    <t xml:space="preserve">BGY-6446</t>
  </si>
  <si>
    <t xml:space="preserve">ME4JC65BKKG000814</t>
  </si>
  <si>
    <t xml:space="preserve">BGY-6445</t>
  </si>
  <si>
    <t xml:space="preserve">DISCOVERY</t>
  </si>
  <si>
    <t xml:space="preserve">MB-36</t>
  </si>
  <si>
    <t xml:space="preserve">BIE-8589</t>
  </si>
  <si>
    <t xml:space="preserve">MD2A15BYJJWL41226</t>
  </si>
  <si>
    <t xml:space="preserve">BID-8738</t>
  </si>
  <si>
    <t xml:space="preserve">TRACTOR BOWSER</t>
  </si>
  <si>
    <t xml:space="preserve">TB-10</t>
  </si>
  <si>
    <t xml:space="preserve">TB-11</t>
  </si>
  <si>
    <t xml:space="preserve">TB-12</t>
  </si>
  <si>
    <t xml:space="preserve">TRACTOR TRILER</t>
  </si>
  <si>
    <t xml:space="preserve">TB-09</t>
  </si>
  <si>
    <t xml:space="preserve">TB-01</t>
  </si>
  <si>
    <t xml:space="preserve">TB-04</t>
  </si>
  <si>
    <t xml:space="preserve">TB-15</t>
  </si>
  <si>
    <t xml:space="preserve">TB-16</t>
  </si>
  <si>
    <t xml:space="preserve">TB-17</t>
  </si>
  <si>
    <t xml:space="preserve">TB-18</t>
  </si>
  <si>
    <t xml:space="preserve">FORKLIFT</t>
  </si>
  <si>
    <t xml:space="preserve">Forklift</t>
  </si>
  <si>
    <t xml:space="preserve">BARROL FORK LIFT</t>
  </si>
  <si>
    <t xml:space="preserve">FL-01</t>
  </si>
  <si>
    <t xml:space="preserve">BLADE FOCK LIFT</t>
  </si>
  <si>
    <t xml:space="preserve">FL-02</t>
  </si>
  <si>
    <t xml:space="preserve">FL-03</t>
  </si>
  <si>
    <t xml:space="preserve">Fuel rate is the per-unit reference cost of diesel/petrol only (no operator, lubricants or margin) — add on top of a DRY or DRY+OPERATOR deal, or use it to check the fuel allowance inside a WET contract. Apply the escalation clause (README) on every WET quotation.</t>
  </si>
  <si>
    <t xml:space="preserve">MACHINERY / PORTABLE EQUIPMENT PRICE SHEET 2026 — DRY  /  DRY + OPERATOR  /  WET   (Rs./day, excl. 18% VAT, min. 1 day)</t>
  </si>
  <si>
    <t xml:space="preserve">WET = DRY + operator + fuel for the stated duty hrs/day at CPC prices (Diesel Rs.382 / Petrol-92 Rs.414, eff. 29-Jun-2026). Electric items: power by client (fuel = 0) — if we supply a generator, add it as a separate line. Extra running hours billed at L/hr x CPC price. Operator Rs.3,500/day (skilled welder/cutter Rs.5,000/day). Diamond blades &amp; core bits billed per use at cost + 15%.</t>
  </si>
  <si>
    <t xml:space="preserve">A — POWER &amp; AIR  (generators, air compressors, welding generators, gas cutting)</t>
  </si>
  <si>
    <t xml:space="preserve">Equipment</t>
  </si>
  <si>
    <t xml:space="preserve">Capacity / Size</t>
  </si>
  <si>
    <t xml:space="preserve">Power / Fuel</t>
  </si>
  <si>
    <t xml:space="preserve">Output &amp; Efficiency</t>
  </si>
  <si>
    <t xml:space="preserve">Cons.
L/hr</t>
  </si>
  <si>
    <t xml:space="preserve">Duty
hrs/day</t>
  </si>
  <si>
    <t xml:space="preserve">Fuel
Rs./day</t>
  </si>
  <si>
    <t xml:space="preserve">DRY
Rs./day</t>
  </si>
  <si>
    <t xml:space="preserve">Operator
Rs./day</t>
  </si>
  <si>
    <t xml:space="preserve">DRY + OPERATOR
Rs./day</t>
  </si>
  <si>
    <t xml:space="preserve">WET
Rs./day</t>
  </si>
  <si>
    <t xml:space="preserve">Market reference (SL, 2026)</t>
  </si>
  <si>
    <t xml:space="preserve">Generator</t>
  </si>
  <si>
    <t xml:space="preserve">3–5 kVA (petrol, 1-ph)</t>
  </si>
  <si>
    <t xml:space="preserve">Petrol engine</t>
  </si>
  <si>
    <t xml:space="preserve">2.4–4.0 kW prime, 230 V; ~0.35 L/kWh</t>
  </si>
  <si>
    <t xml:space="preserve">Peters 2–5 kVA Rs.4,000–5,000/day</t>
  </si>
  <si>
    <t xml:space="preserve">10 kVA (diesel, 1-ph)</t>
  </si>
  <si>
    <t xml:space="preserve">Diesel engine</t>
  </si>
  <si>
    <t xml:space="preserve">8 kW prime, 230 V; ~0.28 L/kWh</t>
  </si>
  <si>
    <t xml:space="preserve">Peters 10 kVA Rs.6,000/day</t>
  </si>
  <si>
    <t xml:space="preserve">15 kVA (diesel, 3-ph)</t>
  </si>
  <si>
    <t xml:space="preserve">12 kW prime, 400 V</t>
  </si>
  <si>
    <t xml:space="preserve">Interpolated SL band</t>
  </si>
  <si>
    <t xml:space="preserve">20–25 kVA (diesel, 3-ph)</t>
  </si>
  <si>
    <t xml:space="preserve">16–20 kW prime, 400 V</t>
  </si>
  <si>
    <t xml:space="preserve">Peters 25 kVA Rs.8,000/day</t>
  </si>
  <si>
    <t xml:space="preserve">30–50 kVA (diesel, 3-ph)</t>
  </si>
  <si>
    <t xml:space="preserve">24–40 kW prime</t>
  </si>
  <si>
    <t xml:space="preserve">Peters 50 kVA Rs.10–12,000/day</t>
  </si>
  <si>
    <t xml:space="preserve">60–80 kVA (soundproof)</t>
  </si>
  <si>
    <t xml:space="preserve">48–64 kW prime, &lt;75 dB@7m</t>
  </si>
  <si>
    <t xml:space="preserve">Generators.lk/UTE band</t>
  </si>
  <si>
    <t xml:space="preserve">100–125 kVA (soundproof)</t>
  </si>
  <si>
    <t xml:space="preserve">80–100 kW prime</t>
  </si>
  <si>
    <t xml:space="preserve">150 kVA (soundproof)</t>
  </si>
  <si>
    <t xml:space="preserve">120 kW prime</t>
  </si>
  <si>
    <t xml:space="preserve">Generators.lk upper band</t>
  </si>
  <si>
    <t xml:space="preserve">250 kVA (soundproof)</t>
  </si>
  <si>
    <t xml:space="preserve">200 kW prime</t>
  </si>
  <si>
    <t xml:space="preserve">Project/event band, Colombo</t>
  </si>
  <si>
    <t xml:space="preserve">Air Compressor</t>
  </si>
  <si>
    <t xml:space="preserve">2–3 HP (portable)</t>
  </si>
  <si>
    <t xml:space="preserve">Electric 1.5–2.2 kW</t>
  </si>
  <si>
    <t xml:space="preserve">8–10 cfm @ 8 bar, 50 L tank</t>
  </si>
  <si>
    <t xml:space="preserve">SL hire-shop day-rate</t>
  </si>
  <si>
    <t xml:space="preserve">5–7 HP (belt-drive)</t>
  </si>
  <si>
    <t xml:space="preserve">16–21 cfm @ 8–10 bar</t>
  </si>
  <si>
    <t xml:space="preserve">Western-Province hire-shop</t>
  </si>
  <si>
    <t xml:space="preserve">10–15 HP (industrial)</t>
  </si>
  <si>
    <t xml:space="preserve">Electric 7.5–11 kW</t>
  </si>
  <si>
    <t xml:space="preserve">35–50 cfm @ 10–12 bar</t>
  </si>
  <si>
    <t xml:space="preserve">185 cfm (towable)</t>
  </si>
  <si>
    <t xml:space="preserve">185 cfm @ 7 bar — feeds 2 breakers</t>
  </si>
  <si>
    <t xml:space="preserve">Project day-rate</t>
  </si>
  <si>
    <t xml:space="preserve">375 cfm (towable)</t>
  </si>
  <si>
    <t xml:space="preserve">375 cfm @ 8.6 bar — feeds 4 breakers</t>
  </si>
  <si>
    <t xml:space="preserve">Pneumatic Jack Hammer</t>
  </si>
  <si>
    <t xml:space="preserve">25–30 kg (w/ hoses, excl. compressor)</t>
  </si>
  <si>
    <t xml:space="preserve">Pneumatic (via compressor)</t>
  </si>
  <si>
    <t xml:space="preserve">~1,250 bpm; pavement/rock breaking</t>
  </si>
  <si>
    <t xml:space="preserve">Peters jackhammer pkg Rs.10,000/day (with compressor)</t>
  </si>
  <si>
    <t xml:space="preserve">Welding Inverter</t>
  </si>
  <si>
    <t xml:space="preserve">200 A (MMA/ARC)</t>
  </si>
  <si>
    <t xml:space="preserve">Electric 6–8 kVA</t>
  </si>
  <si>
    <t xml:space="preserve">200 A @ 60% duty; rods up to 4.0 mm</t>
  </si>
  <si>
    <t xml:space="preserve">Welding Generator</t>
  </si>
  <si>
    <t xml:space="preserve">250 A (petrol)</t>
  </si>
  <si>
    <t xml:space="preserve">250 A DC @ 60% duty + 3 kW aux power</t>
  </si>
  <si>
    <t xml:space="preserve">Engine-welder SL band</t>
  </si>
  <si>
    <t xml:space="preserve">300 A (diesel)</t>
  </si>
  <si>
    <t xml:space="preserve">300 A DC @ 60% duty + 5 kW aux power</t>
  </si>
  <si>
    <t xml:space="preserve">Existing card; SL band</t>
  </si>
  <si>
    <t xml:space="preserve">400–500 A (diesel)</t>
  </si>
  <si>
    <t xml:space="preserve">400–500 A @ 60%; dual-arc capable</t>
  </si>
  <si>
    <t xml:space="preserve">Heavy fabrication band</t>
  </si>
  <si>
    <t xml:space="preserve">Gas Cutting Set</t>
  </si>
  <si>
    <t xml:space="preserve">Oxy-acetylene (cylinders excl.)</t>
  </si>
  <si>
    <t xml:space="preserve">Gas (billed per cylinder)</t>
  </si>
  <si>
    <t xml:space="preserve">Cuts MS plate up to 150 mm</t>
  </si>
  <si>
    <t xml:space="preserve">Peters metal gas cutter Rs.5,500/day</t>
  </si>
  <si>
    <t xml:space="preserve">B — CONCRETING &amp; STRUCTURAL  (mixers, pokers, bar cutters, bar benders, trowels, breakers)</t>
  </si>
  <si>
    <t xml:space="preserve">Concrete Mixer</t>
  </si>
  <si>
    <t xml:space="preserve">5/3.5 cu.ft (half-bag)</t>
  </si>
  <si>
    <t xml:space="preserve">~1.5–2.0 m3/hr output; drum ~20 rpm</t>
  </si>
  <si>
    <t xml:space="preserve">Existing card; SL hire-shops</t>
  </si>
  <si>
    <t xml:space="preserve">10/7 cu.ft (one-bag)</t>
  </si>
  <si>
    <t xml:space="preserve">~3–4 m3/hr; 1 bag/batch, ~18 rpm</t>
  </si>
  <si>
    <t xml:space="preserve">10/7 cu.ft + hopper/hoist</t>
  </si>
  <si>
    <t xml:space="preserve">~3.5–4.5 m3/hr; mechanical feed</t>
  </si>
  <si>
    <t xml:space="preserve">Existing card</t>
  </si>
  <si>
    <t xml:space="preserve">Poker / Concrete Vibrator</t>
  </si>
  <si>
    <t xml:space="preserve">Electric drive + 4 m shaft</t>
  </si>
  <si>
    <t xml:space="preserve">Electric 2.3 kW</t>
  </si>
  <si>
    <t xml:space="preserve">Needle 25–60 mm; compacts ~12–20 m3/hr</t>
  </si>
  <si>
    <t xml:space="preserve">Existing card; wedabima listings</t>
  </si>
  <si>
    <t xml:space="preserve">Petrol drive + 4 m shaft</t>
  </si>
  <si>
    <t xml:space="preserve">Petrol engine (GX160)</t>
  </si>
  <si>
    <t xml:space="preserve">Compacts ~15–25 m3/hr</t>
  </si>
  <si>
    <t xml:space="preserve">Spare needle/shaft 35–60 mm</t>
  </si>
  <si>
    <t xml:space="preserve">Accessory only</t>
  </si>
  <si>
    <t xml:space="preserve">Accessory</t>
  </si>
  <si>
    <t xml:space="preserve">Bar Cutter (Heavy)</t>
  </si>
  <si>
    <t xml:space="preserve">Up to 25 mm TMT</t>
  </si>
  <si>
    <t xml:space="preserve">Electric 2.2 kW</t>
  </si>
  <si>
    <t xml:space="preserve">~2–3 s per cut; ~400–600 cuts/day</t>
  </si>
  <si>
    <t xml:space="preserve">vs Peters bender Rs.6,000/day class</t>
  </si>
  <si>
    <t xml:space="preserve">Up to 32 mm TMT</t>
  </si>
  <si>
    <t xml:space="preserve">Electric 3.0 kW</t>
  </si>
  <si>
    <t xml:space="preserve">~3 s per cut; GQ40/RC-32 class</t>
  </si>
  <si>
    <t xml:space="preserve">SL hire market (wedabima 6–52 mm)</t>
  </si>
  <si>
    <t xml:space="preserve">Up to 40 mm TMT</t>
  </si>
  <si>
    <t xml:space="preserve">Electric 4.0 kW</t>
  </si>
  <si>
    <t xml:space="preserve">Heavy site fabrication; GQ50 class</t>
  </si>
  <si>
    <t xml:space="preserve">SL hire market</t>
  </si>
  <si>
    <t xml:space="preserve">Rebar Cutter (Portable)</t>
  </si>
  <si>
    <t xml:space="preserve">Hydraulic, up to 20 mm</t>
  </si>
  <si>
    <t xml:space="preserve">Electric 1.3 kW</t>
  </si>
  <si>
    <t xml:space="preserve">Hand-held; 3–4 s per cut</t>
  </si>
  <si>
    <t xml:space="preserve">Bar Bender</t>
  </si>
  <si>
    <t xml:space="preserve">0–180° bends; multi-bar on small dia</t>
  </si>
  <si>
    <t xml:space="preserve">vs Peters Rs.6,000/day</t>
  </si>
  <si>
    <t xml:space="preserve">0–180°, adjustable angle stops</t>
  </si>
  <si>
    <t xml:space="preserve">Peters bar bender Rs.6,000/day</t>
  </si>
  <si>
    <t xml:space="preserve">Up to 42 mm TMT</t>
  </si>
  <si>
    <t xml:space="preserve">GW50 class; heavy cage work</t>
  </si>
  <si>
    <t xml:space="preserve">SL hire market (wedabima to 52 mm)</t>
  </si>
  <si>
    <t xml:space="preserve">Power Trowel</t>
  </si>
  <si>
    <t xml:space="preserve">36 in (900 mm) blade</t>
  </si>
  <si>
    <t xml:space="preserve">60–115 rpm; finishes ~500–700 m2/day</t>
  </si>
  <si>
    <t xml:space="preserve">Rotary Hammer</t>
  </si>
  <si>
    <t xml:space="preserve">2–4 kg (SDS-plus)</t>
  </si>
  <si>
    <t xml:space="preserve">Electric 0.8 kW</t>
  </si>
  <si>
    <t xml:space="preserve">Drills concrete up to 26 mm</t>
  </si>
  <si>
    <t xml:space="preserve">Peters SDS Rs.3,000/day</t>
  </si>
  <si>
    <t xml:space="preserve">5–7 kg (SDS-max)</t>
  </si>
  <si>
    <t xml:space="preserve">Up to 40 mm; light chiselling</t>
  </si>
  <si>
    <t xml:space="preserve">Demolition Breaker</t>
  </si>
  <si>
    <t xml:space="preserve">10–16 kg</t>
  </si>
  <si>
    <t xml:space="preserve">Electric 1.7 kW</t>
  </si>
  <si>
    <t xml:space="preserve">25–45 J impact; wall/slab demolition</t>
  </si>
  <si>
    <t xml:space="preserve">Peters breaker Rs.4,000/day</t>
  </si>
  <si>
    <t xml:space="preserve">Cut-off Saw (bench)</t>
  </si>
  <si>
    <t xml:space="preserve">14 in metal chop saw</t>
  </si>
  <si>
    <t xml:space="preserve">Electric 2.4 kW</t>
  </si>
  <si>
    <t xml:space="preserve">Cuts bar/section up to ~120 mm</t>
  </si>
  <si>
    <t xml:space="preserve">Existing card; Peters metal saw</t>
  </si>
  <si>
    <t xml:space="preserve">C — ROADWORK &amp; COMPACTION  (asphalt cutters, core cutters, wackers/rammers, compactors, rollers)</t>
  </si>
  <si>
    <t xml:space="preserve">Asphalt Cutter (floor saw)</t>
  </si>
  <si>
    <t xml:space="preserve">12 in blade</t>
  </si>
  <si>
    <t xml:space="preserve">Petrol engine 13 HP</t>
  </si>
  <si>
    <t xml:space="preserve">Cut depth to 100 mm; water-cooled</t>
  </si>
  <si>
    <t xml:space="preserve">SL road-contractor band</t>
  </si>
  <si>
    <t xml:space="preserve">14 in blade</t>
  </si>
  <si>
    <t xml:space="preserve">Cut depth to 120 mm; 25 L water tank</t>
  </si>
  <si>
    <t xml:space="preserve">16–18 in blade</t>
  </si>
  <si>
    <t xml:space="preserve">Cut depth 150–175 mm; highway joints</t>
  </si>
  <si>
    <t xml:space="preserve">Hand Cut-off Saw</t>
  </si>
  <si>
    <t xml:space="preserve">12–14 in (petrol, hand-held)</t>
  </si>
  <si>
    <t xml:space="preserve">Free-hand cuts to 100–125 mm</t>
  </si>
  <si>
    <t xml:space="preserve">Stihl TS-class hire band</t>
  </si>
  <si>
    <t xml:space="preserve">Asphalt/Concrete Core Cutter</t>
  </si>
  <si>
    <t xml:space="preserve">Up to 4 in (102 mm)</t>
  </si>
  <si>
    <t xml:space="preserve">Electric 2.5 kW</t>
  </si>
  <si>
    <t xml:space="preserve">Diamond cores 25–102 mm; wet drilling</t>
  </si>
  <si>
    <t xml:space="preserve">Hi-Q/SL hire market</t>
  </si>
  <si>
    <t xml:space="preserve">Up to 6 in (152 mm), w/ stand</t>
  </si>
  <si>
    <t xml:space="preserve">Electric 3.3 kW</t>
  </si>
  <si>
    <t xml:space="preserve">Wet drilling; anchor/vacuum stand</t>
  </si>
  <si>
    <t xml:space="preserve">Up to 10 in (254 mm), heavy</t>
  </si>
  <si>
    <t xml:space="preserve">Electric 5+ kW</t>
  </si>
  <si>
    <t xml:space="preserve">Deep cores; services penetrations</t>
  </si>
  <si>
    <t xml:space="preserve">Road Core Cutter (petrol)</t>
  </si>
  <si>
    <t xml:space="preserve">100/150 mm pavement cores</t>
  </si>
  <si>
    <t xml:space="preserve">QC cores on asphalt/ABC; trolley-mounted</t>
  </si>
  <si>
    <t xml:space="preserve">Road-lab practice; bits at cost+15%</t>
  </si>
  <si>
    <t xml:space="preserve">Wacker / Tamping Rammer</t>
  </si>
  <si>
    <t xml:space="preserve">60–80 kg</t>
  </si>
  <si>
    <t xml:space="preserve">Petrol engine (GX120)</t>
  </si>
  <si>
    <t xml:space="preserve">10–14 kN impact, ~650 bpm; trench compaction</t>
  </si>
  <si>
    <t xml:space="preserve">Peters rammer Rs.3,500/day</t>
  </si>
  <si>
    <t xml:space="preserve">Plate Compactor (forward)</t>
  </si>
  <si>
    <t xml:space="preserve">60–90 kg</t>
  </si>
  <si>
    <t xml:space="preserve">10–15 kN; compacts ~400–600 m2/day</t>
  </si>
  <si>
    <t xml:space="preserve">Existing card; Peters</t>
  </si>
  <si>
    <t xml:space="preserve">Plate Compactor (reversible)</t>
  </si>
  <si>
    <t xml:space="preserve">160–250 kg</t>
  </si>
  <si>
    <t xml:space="preserve">30–38 kN; deep-lift ABC/backfill</t>
  </si>
  <si>
    <t xml:space="preserve">Walk-behind Roller</t>
  </si>
  <si>
    <t xml:space="preserve">600–1,000 kg (hand-drive)</t>
  </si>
  <si>
    <t xml:space="preserve">650 mm drum; patch/footpath rolling</t>
  </si>
  <si>
    <t xml:space="preserve">Peters 1-ton hand-drive roller</t>
  </si>
  <si>
    <t xml:space="preserve">D — PUMPS &amp; LIGHTING  (engine pumps, submersibles, pressure pumps, light plants)</t>
  </si>
  <si>
    <t xml:space="preserve">Engine Water Pump</t>
  </si>
  <si>
    <t xml:space="preserve">2 in (petrol, self-priming)</t>
  </si>
  <si>
    <t xml:space="preserve">Petrol engine (WB20 class)</t>
  </si>
  <si>
    <t xml:space="preserve">600–700 L/min; head ~30 m</t>
  </si>
  <si>
    <t xml:space="preserve">Existing card; Honda-type</t>
  </si>
  <si>
    <t xml:space="preserve">3 in (petrol, self-priming)</t>
  </si>
  <si>
    <t xml:space="preserve">Petrol engine (WB30 class)</t>
  </si>
  <si>
    <t xml:space="preserve">1,000–1,100 L/min; head ~27 m</t>
  </si>
  <si>
    <t xml:space="preserve">4 in (diesel)</t>
  </si>
  <si>
    <t xml:space="preserve">1,600–1,800 L/min; site dewatering</t>
  </si>
  <si>
    <t xml:space="preserve">6 in (diesel)</t>
  </si>
  <si>
    <t xml:space="preserve">2,500–3,000 L/min; bulk dewatering</t>
  </si>
  <si>
    <t xml:space="preserve">SL project band</t>
  </si>
  <si>
    <t xml:space="preserve">Trash Pump</t>
  </si>
  <si>
    <t xml:space="preserve">3 in solids-handling</t>
  </si>
  <si>
    <t xml:space="preserve">~1,200 L/min; solids up to 25 mm</t>
  </si>
  <si>
    <t xml:space="preserve">Submersible Pump</t>
  </si>
  <si>
    <t xml:space="preserve">1 in (electric)</t>
  </si>
  <si>
    <t xml:space="preserve">Electric 0.4 kW</t>
  </si>
  <si>
    <t xml:space="preserve">100–150 L/min; head 8–10 m</t>
  </si>
  <si>
    <t xml:space="preserve">2 in (electric)</t>
  </si>
  <si>
    <t xml:space="preserve">Electric 1.1 kW</t>
  </si>
  <si>
    <t xml:space="preserve">250–350 L/min; head 10–12 m</t>
  </si>
  <si>
    <t xml:space="preserve">3 in (electric)</t>
  </si>
  <si>
    <t xml:space="preserve">600–700 L/min; head 12–15 m</t>
  </si>
  <si>
    <t xml:space="preserve">4 in (electric)</t>
  </si>
  <si>
    <t xml:space="preserve">Electric 3.7 kW</t>
  </si>
  <si>
    <t xml:space="preserve">1,000–1,300 L/min</t>
  </si>
  <si>
    <t xml:space="preserve">6 in (high-volume)</t>
  </si>
  <si>
    <t xml:space="preserve">Electric 7.5 kW</t>
  </si>
  <si>
    <t xml:space="preserve">2,500–3,000 L/min</t>
  </si>
  <si>
    <t xml:space="preserve">Water Pressure Pump</t>
  </si>
  <si>
    <t xml:space="preserve">HP washer 100–130 bar</t>
  </si>
  <si>
    <t xml:space="preserve">Electric 2.0–2.5 kW</t>
  </si>
  <si>
    <t xml:space="preserve">6–8 L/min; cleaning/curing</t>
  </si>
  <si>
    <t xml:space="preserve">HP washer 150–200 bar</t>
  </si>
  <si>
    <t xml:space="preserve">12–15 L/min; shutter/plant washing</t>
  </si>
  <si>
    <t xml:space="preserve">HP washer 250 bar industrial</t>
  </si>
  <si>
    <t xml:space="preserve">15–21 L/min; hydro-cleaning</t>
  </si>
  <si>
    <t xml:space="preserve">Hydrostatic test pump to 60 bar</t>
  </si>
  <si>
    <t xml:space="preserve">Electric / manual</t>
  </si>
  <si>
    <t xml:space="preserve">Pipeline pressure testing</t>
  </si>
  <si>
    <t xml:space="preserve">Hi-Q hand test pump class</t>
  </si>
  <si>
    <t xml:space="preserve">Booster pump 1–2 HP</t>
  </si>
  <si>
    <t xml:space="preserve">Electric 0.75–1.5 kW</t>
  </si>
  <si>
    <t xml:space="preserve">30–60 L/min; head 30–40 m</t>
  </si>
  <si>
    <t xml:space="preserve">Light Plant</t>
  </si>
  <si>
    <t xml:space="preserve">LED tower 4x400 W (mobile)</t>
  </si>
  <si>
    <t xml:space="preserve">Mast 5–9 m; lights ~4,000–5,000 m2; 12-hr night duty</t>
  </si>
  <si>
    <t xml:space="preserve">Metal-halide tower 4x1,000 W</t>
  </si>
  <si>
    <t xml:space="preserve">Mast 9 m; lights ~6,000 m2; 12-hr night duty</t>
  </si>
  <si>
    <t xml:space="preserve">LED work light 2x50 W + tripod</t>
  </si>
  <si>
    <t xml:space="preserve">Electric</t>
  </si>
  <si>
    <t xml:space="preserve">Task lighting, indoor works</t>
  </si>
  <si>
    <t xml:space="preserve">E — GENERAL TOOLS  (saws, grinders, drills, winches)</t>
  </si>
  <si>
    <t xml:space="preserve">Circular Saw</t>
  </si>
  <si>
    <t xml:space="preserve">7 in (185 mm)</t>
  </si>
  <si>
    <t xml:space="preserve">Electric 1.4 kW</t>
  </si>
  <si>
    <t xml:space="preserve">Timber to 60 mm</t>
  </si>
  <si>
    <t xml:space="preserve">9 in (235 mm)</t>
  </si>
  <si>
    <t xml:space="preserve">Electric 2.0 kW</t>
  </si>
  <si>
    <t xml:space="preserve">Timber to 85 mm</t>
  </si>
  <si>
    <t xml:space="preserve">Angle Grinder</t>
  </si>
  <si>
    <t xml:space="preserve">4–5 in (100–125 mm)</t>
  </si>
  <si>
    <t xml:space="preserve">Electric 0.9 kW</t>
  </si>
  <si>
    <t xml:space="preserve">Cutting/grinding steel &amp; masonry</t>
  </si>
  <si>
    <t xml:space="preserve">7–9 in (180–230 mm)</t>
  </si>
  <si>
    <t xml:space="preserve">Heavy cutting/grinding</t>
  </si>
  <si>
    <t xml:space="preserve">Drill (hand/hammer/impact)</t>
  </si>
  <si>
    <t xml:space="preserve">Up to 13 mm</t>
  </si>
  <si>
    <t xml:space="preserve">Electric 0.5–0.8 kW</t>
  </si>
  <si>
    <t xml:space="preserve">Steel/masonry drilling</t>
  </si>
  <si>
    <t xml:space="preserve">Peters drills Rs.250–500/day</t>
  </si>
  <si>
    <t xml:space="preserve">Magnetic Drill</t>
  </si>
  <si>
    <t xml:space="preserve">Broach to 32 mm</t>
  </si>
  <si>
    <t xml:space="preserve">Steel fabrication drilling</t>
  </si>
  <si>
    <t xml:space="preserve">Peters magnetic drill Rs.6,000/day</t>
  </si>
  <si>
    <t xml:space="preserve">Electric Winch</t>
  </si>
  <si>
    <t xml:space="preserve">500 kg – 1 t</t>
  </si>
  <si>
    <t xml:space="preserve">Lifting/pulling with wire rope</t>
  </si>
  <si>
    <t xml:space="preserve">Peters winch Rs.5,000/day</t>
  </si>
  <si>
    <t xml:space="preserve">Bench Drill</t>
  </si>
  <si>
    <t xml:space="preserve">Up to 16 mm</t>
  </si>
  <si>
    <t xml:space="preserve">Workshop precision drilling</t>
  </si>
  <si>
    <t xml:space="preserve">Peters bench drill Rs.500/day</t>
  </si>
  <si>
    <t xml:space="preserve">Operator column = 0 means the item is typically dry-hired (hand tool); a tradesman can be supplied at Rs.3,500–5,000/day on request. Jack hammer &amp; gas-cutting set: consumables (air from compressor / gas cylinders) billed separately — hence duty hrs = 0 in the fuel column.</t>
  </si>
  <si>
    <t xml:space="preserve">SRI LANKAN RENTAL MARKET ANALYSIS — JULY 2026</t>
  </si>
  <si>
    <t xml:space="preserve">Sources: SLLDC official rates (government ceiling), Peters Equipment published day-rates (petersequipment.lk), wedabima.com &amp; ikman.lk listings, Hi-Q Tools, Generators.lk/UTE bands, CPC/Ceypetco fuel notices, Daily Mirror/News1st fuel reporting.</t>
  </si>
  <si>
    <t xml:space="preserve">1. FUEL PRICE CONTEXT (drives every WET rate)</t>
  </si>
  <si>
    <t xml:space="preserve">• Feb-2026 Middle-East conflict disrupted the Hormuz route (+~45% global crude) and LKR fell ~5% YTD -&gt; CPC raised prices 3 times: Auto Diesel Rs.286 (Jan) -&gt; 303 (Mar) -&gt; 392 -&gt; 407 (30-May peak). Petrol 92 peaked at Rs.434.</t>
  </si>
  <si>
    <t xml:space="preserve">• 29-Jun-2026 revision CUT Auto Diesel by Rs.25 to Rs.382/L and Petrol 92 by Rs.20 to Rs.414/L — the basis used throughout this workbook.</t>
  </si>
  <si>
    <t xml:space="preserve">• The old v7 'Fuel Rates' sheet used Rs.478/L — that is the SUPER Diesel (Euro-4) price, not Auto Diesel. All fleet plant runs on Auto Diesel; rates here are corrected to Rs.382.</t>
  </si>
  <si>
    <t xml:space="preserve">• CPC subsidy (~Rs.100/L on diesel) is confirmed only until Sep-2026 — quote WET rates with the fuel escalation clause (README). A +Rs.50/L move adds e.g. Rs.750/hr to a 20T excavator (15 L/hr).</t>
  </si>
  <si>
    <t xml:space="preserve">2. FLEET — OUR WET RATE vs MARKET (Rs./hr)</t>
  </si>
  <si>
    <t xml:space="preserve">Our WET</t>
  </si>
  <si>
    <t xml:space="preserve">Market LOW</t>
  </si>
  <si>
    <t xml:space="preserve">Market MID</t>
  </si>
  <si>
    <t xml:space="preserve">Market HIGH</t>
  </si>
  <si>
    <t xml:space="preserve">% above LOW</t>
  </si>
  <si>
    <t xml:space="preserve">% below HIGH</t>
  </si>
  <si>
    <t xml:space="preserve">Position</t>
  </si>
  <si>
    <t xml:space="preserve">3. MACHINERY — PUBLISHED SL DAY-RATE ANCHORS vs THIS SHEET</t>
  </si>
  <si>
    <t xml:space="preserve">Market item (published)</t>
  </si>
  <si>
    <t xml:space="preserve">Published Rs./day</t>
  </si>
  <si>
    <t xml:space="preserve">Vendor / basis</t>
  </si>
  <si>
    <t xml:space="preserve">Our comparable DRY</t>
  </si>
  <si>
    <t xml:space="preserve">Our DRY+OPERATOR</t>
  </si>
  <si>
    <t xml:space="preserve">Our fully-WET</t>
  </si>
  <si>
    <t xml:space="preserve">Reading</t>
  </si>
  <si>
    <t xml:space="preserve">Generator 5 kVA</t>
  </si>
  <si>
    <t xml:space="preserve">Peters Equipment</t>
  </si>
  <si>
    <t xml:space="preserve">Published rate ~ our DRY+attendant; excludes 8-hr fuel (~Rs.4,600 petrol)</t>
  </si>
  <si>
    <t xml:space="preserve">Generator 10 kVA diesel</t>
  </si>
  <si>
    <t xml:space="preserve">8-hr fuel alone = ~Rs.6,700 -&gt; published rate cannot be fully wet</t>
  </si>
  <si>
    <t xml:space="preserve">Generator 25 kVA diesel</t>
  </si>
  <si>
    <t xml:space="preserve">8-hr fuel = ~Rs.12,200; treat market rate as DRY-plus</t>
  </si>
  <si>
    <t xml:space="preserve">Generator 50 kVA diesel</t>
  </si>
  <si>
    <t xml:space="preserve">8-hr fuel = ~Rs.22,900; fully-wet is ~2x the published rate</t>
  </si>
  <si>
    <t xml:space="preserve">Bar bending machine</t>
  </si>
  <si>
    <t xml:space="preserve">Sits between our DRY Rs.4,500 and DRY+OP Rs.8,000 (32 mm class)</t>
  </si>
  <si>
    <t xml:space="preserve">Tamping rammer</t>
  </si>
  <si>
    <t xml:space="preserve">our dry rs.2,500 + margin; our fully-wet ~rs.8,0 incl. op+fuel</t>
  </si>
  <si>
    <t xml:space="preserve">Jack hammer (pkg)</t>
  </si>
  <si>
    <t xml:space="preserve">Package incl. compressor air; our breaker line + 185 cfm covers it</t>
  </si>
  <si>
    <t xml:space="preserve">Demolition breaker</t>
  </si>
  <si>
    <t xml:space="preserve">Matches our DRY Rs.2,700 + operator margin</t>
  </si>
  <si>
    <t xml:space="preserve">Rotary hammer SDS</t>
  </si>
  <si>
    <t xml:space="preserve">Our DRY Rs.1,000 undercuts; theirs likely incl. bits/attendance</t>
  </si>
  <si>
    <t xml:space="preserve">Metal gas cutter set</t>
  </si>
  <si>
    <t xml:space="preserve">Ours Rs.3,800 DRY + welder; gas cylinders billed at cost</t>
  </si>
  <si>
    <t xml:space="preserve">Magnetic drill</t>
  </si>
  <si>
    <t xml:space="preserve">Ours Rs.4,000 DRY — competitive</t>
  </si>
  <si>
    <t xml:space="preserve">Electric winch</t>
  </si>
  <si>
    <t xml:space="preserve">Ours Rs.3,500 DRY — competitive</t>
  </si>
  <si>
    <t xml:space="preserve">Hand drill</t>
  </si>
  <si>
    <t xml:space="preserve">Ours Rs.450 DRY incl. hammer/impact class</t>
  </si>
  <si>
    <t xml:space="preserve">Bar bender/cutter 6–52 mm</t>
  </si>
  <si>
    <t xml:space="preserve">Call</t>
  </si>
  <si>
    <t xml:space="preserve">wedabima.com listings</t>
  </si>
  <si>
    <t xml:space="preserve">Full diameter range confirmed available for hire in SL</t>
  </si>
  <si>
    <t xml:space="preserve">Tamping rammer (regional)</t>
  </si>
  <si>
    <t xml:space="preserve">Wayamba Rent-A-All (wedabima)</t>
  </si>
  <si>
    <t xml:space="preserve">Regional availability outside Colombo confirmed</t>
  </si>
  <si>
    <t xml:space="preserve">4. KEY FINDINGS &amp; RECOMMENDATIONS</t>
  </si>
  <si>
    <t xml:space="preserve">F1 — Fleet WET card sits mid-market: typically 10–75% above the cheapest private quotes and 11–47% below the SLLDC government ceiling. Positioning intact at Diesel Rs.382.</t>
  </si>
  <si>
    <t xml:space="preserve">F2 — New DRY+OPERATOR tier = DRY + Rs.800/hr (Rs.650 cost x 1.23 loading). This prices the common 'our operator, your fuel' deal without disturbing the engineered card, and protects us from fuel-price risk on those contracts.</t>
  </si>
  <si>
    <t xml:space="preserve">F3 — Margin check (Fleet sheet col H/I): 27 of 29 categories flag THIN, i.e. the price drop from WET to DRY+OPERATOR is larger than the diesel the client takes over. This is a structural feature of the SL market: DRY ratios (0.45–0.55 x WET) price the bare machine at a premium for utilisation/abuse risk. Commercial reading: (a) WET still clears the engineering floor (fuel+operator+20% profit) so keep pushing WET; (b) DRY+OPERATOR contracts fully insulate us from fuel-price risk — favour them while CPC prices are volatile; (c) never quote WET without the escalation clause, because the implied fuel allowance inside WET has no headroom for heavy-duty burn.</t>
  </si>
  <si>
    <t xml:space="preserve">F4 — Machinery: published SL 'day rates' (e.g., 10 kVA genset Rs.6,000) behave like DRY / DRY+attendant. A genuine fully-wet 10 kVA day costs ~Rs.13,700 (Rs.3,500 machine + Rs.3,500 operator + ~Rs.6,700 diesel for 8 hrs). The old sheet's 'WET Rs.7,000' under-recovered fuel by ~Rs.6,700/day. This sheet computes WET honestly from duty-hours x L/hr x CPC price — quote it with confidence and show the client the math.</t>
  </si>
  <si>
    <t xml:space="preserve">F5 — Duty-hours are the fair-use assumption inside each WET day rate (generators 8 h, pumps 6 h, mixers/pokers/compaction 4–5 h, cutters/cores 2–3 h, light towers 12 h night). Meter/log extra hours and bill at L/hr x CPC price.</t>
  </si>
  <si>
    <t xml:space="preserve">F6 — Bar cutters/benders to 40–42 mm, asphalt cutters to 18 in, core cutters to 10 in, wackers, pressure pumps and light towers are all confirmed rentable in the SL market (Peters, wedabima, Hi-Q) — the new lines fill gaps competitors already monetise.</t>
  </si>
  <si>
    <t xml:space="preserve">F7 — All rates exclude 18% VAT, transport/mobilisation and operator out-station costs. Review the blue market cells quarterly; review fuel cells at every CPC notice (monthly).</t>
  </si>
</sst>
</file>

<file path=xl/styles.xml><?xml version="1.0" encoding="utf-8"?>
<styleSheet xmlns="http://schemas.openxmlformats.org/spreadsheetml/2006/main">
  <numFmts count="7">
    <numFmt numFmtId="164" formatCode="General"/>
    <numFmt numFmtId="165" formatCode="#,##0"/>
    <numFmt numFmtId="166" formatCode="0.00"/>
    <numFmt numFmtId="167" formatCode="0%"/>
    <numFmt numFmtId="168" formatCode="0.0"/>
    <numFmt numFmtId="169" formatCode="0"/>
    <numFmt numFmtId="170" formatCode="0.0%"/>
  </numFmts>
  <fonts count="13">
    <font>
      <sz val="11"/>
      <color theme="1"/>
      <name val="Calibri"/>
      <family val="2"/>
      <charset val="1"/>
    </font>
    <font>
      <sz val="10"/>
      <name val="Arial"/>
      <family val="0"/>
    </font>
    <font>
      <sz val="10"/>
      <name val="Arial"/>
      <family val="0"/>
    </font>
    <font>
      <sz val="10"/>
      <name val="Arial"/>
      <family val="0"/>
    </font>
    <font>
      <b val="true"/>
      <sz val="14"/>
      <color rgb="FF14110F"/>
      <name val="Arial"/>
      <family val="0"/>
      <charset val="1"/>
    </font>
    <font>
      <i val="true"/>
      <sz val="9"/>
      <color rgb="FF555555"/>
      <name val="Arial"/>
      <family val="0"/>
      <charset val="1"/>
    </font>
    <font>
      <b val="true"/>
      <sz val="10"/>
      <name val="Arial"/>
      <family val="0"/>
      <charset val="1"/>
    </font>
    <font>
      <sz val="10"/>
      <name val="Arial"/>
      <family val="0"/>
      <charset val="1"/>
    </font>
    <font>
      <sz val="10"/>
      <color rgb="FF0000FF"/>
      <name val="Arial"/>
      <family val="0"/>
      <charset val="1"/>
    </font>
    <font>
      <b val="true"/>
      <sz val="9"/>
      <color rgb="FFFFFFFF"/>
      <name val="Arial"/>
      <family val="0"/>
      <charset val="1"/>
    </font>
    <font>
      <b val="true"/>
      <sz val="14"/>
      <name val="Arial"/>
      <family val="0"/>
      <charset val="1"/>
    </font>
    <font>
      <b val="true"/>
      <sz val="10"/>
      <color rgb="FFFFFFFF"/>
      <name val="Arial"/>
      <family val="0"/>
      <charset val="1"/>
    </font>
    <font>
      <sz val="10"/>
      <color rgb="FF008000"/>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14110F"/>
        <bgColor rgb="FF000000"/>
      </patternFill>
    </fill>
    <fill>
      <patternFill patternType="solid">
        <fgColor rgb="FFF5F1EA"/>
        <bgColor rgb="FFFFFFFF"/>
      </patternFill>
    </fill>
    <fill>
      <patternFill patternType="solid">
        <fgColor rgb="FFE26B0A"/>
        <bgColor rgb="FFFF9900"/>
      </patternFill>
    </fill>
  </fills>
  <borders count="2">
    <border diagonalUp="false" diagonalDown="false">
      <left/>
      <right/>
      <top/>
      <bottom/>
      <diagonal/>
    </border>
    <border diagonalUp="false" diagonalDown="false">
      <left style="thin">
        <color rgb="FFC8C2B8"/>
      </left>
      <right style="thin">
        <color rgb="FFC8C2B8"/>
      </right>
      <top style="thin">
        <color rgb="FFC8C2B8"/>
      </top>
      <bottom style="thin">
        <color rgb="FFC8C2B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8" fontId="8"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8" fontId="8" fillId="4" borderId="1" xfId="0" applyFont="true" applyBorder="true" applyAlignment="true" applyProtection="false">
      <alignment horizontal="center" vertical="center" textRotation="0" wrapText="true" indent="0" shrinkToFit="false"/>
      <protection locked="true" hidden="false"/>
    </xf>
    <xf numFmtId="165" fontId="7" fillId="4" borderId="1" xfId="0" applyFont="true" applyBorder="true" applyAlignment="true" applyProtection="false">
      <alignment horizontal="center"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6" fontId="8" fillId="4" borderId="1" xfId="0" applyFont="true" applyBorder="true" applyAlignment="true" applyProtection="false">
      <alignment horizontal="center" vertical="center" textRotation="0" wrapText="true" indent="0" shrinkToFit="false"/>
      <protection locked="true" hidden="false"/>
    </xf>
    <xf numFmtId="169" fontId="8" fillId="0" borderId="1" xfId="0" applyFont="true" applyBorder="true" applyAlignment="true" applyProtection="false">
      <alignment horizontal="center" vertical="center" textRotation="0" wrapText="true" indent="0" shrinkToFit="false"/>
      <protection locked="true" hidden="false"/>
    </xf>
    <xf numFmtId="169" fontId="8" fillId="4" borderId="1" xfId="0" applyFont="true" applyBorder="true" applyAlignment="true" applyProtection="false">
      <alignment horizontal="center" vertical="center" textRotation="0" wrapText="true" indent="0" shrinkToFit="false"/>
      <protection locked="true" hidden="false"/>
    </xf>
    <xf numFmtId="165" fontId="12" fillId="0" borderId="1" xfId="0" applyFont="true" applyBorder="true" applyAlignment="true" applyProtection="false">
      <alignment horizontal="center" vertical="center" textRotation="0" wrapText="true" indent="0" shrinkToFit="false"/>
      <protection locked="true" hidden="false"/>
    </xf>
    <xf numFmtId="170" fontId="7" fillId="0" borderId="1" xfId="0" applyFont="true" applyBorder="true" applyAlignment="true" applyProtection="false">
      <alignment horizontal="center" vertical="center" textRotation="0" wrapText="true" indent="0" shrinkToFit="false"/>
      <protection locked="true" hidden="false"/>
    </xf>
    <xf numFmtId="165" fontId="12" fillId="4" borderId="1" xfId="0" applyFont="true" applyBorder="true" applyAlignment="true" applyProtection="false">
      <alignment horizontal="center" vertical="center" textRotation="0" wrapText="true" indent="0" shrinkToFit="false"/>
      <protection locked="true" hidden="false"/>
    </xf>
    <xf numFmtId="170" fontId="7"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C2B8"/>
      <rgbColor rgb="FF808080"/>
      <rgbColor rgb="FF9999FF"/>
      <rgbColor rgb="FF993366"/>
      <rgbColor rgb="FFF5F1E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26B0A"/>
      <rgbColor rgb="FF555555"/>
      <rgbColor rgb="FF969696"/>
      <rgbColor rgb="FF003366"/>
      <rgbColor rgb="FF339966"/>
      <rgbColor rgb="FF14110F"/>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0"/>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15" hidden="false" customHeight="true" outlineLevel="0" collapsed="false">
      <c r="A5" s="6" t="s">
        <v>3</v>
      </c>
    </row>
    <row r="6" customFormat="false" ht="23.25" hidden="false" customHeight="true" outlineLevel="0" collapsed="false">
      <c r="A6" s="6" t="s">
        <v>4</v>
      </c>
    </row>
    <row r="7" customFormat="false" ht="23.25" hidden="false" customHeight="true" outlineLevel="0" collapsed="false">
      <c r="A7" s="6" t="s">
        <v>5</v>
      </c>
    </row>
    <row r="8" customFormat="false" ht="15" hidden="false" customHeight="true" outlineLevel="0" collapsed="false">
      <c r="A8" s="4"/>
    </row>
    <row r="9" customFormat="false" ht="15" hidden="false" customHeight="true" outlineLevel="0" collapsed="false">
      <c r="A9" s="5" t="s">
        <v>6</v>
      </c>
    </row>
    <row r="10" customFormat="false" ht="15" hidden="false" customHeight="true" outlineLevel="0" collapsed="false">
      <c r="A10" s="6" t="s">
        <v>7</v>
      </c>
    </row>
    <row r="11" customFormat="false" ht="23.25" hidden="false" customHeight="true" outlineLevel="0" collapsed="false">
      <c r="A11" s="6" t="s">
        <v>8</v>
      </c>
    </row>
    <row r="12" customFormat="false" ht="15" hidden="false" customHeight="true" outlineLevel="0" collapsed="false">
      <c r="A12" s="6" t="s">
        <v>9</v>
      </c>
    </row>
    <row r="13" customFormat="false" ht="15" hidden="false" customHeight="true" outlineLevel="0" collapsed="false">
      <c r="A13" s="4"/>
    </row>
    <row r="14" customFormat="false" ht="15" hidden="false" customHeight="true" outlineLevel="0" collapsed="false">
      <c r="A14" s="5" t="s">
        <v>10</v>
      </c>
    </row>
    <row r="15" customFormat="false" ht="15" hidden="false" customHeight="true" outlineLevel="0" collapsed="false">
      <c r="A15" s="6" t="s">
        <v>11</v>
      </c>
    </row>
    <row r="16" customFormat="false" ht="23.25" hidden="false" customHeight="true" outlineLevel="0" collapsed="false">
      <c r="A16" s="6" t="s">
        <v>12</v>
      </c>
    </row>
    <row r="17" customFormat="false" ht="15" hidden="false" customHeight="true" outlineLevel="0" collapsed="false">
      <c r="A17" s="6" t="s">
        <v>13</v>
      </c>
    </row>
    <row r="18" customFormat="false" ht="15" hidden="false" customHeight="true" outlineLevel="0" collapsed="false">
      <c r="A18" s="4"/>
    </row>
    <row r="19" customFormat="false" ht="15" hidden="false" customHeight="true" outlineLevel="0" collapsed="false">
      <c r="A19" s="5" t="s">
        <v>14</v>
      </c>
    </row>
    <row r="20" customFormat="false" ht="23.25" hidden="false" customHeight="true" outlineLevel="0" collapsed="false">
      <c r="A20" s="6" t="s">
        <v>15</v>
      </c>
    </row>
    <row r="21" customFormat="false" ht="15" hidden="false" customHeight="true" outlineLevel="0" collapsed="false">
      <c r="A21" s="4"/>
    </row>
    <row r="22" customFormat="false" ht="15" hidden="false" customHeight="true" outlineLevel="0" collapsed="false">
      <c r="A22" s="6" t="s">
        <v>16</v>
      </c>
    </row>
    <row r="23" customFormat="false" ht="15" hidden="false" customHeight="true" outlineLevel="0" collapsed="false">
      <c r="A23" s="4"/>
    </row>
    <row r="24" customFormat="false" ht="23.25" hidden="false" customHeight="true" outlineLevel="0" collapsed="false">
      <c r="A24" s="6"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2"/>
    <col collapsed="false" customWidth="true" hidden="false" outlineLevel="0" max="3" min="3" style="1" width="12"/>
    <col collapsed="false" customWidth="true" hidden="false" outlineLevel="0" max="4" min="4" style="1" width="52"/>
  </cols>
  <sheetData>
    <row r="1" customFormat="false" ht="17.25" hidden="false" customHeight="true" outlineLevel="0" collapsed="false">
      <c r="A1" s="7" t="s">
        <v>18</v>
      </c>
    </row>
    <row r="3" customFormat="false" ht="15" hidden="false" customHeight="true" outlineLevel="0" collapsed="false">
      <c r="A3" s="8" t="s">
        <v>19</v>
      </c>
    </row>
    <row r="4" customFormat="false" ht="15" hidden="false" customHeight="true" outlineLevel="0" collapsed="false">
      <c r="A4" s="9" t="s">
        <v>20</v>
      </c>
      <c r="C4" s="10" t="n">
        <v>382</v>
      </c>
      <c r="D4" s="11" t="s">
        <v>21</v>
      </c>
    </row>
    <row r="5" customFormat="false" ht="15" hidden="false" customHeight="true" outlineLevel="0" collapsed="false">
      <c r="A5" s="9" t="s">
        <v>22</v>
      </c>
      <c r="C5" s="12" t="n">
        <v>414</v>
      </c>
      <c r="D5" s="11" t="s">
        <v>23</v>
      </c>
    </row>
    <row r="6" customFormat="false" ht="15" hidden="false" customHeight="true" outlineLevel="0" collapsed="false">
      <c r="A6" s="9" t="s">
        <v>24</v>
      </c>
      <c r="C6" s="12" t="n">
        <v>478</v>
      </c>
      <c r="D6" s="11" t="s">
        <v>25</v>
      </c>
    </row>
    <row r="7" customFormat="false" ht="15" hidden="false" customHeight="true" outlineLevel="0" collapsed="false">
      <c r="A7" s="9" t="s">
        <v>26</v>
      </c>
      <c r="C7" s="12" t="n">
        <v>495</v>
      </c>
      <c r="D7" s="11" t="s">
        <v>25</v>
      </c>
    </row>
    <row r="8" customFormat="false" ht="15" hidden="false" customHeight="true" outlineLevel="0" collapsed="false">
      <c r="A8" s="9" t="s">
        <v>27</v>
      </c>
      <c r="C8" s="12" t="n">
        <v>285</v>
      </c>
      <c r="D8" s="11" t="s">
        <v>25</v>
      </c>
    </row>
    <row r="10" customFormat="false" ht="15" hidden="false" customHeight="true" outlineLevel="0" collapsed="false">
      <c r="A10" s="8" t="s">
        <v>28</v>
      </c>
    </row>
    <row r="11" customFormat="false" ht="15" hidden="false" customHeight="true" outlineLevel="0" collapsed="false">
      <c r="A11" s="9" t="s">
        <v>29</v>
      </c>
      <c r="C11" s="12" t="n">
        <v>650</v>
      </c>
      <c r="D11" s="11" t="s">
        <v>30</v>
      </c>
    </row>
    <row r="12" customFormat="false" ht="15" hidden="false" customHeight="true" outlineLevel="0" collapsed="false">
      <c r="A12" s="9" t="s">
        <v>31</v>
      </c>
      <c r="C12" s="13" t="n">
        <v>1.23</v>
      </c>
      <c r="D12" s="11" t="s">
        <v>32</v>
      </c>
    </row>
    <row r="13" customFormat="false" ht="15" hidden="false" customHeight="true" outlineLevel="0" collapsed="false">
      <c r="A13" s="9" t="s">
        <v>33</v>
      </c>
      <c r="C13" s="14" t="n">
        <f aca="false">MROUND(C11*C12,50)</f>
        <v>800</v>
      </c>
      <c r="D13" s="11" t="s">
        <v>34</v>
      </c>
    </row>
    <row r="14" customFormat="false" ht="15" hidden="false" customHeight="true" outlineLevel="0" collapsed="false">
      <c r="A14" s="9" t="s">
        <v>35</v>
      </c>
      <c r="C14" s="12" t="n">
        <v>3500</v>
      </c>
      <c r="D14" s="11" t="s">
        <v>36</v>
      </c>
    </row>
    <row r="15" customFormat="false" ht="15" hidden="false" customHeight="true" outlineLevel="0" collapsed="false">
      <c r="A15" s="9" t="s">
        <v>37</v>
      </c>
      <c r="C15" s="12" t="n">
        <v>5000</v>
      </c>
      <c r="D15" s="11" t="s">
        <v>38</v>
      </c>
    </row>
    <row r="17" customFormat="false" ht="15" hidden="false" customHeight="true" outlineLevel="0" collapsed="false">
      <c r="A17" s="8" t="s">
        <v>39</v>
      </c>
    </row>
    <row r="18" customFormat="false" ht="15" hidden="false" customHeight="true" outlineLevel="0" collapsed="false">
      <c r="A18" s="9" t="s">
        <v>40</v>
      </c>
      <c r="C18" s="12" t="n">
        <v>8</v>
      </c>
      <c r="D18" s="11" t="s">
        <v>41</v>
      </c>
    </row>
    <row r="19" customFormat="false" ht="15" hidden="false" customHeight="true" outlineLevel="0" collapsed="false">
      <c r="A19" s="9" t="s">
        <v>42</v>
      </c>
      <c r="C19" s="12" t="n">
        <v>4</v>
      </c>
      <c r="D19" s="11"/>
    </row>
    <row r="20" customFormat="false" ht="15" hidden="false" customHeight="true" outlineLevel="0" collapsed="false">
      <c r="A20" s="9" t="s">
        <v>43</v>
      </c>
      <c r="C20" s="12" t="n">
        <v>120</v>
      </c>
      <c r="D20" s="11"/>
    </row>
    <row r="21" customFormat="false" ht="15" hidden="false" customHeight="true" outlineLevel="0" collapsed="false">
      <c r="A21" s="9" t="s">
        <v>44</v>
      </c>
      <c r="C21" s="13" t="n">
        <v>0.95</v>
      </c>
      <c r="D21" s="11" t="s">
        <v>45</v>
      </c>
    </row>
    <row r="22" customFormat="false" ht="15" hidden="false" customHeight="true" outlineLevel="0" collapsed="false">
      <c r="A22" s="9" t="s">
        <v>46</v>
      </c>
      <c r="C22" s="13" t="n">
        <v>0.85</v>
      </c>
      <c r="D22" s="11" t="s">
        <v>47</v>
      </c>
    </row>
    <row r="23" customFormat="false" ht="15" hidden="false" customHeight="true" outlineLevel="0" collapsed="false">
      <c r="A23" s="9" t="s">
        <v>48</v>
      </c>
      <c r="C23" s="15" t="n">
        <v>0.18</v>
      </c>
      <c r="D23" s="11"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8"/>
    <col collapsed="false" customWidth="true" hidden="false" outlineLevel="0" max="5" min="4" style="1" width="10"/>
    <col collapsed="false" customWidth="true" hidden="false" outlineLevel="0" max="6" min="6" style="1" width="13"/>
    <col collapsed="false" customWidth="true" hidden="false" outlineLevel="0" max="7" min="7" style="1" width="10"/>
    <col collapsed="false" customWidth="true" hidden="false" outlineLevel="0" max="8" min="8" style="1" width="12"/>
    <col collapsed="false" customWidth="true" hidden="false" outlineLevel="0" max="9" min="9" style="1" width="8"/>
    <col collapsed="false" customWidth="true" hidden="false" outlineLevel="0" max="10" min="10" style="1" width="11"/>
    <col collapsed="false" customWidth="true" hidden="false" outlineLevel="0" max="11" min="11" style="1" width="12"/>
    <col collapsed="false" customWidth="true" hidden="false" outlineLevel="0" max="12" min="12" style="1" width="11"/>
    <col collapsed="false" customWidth="true" hidden="false" outlineLevel="0" max="13" min="13" style="1" width="13"/>
    <col collapsed="false" customWidth="true" hidden="false" outlineLevel="0" max="14" min="14" style="1" width="14"/>
    <col collapsed="false" customWidth="true" hidden="false" outlineLevel="0" max="15" min="15" style="1" width="13"/>
    <col collapsed="false" customWidth="true" hidden="false" outlineLevel="0" max="16" min="16" style="1" width="44"/>
  </cols>
  <sheetData>
    <row r="1" customFormat="false" ht="17.25" hidden="false" customHeight="true" outlineLevel="0" collapsed="false">
      <c r="A1" s="7" t="s">
        <v>50</v>
      </c>
    </row>
    <row r="2" customFormat="false" ht="15" hidden="false" customHeight="true" outlineLevel="0" collapsed="false">
      <c r="A2" s="11" t="s">
        <v>51</v>
      </c>
    </row>
    <row r="4" customFormat="false" ht="30" hidden="false" customHeight="true" outlineLevel="0" collapsed="false">
      <c r="A4" s="16" t="s">
        <v>52</v>
      </c>
      <c r="B4" s="16" t="s">
        <v>53</v>
      </c>
      <c r="C4" s="16" t="s">
        <v>54</v>
      </c>
      <c r="D4" s="16" t="s">
        <v>55</v>
      </c>
      <c r="E4" s="16" t="s">
        <v>56</v>
      </c>
      <c r="F4" s="16" t="s">
        <v>57</v>
      </c>
      <c r="G4" s="16" t="s">
        <v>58</v>
      </c>
      <c r="H4" s="16" t="s">
        <v>59</v>
      </c>
      <c r="I4" s="16" t="s">
        <v>60</v>
      </c>
      <c r="J4" s="16" t="s">
        <v>61</v>
      </c>
      <c r="K4" s="16" t="s">
        <v>62</v>
      </c>
      <c r="L4" s="16" t="s">
        <v>63</v>
      </c>
      <c r="M4" s="16" t="s">
        <v>64</v>
      </c>
      <c r="N4" s="16" t="s">
        <v>65</v>
      </c>
      <c r="O4" s="16" t="s">
        <v>66</v>
      </c>
      <c r="P4" s="16" t="s">
        <v>67</v>
      </c>
    </row>
    <row r="5" customFormat="false" ht="15" hidden="false" customHeight="true" outlineLevel="0" collapsed="false">
      <c r="A5" s="17" t="n">
        <v>1</v>
      </c>
      <c r="B5" s="18" t="s">
        <v>68</v>
      </c>
      <c r="C5" s="19" t="n">
        <v>5.5</v>
      </c>
      <c r="D5" s="20" t="n">
        <f aca="false">MROUND(C5*'Fuel &amp; Inputs'!$C$4,10)</f>
        <v>2100</v>
      </c>
      <c r="E5" s="21" t="n">
        <v>2000</v>
      </c>
      <c r="F5" s="20" t="n">
        <f aca="false">MROUND(E5+'Fuel &amp; Inputs'!$C$13,50)</f>
        <v>2800</v>
      </c>
      <c r="G5" s="21" t="n">
        <v>4150</v>
      </c>
      <c r="H5" s="20" t="n">
        <f aca="false">G5-F5</f>
        <v>1350</v>
      </c>
      <c r="I5" s="17" t="str">
        <f aca="false">IF(C5=0,"n/a",IF(H5&gt;=D5,"OK","THIN"))</f>
        <v>THIN</v>
      </c>
      <c r="J5" s="20" t="n">
        <f aca="false">MROUND(E5*'Fuel &amp; Inputs'!$C$19*'Fuel &amp; Inputs'!$C$21,100)</f>
        <v>7600</v>
      </c>
      <c r="K5" s="20" t="n">
        <f aca="false">MROUND(F5*'Fuel &amp; Inputs'!$C$19*'Fuel &amp; Inputs'!$C$21,100)</f>
        <v>10600</v>
      </c>
      <c r="L5" s="20" t="n">
        <f aca="false">MROUND(G5*'Fuel &amp; Inputs'!$C$19*'Fuel &amp; Inputs'!$C$21,100)</f>
        <v>15800</v>
      </c>
      <c r="M5" s="20" t="n">
        <f aca="false">MROUND(E5*'Fuel &amp; Inputs'!$C$20*'Fuel &amp; Inputs'!$C$22,500)</f>
        <v>204000</v>
      </c>
      <c r="N5" s="20" t="n">
        <f aca="false">MROUND(F5*'Fuel &amp; Inputs'!$C$20*'Fuel &amp; Inputs'!$C$22,500)</f>
        <v>285500</v>
      </c>
      <c r="O5" s="20" t="n">
        <f aca="false">MROUND(G5*'Fuel &amp; Inputs'!$C$20*'Fuel &amp; Inputs'!$C$22,500)</f>
        <v>423500</v>
      </c>
      <c r="P5" s="22" t="s">
        <v>69</v>
      </c>
    </row>
    <row r="6" customFormat="false" ht="15" hidden="false" customHeight="true" outlineLevel="0" collapsed="false">
      <c r="A6" s="23" t="n">
        <v>2</v>
      </c>
      <c r="B6" s="24" t="s">
        <v>70</v>
      </c>
      <c r="C6" s="25" t="n">
        <v>13</v>
      </c>
      <c r="D6" s="26" t="n">
        <f aca="false">MROUND(C6*'Fuel &amp; Inputs'!$C$4,10)</f>
        <v>4970</v>
      </c>
      <c r="E6" s="27" t="n">
        <v>3800</v>
      </c>
      <c r="F6" s="26" t="n">
        <f aca="false">MROUND(E6+'Fuel &amp; Inputs'!$C$13,50)</f>
        <v>4600</v>
      </c>
      <c r="G6" s="27" t="n">
        <v>8450</v>
      </c>
      <c r="H6" s="26" t="n">
        <f aca="false">G6-F6</f>
        <v>3850</v>
      </c>
      <c r="I6" s="23" t="str">
        <f aca="false">IF(C6=0,"n/a",IF(H6&gt;=D6,"OK","THIN"))</f>
        <v>THIN</v>
      </c>
      <c r="J6" s="26" t="n">
        <f aca="false">MROUND(E6*'Fuel &amp; Inputs'!$C$19*'Fuel &amp; Inputs'!$C$21,100)</f>
        <v>14400</v>
      </c>
      <c r="K6" s="26" t="n">
        <f aca="false">MROUND(F6*'Fuel &amp; Inputs'!$C$19*'Fuel &amp; Inputs'!$C$21,100)</f>
        <v>17500</v>
      </c>
      <c r="L6" s="26" t="n">
        <f aca="false">MROUND(G6*'Fuel &amp; Inputs'!$C$19*'Fuel &amp; Inputs'!$C$21,100)</f>
        <v>32100</v>
      </c>
      <c r="M6" s="26" t="n">
        <f aca="false">MROUND(E6*'Fuel &amp; Inputs'!$C$20*'Fuel &amp; Inputs'!$C$22,500)</f>
        <v>387500</v>
      </c>
      <c r="N6" s="26" t="n">
        <f aca="false">MROUND(F6*'Fuel &amp; Inputs'!$C$20*'Fuel &amp; Inputs'!$C$22,500)</f>
        <v>469000</v>
      </c>
      <c r="O6" s="26" t="n">
        <f aca="false">MROUND(G6*'Fuel &amp; Inputs'!$C$20*'Fuel &amp; Inputs'!$C$22,500)</f>
        <v>862000</v>
      </c>
      <c r="P6" s="28" t="s">
        <v>71</v>
      </c>
    </row>
    <row r="7" customFormat="false" ht="15" hidden="false" customHeight="true" outlineLevel="0" collapsed="false">
      <c r="A7" s="17" t="n">
        <v>3</v>
      </c>
      <c r="B7" s="18" t="s">
        <v>72</v>
      </c>
      <c r="C7" s="19" t="n">
        <v>7</v>
      </c>
      <c r="D7" s="20" t="n">
        <f aca="false">MROUND(C7*'Fuel &amp; Inputs'!$C$4,10)</f>
        <v>2670</v>
      </c>
      <c r="E7" s="21" t="n">
        <v>2450</v>
      </c>
      <c r="F7" s="20" t="n">
        <f aca="false">MROUND(E7+'Fuel &amp; Inputs'!$C$13,50)</f>
        <v>3250</v>
      </c>
      <c r="G7" s="21" t="n">
        <v>4850</v>
      </c>
      <c r="H7" s="20" t="n">
        <f aca="false">G7-F7</f>
        <v>1600</v>
      </c>
      <c r="I7" s="17" t="str">
        <f aca="false">IF(C7=0,"n/a",IF(H7&gt;=D7,"OK","THIN"))</f>
        <v>THIN</v>
      </c>
      <c r="J7" s="20" t="n">
        <f aca="false">MROUND(E7*'Fuel &amp; Inputs'!$C$19*'Fuel &amp; Inputs'!$C$21,100)</f>
        <v>9300</v>
      </c>
      <c r="K7" s="20" t="n">
        <f aca="false">MROUND(F7*'Fuel &amp; Inputs'!$C$19*'Fuel &amp; Inputs'!$C$21,100)</f>
        <v>12400</v>
      </c>
      <c r="L7" s="20" t="n">
        <f aca="false">MROUND(G7*'Fuel &amp; Inputs'!$C$19*'Fuel &amp; Inputs'!$C$21,100)</f>
        <v>18400</v>
      </c>
      <c r="M7" s="20" t="n">
        <f aca="false">MROUND(E7*'Fuel &amp; Inputs'!$C$20*'Fuel &amp; Inputs'!$C$22,500)</f>
        <v>250000</v>
      </c>
      <c r="N7" s="20" t="n">
        <f aca="false">MROUND(F7*'Fuel &amp; Inputs'!$C$20*'Fuel &amp; Inputs'!$C$22,500)</f>
        <v>331500</v>
      </c>
      <c r="O7" s="20" t="n">
        <f aca="false">MROUND(G7*'Fuel &amp; Inputs'!$C$20*'Fuel &amp; Inputs'!$C$22,500)</f>
        <v>494500</v>
      </c>
      <c r="P7" s="22" t="s">
        <v>73</v>
      </c>
    </row>
    <row r="8" customFormat="false" ht="15" hidden="false" customHeight="true" outlineLevel="0" collapsed="false">
      <c r="A8" s="23" t="n">
        <v>4</v>
      </c>
      <c r="B8" s="24" t="s">
        <v>74</v>
      </c>
      <c r="C8" s="25" t="n">
        <v>8</v>
      </c>
      <c r="D8" s="26" t="n">
        <f aca="false">MROUND(C8*'Fuel &amp; Inputs'!$C$4,10)</f>
        <v>3060</v>
      </c>
      <c r="E8" s="27" t="n">
        <v>2650</v>
      </c>
      <c r="F8" s="26" t="n">
        <f aca="false">MROUND(E8+'Fuel &amp; Inputs'!$C$13,50)</f>
        <v>3450</v>
      </c>
      <c r="G8" s="27" t="n">
        <v>5300</v>
      </c>
      <c r="H8" s="26" t="n">
        <f aca="false">G8-F8</f>
        <v>1850</v>
      </c>
      <c r="I8" s="23" t="str">
        <f aca="false">IF(C8=0,"n/a",IF(H8&gt;=D8,"OK","THIN"))</f>
        <v>THIN</v>
      </c>
      <c r="J8" s="26" t="n">
        <f aca="false">MROUND(E8*'Fuel &amp; Inputs'!$C$19*'Fuel &amp; Inputs'!$C$21,100)</f>
        <v>10100</v>
      </c>
      <c r="K8" s="26" t="n">
        <f aca="false">MROUND(F8*'Fuel &amp; Inputs'!$C$19*'Fuel &amp; Inputs'!$C$21,100)</f>
        <v>13100</v>
      </c>
      <c r="L8" s="26" t="n">
        <f aca="false">MROUND(G8*'Fuel &amp; Inputs'!$C$19*'Fuel &amp; Inputs'!$C$21,100)</f>
        <v>20100</v>
      </c>
      <c r="M8" s="26" t="n">
        <f aca="false">MROUND(E8*'Fuel &amp; Inputs'!$C$20*'Fuel &amp; Inputs'!$C$22,500)</f>
        <v>270500</v>
      </c>
      <c r="N8" s="26" t="n">
        <f aca="false">MROUND(F8*'Fuel &amp; Inputs'!$C$20*'Fuel &amp; Inputs'!$C$22,500)</f>
        <v>352000</v>
      </c>
      <c r="O8" s="26" t="n">
        <f aca="false">MROUND(G8*'Fuel &amp; Inputs'!$C$20*'Fuel &amp; Inputs'!$C$22,500)</f>
        <v>540500</v>
      </c>
      <c r="P8" s="28" t="s">
        <v>75</v>
      </c>
    </row>
    <row r="9" customFormat="false" ht="15" hidden="false" customHeight="true" outlineLevel="0" collapsed="false">
      <c r="A9" s="17" t="n">
        <v>5</v>
      </c>
      <c r="B9" s="18" t="s">
        <v>76</v>
      </c>
      <c r="C9" s="19" t="n">
        <v>8</v>
      </c>
      <c r="D9" s="20" t="n">
        <f aca="false">MROUND(C9*'Fuel &amp; Inputs'!$C$4,10)</f>
        <v>3060</v>
      </c>
      <c r="E9" s="21" t="n">
        <v>2300</v>
      </c>
      <c r="F9" s="20" t="n">
        <f aca="false">MROUND(E9+'Fuel &amp; Inputs'!$C$13,50)</f>
        <v>3100</v>
      </c>
      <c r="G9" s="21" t="n">
        <v>4600</v>
      </c>
      <c r="H9" s="20" t="n">
        <f aca="false">G9-F9</f>
        <v>1500</v>
      </c>
      <c r="I9" s="17" t="str">
        <f aca="false">IF(C9=0,"n/a",IF(H9&gt;=D9,"OK","THIN"))</f>
        <v>THIN</v>
      </c>
      <c r="J9" s="20" t="n">
        <f aca="false">MROUND(E9*'Fuel &amp; Inputs'!$C$19*'Fuel &amp; Inputs'!$C$21,100)</f>
        <v>8700</v>
      </c>
      <c r="K9" s="20" t="n">
        <f aca="false">MROUND(F9*'Fuel &amp; Inputs'!$C$19*'Fuel &amp; Inputs'!$C$21,100)</f>
        <v>11800</v>
      </c>
      <c r="L9" s="20" t="n">
        <f aca="false">MROUND(G9*'Fuel &amp; Inputs'!$C$19*'Fuel &amp; Inputs'!$C$21,100)</f>
        <v>17500</v>
      </c>
      <c r="M9" s="20" t="n">
        <f aca="false">MROUND(E9*'Fuel &amp; Inputs'!$C$20*'Fuel &amp; Inputs'!$C$22,500)</f>
        <v>234500</v>
      </c>
      <c r="N9" s="20" t="n">
        <f aca="false">MROUND(F9*'Fuel &amp; Inputs'!$C$20*'Fuel &amp; Inputs'!$C$22,500)</f>
        <v>316000</v>
      </c>
      <c r="O9" s="20" t="n">
        <f aca="false">MROUND(G9*'Fuel &amp; Inputs'!$C$20*'Fuel &amp; Inputs'!$C$22,500)</f>
        <v>469000</v>
      </c>
      <c r="P9" s="22" t="s">
        <v>77</v>
      </c>
    </row>
    <row r="10" customFormat="false" ht="15" hidden="false" customHeight="true" outlineLevel="0" collapsed="false">
      <c r="A10" s="23" t="n">
        <v>6</v>
      </c>
      <c r="B10" s="24" t="s">
        <v>78</v>
      </c>
      <c r="C10" s="25" t="n">
        <v>5</v>
      </c>
      <c r="D10" s="26" t="n">
        <f aca="false">MROUND(C10*'Fuel &amp; Inputs'!$C$4,10)</f>
        <v>1910</v>
      </c>
      <c r="E10" s="27" t="n">
        <v>1950</v>
      </c>
      <c r="F10" s="26" t="n">
        <f aca="false">MROUND(E10+'Fuel &amp; Inputs'!$C$13,50)</f>
        <v>2750</v>
      </c>
      <c r="G10" s="27" t="n">
        <v>3900</v>
      </c>
      <c r="H10" s="26" t="n">
        <f aca="false">G10-F10</f>
        <v>1150</v>
      </c>
      <c r="I10" s="23" t="str">
        <f aca="false">IF(C10=0,"n/a",IF(H10&gt;=D10,"OK","THIN"))</f>
        <v>THIN</v>
      </c>
      <c r="J10" s="26" t="n">
        <f aca="false">MROUND(E10*'Fuel &amp; Inputs'!$C$19*'Fuel &amp; Inputs'!$C$21,100)</f>
        <v>7400</v>
      </c>
      <c r="K10" s="26" t="n">
        <f aca="false">MROUND(F10*'Fuel &amp; Inputs'!$C$19*'Fuel &amp; Inputs'!$C$21,100)</f>
        <v>10500</v>
      </c>
      <c r="L10" s="26" t="n">
        <f aca="false">MROUND(G10*'Fuel &amp; Inputs'!$C$19*'Fuel &amp; Inputs'!$C$21,100)</f>
        <v>14800</v>
      </c>
      <c r="M10" s="26" t="n">
        <f aca="false">MROUND(E10*'Fuel &amp; Inputs'!$C$20*'Fuel &amp; Inputs'!$C$22,500)</f>
        <v>199000</v>
      </c>
      <c r="N10" s="26" t="n">
        <f aca="false">MROUND(F10*'Fuel &amp; Inputs'!$C$20*'Fuel &amp; Inputs'!$C$22,500)</f>
        <v>280500</v>
      </c>
      <c r="O10" s="26" t="n">
        <f aca="false">MROUND(G10*'Fuel &amp; Inputs'!$C$20*'Fuel &amp; Inputs'!$C$22,500)</f>
        <v>398000</v>
      </c>
      <c r="P10" s="28" t="s">
        <v>79</v>
      </c>
    </row>
    <row r="11" customFormat="false" ht="15" hidden="false" customHeight="true" outlineLevel="0" collapsed="false">
      <c r="A11" s="17" t="n">
        <v>7</v>
      </c>
      <c r="B11" s="18" t="s">
        <v>80</v>
      </c>
      <c r="C11" s="19" t="n">
        <v>7</v>
      </c>
      <c r="D11" s="20" t="n">
        <f aca="false">MROUND(C11*'Fuel &amp; Inputs'!$C$4,10)</f>
        <v>2670</v>
      </c>
      <c r="E11" s="21" t="n">
        <v>2000</v>
      </c>
      <c r="F11" s="20" t="n">
        <f aca="false">MROUND(E11+'Fuel &amp; Inputs'!$C$13,50)</f>
        <v>2800</v>
      </c>
      <c r="G11" s="21" t="n">
        <v>3950</v>
      </c>
      <c r="H11" s="20" t="n">
        <f aca="false">G11-F11</f>
        <v>1150</v>
      </c>
      <c r="I11" s="17" t="str">
        <f aca="false">IF(C11=0,"n/a",IF(H11&gt;=D11,"OK","THIN"))</f>
        <v>THIN</v>
      </c>
      <c r="J11" s="20" t="n">
        <f aca="false">MROUND(E11*'Fuel &amp; Inputs'!$C$19*'Fuel &amp; Inputs'!$C$21,100)</f>
        <v>7600</v>
      </c>
      <c r="K11" s="20" t="n">
        <f aca="false">MROUND(F11*'Fuel &amp; Inputs'!$C$19*'Fuel &amp; Inputs'!$C$21,100)</f>
        <v>10600</v>
      </c>
      <c r="L11" s="20" t="n">
        <f aca="false">MROUND(G11*'Fuel &amp; Inputs'!$C$19*'Fuel &amp; Inputs'!$C$21,100)</f>
        <v>15000</v>
      </c>
      <c r="M11" s="20" t="n">
        <f aca="false">MROUND(E11*'Fuel &amp; Inputs'!$C$20*'Fuel &amp; Inputs'!$C$22,500)</f>
        <v>204000</v>
      </c>
      <c r="N11" s="20" t="n">
        <f aca="false">MROUND(F11*'Fuel &amp; Inputs'!$C$20*'Fuel &amp; Inputs'!$C$22,500)</f>
        <v>285500</v>
      </c>
      <c r="O11" s="20" t="n">
        <f aca="false">MROUND(G11*'Fuel &amp; Inputs'!$C$20*'Fuel &amp; Inputs'!$C$22,500)</f>
        <v>403000</v>
      </c>
      <c r="P11" s="22" t="s">
        <v>81</v>
      </c>
    </row>
    <row r="12" customFormat="false" ht="15" hidden="false" customHeight="true" outlineLevel="0" collapsed="false">
      <c r="A12" s="23" t="n">
        <v>8</v>
      </c>
      <c r="B12" s="24" t="s">
        <v>82</v>
      </c>
      <c r="C12" s="25" t="n">
        <v>15</v>
      </c>
      <c r="D12" s="26" t="n">
        <f aca="false">MROUND(C12*'Fuel &amp; Inputs'!$C$4,10)</f>
        <v>5730</v>
      </c>
      <c r="E12" s="27" t="n">
        <v>4350</v>
      </c>
      <c r="F12" s="26" t="n">
        <f aca="false">MROUND(E12+'Fuel &amp; Inputs'!$C$13,50)</f>
        <v>5150</v>
      </c>
      <c r="G12" s="27" t="n">
        <v>9650</v>
      </c>
      <c r="H12" s="26" t="n">
        <f aca="false">G12-F12</f>
        <v>4500</v>
      </c>
      <c r="I12" s="23" t="str">
        <f aca="false">IF(C12=0,"n/a",IF(H12&gt;=D12,"OK","THIN"))</f>
        <v>THIN</v>
      </c>
      <c r="J12" s="26" t="n">
        <f aca="false">MROUND(E12*'Fuel &amp; Inputs'!$C$19*'Fuel &amp; Inputs'!$C$21,100)</f>
        <v>16500</v>
      </c>
      <c r="K12" s="26" t="n">
        <f aca="false">MROUND(F12*'Fuel &amp; Inputs'!$C$19*'Fuel &amp; Inputs'!$C$21,100)</f>
        <v>19600</v>
      </c>
      <c r="L12" s="26" t="n">
        <f aca="false">MROUND(G12*'Fuel &amp; Inputs'!$C$19*'Fuel &amp; Inputs'!$C$21,100)</f>
        <v>36700</v>
      </c>
      <c r="M12" s="26" t="n">
        <f aca="false">MROUND(E12*'Fuel &amp; Inputs'!$C$20*'Fuel &amp; Inputs'!$C$22,500)</f>
        <v>443500</v>
      </c>
      <c r="N12" s="26" t="n">
        <f aca="false">MROUND(F12*'Fuel &amp; Inputs'!$C$20*'Fuel &amp; Inputs'!$C$22,500)</f>
        <v>525500</v>
      </c>
      <c r="O12" s="26" t="n">
        <f aca="false">MROUND(G12*'Fuel &amp; Inputs'!$C$20*'Fuel &amp; Inputs'!$C$22,500)</f>
        <v>984500</v>
      </c>
      <c r="P12" s="28" t="s">
        <v>83</v>
      </c>
    </row>
    <row r="13" customFormat="false" ht="15" hidden="false" customHeight="true" outlineLevel="0" collapsed="false">
      <c r="A13" s="17" t="n">
        <v>9</v>
      </c>
      <c r="B13" s="18" t="s">
        <v>84</v>
      </c>
      <c r="C13" s="19" t="n">
        <v>4.5</v>
      </c>
      <c r="D13" s="20" t="n">
        <f aca="false">MROUND(C13*'Fuel &amp; Inputs'!$C$4,10)</f>
        <v>1720</v>
      </c>
      <c r="E13" s="21" t="n">
        <v>1350</v>
      </c>
      <c r="F13" s="20" t="n">
        <f aca="false">MROUND(E13+'Fuel &amp; Inputs'!$C$13,50)</f>
        <v>2150</v>
      </c>
      <c r="G13" s="21" t="n">
        <v>2700</v>
      </c>
      <c r="H13" s="20" t="n">
        <f aca="false">G13-F13</f>
        <v>550</v>
      </c>
      <c r="I13" s="17" t="str">
        <f aca="false">IF(C13=0,"n/a",IF(H13&gt;=D13,"OK","THIN"))</f>
        <v>THIN</v>
      </c>
      <c r="J13" s="20" t="n">
        <f aca="false">MROUND(E13*'Fuel &amp; Inputs'!$C$19*'Fuel &amp; Inputs'!$C$21,100)</f>
        <v>5100</v>
      </c>
      <c r="K13" s="20" t="n">
        <f aca="false">MROUND(F13*'Fuel &amp; Inputs'!$C$19*'Fuel &amp; Inputs'!$C$21,100)</f>
        <v>8200</v>
      </c>
      <c r="L13" s="20" t="n">
        <f aca="false">MROUND(G13*'Fuel &amp; Inputs'!$C$19*'Fuel &amp; Inputs'!$C$21,100)</f>
        <v>10300</v>
      </c>
      <c r="M13" s="20" t="n">
        <f aca="false">MROUND(E13*'Fuel &amp; Inputs'!$C$20*'Fuel &amp; Inputs'!$C$22,500)</f>
        <v>137500</v>
      </c>
      <c r="N13" s="20" t="n">
        <f aca="false">MROUND(F13*'Fuel &amp; Inputs'!$C$20*'Fuel &amp; Inputs'!$C$22,500)</f>
        <v>219500</v>
      </c>
      <c r="O13" s="20" t="n">
        <f aca="false">MROUND(G13*'Fuel &amp; Inputs'!$C$20*'Fuel &amp; Inputs'!$C$22,500)</f>
        <v>275500</v>
      </c>
      <c r="P13" s="22" t="s">
        <v>85</v>
      </c>
    </row>
    <row r="14" customFormat="false" ht="15" hidden="false" customHeight="true" outlineLevel="0" collapsed="false">
      <c r="A14" s="23" t="n">
        <v>10</v>
      </c>
      <c r="B14" s="24" t="s">
        <v>86</v>
      </c>
      <c r="C14" s="25" t="n">
        <v>12</v>
      </c>
      <c r="D14" s="26" t="n">
        <f aca="false">MROUND(C14*'Fuel &amp; Inputs'!$C$4,10)</f>
        <v>4580</v>
      </c>
      <c r="E14" s="27" t="n">
        <v>3600</v>
      </c>
      <c r="F14" s="26" t="n">
        <f aca="false">MROUND(E14+'Fuel &amp; Inputs'!$C$13,50)</f>
        <v>4400</v>
      </c>
      <c r="G14" s="27" t="n">
        <v>8050</v>
      </c>
      <c r="H14" s="26" t="n">
        <f aca="false">G14-F14</f>
        <v>3650</v>
      </c>
      <c r="I14" s="23" t="str">
        <f aca="false">IF(C14=0,"n/a",IF(H14&gt;=D14,"OK","THIN"))</f>
        <v>THIN</v>
      </c>
      <c r="J14" s="26" t="n">
        <f aca="false">MROUND(E14*'Fuel &amp; Inputs'!$C$19*'Fuel &amp; Inputs'!$C$21,100)</f>
        <v>13700</v>
      </c>
      <c r="K14" s="26" t="n">
        <f aca="false">MROUND(F14*'Fuel &amp; Inputs'!$C$19*'Fuel &amp; Inputs'!$C$21,100)</f>
        <v>16700</v>
      </c>
      <c r="L14" s="26" t="n">
        <f aca="false">MROUND(G14*'Fuel &amp; Inputs'!$C$19*'Fuel &amp; Inputs'!$C$21,100)</f>
        <v>30600</v>
      </c>
      <c r="M14" s="26" t="n">
        <f aca="false">MROUND(E14*'Fuel &amp; Inputs'!$C$20*'Fuel &amp; Inputs'!$C$22,500)</f>
        <v>367000</v>
      </c>
      <c r="N14" s="26" t="n">
        <f aca="false">MROUND(F14*'Fuel &amp; Inputs'!$C$20*'Fuel &amp; Inputs'!$C$22,500)</f>
        <v>449000</v>
      </c>
      <c r="O14" s="26" t="n">
        <f aca="false">MROUND(G14*'Fuel &amp; Inputs'!$C$20*'Fuel &amp; Inputs'!$C$22,500)</f>
        <v>821000</v>
      </c>
      <c r="P14" s="28" t="s">
        <v>87</v>
      </c>
    </row>
    <row r="15" customFormat="false" ht="15" hidden="false" customHeight="true" outlineLevel="0" collapsed="false">
      <c r="A15" s="17" t="n">
        <v>11</v>
      </c>
      <c r="B15" s="18" t="s">
        <v>88</v>
      </c>
      <c r="C15" s="19" t="n">
        <v>6.5</v>
      </c>
      <c r="D15" s="20" t="n">
        <f aca="false">MROUND(C15*'Fuel &amp; Inputs'!$C$4,10)</f>
        <v>2480</v>
      </c>
      <c r="E15" s="21" t="n">
        <v>1750</v>
      </c>
      <c r="F15" s="20" t="n">
        <f aca="false">MROUND(E15+'Fuel &amp; Inputs'!$C$13,50)</f>
        <v>2550</v>
      </c>
      <c r="G15" s="21" t="n">
        <v>3500</v>
      </c>
      <c r="H15" s="20" t="n">
        <f aca="false">G15-F15</f>
        <v>950</v>
      </c>
      <c r="I15" s="17" t="str">
        <f aca="false">IF(C15=0,"n/a",IF(H15&gt;=D15,"OK","THIN"))</f>
        <v>THIN</v>
      </c>
      <c r="J15" s="20" t="n">
        <f aca="false">MROUND(E15*'Fuel &amp; Inputs'!$C$19*'Fuel &amp; Inputs'!$C$21,100)</f>
        <v>6700</v>
      </c>
      <c r="K15" s="20" t="n">
        <f aca="false">MROUND(F15*'Fuel &amp; Inputs'!$C$19*'Fuel &amp; Inputs'!$C$21,100)</f>
        <v>9700</v>
      </c>
      <c r="L15" s="20" t="n">
        <f aca="false">MROUND(G15*'Fuel &amp; Inputs'!$C$19*'Fuel &amp; Inputs'!$C$21,100)</f>
        <v>13300</v>
      </c>
      <c r="M15" s="20" t="n">
        <f aca="false">MROUND(E15*'Fuel &amp; Inputs'!$C$20*'Fuel &amp; Inputs'!$C$22,500)</f>
        <v>178500</v>
      </c>
      <c r="N15" s="20" t="n">
        <f aca="false">MROUND(F15*'Fuel &amp; Inputs'!$C$20*'Fuel &amp; Inputs'!$C$22,500)</f>
        <v>260000</v>
      </c>
      <c r="O15" s="20" t="n">
        <f aca="false">MROUND(G15*'Fuel &amp; Inputs'!$C$20*'Fuel &amp; Inputs'!$C$22,500)</f>
        <v>357000</v>
      </c>
      <c r="P15" s="22" t="s">
        <v>89</v>
      </c>
    </row>
    <row r="16" customFormat="false" ht="15" hidden="false" customHeight="true" outlineLevel="0" collapsed="false">
      <c r="A16" s="23" t="n">
        <v>12</v>
      </c>
      <c r="B16" s="24" t="s">
        <v>90</v>
      </c>
      <c r="C16" s="25" t="n">
        <v>10</v>
      </c>
      <c r="D16" s="26" t="n">
        <f aca="false">MROUND(C16*'Fuel &amp; Inputs'!$C$4,10)</f>
        <v>3820</v>
      </c>
      <c r="E16" s="27" t="n">
        <v>4400</v>
      </c>
      <c r="F16" s="26" t="n">
        <f aca="false">MROUND(E16+'Fuel &amp; Inputs'!$C$13,50)</f>
        <v>5200</v>
      </c>
      <c r="G16" s="27" t="n">
        <v>8800</v>
      </c>
      <c r="H16" s="26" t="n">
        <f aca="false">G16-F16</f>
        <v>3600</v>
      </c>
      <c r="I16" s="23" t="str">
        <f aca="false">IF(C16=0,"n/a",IF(H16&gt;=D16,"OK","THIN"))</f>
        <v>THIN</v>
      </c>
      <c r="J16" s="26" t="n">
        <f aca="false">MROUND(E16*'Fuel &amp; Inputs'!$C$19*'Fuel &amp; Inputs'!$C$21,100)</f>
        <v>16700</v>
      </c>
      <c r="K16" s="26" t="n">
        <f aca="false">MROUND(F16*'Fuel &amp; Inputs'!$C$19*'Fuel &amp; Inputs'!$C$21,100)</f>
        <v>19800</v>
      </c>
      <c r="L16" s="26" t="n">
        <f aca="false">MROUND(G16*'Fuel &amp; Inputs'!$C$19*'Fuel &amp; Inputs'!$C$21,100)</f>
        <v>33400</v>
      </c>
      <c r="M16" s="26" t="n">
        <f aca="false">MROUND(E16*'Fuel &amp; Inputs'!$C$20*'Fuel &amp; Inputs'!$C$22,500)</f>
        <v>449000</v>
      </c>
      <c r="N16" s="26" t="n">
        <f aca="false">MROUND(F16*'Fuel &amp; Inputs'!$C$20*'Fuel &amp; Inputs'!$C$22,500)</f>
        <v>530500</v>
      </c>
      <c r="O16" s="26" t="n">
        <f aca="false">MROUND(G16*'Fuel &amp; Inputs'!$C$20*'Fuel &amp; Inputs'!$C$22,500)</f>
        <v>897500</v>
      </c>
      <c r="P16" s="28" t="s">
        <v>91</v>
      </c>
    </row>
    <row r="17" customFormat="false" ht="15" hidden="false" customHeight="true" outlineLevel="0" collapsed="false">
      <c r="A17" s="17" t="n">
        <v>13</v>
      </c>
      <c r="B17" s="18" t="s">
        <v>92</v>
      </c>
      <c r="C17" s="19" t="n">
        <v>7</v>
      </c>
      <c r="D17" s="20" t="n">
        <f aca="false">MROUND(C17*'Fuel &amp; Inputs'!$C$4,10)</f>
        <v>2670</v>
      </c>
      <c r="E17" s="21" t="n">
        <v>2500</v>
      </c>
      <c r="F17" s="20" t="n">
        <f aca="false">MROUND(E17+'Fuel &amp; Inputs'!$C$13,50)</f>
        <v>3300</v>
      </c>
      <c r="G17" s="21" t="n">
        <v>5000</v>
      </c>
      <c r="H17" s="20" t="n">
        <f aca="false">G17-F17</f>
        <v>1700</v>
      </c>
      <c r="I17" s="17" t="str">
        <f aca="false">IF(C17=0,"n/a",IF(H17&gt;=D17,"OK","THIN"))</f>
        <v>THIN</v>
      </c>
      <c r="J17" s="20" t="n">
        <f aca="false">MROUND(E17*'Fuel &amp; Inputs'!$C$19*'Fuel &amp; Inputs'!$C$21,100)</f>
        <v>9500</v>
      </c>
      <c r="K17" s="20" t="n">
        <f aca="false">MROUND(F17*'Fuel &amp; Inputs'!$C$19*'Fuel &amp; Inputs'!$C$21,100)</f>
        <v>12500</v>
      </c>
      <c r="L17" s="20" t="n">
        <f aca="false">MROUND(G17*'Fuel &amp; Inputs'!$C$19*'Fuel &amp; Inputs'!$C$21,100)</f>
        <v>19000</v>
      </c>
      <c r="M17" s="20" t="n">
        <f aca="false">MROUND(E17*'Fuel &amp; Inputs'!$C$20*'Fuel &amp; Inputs'!$C$22,500)</f>
        <v>255000</v>
      </c>
      <c r="N17" s="20" t="n">
        <f aca="false">MROUND(F17*'Fuel &amp; Inputs'!$C$20*'Fuel &amp; Inputs'!$C$22,500)</f>
        <v>336500</v>
      </c>
      <c r="O17" s="20" t="n">
        <f aca="false">MROUND(G17*'Fuel &amp; Inputs'!$C$20*'Fuel &amp; Inputs'!$C$22,500)</f>
        <v>510000</v>
      </c>
      <c r="P17" s="22" t="s">
        <v>93</v>
      </c>
    </row>
    <row r="18" customFormat="false" ht="15" hidden="false" customHeight="true" outlineLevel="0" collapsed="false">
      <c r="A18" s="23" t="n">
        <v>14</v>
      </c>
      <c r="B18" s="24" t="s">
        <v>94</v>
      </c>
      <c r="C18" s="25" t="n">
        <v>14</v>
      </c>
      <c r="D18" s="26" t="n">
        <f aca="false">MROUND(C18*'Fuel &amp; Inputs'!$C$4,10)</f>
        <v>5350</v>
      </c>
      <c r="E18" s="27" t="n">
        <v>2450</v>
      </c>
      <c r="F18" s="26" t="n">
        <f aca="false">MROUND(E18+'Fuel &amp; Inputs'!$C$13,50)</f>
        <v>3250</v>
      </c>
      <c r="G18" s="27" t="n">
        <v>4850</v>
      </c>
      <c r="H18" s="26" t="n">
        <f aca="false">G18-F18</f>
        <v>1600</v>
      </c>
      <c r="I18" s="23" t="str">
        <f aca="false">IF(C18=0,"n/a",IF(H18&gt;=D18,"OK","THIN"))</f>
        <v>THIN</v>
      </c>
      <c r="J18" s="26" t="n">
        <f aca="false">MROUND(E18*'Fuel &amp; Inputs'!$C$19*'Fuel &amp; Inputs'!$C$21,100)</f>
        <v>9300</v>
      </c>
      <c r="K18" s="26" t="n">
        <f aca="false">MROUND(F18*'Fuel &amp; Inputs'!$C$19*'Fuel &amp; Inputs'!$C$21,100)</f>
        <v>12400</v>
      </c>
      <c r="L18" s="26" t="n">
        <f aca="false">MROUND(G18*'Fuel &amp; Inputs'!$C$19*'Fuel &amp; Inputs'!$C$21,100)</f>
        <v>18400</v>
      </c>
      <c r="M18" s="26" t="n">
        <f aca="false">MROUND(E18*'Fuel &amp; Inputs'!$C$20*'Fuel &amp; Inputs'!$C$22,500)</f>
        <v>250000</v>
      </c>
      <c r="N18" s="26" t="n">
        <f aca="false">MROUND(F18*'Fuel &amp; Inputs'!$C$20*'Fuel &amp; Inputs'!$C$22,500)</f>
        <v>331500</v>
      </c>
      <c r="O18" s="26" t="n">
        <f aca="false">MROUND(G18*'Fuel &amp; Inputs'!$C$20*'Fuel &amp; Inputs'!$C$22,500)</f>
        <v>494500</v>
      </c>
      <c r="P18" s="28" t="s">
        <v>95</v>
      </c>
    </row>
    <row r="19" customFormat="false" ht="15" hidden="false" customHeight="true" outlineLevel="0" collapsed="false">
      <c r="A19" s="17" t="n">
        <v>15</v>
      </c>
      <c r="B19" s="18" t="s">
        <v>96</v>
      </c>
      <c r="C19" s="19" t="n">
        <v>13</v>
      </c>
      <c r="D19" s="20" t="n">
        <f aca="false">MROUND(C19*'Fuel &amp; Inputs'!$C$4,10)</f>
        <v>4970</v>
      </c>
      <c r="E19" s="21" t="n">
        <v>4200</v>
      </c>
      <c r="F19" s="20" t="n">
        <f aca="false">MROUND(E19+'Fuel &amp; Inputs'!$C$13,50)</f>
        <v>5000</v>
      </c>
      <c r="G19" s="21" t="n">
        <v>9350</v>
      </c>
      <c r="H19" s="20" t="n">
        <f aca="false">G19-F19</f>
        <v>4350</v>
      </c>
      <c r="I19" s="17" t="str">
        <f aca="false">IF(C19=0,"n/a",IF(H19&gt;=D19,"OK","THIN"))</f>
        <v>THIN</v>
      </c>
      <c r="J19" s="20" t="n">
        <f aca="false">MROUND(E19*'Fuel &amp; Inputs'!$C$19*'Fuel &amp; Inputs'!$C$21,100)</f>
        <v>16000</v>
      </c>
      <c r="K19" s="20" t="n">
        <f aca="false">MROUND(F19*'Fuel &amp; Inputs'!$C$19*'Fuel &amp; Inputs'!$C$21,100)</f>
        <v>19000</v>
      </c>
      <c r="L19" s="20" t="n">
        <f aca="false">MROUND(G19*'Fuel &amp; Inputs'!$C$19*'Fuel &amp; Inputs'!$C$21,100)</f>
        <v>35500</v>
      </c>
      <c r="M19" s="20" t="n">
        <f aca="false">MROUND(E19*'Fuel &amp; Inputs'!$C$20*'Fuel &amp; Inputs'!$C$22,500)</f>
        <v>428500</v>
      </c>
      <c r="N19" s="20" t="n">
        <f aca="false">MROUND(F19*'Fuel &amp; Inputs'!$C$20*'Fuel &amp; Inputs'!$C$22,500)</f>
        <v>510000</v>
      </c>
      <c r="O19" s="20" t="n">
        <f aca="false">MROUND(G19*'Fuel &amp; Inputs'!$C$20*'Fuel &amp; Inputs'!$C$22,500)</f>
        <v>953500</v>
      </c>
      <c r="P19" s="22" t="s">
        <v>97</v>
      </c>
    </row>
    <row r="20" customFormat="false" ht="15" hidden="false" customHeight="true" outlineLevel="0" collapsed="false">
      <c r="A20" s="23" t="n">
        <v>16</v>
      </c>
      <c r="B20" s="24" t="s">
        <v>98</v>
      </c>
      <c r="C20" s="25" t="n">
        <v>3</v>
      </c>
      <c r="D20" s="26" t="n">
        <f aca="false">MROUND(C20*'Fuel &amp; Inputs'!$C$4,10)</f>
        <v>1150</v>
      </c>
      <c r="E20" s="27" t="n">
        <v>950</v>
      </c>
      <c r="F20" s="26" t="n">
        <f aca="false">MROUND(E20+'Fuel &amp; Inputs'!$C$13,50)</f>
        <v>1750</v>
      </c>
      <c r="G20" s="27" t="n">
        <v>1750</v>
      </c>
      <c r="H20" s="26" t="n">
        <f aca="false">G20-F20</f>
        <v>0</v>
      </c>
      <c r="I20" s="23" t="str">
        <f aca="false">IF(C20=0,"n/a",IF(H20&gt;=D20,"OK","THIN"))</f>
        <v>THIN</v>
      </c>
      <c r="J20" s="26" t="n">
        <f aca="false">MROUND(E20*'Fuel &amp; Inputs'!$C$19*'Fuel &amp; Inputs'!$C$21,100)</f>
        <v>3600</v>
      </c>
      <c r="K20" s="26" t="n">
        <f aca="false">MROUND(F20*'Fuel &amp; Inputs'!$C$19*'Fuel &amp; Inputs'!$C$21,100)</f>
        <v>6700</v>
      </c>
      <c r="L20" s="26" t="n">
        <f aca="false">MROUND(G20*'Fuel &amp; Inputs'!$C$19*'Fuel &amp; Inputs'!$C$21,100)</f>
        <v>6700</v>
      </c>
      <c r="M20" s="26" t="n">
        <f aca="false">MROUND(E20*'Fuel &amp; Inputs'!$C$20*'Fuel &amp; Inputs'!$C$22,500)</f>
        <v>97000</v>
      </c>
      <c r="N20" s="26" t="n">
        <f aca="false">MROUND(F20*'Fuel &amp; Inputs'!$C$20*'Fuel &amp; Inputs'!$C$22,500)</f>
        <v>178500</v>
      </c>
      <c r="O20" s="26" t="n">
        <f aca="false">MROUND(G20*'Fuel &amp; Inputs'!$C$20*'Fuel &amp; Inputs'!$C$22,500)</f>
        <v>178500</v>
      </c>
      <c r="P20" s="28" t="s">
        <v>99</v>
      </c>
    </row>
    <row r="21" customFormat="false" ht="15" hidden="false" customHeight="true" outlineLevel="0" collapsed="false">
      <c r="A21" s="17" t="n">
        <v>17</v>
      </c>
      <c r="B21" s="18" t="s">
        <v>100</v>
      </c>
      <c r="C21" s="19" t="n">
        <v>2.5</v>
      </c>
      <c r="D21" s="20" t="n">
        <f aca="false">MROUND(C21*'Fuel &amp; Inputs'!$C$4,10)</f>
        <v>960</v>
      </c>
      <c r="E21" s="21" t="n">
        <v>900</v>
      </c>
      <c r="F21" s="20" t="n">
        <f aca="false">MROUND(E21+'Fuel &amp; Inputs'!$C$13,50)</f>
        <v>1700</v>
      </c>
      <c r="G21" s="21" t="n">
        <v>1600</v>
      </c>
      <c r="H21" s="20" t="n">
        <f aca="false">G21-F21</f>
        <v>-100</v>
      </c>
      <c r="I21" s="17" t="str">
        <f aca="false">IF(C21=0,"n/a",IF(H21&gt;=D21,"OK","THIN"))</f>
        <v>THIN</v>
      </c>
      <c r="J21" s="20" t="n">
        <f aca="false">MROUND(E21*'Fuel &amp; Inputs'!$C$19*'Fuel &amp; Inputs'!$C$21,100)</f>
        <v>3400</v>
      </c>
      <c r="K21" s="20" t="n">
        <f aca="false">MROUND(F21*'Fuel &amp; Inputs'!$C$19*'Fuel &amp; Inputs'!$C$21,100)</f>
        <v>6500</v>
      </c>
      <c r="L21" s="20" t="n">
        <f aca="false">MROUND(G21*'Fuel &amp; Inputs'!$C$19*'Fuel &amp; Inputs'!$C$21,100)</f>
        <v>6100</v>
      </c>
      <c r="M21" s="20" t="n">
        <f aca="false">MROUND(E21*'Fuel &amp; Inputs'!$C$20*'Fuel &amp; Inputs'!$C$22,500)</f>
        <v>92000</v>
      </c>
      <c r="N21" s="20" t="n">
        <f aca="false">MROUND(F21*'Fuel &amp; Inputs'!$C$20*'Fuel &amp; Inputs'!$C$22,500)</f>
        <v>173500</v>
      </c>
      <c r="O21" s="20" t="n">
        <f aca="false">MROUND(G21*'Fuel &amp; Inputs'!$C$20*'Fuel &amp; Inputs'!$C$22,500)</f>
        <v>163000</v>
      </c>
      <c r="P21" s="22" t="s">
        <v>101</v>
      </c>
    </row>
    <row r="22" customFormat="false" ht="15" hidden="false" customHeight="true" outlineLevel="0" collapsed="false">
      <c r="A22" s="23" t="n">
        <v>18</v>
      </c>
      <c r="B22" s="24" t="s">
        <v>102</v>
      </c>
      <c r="C22" s="25" t="n">
        <v>3</v>
      </c>
      <c r="D22" s="26" t="n">
        <f aca="false">MROUND(C22*'Fuel &amp; Inputs'!$C$4,10)</f>
        <v>1150</v>
      </c>
      <c r="E22" s="27" t="n">
        <v>750</v>
      </c>
      <c r="F22" s="26" t="n">
        <f aca="false">MROUND(E22+'Fuel &amp; Inputs'!$C$13,50)</f>
        <v>1550</v>
      </c>
      <c r="G22" s="27" t="n">
        <v>1400</v>
      </c>
      <c r="H22" s="26" t="n">
        <f aca="false">G22-F22</f>
        <v>-150</v>
      </c>
      <c r="I22" s="23" t="str">
        <f aca="false">IF(C22=0,"n/a",IF(H22&gt;=D22,"OK","THIN"))</f>
        <v>THIN</v>
      </c>
      <c r="J22" s="26" t="n">
        <f aca="false">MROUND(E22*'Fuel &amp; Inputs'!$C$19*'Fuel &amp; Inputs'!$C$21,100)</f>
        <v>2900</v>
      </c>
      <c r="K22" s="26" t="n">
        <f aca="false">MROUND(F22*'Fuel &amp; Inputs'!$C$19*'Fuel &amp; Inputs'!$C$21,100)</f>
        <v>5900</v>
      </c>
      <c r="L22" s="26" t="n">
        <f aca="false">MROUND(G22*'Fuel &amp; Inputs'!$C$19*'Fuel &amp; Inputs'!$C$21,100)</f>
        <v>5300</v>
      </c>
      <c r="M22" s="26" t="n">
        <f aca="false">MROUND(E22*'Fuel &amp; Inputs'!$C$20*'Fuel &amp; Inputs'!$C$22,500)</f>
        <v>76500</v>
      </c>
      <c r="N22" s="26" t="n">
        <f aca="false">MROUND(F22*'Fuel &amp; Inputs'!$C$20*'Fuel &amp; Inputs'!$C$22,500)</f>
        <v>158000</v>
      </c>
      <c r="O22" s="26" t="n">
        <f aca="false">MROUND(G22*'Fuel &amp; Inputs'!$C$20*'Fuel &amp; Inputs'!$C$22,500)</f>
        <v>143000</v>
      </c>
      <c r="P22" s="28" t="s">
        <v>103</v>
      </c>
    </row>
    <row r="23" customFormat="false" ht="15" hidden="false" customHeight="true" outlineLevel="0" collapsed="false">
      <c r="A23" s="17" t="n">
        <v>19</v>
      </c>
      <c r="B23" s="18" t="s">
        <v>104</v>
      </c>
      <c r="C23" s="19" t="n">
        <v>2.5</v>
      </c>
      <c r="D23" s="20" t="n">
        <f aca="false">MROUND(C23*'Fuel &amp; Inputs'!$C$4,10)</f>
        <v>960</v>
      </c>
      <c r="E23" s="21" t="n">
        <v>650</v>
      </c>
      <c r="F23" s="20" t="n">
        <f aca="false">MROUND(E23+'Fuel &amp; Inputs'!$C$13,50)</f>
        <v>1450</v>
      </c>
      <c r="G23" s="21" t="n">
        <v>1150</v>
      </c>
      <c r="H23" s="20" t="n">
        <f aca="false">G23-F23</f>
        <v>-300</v>
      </c>
      <c r="I23" s="17" t="str">
        <f aca="false">IF(C23=0,"n/a",IF(H23&gt;=D23,"OK","THIN"))</f>
        <v>THIN</v>
      </c>
      <c r="J23" s="20" t="n">
        <f aca="false">MROUND(E23*'Fuel &amp; Inputs'!$C$19*'Fuel &amp; Inputs'!$C$21,100)</f>
        <v>2500</v>
      </c>
      <c r="K23" s="20" t="n">
        <f aca="false">MROUND(F23*'Fuel &amp; Inputs'!$C$19*'Fuel &amp; Inputs'!$C$21,100)</f>
        <v>5500</v>
      </c>
      <c r="L23" s="20" t="n">
        <f aca="false">MROUND(G23*'Fuel &amp; Inputs'!$C$19*'Fuel &amp; Inputs'!$C$21,100)</f>
        <v>4400</v>
      </c>
      <c r="M23" s="20" t="n">
        <f aca="false">MROUND(E23*'Fuel &amp; Inputs'!$C$20*'Fuel &amp; Inputs'!$C$22,500)</f>
        <v>66500</v>
      </c>
      <c r="N23" s="20" t="n">
        <f aca="false">MROUND(F23*'Fuel &amp; Inputs'!$C$20*'Fuel &amp; Inputs'!$C$22,500)</f>
        <v>148000</v>
      </c>
      <c r="O23" s="20" t="n">
        <f aca="false">MROUND(G23*'Fuel &amp; Inputs'!$C$20*'Fuel &amp; Inputs'!$C$22,500)</f>
        <v>117500</v>
      </c>
      <c r="P23" s="22" t="s">
        <v>105</v>
      </c>
    </row>
    <row r="24" customFormat="false" ht="15" hidden="false" customHeight="true" outlineLevel="0" collapsed="false">
      <c r="A24" s="23" t="n">
        <v>20</v>
      </c>
      <c r="B24" s="24" t="s">
        <v>106</v>
      </c>
      <c r="C24" s="25" t="n">
        <v>7.5</v>
      </c>
      <c r="D24" s="26" t="n">
        <f aca="false">MROUND(C24*'Fuel &amp; Inputs'!$C$4,10)</f>
        <v>2870</v>
      </c>
      <c r="E24" s="27" t="n">
        <v>1550</v>
      </c>
      <c r="F24" s="26" t="n">
        <f aca="false">MROUND(E24+'Fuel &amp; Inputs'!$C$13,50)</f>
        <v>2350</v>
      </c>
      <c r="G24" s="27" t="n">
        <v>3250</v>
      </c>
      <c r="H24" s="26" t="n">
        <f aca="false">G24-F24</f>
        <v>900</v>
      </c>
      <c r="I24" s="23" t="str">
        <f aca="false">IF(C24=0,"n/a",IF(H24&gt;=D24,"OK","THIN"))</f>
        <v>THIN</v>
      </c>
      <c r="J24" s="26" t="n">
        <f aca="false">MROUND(E24*'Fuel &amp; Inputs'!$C$19*'Fuel &amp; Inputs'!$C$21,100)</f>
        <v>5900</v>
      </c>
      <c r="K24" s="26" t="n">
        <f aca="false">MROUND(F24*'Fuel &amp; Inputs'!$C$19*'Fuel &amp; Inputs'!$C$21,100)</f>
        <v>8900</v>
      </c>
      <c r="L24" s="26" t="n">
        <f aca="false">MROUND(G24*'Fuel &amp; Inputs'!$C$19*'Fuel &amp; Inputs'!$C$21,100)</f>
        <v>12400</v>
      </c>
      <c r="M24" s="26" t="n">
        <f aca="false">MROUND(E24*'Fuel &amp; Inputs'!$C$20*'Fuel &amp; Inputs'!$C$22,500)</f>
        <v>158000</v>
      </c>
      <c r="N24" s="26" t="n">
        <f aca="false">MROUND(F24*'Fuel &amp; Inputs'!$C$20*'Fuel &amp; Inputs'!$C$22,500)</f>
        <v>239500</v>
      </c>
      <c r="O24" s="26" t="n">
        <f aca="false">MROUND(G24*'Fuel &amp; Inputs'!$C$20*'Fuel &amp; Inputs'!$C$22,500)</f>
        <v>331500</v>
      </c>
      <c r="P24" s="28" t="s">
        <v>107</v>
      </c>
    </row>
    <row r="25" customFormat="false" ht="15" hidden="false" customHeight="true" outlineLevel="0" collapsed="false">
      <c r="A25" s="17" t="n">
        <v>21</v>
      </c>
      <c r="B25" s="18" t="s">
        <v>108</v>
      </c>
      <c r="C25" s="19" t="n">
        <v>0</v>
      </c>
      <c r="D25" s="20" t="n">
        <f aca="false">MROUND(C25*'Fuel &amp; Inputs'!$C$4,10)</f>
        <v>0</v>
      </c>
      <c r="E25" s="21" t="n">
        <v>1250</v>
      </c>
      <c r="F25" s="20" t="n">
        <f aca="false">E25</f>
        <v>1250</v>
      </c>
      <c r="G25" s="21" t="n">
        <v>1300</v>
      </c>
      <c r="H25" s="20" t="n">
        <f aca="false">G25-F25</f>
        <v>50</v>
      </c>
      <c r="I25" s="17" t="str">
        <f aca="false">IF(C25=0,"n/a",IF(H25&gt;=D25,"OK","THIN"))</f>
        <v>n/a</v>
      </c>
      <c r="J25" s="20" t="n">
        <f aca="false">MROUND(E25*'Fuel &amp; Inputs'!$C$19*'Fuel &amp; Inputs'!$C$21,100)</f>
        <v>4800</v>
      </c>
      <c r="K25" s="20" t="n">
        <f aca="false">MROUND(F25*'Fuel &amp; Inputs'!$C$19*'Fuel &amp; Inputs'!$C$21,100)</f>
        <v>4800</v>
      </c>
      <c r="L25" s="20" t="n">
        <f aca="false">MROUND(G25*'Fuel &amp; Inputs'!$C$19*'Fuel &amp; Inputs'!$C$21,100)</f>
        <v>4900</v>
      </c>
      <c r="M25" s="20" t="n">
        <f aca="false">MROUND(E25*'Fuel &amp; Inputs'!$C$20*'Fuel &amp; Inputs'!$C$22,500)</f>
        <v>127500</v>
      </c>
      <c r="N25" s="20" t="n">
        <f aca="false">MROUND(F25*'Fuel &amp; Inputs'!$C$20*'Fuel &amp; Inputs'!$C$22,500)</f>
        <v>127500</v>
      </c>
      <c r="O25" s="20" t="n">
        <f aca="false">MROUND(G25*'Fuel &amp; Inputs'!$C$20*'Fuel &amp; Inputs'!$C$22,500)</f>
        <v>132500</v>
      </c>
      <c r="P25" s="22" t="s">
        <v>109</v>
      </c>
    </row>
    <row r="26" customFormat="false" ht="15" hidden="false" customHeight="true" outlineLevel="0" collapsed="false">
      <c r="A26" s="23" t="n">
        <v>22</v>
      </c>
      <c r="B26" s="24" t="s">
        <v>110</v>
      </c>
      <c r="C26" s="25" t="n">
        <v>0</v>
      </c>
      <c r="D26" s="26" t="n">
        <f aca="false">MROUND(C26*'Fuel &amp; Inputs'!$C$4,10)</f>
        <v>0</v>
      </c>
      <c r="E26" s="27" t="n">
        <v>2100</v>
      </c>
      <c r="F26" s="26" t="n">
        <f aca="false">E26</f>
        <v>2100</v>
      </c>
      <c r="G26" s="27" t="n">
        <v>2200</v>
      </c>
      <c r="H26" s="26" t="n">
        <f aca="false">G26-F26</f>
        <v>100</v>
      </c>
      <c r="I26" s="23" t="str">
        <f aca="false">IF(C26=0,"n/a",IF(H26&gt;=D26,"OK","THIN"))</f>
        <v>n/a</v>
      </c>
      <c r="J26" s="26" t="n">
        <f aca="false">MROUND(E26*'Fuel &amp; Inputs'!$C$19*'Fuel &amp; Inputs'!$C$21,100)</f>
        <v>8000</v>
      </c>
      <c r="K26" s="26" t="n">
        <f aca="false">MROUND(F26*'Fuel &amp; Inputs'!$C$19*'Fuel &amp; Inputs'!$C$21,100)</f>
        <v>8000</v>
      </c>
      <c r="L26" s="26" t="n">
        <f aca="false">MROUND(G26*'Fuel &amp; Inputs'!$C$19*'Fuel &amp; Inputs'!$C$21,100)</f>
        <v>8400</v>
      </c>
      <c r="M26" s="26" t="n">
        <f aca="false">MROUND(E26*'Fuel &amp; Inputs'!$C$20*'Fuel &amp; Inputs'!$C$22,500)</f>
        <v>214000</v>
      </c>
      <c r="N26" s="26" t="n">
        <f aca="false">MROUND(F26*'Fuel &amp; Inputs'!$C$20*'Fuel &amp; Inputs'!$C$22,500)</f>
        <v>214000</v>
      </c>
      <c r="O26" s="26" t="n">
        <f aca="false">MROUND(G26*'Fuel &amp; Inputs'!$C$20*'Fuel &amp; Inputs'!$C$22,500)</f>
        <v>224500</v>
      </c>
      <c r="P26" s="28" t="s">
        <v>111</v>
      </c>
    </row>
    <row r="27" customFormat="false" ht="15" hidden="false" customHeight="true" outlineLevel="0" collapsed="false">
      <c r="A27" s="17" t="n">
        <v>23</v>
      </c>
      <c r="B27" s="18" t="s">
        <v>112</v>
      </c>
      <c r="C27" s="19" t="n">
        <v>3.5</v>
      </c>
      <c r="D27" s="20" t="n">
        <f aca="false">MROUND(C27*'Fuel &amp; Inputs'!$C$4,10)</f>
        <v>1340</v>
      </c>
      <c r="E27" s="21" t="n">
        <v>1350</v>
      </c>
      <c r="F27" s="20" t="n">
        <f aca="false">MROUND(E27+'Fuel &amp; Inputs'!$C$13,50)</f>
        <v>2150</v>
      </c>
      <c r="G27" s="21" t="n">
        <v>2450</v>
      </c>
      <c r="H27" s="20" t="n">
        <f aca="false">G27-F27</f>
        <v>300</v>
      </c>
      <c r="I27" s="17" t="str">
        <f aca="false">IF(C27=0,"n/a",IF(H27&gt;=D27,"OK","THIN"))</f>
        <v>THIN</v>
      </c>
      <c r="J27" s="20" t="n">
        <f aca="false">MROUND(E27*'Fuel &amp; Inputs'!$C$19*'Fuel &amp; Inputs'!$C$21,100)</f>
        <v>5100</v>
      </c>
      <c r="K27" s="20" t="n">
        <f aca="false">MROUND(F27*'Fuel &amp; Inputs'!$C$19*'Fuel &amp; Inputs'!$C$21,100)</f>
        <v>8200</v>
      </c>
      <c r="L27" s="20" t="n">
        <f aca="false">MROUND(G27*'Fuel &amp; Inputs'!$C$19*'Fuel &amp; Inputs'!$C$21,100)</f>
        <v>9300</v>
      </c>
      <c r="M27" s="20" t="n">
        <f aca="false">MROUND(E27*'Fuel &amp; Inputs'!$C$20*'Fuel &amp; Inputs'!$C$22,500)</f>
        <v>137500</v>
      </c>
      <c r="N27" s="20" t="n">
        <f aca="false">MROUND(F27*'Fuel &amp; Inputs'!$C$20*'Fuel &amp; Inputs'!$C$22,500)</f>
        <v>219500</v>
      </c>
      <c r="O27" s="20" t="n">
        <f aca="false">MROUND(G27*'Fuel &amp; Inputs'!$C$20*'Fuel &amp; Inputs'!$C$22,500)</f>
        <v>250000</v>
      </c>
      <c r="P27" s="22" t="s">
        <v>113</v>
      </c>
    </row>
    <row r="28" customFormat="false" ht="15" hidden="false" customHeight="true" outlineLevel="0" collapsed="false">
      <c r="A28" s="23" t="n">
        <v>24</v>
      </c>
      <c r="B28" s="24" t="s">
        <v>114</v>
      </c>
      <c r="C28" s="25" t="n">
        <v>15</v>
      </c>
      <c r="D28" s="26" t="n">
        <f aca="false">MROUND(C28*'Fuel &amp; Inputs'!$C$4,10)</f>
        <v>5730</v>
      </c>
      <c r="E28" s="27" t="n">
        <v>4300</v>
      </c>
      <c r="F28" s="26" t="n">
        <f aca="false">MROUND(E28+'Fuel &amp; Inputs'!$C$13,50)</f>
        <v>5100</v>
      </c>
      <c r="G28" s="27" t="n">
        <v>9550</v>
      </c>
      <c r="H28" s="26" t="n">
        <f aca="false">G28-F28</f>
        <v>4450</v>
      </c>
      <c r="I28" s="23" t="str">
        <f aca="false">IF(C28=0,"n/a",IF(H28&gt;=D28,"OK","THIN"))</f>
        <v>THIN</v>
      </c>
      <c r="J28" s="26" t="n">
        <f aca="false">MROUND(E28*'Fuel &amp; Inputs'!$C$19*'Fuel &amp; Inputs'!$C$21,100)</f>
        <v>16300</v>
      </c>
      <c r="K28" s="26" t="n">
        <f aca="false">MROUND(F28*'Fuel &amp; Inputs'!$C$19*'Fuel &amp; Inputs'!$C$21,100)</f>
        <v>19400</v>
      </c>
      <c r="L28" s="26" t="n">
        <f aca="false">MROUND(G28*'Fuel &amp; Inputs'!$C$19*'Fuel &amp; Inputs'!$C$21,100)</f>
        <v>36300</v>
      </c>
      <c r="M28" s="26" t="n">
        <f aca="false">MROUND(E28*'Fuel &amp; Inputs'!$C$20*'Fuel &amp; Inputs'!$C$22,500)</f>
        <v>438500</v>
      </c>
      <c r="N28" s="26" t="n">
        <f aca="false">MROUND(F28*'Fuel &amp; Inputs'!$C$20*'Fuel &amp; Inputs'!$C$22,500)</f>
        <v>520000</v>
      </c>
      <c r="O28" s="26" t="n">
        <f aca="false">MROUND(G28*'Fuel &amp; Inputs'!$C$20*'Fuel &amp; Inputs'!$C$22,500)</f>
        <v>974000</v>
      </c>
      <c r="P28" s="28" t="s">
        <v>115</v>
      </c>
    </row>
    <row r="29" customFormat="false" ht="15" hidden="false" customHeight="true" outlineLevel="0" collapsed="false">
      <c r="A29" s="17" t="n">
        <v>25</v>
      </c>
      <c r="B29" s="18" t="s">
        <v>116</v>
      </c>
      <c r="C29" s="19" t="n">
        <v>3.5</v>
      </c>
      <c r="D29" s="20" t="n">
        <f aca="false">MROUND(C29*'Fuel &amp; Inputs'!$C$4,10)</f>
        <v>1340</v>
      </c>
      <c r="E29" s="21" t="n">
        <v>1500</v>
      </c>
      <c r="F29" s="20" t="n">
        <f aca="false">MROUND(E29+'Fuel &amp; Inputs'!$C$13,50)</f>
        <v>2300</v>
      </c>
      <c r="G29" s="21" t="n">
        <v>2950</v>
      </c>
      <c r="H29" s="20" t="n">
        <f aca="false">G29-F29</f>
        <v>650</v>
      </c>
      <c r="I29" s="17" t="str">
        <f aca="false">IF(C29=0,"n/a",IF(H29&gt;=D29,"OK","THIN"))</f>
        <v>THIN</v>
      </c>
      <c r="J29" s="20" t="n">
        <f aca="false">MROUND(E29*'Fuel &amp; Inputs'!$C$19*'Fuel &amp; Inputs'!$C$21,100)</f>
        <v>5700</v>
      </c>
      <c r="K29" s="20" t="n">
        <f aca="false">MROUND(F29*'Fuel &amp; Inputs'!$C$19*'Fuel &amp; Inputs'!$C$21,100)</f>
        <v>8700</v>
      </c>
      <c r="L29" s="20" t="n">
        <f aca="false">MROUND(G29*'Fuel &amp; Inputs'!$C$19*'Fuel &amp; Inputs'!$C$21,100)</f>
        <v>11200</v>
      </c>
      <c r="M29" s="20" t="n">
        <f aca="false">MROUND(E29*'Fuel &amp; Inputs'!$C$20*'Fuel &amp; Inputs'!$C$22,500)</f>
        <v>153000</v>
      </c>
      <c r="N29" s="20" t="n">
        <f aca="false">MROUND(F29*'Fuel &amp; Inputs'!$C$20*'Fuel &amp; Inputs'!$C$22,500)</f>
        <v>234500</v>
      </c>
      <c r="O29" s="20" t="n">
        <f aca="false">MROUND(G29*'Fuel &amp; Inputs'!$C$20*'Fuel &amp; Inputs'!$C$22,500)</f>
        <v>301000</v>
      </c>
      <c r="P29" s="22" t="s">
        <v>117</v>
      </c>
    </row>
    <row r="30" customFormat="false" ht="21.75" hidden="false" customHeight="true" outlineLevel="0" collapsed="false">
      <c r="A30" s="23" t="n">
        <v>26</v>
      </c>
      <c r="B30" s="24" t="s">
        <v>118</v>
      </c>
      <c r="C30" s="25" t="n">
        <v>4</v>
      </c>
      <c r="D30" s="26" t="n">
        <f aca="false">MROUND(C30*'Fuel &amp; Inputs'!$C$4,10)</f>
        <v>1530</v>
      </c>
      <c r="E30" s="27" t="n">
        <v>1150</v>
      </c>
      <c r="F30" s="26" t="n">
        <f aca="false">MROUND(E30+'Fuel &amp; Inputs'!$C$13,50)</f>
        <v>1950</v>
      </c>
      <c r="G30" s="27" t="n">
        <v>2100</v>
      </c>
      <c r="H30" s="26" t="n">
        <f aca="false">G30-F30</f>
        <v>150</v>
      </c>
      <c r="I30" s="23" t="str">
        <f aca="false">IF(C30=0,"n/a",IF(H30&gt;=D30,"OK","THIN"))</f>
        <v>THIN</v>
      </c>
      <c r="J30" s="26" t="n">
        <f aca="false">MROUND(E30*'Fuel &amp; Inputs'!$C$19*'Fuel &amp; Inputs'!$C$21,100)</f>
        <v>4400</v>
      </c>
      <c r="K30" s="26" t="n">
        <f aca="false">MROUND(F30*'Fuel &amp; Inputs'!$C$19*'Fuel &amp; Inputs'!$C$21,100)</f>
        <v>7400</v>
      </c>
      <c r="L30" s="26" t="n">
        <f aca="false">MROUND(G30*'Fuel &amp; Inputs'!$C$19*'Fuel &amp; Inputs'!$C$21,100)</f>
        <v>8000</v>
      </c>
      <c r="M30" s="26" t="n">
        <f aca="false">MROUND(E30*'Fuel &amp; Inputs'!$C$20*'Fuel &amp; Inputs'!$C$22,500)</f>
        <v>117500</v>
      </c>
      <c r="N30" s="26" t="n">
        <f aca="false">MROUND(F30*'Fuel &amp; Inputs'!$C$20*'Fuel &amp; Inputs'!$C$22,500)</f>
        <v>199000</v>
      </c>
      <c r="O30" s="26" t="n">
        <f aca="false">MROUND(G30*'Fuel &amp; Inputs'!$C$20*'Fuel &amp; Inputs'!$C$22,500)</f>
        <v>214000</v>
      </c>
      <c r="P30" s="28" t="s">
        <v>119</v>
      </c>
    </row>
    <row r="31" customFormat="false" ht="15" hidden="false" customHeight="true" outlineLevel="0" collapsed="false">
      <c r="A31" s="17" t="n">
        <v>27</v>
      </c>
      <c r="B31" s="18" t="s">
        <v>120</v>
      </c>
      <c r="C31" s="19" t="n">
        <v>1.2</v>
      </c>
      <c r="D31" s="20" t="n">
        <f aca="false">MROUND(C31*'Fuel &amp; Inputs'!$C$5,10)</f>
        <v>500</v>
      </c>
      <c r="E31" s="21" t="n">
        <v>300</v>
      </c>
      <c r="F31" s="20" t="n">
        <f aca="false">E31</f>
        <v>300</v>
      </c>
      <c r="G31" s="21" t="n">
        <v>500</v>
      </c>
      <c r="H31" s="20" t="n">
        <f aca="false">G31-F31</f>
        <v>200</v>
      </c>
      <c r="I31" s="17" t="str">
        <f aca="false">IF(C31=0,"n/a",IF(H31&gt;=D31,"OK","THIN"))</f>
        <v>THIN</v>
      </c>
      <c r="J31" s="20" t="n">
        <f aca="false">MROUND(E31*'Fuel &amp; Inputs'!$C$19*'Fuel &amp; Inputs'!$C$21,100)</f>
        <v>1100</v>
      </c>
      <c r="K31" s="20" t="n">
        <f aca="false">MROUND(F31*'Fuel &amp; Inputs'!$C$19*'Fuel &amp; Inputs'!$C$21,100)</f>
        <v>1100</v>
      </c>
      <c r="L31" s="20" t="n">
        <f aca="false">MROUND(G31*'Fuel &amp; Inputs'!$C$19*'Fuel &amp; Inputs'!$C$21,100)</f>
        <v>1900</v>
      </c>
      <c r="M31" s="20" t="n">
        <f aca="false">MROUND(E31*'Fuel &amp; Inputs'!$C$20*'Fuel &amp; Inputs'!$C$22,500)</f>
        <v>30500</v>
      </c>
      <c r="N31" s="20" t="n">
        <f aca="false">MROUND(F31*'Fuel &amp; Inputs'!$C$20*'Fuel &amp; Inputs'!$C$22,500)</f>
        <v>30500</v>
      </c>
      <c r="O31" s="20" t="n">
        <f aca="false">MROUND(G31*'Fuel &amp; Inputs'!$C$20*'Fuel &amp; Inputs'!$C$22,500)</f>
        <v>51000</v>
      </c>
      <c r="P31" s="22" t="s">
        <v>121</v>
      </c>
    </row>
    <row r="32" customFormat="false" ht="15" hidden="false" customHeight="true" outlineLevel="0" collapsed="false">
      <c r="A32" s="23" t="n">
        <v>28</v>
      </c>
      <c r="B32" s="24" t="s">
        <v>122</v>
      </c>
      <c r="C32" s="25" t="n">
        <v>4.5</v>
      </c>
      <c r="D32" s="26" t="n">
        <f aca="false">MROUND(C32*'Fuel &amp; Inputs'!$C$4,10)</f>
        <v>1720</v>
      </c>
      <c r="E32" s="27" t="n">
        <v>950</v>
      </c>
      <c r="F32" s="26" t="n">
        <f aca="false">MROUND(E32+'Fuel &amp; Inputs'!$C$13,50)</f>
        <v>1750</v>
      </c>
      <c r="G32" s="27" t="n">
        <v>1750</v>
      </c>
      <c r="H32" s="26" t="n">
        <f aca="false">G32-F32</f>
        <v>0</v>
      </c>
      <c r="I32" s="23" t="str">
        <f aca="false">IF(C32=0,"n/a",IF(H32&gt;=D32,"OK","THIN"))</f>
        <v>THIN</v>
      </c>
      <c r="J32" s="26" t="n">
        <f aca="false">MROUND(E32*'Fuel &amp; Inputs'!$C$19*'Fuel &amp; Inputs'!$C$21,100)</f>
        <v>3600</v>
      </c>
      <c r="K32" s="26" t="n">
        <f aca="false">MROUND(F32*'Fuel &amp; Inputs'!$C$19*'Fuel &amp; Inputs'!$C$21,100)</f>
        <v>6700</v>
      </c>
      <c r="L32" s="26" t="n">
        <f aca="false">MROUND(G32*'Fuel &amp; Inputs'!$C$19*'Fuel &amp; Inputs'!$C$21,100)</f>
        <v>6700</v>
      </c>
      <c r="M32" s="26" t="n">
        <f aca="false">MROUND(E32*'Fuel &amp; Inputs'!$C$20*'Fuel &amp; Inputs'!$C$22,500)</f>
        <v>97000</v>
      </c>
      <c r="N32" s="26" t="n">
        <f aca="false">MROUND(F32*'Fuel &amp; Inputs'!$C$20*'Fuel &amp; Inputs'!$C$22,500)</f>
        <v>178500</v>
      </c>
      <c r="O32" s="26" t="n">
        <f aca="false">MROUND(G32*'Fuel &amp; Inputs'!$C$20*'Fuel &amp; Inputs'!$C$22,500)</f>
        <v>178500</v>
      </c>
      <c r="P32" s="28" t="s">
        <v>123</v>
      </c>
    </row>
    <row r="33" customFormat="false" ht="15" hidden="false" customHeight="true" outlineLevel="0" collapsed="false">
      <c r="A33" s="17" t="n">
        <v>29</v>
      </c>
      <c r="B33" s="18" t="s">
        <v>124</v>
      </c>
      <c r="C33" s="19" t="n">
        <v>3.5</v>
      </c>
      <c r="D33" s="20" t="n">
        <f aca="false">MROUND(C33*'Fuel &amp; Inputs'!$C$4,10)</f>
        <v>1340</v>
      </c>
      <c r="E33" s="21" t="n">
        <v>1550</v>
      </c>
      <c r="F33" s="20" t="n">
        <f aca="false">MROUND(E33+'Fuel &amp; Inputs'!$C$13,50)</f>
        <v>2350</v>
      </c>
      <c r="G33" s="21" t="n">
        <v>3050</v>
      </c>
      <c r="H33" s="20" t="n">
        <f aca="false">G33-F33</f>
        <v>700</v>
      </c>
      <c r="I33" s="17" t="str">
        <f aca="false">IF(C33=0,"n/a",IF(H33&gt;=D33,"OK","THIN"))</f>
        <v>THIN</v>
      </c>
      <c r="J33" s="20" t="n">
        <f aca="false">MROUND(E33*'Fuel &amp; Inputs'!$C$19*'Fuel &amp; Inputs'!$C$21,100)</f>
        <v>5900</v>
      </c>
      <c r="K33" s="20" t="n">
        <f aca="false">MROUND(F33*'Fuel &amp; Inputs'!$C$19*'Fuel &amp; Inputs'!$C$21,100)</f>
        <v>8900</v>
      </c>
      <c r="L33" s="20" t="n">
        <f aca="false">MROUND(G33*'Fuel &amp; Inputs'!$C$19*'Fuel &amp; Inputs'!$C$21,100)</f>
        <v>11600</v>
      </c>
      <c r="M33" s="20" t="n">
        <f aca="false">MROUND(E33*'Fuel &amp; Inputs'!$C$20*'Fuel &amp; Inputs'!$C$22,500)</f>
        <v>158000</v>
      </c>
      <c r="N33" s="20" t="n">
        <f aca="false">MROUND(F33*'Fuel &amp; Inputs'!$C$20*'Fuel &amp; Inputs'!$C$22,500)</f>
        <v>239500</v>
      </c>
      <c r="O33" s="20" t="n">
        <f aca="false">MROUND(G33*'Fuel &amp; Inputs'!$C$20*'Fuel &amp; Inputs'!$C$22,500)</f>
        <v>311000</v>
      </c>
      <c r="P33" s="22" t="s">
        <v>125</v>
      </c>
    </row>
    <row r="35" customFormat="false" ht="15" hidden="false" customHeight="true" outlineLevel="0" collapsed="false">
      <c r="B35" s="11"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7"/>
    <col collapsed="false" customWidth="true" hidden="false" outlineLevel="0" max="3" min="3" style="0" width="12"/>
    <col collapsed="false" customWidth="true" hidden="false" outlineLevel="0" max="4" min="4" style="0" width="17"/>
    <col collapsed="false" customWidth="true" hidden="false" outlineLevel="0" max="5" min="5" style="0" width="6"/>
    <col collapsed="false" customWidth="true" hidden="false" outlineLevel="0" max="6" min="6" style="0" width="8"/>
    <col collapsed="false" customWidth="true" hidden="false" outlineLevel="0" max="7" min="7" style="0" width="10"/>
    <col collapsed="false" customWidth="true" hidden="false" outlineLevel="0" max="8" min="8" style="0" width="7"/>
    <col collapsed="false" customWidth="true" hidden="false" outlineLevel="0" max="9" min="9" style="0" width="8"/>
    <col collapsed="false" customWidth="true" hidden="false" outlineLevel="0" max="10" min="10" style="0" width="6"/>
    <col collapsed="false" customWidth="true" hidden="false" outlineLevel="0" max="11" min="11" style="0" width="9"/>
    <col collapsed="false" customWidth="true" hidden="false" outlineLevel="0" max="12" min="12" style="0" width="7"/>
    <col collapsed="false" customWidth="true" hidden="false" outlineLevel="0" max="13" min="13" style="0" width="9"/>
    <col collapsed="false" customWidth="true" hidden="false" outlineLevel="0" max="14" min="14" style="0" width="12"/>
    <col collapsed="false" customWidth="true" hidden="false" outlineLevel="0" max="15" min="15" style="0" width="9"/>
    <col collapsed="false" customWidth="true" hidden="false" outlineLevel="0" max="16" min="16" style="0" width="10"/>
    <col collapsed="false" customWidth="true" hidden="false" outlineLevel="0" max="17" min="17" style="0" width="11"/>
    <col collapsed="false" customWidth="true" hidden="false" outlineLevel="0" max="18" min="18" style="0" width="10"/>
    <col collapsed="false" customWidth="true" hidden="false" outlineLevel="0" max="19" min="19" style="0" width="11"/>
    <col collapsed="false" customWidth="true" hidden="false" outlineLevel="0" max="20" min="20" style="0" width="12"/>
    <col collapsed="false" customWidth="true" hidden="false" outlineLevel="0" max="21" min="21" style="0" width="11"/>
  </cols>
  <sheetData>
    <row r="1" customFormat="false" ht="17.35" hidden="false" customHeight="false" outlineLevel="0" collapsed="false">
      <c r="A1" s="29" t="s">
        <v>127</v>
      </c>
    </row>
    <row r="2" customFormat="false" ht="15" hidden="false" customHeight="false" outlineLevel="0" collapsed="false">
      <c r="A2" s="30" t="s">
        <v>128</v>
      </c>
    </row>
    <row r="4" customFormat="false" ht="30" hidden="false" customHeight="true" outlineLevel="0" collapsed="false">
      <c r="A4" s="16" t="s">
        <v>52</v>
      </c>
      <c r="B4" s="16" t="s">
        <v>53</v>
      </c>
      <c r="C4" s="16" t="s">
        <v>129</v>
      </c>
      <c r="D4" s="16" t="s">
        <v>130</v>
      </c>
      <c r="E4" s="16" t="s">
        <v>131</v>
      </c>
      <c r="F4" s="16" t="s">
        <v>132</v>
      </c>
      <c r="G4" s="16" t="s">
        <v>133</v>
      </c>
      <c r="H4" s="16" t="s">
        <v>134</v>
      </c>
      <c r="I4" s="16" t="s">
        <v>135</v>
      </c>
      <c r="J4" s="16" t="s">
        <v>136</v>
      </c>
      <c r="K4" s="16" t="s">
        <v>137</v>
      </c>
      <c r="L4" s="16" t="s">
        <v>138</v>
      </c>
      <c r="M4" s="16" t="s">
        <v>56</v>
      </c>
      <c r="N4" s="16" t="s">
        <v>57</v>
      </c>
      <c r="O4" s="16" t="s">
        <v>58</v>
      </c>
      <c r="P4" s="16" t="s">
        <v>61</v>
      </c>
      <c r="Q4" s="16" t="s">
        <v>62</v>
      </c>
      <c r="R4" s="16" t="s">
        <v>63</v>
      </c>
      <c r="S4" s="16" t="s">
        <v>139</v>
      </c>
      <c r="T4" s="16" t="s">
        <v>140</v>
      </c>
      <c r="U4" s="16" t="s">
        <v>141</v>
      </c>
    </row>
    <row r="5" customFormat="false" ht="15" hidden="false" customHeight="true" outlineLevel="0" collapsed="false">
      <c r="A5" s="31" t="s">
        <v>142</v>
      </c>
      <c r="B5" s="31"/>
      <c r="C5" s="31"/>
      <c r="D5" s="31"/>
      <c r="E5" s="31"/>
      <c r="F5" s="31"/>
      <c r="G5" s="31"/>
      <c r="H5" s="31"/>
      <c r="I5" s="31"/>
      <c r="J5" s="31"/>
      <c r="K5" s="31"/>
      <c r="L5" s="31"/>
      <c r="M5" s="31"/>
      <c r="N5" s="31"/>
      <c r="O5" s="31"/>
      <c r="P5" s="31"/>
      <c r="Q5" s="31"/>
      <c r="R5" s="31"/>
      <c r="S5" s="31"/>
      <c r="T5" s="31"/>
      <c r="U5" s="31"/>
    </row>
    <row r="6" customFormat="false" ht="15" hidden="false" customHeight="false" outlineLevel="0" collapsed="false">
      <c r="A6" s="17" t="n">
        <v>1</v>
      </c>
      <c r="B6" s="32" t="s">
        <v>68</v>
      </c>
      <c r="C6" s="32" t="s">
        <v>143</v>
      </c>
      <c r="D6" s="32" t="s">
        <v>144</v>
      </c>
      <c r="E6" s="17" t="s">
        <v>145</v>
      </c>
      <c r="F6" s="17" t="s">
        <v>146</v>
      </c>
      <c r="G6" s="17" t="s">
        <v>147</v>
      </c>
      <c r="H6" s="17" t="s">
        <v>148</v>
      </c>
      <c r="I6" s="19" t="n">
        <v>7</v>
      </c>
      <c r="J6" s="33" t="n">
        <v>1.035</v>
      </c>
      <c r="K6" s="20" t="n">
        <f aca="false">IF(I6=0,0,IF(L6="Rs./km",MROUND(IF(H6="Petrol",'Fuel &amp; Inputs'!$C$5,'Fuel &amp; Inputs'!$C$4)/I6*J6,1),MROUND(I6*J6*IF(H6="Petrol",'Fuel &amp; Inputs'!$C$5,'Fuel &amp; Inputs'!$C$4),10)))</f>
        <v>2770</v>
      </c>
      <c r="L6" s="17" t="s">
        <v>149</v>
      </c>
      <c r="M6" s="21" t="n">
        <v>2000</v>
      </c>
      <c r="N6" s="20" t="n">
        <f aca="false">MROUND(M6+'Fuel &amp; Inputs'!$C$13,50)</f>
        <v>2800</v>
      </c>
      <c r="O6" s="21" t="n">
        <v>4150</v>
      </c>
      <c r="P6" s="20" t="n">
        <f aca="false">MROUND(M6*'Fuel &amp; Inputs'!$C$19*'Fuel &amp; Inputs'!$C$21,100)</f>
        <v>7600</v>
      </c>
      <c r="Q6" s="20" t="n">
        <f aca="false">MROUND(N6*'Fuel &amp; Inputs'!$C$19*'Fuel &amp; Inputs'!$C$21,100)</f>
        <v>10600</v>
      </c>
      <c r="R6" s="20" t="n">
        <f aca="false">MROUND(O6*'Fuel &amp; Inputs'!$C$19*'Fuel &amp; Inputs'!$C$21,100)</f>
        <v>15800</v>
      </c>
      <c r="S6" s="20" t="n">
        <f aca="false">MROUND(M6*'Fuel &amp; Inputs'!$C$20*'Fuel &amp; Inputs'!$C$22,500)</f>
        <v>204000</v>
      </c>
      <c r="T6" s="20" t="n">
        <f aca="false">MROUND(N6*'Fuel &amp; Inputs'!$C$20*'Fuel &amp; Inputs'!$C$22,500)</f>
        <v>285500</v>
      </c>
      <c r="U6" s="20" t="n">
        <f aca="false">MROUND(O6*'Fuel &amp; Inputs'!$C$20*'Fuel &amp; Inputs'!$C$22,500)</f>
        <v>423500</v>
      </c>
    </row>
    <row r="7" customFormat="false" ht="15" hidden="false" customHeight="false" outlineLevel="0" collapsed="false">
      <c r="A7" s="23" t="n">
        <v>2</v>
      </c>
      <c r="B7" s="34" t="s">
        <v>68</v>
      </c>
      <c r="C7" s="34" t="s">
        <v>143</v>
      </c>
      <c r="D7" s="34" t="s">
        <v>144</v>
      </c>
      <c r="E7" s="23" t="s">
        <v>145</v>
      </c>
      <c r="F7" s="23" t="s">
        <v>150</v>
      </c>
      <c r="G7" s="23" t="s">
        <v>151</v>
      </c>
      <c r="H7" s="23" t="s">
        <v>148</v>
      </c>
      <c r="I7" s="25" t="n">
        <v>7</v>
      </c>
      <c r="J7" s="35" t="n">
        <v>1.035</v>
      </c>
      <c r="K7" s="26" t="n">
        <f aca="false">IF(I7=0,0,IF(L7="Rs./km",MROUND(IF(H7="Petrol",'Fuel &amp; Inputs'!$C$5,'Fuel &amp; Inputs'!$C$4)/I7*J7,1),MROUND(I7*J7*IF(H7="Petrol",'Fuel &amp; Inputs'!$C$5,'Fuel &amp; Inputs'!$C$4),10)))</f>
        <v>2770</v>
      </c>
      <c r="L7" s="23" t="s">
        <v>149</v>
      </c>
      <c r="M7" s="27" t="n">
        <v>2000</v>
      </c>
      <c r="N7" s="26" t="n">
        <f aca="false">MROUND(M7+'Fuel &amp; Inputs'!$C$13,50)</f>
        <v>2800</v>
      </c>
      <c r="O7" s="27" t="n">
        <v>4150</v>
      </c>
      <c r="P7" s="26" t="n">
        <f aca="false">MROUND(M7*'Fuel &amp; Inputs'!$C$19*'Fuel &amp; Inputs'!$C$21,100)</f>
        <v>7600</v>
      </c>
      <c r="Q7" s="26" t="n">
        <f aca="false">MROUND(N7*'Fuel &amp; Inputs'!$C$19*'Fuel &amp; Inputs'!$C$21,100)</f>
        <v>10600</v>
      </c>
      <c r="R7" s="26" t="n">
        <f aca="false">MROUND(O7*'Fuel &amp; Inputs'!$C$19*'Fuel &amp; Inputs'!$C$21,100)</f>
        <v>15800</v>
      </c>
      <c r="S7" s="26" t="n">
        <f aca="false">MROUND(M7*'Fuel &amp; Inputs'!$C$20*'Fuel &amp; Inputs'!$C$22,500)</f>
        <v>204000</v>
      </c>
      <c r="T7" s="26" t="n">
        <f aca="false">MROUND(N7*'Fuel &amp; Inputs'!$C$20*'Fuel &amp; Inputs'!$C$22,500)</f>
        <v>285500</v>
      </c>
      <c r="U7" s="26" t="n">
        <f aca="false">MROUND(O7*'Fuel &amp; Inputs'!$C$20*'Fuel &amp; Inputs'!$C$22,500)</f>
        <v>423500</v>
      </c>
    </row>
    <row r="8" customFormat="false" ht="15" hidden="false" customHeight="false" outlineLevel="0" collapsed="false">
      <c r="A8" s="17" t="n">
        <v>3</v>
      </c>
      <c r="B8" s="32" t="s">
        <v>68</v>
      </c>
      <c r="C8" s="32" t="s">
        <v>143</v>
      </c>
      <c r="D8" s="32" t="s">
        <v>144</v>
      </c>
      <c r="E8" s="17" t="s">
        <v>145</v>
      </c>
      <c r="F8" s="17" t="s">
        <v>152</v>
      </c>
      <c r="G8" s="17" t="s">
        <v>153</v>
      </c>
      <c r="H8" s="17" t="s">
        <v>148</v>
      </c>
      <c r="I8" s="19" t="n">
        <v>7</v>
      </c>
      <c r="J8" s="33" t="n">
        <v>1.035</v>
      </c>
      <c r="K8" s="20" t="n">
        <f aca="false">IF(I8=0,0,IF(L8="Rs./km",MROUND(IF(H8="Petrol",'Fuel &amp; Inputs'!$C$5,'Fuel &amp; Inputs'!$C$4)/I8*J8,1),MROUND(I8*J8*IF(H8="Petrol",'Fuel &amp; Inputs'!$C$5,'Fuel &amp; Inputs'!$C$4),10)))</f>
        <v>2770</v>
      </c>
      <c r="L8" s="17" t="s">
        <v>149</v>
      </c>
      <c r="M8" s="21" t="n">
        <v>2000</v>
      </c>
      <c r="N8" s="20" t="n">
        <f aca="false">MROUND(M8+'Fuel &amp; Inputs'!$C$13,50)</f>
        <v>2800</v>
      </c>
      <c r="O8" s="21" t="n">
        <v>4150</v>
      </c>
      <c r="P8" s="20" t="n">
        <f aca="false">MROUND(M8*'Fuel &amp; Inputs'!$C$19*'Fuel &amp; Inputs'!$C$21,100)</f>
        <v>7600</v>
      </c>
      <c r="Q8" s="20" t="n">
        <f aca="false">MROUND(N8*'Fuel &amp; Inputs'!$C$19*'Fuel &amp; Inputs'!$C$21,100)</f>
        <v>10600</v>
      </c>
      <c r="R8" s="20" t="n">
        <f aca="false">MROUND(O8*'Fuel &amp; Inputs'!$C$19*'Fuel &amp; Inputs'!$C$21,100)</f>
        <v>15800</v>
      </c>
      <c r="S8" s="20" t="n">
        <f aca="false">MROUND(M8*'Fuel &amp; Inputs'!$C$20*'Fuel &amp; Inputs'!$C$22,500)</f>
        <v>204000</v>
      </c>
      <c r="T8" s="20" t="n">
        <f aca="false">MROUND(N8*'Fuel &amp; Inputs'!$C$20*'Fuel &amp; Inputs'!$C$22,500)</f>
        <v>285500</v>
      </c>
      <c r="U8" s="20" t="n">
        <f aca="false">MROUND(O8*'Fuel &amp; Inputs'!$C$20*'Fuel &amp; Inputs'!$C$22,500)</f>
        <v>423500</v>
      </c>
    </row>
    <row r="9" customFormat="false" ht="15" hidden="false" customHeight="false" outlineLevel="0" collapsed="false">
      <c r="A9" s="23" t="n">
        <v>4</v>
      </c>
      <c r="B9" s="34" t="s">
        <v>68</v>
      </c>
      <c r="C9" s="34" t="s">
        <v>154</v>
      </c>
      <c r="D9" s="34" t="s">
        <v>155</v>
      </c>
      <c r="E9" s="23" t="s">
        <v>156</v>
      </c>
      <c r="F9" s="23" t="s">
        <v>157</v>
      </c>
      <c r="G9" s="23" t="s">
        <v>158</v>
      </c>
      <c r="H9" s="23" t="s">
        <v>148</v>
      </c>
      <c r="I9" s="25" t="n">
        <v>7</v>
      </c>
      <c r="J9" s="35" t="n">
        <v>1.042</v>
      </c>
      <c r="K9" s="26" t="n">
        <f aca="false">IF(I9=0,0,IF(L9="Rs./km",MROUND(IF(H9="Petrol",'Fuel &amp; Inputs'!$C$5,'Fuel &amp; Inputs'!$C$4)/I9*J9,1),MROUND(I9*J9*IF(H9="Petrol",'Fuel &amp; Inputs'!$C$5,'Fuel &amp; Inputs'!$C$4),10)))</f>
        <v>2790</v>
      </c>
      <c r="L9" s="23" t="s">
        <v>149</v>
      </c>
      <c r="M9" s="27" t="n">
        <v>2000</v>
      </c>
      <c r="N9" s="26" t="n">
        <f aca="false">MROUND(M9+'Fuel &amp; Inputs'!$C$13,50)</f>
        <v>2800</v>
      </c>
      <c r="O9" s="27" t="n">
        <v>4150</v>
      </c>
      <c r="P9" s="26" t="n">
        <f aca="false">MROUND(M9*'Fuel &amp; Inputs'!$C$19*'Fuel &amp; Inputs'!$C$21,100)</f>
        <v>7600</v>
      </c>
      <c r="Q9" s="26" t="n">
        <f aca="false">MROUND(N9*'Fuel &amp; Inputs'!$C$19*'Fuel &amp; Inputs'!$C$21,100)</f>
        <v>10600</v>
      </c>
      <c r="R9" s="26" t="n">
        <f aca="false">MROUND(O9*'Fuel &amp; Inputs'!$C$19*'Fuel &amp; Inputs'!$C$21,100)</f>
        <v>15800</v>
      </c>
      <c r="S9" s="26" t="n">
        <f aca="false">MROUND(M9*'Fuel &amp; Inputs'!$C$20*'Fuel &amp; Inputs'!$C$22,500)</f>
        <v>204000</v>
      </c>
      <c r="T9" s="26" t="n">
        <f aca="false">MROUND(N9*'Fuel &amp; Inputs'!$C$20*'Fuel &amp; Inputs'!$C$22,500)</f>
        <v>285500</v>
      </c>
      <c r="U9" s="26" t="n">
        <f aca="false">MROUND(O9*'Fuel &amp; Inputs'!$C$20*'Fuel &amp; Inputs'!$C$22,500)</f>
        <v>423500</v>
      </c>
    </row>
    <row r="10" customFormat="false" ht="15" hidden="false" customHeight="false" outlineLevel="0" collapsed="false">
      <c r="A10" s="17" t="n">
        <v>5</v>
      </c>
      <c r="B10" s="32" t="s">
        <v>68</v>
      </c>
      <c r="C10" s="32" t="s">
        <v>159</v>
      </c>
      <c r="D10" s="32" t="s">
        <v>155</v>
      </c>
      <c r="E10" s="17" t="s">
        <v>160</v>
      </c>
      <c r="F10" s="17" t="s">
        <v>161</v>
      </c>
      <c r="G10" s="17" t="s">
        <v>162</v>
      </c>
      <c r="H10" s="17" t="s">
        <v>148</v>
      </c>
      <c r="I10" s="19" t="n">
        <v>7</v>
      </c>
      <c r="J10" s="33" t="n">
        <v>1.098</v>
      </c>
      <c r="K10" s="20" t="n">
        <f aca="false">IF(I10=0,0,IF(L10="Rs./km",MROUND(IF(H10="Petrol",'Fuel &amp; Inputs'!$C$5,'Fuel &amp; Inputs'!$C$4)/I10*J10,1),MROUND(I10*J10*IF(H10="Petrol",'Fuel &amp; Inputs'!$C$5,'Fuel &amp; Inputs'!$C$4),10)))</f>
        <v>2940</v>
      </c>
      <c r="L10" s="17" t="s">
        <v>149</v>
      </c>
      <c r="M10" s="21" t="n">
        <v>2000</v>
      </c>
      <c r="N10" s="20" t="n">
        <f aca="false">MROUND(M10+'Fuel &amp; Inputs'!$C$13,50)</f>
        <v>2800</v>
      </c>
      <c r="O10" s="21" t="n">
        <v>4150</v>
      </c>
      <c r="P10" s="20" t="n">
        <f aca="false">MROUND(M10*'Fuel &amp; Inputs'!$C$19*'Fuel &amp; Inputs'!$C$21,100)</f>
        <v>7600</v>
      </c>
      <c r="Q10" s="20" t="n">
        <f aca="false">MROUND(N10*'Fuel &amp; Inputs'!$C$19*'Fuel &amp; Inputs'!$C$21,100)</f>
        <v>10600</v>
      </c>
      <c r="R10" s="20" t="n">
        <f aca="false">MROUND(O10*'Fuel &amp; Inputs'!$C$19*'Fuel &amp; Inputs'!$C$21,100)</f>
        <v>15800</v>
      </c>
      <c r="S10" s="20" t="n">
        <f aca="false">MROUND(M10*'Fuel &amp; Inputs'!$C$20*'Fuel &amp; Inputs'!$C$22,500)</f>
        <v>204000</v>
      </c>
      <c r="T10" s="20" t="n">
        <f aca="false">MROUND(N10*'Fuel &amp; Inputs'!$C$20*'Fuel &amp; Inputs'!$C$22,500)</f>
        <v>285500</v>
      </c>
      <c r="U10" s="20" t="n">
        <f aca="false">MROUND(O10*'Fuel &amp; Inputs'!$C$20*'Fuel &amp; Inputs'!$C$22,500)</f>
        <v>423500</v>
      </c>
    </row>
    <row r="11" customFormat="false" ht="15" hidden="false" customHeight="false" outlineLevel="0" collapsed="false">
      <c r="A11" s="23" t="n">
        <v>6</v>
      </c>
      <c r="B11" s="34" t="s">
        <v>68</v>
      </c>
      <c r="C11" s="34" t="s">
        <v>159</v>
      </c>
      <c r="D11" s="34" t="s">
        <v>155</v>
      </c>
      <c r="E11" s="23" t="s">
        <v>160</v>
      </c>
      <c r="F11" s="23" t="s">
        <v>163</v>
      </c>
      <c r="G11" s="23" t="s">
        <v>164</v>
      </c>
      <c r="H11" s="23" t="s">
        <v>148</v>
      </c>
      <c r="I11" s="25" t="n">
        <v>7</v>
      </c>
      <c r="J11" s="35" t="n">
        <v>1.098</v>
      </c>
      <c r="K11" s="26" t="n">
        <f aca="false">IF(I11=0,0,IF(L11="Rs./km",MROUND(IF(H11="Petrol",'Fuel &amp; Inputs'!$C$5,'Fuel &amp; Inputs'!$C$4)/I11*J11,1),MROUND(I11*J11*IF(H11="Petrol",'Fuel &amp; Inputs'!$C$5,'Fuel &amp; Inputs'!$C$4),10)))</f>
        <v>2940</v>
      </c>
      <c r="L11" s="23" t="s">
        <v>149</v>
      </c>
      <c r="M11" s="27" t="n">
        <v>2000</v>
      </c>
      <c r="N11" s="26" t="n">
        <f aca="false">MROUND(M11+'Fuel &amp; Inputs'!$C$13,50)</f>
        <v>2800</v>
      </c>
      <c r="O11" s="27" t="n">
        <v>4150</v>
      </c>
      <c r="P11" s="26" t="n">
        <f aca="false">MROUND(M11*'Fuel &amp; Inputs'!$C$19*'Fuel &amp; Inputs'!$C$21,100)</f>
        <v>7600</v>
      </c>
      <c r="Q11" s="26" t="n">
        <f aca="false">MROUND(N11*'Fuel &amp; Inputs'!$C$19*'Fuel &amp; Inputs'!$C$21,100)</f>
        <v>10600</v>
      </c>
      <c r="R11" s="26" t="n">
        <f aca="false">MROUND(O11*'Fuel &amp; Inputs'!$C$19*'Fuel &amp; Inputs'!$C$21,100)</f>
        <v>15800</v>
      </c>
      <c r="S11" s="26" t="n">
        <f aca="false">MROUND(M11*'Fuel &amp; Inputs'!$C$20*'Fuel &amp; Inputs'!$C$22,500)</f>
        <v>204000</v>
      </c>
      <c r="T11" s="26" t="n">
        <f aca="false">MROUND(N11*'Fuel &amp; Inputs'!$C$20*'Fuel &amp; Inputs'!$C$22,500)</f>
        <v>285500</v>
      </c>
      <c r="U11" s="26" t="n">
        <f aca="false">MROUND(O11*'Fuel &amp; Inputs'!$C$20*'Fuel &amp; Inputs'!$C$22,500)</f>
        <v>423500</v>
      </c>
    </row>
    <row r="12" customFormat="false" ht="15" hidden="false" customHeight="false" outlineLevel="0" collapsed="false">
      <c r="A12" s="17" t="n">
        <v>7</v>
      </c>
      <c r="B12" s="32" t="s">
        <v>68</v>
      </c>
      <c r="C12" s="32" t="s">
        <v>159</v>
      </c>
      <c r="D12" s="32" t="s">
        <v>155</v>
      </c>
      <c r="E12" s="17" t="s">
        <v>165</v>
      </c>
      <c r="F12" s="17" t="s">
        <v>166</v>
      </c>
      <c r="G12" s="17" t="s">
        <v>167</v>
      </c>
      <c r="H12" s="17" t="s">
        <v>148</v>
      </c>
      <c r="I12" s="19" t="n">
        <v>7</v>
      </c>
      <c r="J12" s="33" t="n">
        <v>1.077</v>
      </c>
      <c r="K12" s="20" t="n">
        <f aca="false">IF(I12=0,0,IF(L12="Rs./km",MROUND(IF(H12="Petrol",'Fuel &amp; Inputs'!$C$5,'Fuel &amp; Inputs'!$C$4)/I12*J12,1),MROUND(I12*J12*IF(H12="Petrol",'Fuel &amp; Inputs'!$C$5,'Fuel &amp; Inputs'!$C$4),10)))</f>
        <v>2880</v>
      </c>
      <c r="L12" s="17" t="s">
        <v>149</v>
      </c>
      <c r="M12" s="21" t="n">
        <v>2000</v>
      </c>
      <c r="N12" s="20" t="n">
        <f aca="false">MROUND(M12+'Fuel &amp; Inputs'!$C$13,50)</f>
        <v>2800</v>
      </c>
      <c r="O12" s="21" t="n">
        <v>4150</v>
      </c>
      <c r="P12" s="20" t="n">
        <f aca="false">MROUND(M12*'Fuel &amp; Inputs'!$C$19*'Fuel &amp; Inputs'!$C$21,100)</f>
        <v>7600</v>
      </c>
      <c r="Q12" s="20" t="n">
        <f aca="false">MROUND(N12*'Fuel &amp; Inputs'!$C$19*'Fuel &amp; Inputs'!$C$21,100)</f>
        <v>10600</v>
      </c>
      <c r="R12" s="20" t="n">
        <f aca="false">MROUND(O12*'Fuel &amp; Inputs'!$C$19*'Fuel &amp; Inputs'!$C$21,100)</f>
        <v>15800</v>
      </c>
      <c r="S12" s="20" t="n">
        <f aca="false">MROUND(M12*'Fuel &amp; Inputs'!$C$20*'Fuel &amp; Inputs'!$C$22,500)</f>
        <v>204000</v>
      </c>
      <c r="T12" s="20" t="n">
        <f aca="false">MROUND(N12*'Fuel &amp; Inputs'!$C$20*'Fuel &amp; Inputs'!$C$22,500)</f>
        <v>285500</v>
      </c>
      <c r="U12" s="20" t="n">
        <f aca="false">MROUND(O12*'Fuel &amp; Inputs'!$C$20*'Fuel &amp; Inputs'!$C$22,500)</f>
        <v>423500</v>
      </c>
    </row>
    <row r="13" customFormat="false" ht="15" hidden="false" customHeight="false" outlineLevel="0" collapsed="false">
      <c r="A13" s="23" t="n">
        <v>8</v>
      </c>
      <c r="B13" s="34" t="s">
        <v>68</v>
      </c>
      <c r="C13" s="34" t="s">
        <v>159</v>
      </c>
      <c r="D13" s="34" t="s">
        <v>155</v>
      </c>
      <c r="E13" s="23" t="s">
        <v>168</v>
      </c>
      <c r="F13" s="23" t="s">
        <v>169</v>
      </c>
      <c r="G13" s="23" t="s">
        <v>170</v>
      </c>
      <c r="H13" s="23" t="s">
        <v>148</v>
      </c>
      <c r="I13" s="25" t="n">
        <v>7</v>
      </c>
      <c r="J13" s="35" t="n">
        <v>1.07</v>
      </c>
      <c r="K13" s="26" t="n">
        <f aca="false">IF(I13=0,0,IF(L13="Rs./km",MROUND(IF(H13="Petrol",'Fuel &amp; Inputs'!$C$5,'Fuel &amp; Inputs'!$C$4)/I13*J13,1),MROUND(I13*J13*IF(H13="Petrol",'Fuel &amp; Inputs'!$C$5,'Fuel &amp; Inputs'!$C$4),10)))</f>
        <v>2860</v>
      </c>
      <c r="L13" s="23" t="s">
        <v>149</v>
      </c>
      <c r="M13" s="27" t="n">
        <v>2000</v>
      </c>
      <c r="N13" s="26" t="n">
        <f aca="false">MROUND(M13+'Fuel &amp; Inputs'!$C$13,50)</f>
        <v>2800</v>
      </c>
      <c r="O13" s="27" t="n">
        <v>4150</v>
      </c>
      <c r="P13" s="26" t="n">
        <f aca="false">MROUND(M13*'Fuel &amp; Inputs'!$C$19*'Fuel &amp; Inputs'!$C$21,100)</f>
        <v>7600</v>
      </c>
      <c r="Q13" s="26" t="n">
        <f aca="false">MROUND(N13*'Fuel &amp; Inputs'!$C$19*'Fuel &amp; Inputs'!$C$21,100)</f>
        <v>10600</v>
      </c>
      <c r="R13" s="26" t="n">
        <f aca="false">MROUND(O13*'Fuel &amp; Inputs'!$C$19*'Fuel &amp; Inputs'!$C$21,100)</f>
        <v>15800</v>
      </c>
      <c r="S13" s="26" t="n">
        <f aca="false">MROUND(M13*'Fuel &amp; Inputs'!$C$20*'Fuel &amp; Inputs'!$C$22,500)</f>
        <v>204000</v>
      </c>
      <c r="T13" s="26" t="n">
        <f aca="false">MROUND(N13*'Fuel &amp; Inputs'!$C$20*'Fuel &amp; Inputs'!$C$22,500)</f>
        <v>285500</v>
      </c>
      <c r="U13" s="26" t="n">
        <f aca="false">MROUND(O13*'Fuel &amp; Inputs'!$C$20*'Fuel &amp; Inputs'!$C$22,500)</f>
        <v>423500</v>
      </c>
    </row>
    <row r="14" customFormat="false" ht="15" hidden="false" customHeight="false" outlineLevel="0" collapsed="false">
      <c r="A14" s="17" t="n">
        <v>9</v>
      </c>
      <c r="B14" s="32" t="s">
        <v>68</v>
      </c>
      <c r="C14" s="32" t="s">
        <v>159</v>
      </c>
      <c r="D14" s="32" t="s">
        <v>155</v>
      </c>
      <c r="E14" s="17" t="s">
        <v>168</v>
      </c>
      <c r="F14" s="17" t="s">
        <v>171</v>
      </c>
      <c r="G14" s="17" t="s">
        <v>172</v>
      </c>
      <c r="H14" s="17" t="s">
        <v>148</v>
      </c>
      <c r="I14" s="19" t="n">
        <v>7</v>
      </c>
      <c r="J14" s="33" t="n">
        <v>1.07</v>
      </c>
      <c r="K14" s="20" t="n">
        <f aca="false">IF(I14=0,0,IF(L14="Rs./km",MROUND(IF(H14="Petrol",'Fuel &amp; Inputs'!$C$5,'Fuel &amp; Inputs'!$C$4)/I14*J14,1),MROUND(I14*J14*IF(H14="Petrol",'Fuel &amp; Inputs'!$C$5,'Fuel &amp; Inputs'!$C$4),10)))</f>
        <v>2860</v>
      </c>
      <c r="L14" s="17" t="s">
        <v>149</v>
      </c>
      <c r="M14" s="21" t="n">
        <v>2000</v>
      </c>
      <c r="N14" s="20" t="n">
        <f aca="false">MROUND(M14+'Fuel &amp; Inputs'!$C$13,50)</f>
        <v>2800</v>
      </c>
      <c r="O14" s="21" t="n">
        <v>4150</v>
      </c>
      <c r="P14" s="20" t="n">
        <f aca="false">MROUND(M14*'Fuel &amp; Inputs'!$C$19*'Fuel &amp; Inputs'!$C$21,100)</f>
        <v>7600</v>
      </c>
      <c r="Q14" s="20" t="n">
        <f aca="false">MROUND(N14*'Fuel &amp; Inputs'!$C$19*'Fuel &amp; Inputs'!$C$21,100)</f>
        <v>10600</v>
      </c>
      <c r="R14" s="20" t="n">
        <f aca="false">MROUND(O14*'Fuel &amp; Inputs'!$C$19*'Fuel &amp; Inputs'!$C$21,100)</f>
        <v>15800</v>
      </c>
      <c r="S14" s="20" t="n">
        <f aca="false">MROUND(M14*'Fuel &amp; Inputs'!$C$20*'Fuel &amp; Inputs'!$C$22,500)</f>
        <v>204000</v>
      </c>
      <c r="T14" s="20" t="n">
        <f aca="false">MROUND(N14*'Fuel &amp; Inputs'!$C$20*'Fuel &amp; Inputs'!$C$22,500)</f>
        <v>285500</v>
      </c>
      <c r="U14" s="20" t="n">
        <f aca="false">MROUND(O14*'Fuel &amp; Inputs'!$C$20*'Fuel &amp; Inputs'!$C$22,500)</f>
        <v>423500</v>
      </c>
    </row>
    <row r="15" customFormat="false" ht="15" hidden="false" customHeight="false" outlineLevel="0" collapsed="false">
      <c r="A15" s="23" t="n">
        <v>10</v>
      </c>
      <c r="B15" s="34" t="s">
        <v>68</v>
      </c>
      <c r="C15" s="34" t="s">
        <v>154</v>
      </c>
      <c r="D15" s="34" t="s">
        <v>173</v>
      </c>
      <c r="E15" s="23" t="s">
        <v>174</v>
      </c>
      <c r="F15" s="23" t="s">
        <v>175</v>
      </c>
      <c r="G15" s="23" t="s">
        <v>176</v>
      </c>
      <c r="H15" s="23" t="s">
        <v>148</v>
      </c>
      <c r="I15" s="25" t="n">
        <v>7</v>
      </c>
      <c r="J15" s="35" t="n">
        <v>1.049</v>
      </c>
      <c r="K15" s="26" t="n">
        <f aca="false">IF(I15=0,0,IF(L15="Rs./km",MROUND(IF(H15="Petrol",'Fuel &amp; Inputs'!$C$5,'Fuel &amp; Inputs'!$C$4)/I15*J15,1),MROUND(I15*J15*IF(H15="Petrol",'Fuel &amp; Inputs'!$C$5,'Fuel &amp; Inputs'!$C$4),10)))</f>
        <v>2810</v>
      </c>
      <c r="L15" s="23" t="s">
        <v>149</v>
      </c>
      <c r="M15" s="27" t="n">
        <v>1840</v>
      </c>
      <c r="N15" s="26" t="n">
        <f aca="false">MROUND(M15+'Fuel &amp; Inputs'!$C$13,50)</f>
        <v>2650</v>
      </c>
      <c r="O15" s="27" t="n">
        <v>3820</v>
      </c>
      <c r="P15" s="26" t="n">
        <f aca="false">MROUND(M15*'Fuel &amp; Inputs'!$C$19*'Fuel &amp; Inputs'!$C$21,100)</f>
        <v>7000</v>
      </c>
      <c r="Q15" s="26" t="n">
        <f aca="false">MROUND(N15*'Fuel &amp; Inputs'!$C$19*'Fuel &amp; Inputs'!$C$21,100)</f>
        <v>10100</v>
      </c>
      <c r="R15" s="26" t="n">
        <f aca="false">MROUND(O15*'Fuel &amp; Inputs'!$C$19*'Fuel &amp; Inputs'!$C$21,100)</f>
        <v>14500</v>
      </c>
      <c r="S15" s="26" t="n">
        <f aca="false">MROUND(M15*'Fuel &amp; Inputs'!$C$20*'Fuel &amp; Inputs'!$C$22,500)</f>
        <v>187500</v>
      </c>
      <c r="T15" s="26" t="n">
        <f aca="false">MROUND(N15*'Fuel &amp; Inputs'!$C$20*'Fuel &amp; Inputs'!$C$22,500)</f>
        <v>270500</v>
      </c>
      <c r="U15" s="26" t="n">
        <f aca="false">MROUND(O15*'Fuel &amp; Inputs'!$C$20*'Fuel &amp; Inputs'!$C$22,500)</f>
        <v>389500</v>
      </c>
    </row>
    <row r="16" customFormat="false" ht="15" hidden="false" customHeight="false" outlineLevel="0" collapsed="false">
      <c r="A16" s="17" t="n">
        <v>11</v>
      </c>
      <c r="B16" s="32" t="s">
        <v>68</v>
      </c>
      <c r="C16" s="32" t="s">
        <v>159</v>
      </c>
      <c r="D16" s="32" t="s">
        <v>177</v>
      </c>
      <c r="E16" s="17" t="s">
        <v>168</v>
      </c>
      <c r="F16" s="17" t="s">
        <v>178</v>
      </c>
      <c r="G16" s="17" t="s">
        <v>179</v>
      </c>
      <c r="H16" s="17" t="s">
        <v>148</v>
      </c>
      <c r="I16" s="19" t="n">
        <v>7</v>
      </c>
      <c r="J16" s="33" t="n">
        <v>1.07</v>
      </c>
      <c r="K16" s="20" t="n">
        <f aca="false">IF(I16=0,0,IF(L16="Rs./km",MROUND(IF(H16="Petrol",'Fuel &amp; Inputs'!$C$5,'Fuel &amp; Inputs'!$C$4)/I16*J16,1),MROUND(I16*J16*IF(H16="Petrol",'Fuel &amp; Inputs'!$C$5,'Fuel &amp; Inputs'!$C$4),10)))</f>
        <v>2860</v>
      </c>
      <c r="L16" s="17" t="s">
        <v>149</v>
      </c>
      <c r="M16" s="21" t="n">
        <v>1840</v>
      </c>
      <c r="N16" s="20" t="n">
        <f aca="false">MROUND(M16+'Fuel &amp; Inputs'!$C$13,50)</f>
        <v>2650</v>
      </c>
      <c r="O16" s="21" t="n">
        <v>3820</v>
      </c>
      <c r="P16" s="20" t="n">
        <f aca="false">MROUND(M16*'Fuel &amp; Inputs'!$C$19*'Fuel &amp; Inputs'!$C$21,100)</f>
        <v>7000</v>
      </c>
      <c r="Q16" s="20" t="n">
        <f aca="false">MROUND(N16*'Fuel &amp; Inputs'!$C$19*'Fuel &amp; Inputs'!$C$21,100)</f>
        <v>10100</v>
      </c>
      <c r="R16" s="20" t="n">
        <f aca="false">MROUND(O16*'Fuel &amp; Inputs'!$C$19*'Fuel &amp; Inputs'!$C$21,100)</f>
        <v>14500</v>
      </c>
      <c r="S16" s="20" t="n">
        <f aca="false">MROUND(M16*'Fuel &amp; Inputs'!$C$20*'Fuel &amp; Inputs'!$C$22,500)</f>
        <v>187500</v>
      </c>
      <c r="T16" s="20" t="n">
        <f aca="false">MROUND(N16*'Fuel &amp; Inputs'!$C$20*'Fuel &amp; Inputs'!$C$22,500)</f>
        <v>270500</v>
      </c>
      <c r="U16" s="20" t="n">
        <f aca="false">MROUND(O16*'Fuel &amp; Inputs'!$C$20*'Fuel &amp; Inputs'!$C$22,500)</f>
        <v>389500</v>
      </c>
    </row>
    <row r="17" customFormat="false" ht="15" hidden="false" customHeight="false" outlineLevel="0" collapsed="false">
      <c r="A17" s="23" t="n">
        <v>12</v>
      </c>
      <c r="B17" s="34" t="s">
        <v>68</v>
      </c>
      <c r="C17" s="34" t="s">
        <v>159</v>
      </c>
      <c r="D17" s="34" t="s">
        <v>177</v>
      </c>
      <c r="E17" s="23" t="s">
        <v>168</v>
      </c>
      <c r="F17" s="23" t="s">
        <v>180</v>
      </c>
      <c r="G17" s="23" t="s">
        <v>181</v>
      </c>
      <c r="H17" s="23" t="s">
        <v>148</v>
      </c>
      <c r="I17" s="25" t="n">
        <v>7</v>
      </c>
      <c r="J17" s="35" t="n">
        <v>1.07</v>
      </c>
      <c r="K17" s="26" t="n">
        <f aca="false">IF(I17=0,0,IF(L17="Rs./km",MROUND(IF(H17="Petrol",'Fuel &amp; Inputs'!$C$5,'Fuel &amp; Inputs'!$C$4)/I17*J17,1),MROUND(I17*J17*IF(H17="Petrol",'Fuel &amp; Inputs'!$C$5,'Fuel &amp; Inputs'!$C$4),10)))</f>
        <v>2860</v>
      </c>
      <c r="L17" s="23" t="s">
        <v>149</v>
      </c>
      <c r="M17" s="27" t="n">
        <v>1840</v>
      </c>
      <c r="N17" s="26" t="n">
        <f aca="false">MROUND(M17+'Fuel &amp; Inputs'!$C$13,50)</f>
        <v>2650</v>
      </c>
      <c r="O17" s="27" t="n">
        <v>3820</v>
      </c>
      <c r="P17" s="26" t="n">
        <f aca="false">MROUND(M17*'Fuel &amp; Inputs'!$C$19*'Fuel &amp; Inputs'!$C$21,100)</f>
        <v>7000</v>
      </c>
      <c r="Q17" s="26" t="n">
        <f aca="false">MROUND(N17*'Fuel &amp; Inputs'!$C$19*'Fuel &amp; Inputs'!$C$21,100)</f>
        <v>10100</v>
      </c>
      <c r="R17" s="26" t="n">
        <f aca="false">MROUND(O17*'Fuel &amp; Inputs'!$C$19*'Fuel &amp; Inputs'!$C$21,100)</f>
        <v>14500</v>
      </c>
      <c r="S17" s="26" t="n">
        <f aca="false">MROUND(M17*'Fuel &amp; Inputs'!$C$20*'Fuel &amp; Inputs'!$C$22,500)</f>
        <v>187500</v>
      </c>
      <c r="T17" s="26" t="n">
        <f aca="false">MROUND(N17*'Fuel &amp; Inputs'!$C$20*'Fuel &amp; Inputs'!$C$22,500)</f>
        <v>270500</v>
      </c>
      <c r="U17" s="26" t="n">
        <f aca="false">MROUND(O17*'Fuel &amp; Inputs'!$C$20*'Fuel &amp; Inputs'!$C$22,500)</f>
        <v>389500</v>
      </c>
    </row>
    <row r="18" customFormat="false" ht="15" hidden="false" customHeight="false" outlineLevel="0" collapsed="false">
      <c r="A18" s="17" t="n">
        <v>13</v>
      </c>
      <c r="B18" s="32" t="s">
        <v>68</v>
      </c>
      <c r="C18" s="32" t="s">
        <v>159</v>
      </c>
      <c r="D18" s="32" t="s">
        <v>155</v>
      </c>
      <c r="E18" s="17" t="s">
        <v>168</v>
      </c>
      <c r="F18" s="17" t="s">
        <v>182</v>
      </c>
      <c r="G18" s="17" t="s">
        <v>183</v>
      </c>
      <c r="H18" s="17" t="s">
        <v>148</v>
      </c>
      <c r="I18" s="19" t="n">
        <v>7</v>
      </c>
      <c r="J18" s="33" t="n">
        <v>1.07</v>
      </c>
      <c r="K18" s="20" t="n">
        <f aca="false">IF(I18=0,0,IF(L18="Rs./km",MROUND(IF(H18="Petrol",'Fuel &amp; Inputs'!$C$5,'Fuel &amp; Inputs'!$C$4)/I18*J18,1),MROUND(I18*J18*IF(H18="Petrol",'Fuel &amp; Inputs'!$C$5,'Fuel &amp; Inputs'!$C$4),10)))</f>
        <v>2860</v>
      </c>
      <c r="L18" s="17" t="s">
        <v>149</v>
      </c>
      <c r="M18" s="21" t="n">
        <v>1840</v>
      </c>
      <c r="N18" s="20" t="n">
        <f aca="false">MROUND(M18+'Fuel &amp; Inputs'!$C$13,50)</f>
        <v>2650</v>
      </c>
      <c r="O18" s="21" t="n">
        <v>3820</v>
      </c>
      <c r="P18" s="20" t="n">
        <f aca="false">MROUND(M18*'Fuel &amp; Inputs'!$C$19*'Fuel &amp; Inputs'!$C$21,100)</f>
        <v>7000</v>
      </c>
      <c r="Q18" s="20" t="n">
        <f aca="false">MROUND(N18*'Fuel &amp; Inputs'!$C$19*'Fuel &amp; Inputs'!$C$21,100)</f>
        <v>10100</v>
      </c>
      <c r="R18" s="20" t="n">
        <f aca="false">MROUND(O18*'Fuel &amp; Inputs'!$C$19*'Fuel &amp; Inputs'!$C$21,100)</f>
        <v>14500</v>
      </c>
      <c r="S18" s="20" t="n">
        <f aca="false">MROUND(M18*'Fuel &amp; Inputs'!$C$20*'Fuel &amp; Inputs'!$C$22,500)</f>
        <v>187500</v>
      </c>
      <c r="T18" s="20" t="n">
        <f aca="false">MROUND(N18*'Fuel &amp; Inputs'!$C$20*'Fuel &amp; Inputs'!$C$22,500)</f>
        <v>270500</v>
      </c>
      <c r="U18" s="20" t="n">
        <f aca="false">MROUND(O18*'Fuel &amp; Inputs'!$C$20*'Fuel &amp; Inputs'!$C$22,500)</f>
        <v>389500</v>
      </c>
    </row>
    <row r="19" customFormat="false" ht="15" hidden="false" customHeight="false" outlineLevel="0" collapsed="false">
      <c r="A19" s="23" t="n">
        <v>14</v>
      </c>
      <c r="B19" s="34" t="s">
        <v>68</v>
      </c>
      <c r="C19" s="34" t="s">
        <v>154</v>
      </c>
      <c r="D19" s="34" t="s">
        <v>155</v>
      </c>
      <c r="E19" s="23" t="s">
        <v>156</v>
      </c>
      <c r="F19" s="23" t="s">
        <v>184</v>
      </c>
      <c r="G19" s="23" t="s">
        <v>185</v>
      </c>
      <c r="H19" s="23" t="s">
        <v>148</v>
      </c>
      <c r="I19" s="25" t="n">
        <v>7</v>
      </c>
      <c r="J19" s="35" t="n">
        <v>1.042</v>
      </c>
      <c r="K19" s="26" t="n">
        <f aca="false">IF(I19=0,0,IF(L19="Rs./km",MROUND(IF(H19="Petrol",'Fuel &amp; Inputs'!$C$5,'Fuel &amp; Inputs'!$C$4)/I19*J19,1),MROUND(I19*J19*IF(H19="Petrol",'Fuel &amp; Inputs'!$C$5,'Fuel &amp; Inputs'!$C$4),10)))</f>
        <v>2790</v>
      </c>
      <c r="L19" s="23" t="s">
        <v>149</v>
      </c>
      <c r="M19" s="27" t="n">
        <v>1840</v>
      </c>
      <c r="N19" s="26" t="n">
        <f aca="false">MROUND(M19+'Fuel &amp; Inputs'!$C$13,50)</f>
        <v>2650</v>
      </c>
      <c r="O19" s="27" t="n">
        <v>3820</v>
      </c>
      <c r="P19" s="26" t="n">
        <f aca="false">MROUND(M19*'Fuel &amp; Inputs'!$C$19*'Fuel &amp; Inputs'!$C$21,100)</f>
        <v>7000</v>
      </c>
      <c r="Q19" s="26" t="n">
        <f aca="false">MROUND(N19*'Fuel &amp; Inputs'!$C$19*'Fuel &amp; Inputs'!$C$21,100)</f>
        <v>10100</v>
      </c>
      <c r="R19" s="26" t="n">
        <f aca="false">MROUND(O19*'Fuel &amp; Inputs'!$C$19*'Fuel &amp; Inputs'!$C$21,100)</f>
        <v>14500</v>
      </c>
      <c r="S19" s="26" t="n">
        <f aca="false">MROUND(M19*'Fuel &amp; Inputs'!$C$20*'Fuel &amp; Inputs'!$C$22,500)</f>
        <v>187500</v>
      </c>
      <c r="T19" s="26" t="n">
        <f aca="false">MROUND(N19*'Fuel &amp; Inputs'!$C$20*'Fuel &amp; Inputs'!$C$22,500)</f>
        <v>270500</v>
      </c>
      <c r="U19" s="26" t="n">
        <f aca="false">MROUND(O19*'Fuel &amp; Inputs'!$C$20*'Fuel &amp; Inputs'!$C$22,500)</f>
        <v>389500</v>
      </c>
    </row>
    <row r="20" customFormat="false" ht="15" hidden="false" customHeight="false" outlineLevel="0" collapsed="false">
      <c r="A20" s="17" t="n">
        <v>15</v>
      </c>
      <c r="B20" s="32" t="s">
        <v>68</v>
      </c>
      <c r="C20" s="32" t="s">
        <v>154</v>
      </c>
      <c r="D20" s="32" t="s">
        <v>155</v>
      </c>
      <c r="E20" s="17" t="s">
        <v>156</v>
      </c>
      <c r="F20" s="17" t="s">
        <v>186</v>
      </c>
      <c r="G20" s="17" t="s">
        <v>187</v>
      </c>
      <c r="H20" s="17" t="s">
        <v>148</v>
      </c>
      <c r="I20" s="19" t="n">
        <v>7</v>
      </c>
      <c r="J20" s="33" t="n">
        <v>1.042</v>
      </c>
      <c r="K20" s="20" t="n">
        <f aca="false">IF(I20=0,0,IF(L20="Rs./km",MROUND(IF(H20="Petrol",'Fuel &amp; Inputs'!$C$5,'Fuel &amp; Inputs'!$C$4)/I20*J20,1),MROUND(I20*J20*IF(H20="Petrol",'Fuel &amp; Inputs'!$C$5,'Fuel &amp; Inputs'!$C$4),10)))</f>
        <v>2790</v>
      </c>
      <c r="L20" s="17" t="s">
        <v>149</v>
      </c>
      <c r="M20" s="21" t="n">
        <v>1840</v>
      </c>
      <c r="N20" s="20" t="n">
        <f aca="false">MROUND(M20+'Fuel &amp; Inputs'!$C$13,50)</f>
        <v>2650</v>
      </c>
      <c r="O20" s="21" t="n">
        <v>3820</v>
      </c>
      <c r="P20" s="20" t="n">
        <f aca="false">MROUND(M20*'Fuel &amp; Inputs'!$C$19*'Fuel &amp; Inputs'!$C$21,100)</f>
        <v>7000</v>
      </c>
      <c r="Q20" s="20" t="n">
        <f aca="false">MROUND(N20*'Fuel &amp; Inputs'!$C$19*'Fuel &amp; Inputs'!$C$21,100)</f>
        <v>10100</v>
      </c>
      <c r="R20" s="20" t="n">
        <f aca="false">MROUND(O20*'Fuel &amp; Inputs'!$C$19*'Fuel &amp; Inputs'!$C$21,100)</f>
        <v>14500</v>
      </c>
      <c r="S20" s="20" t="n">
        <f aca="false">MROUND(M20*'Fuel &amp; Inputs'!$C$20*'Fuel &amp; Inputs'!$C$22,500)</f>
        <v>187500</v>
      </c>
      <c r="T20" s="20" t="n">
        <f aca="false">MROUND(N20*'Fuel &amp; Inputs'!$C$20*'Fuel &amp; Inputs'!$C$22,500)</f>
        <v>270500</v>
      </c>
      <c r="U20" s="20" t="n">
        <f aca="false">MROUND(O20*'Fuel &amp; Inputs'!$C$20*'Fuel &amp; Inputs'!$C$22,500)</f>
        <v>389500</v>
      </c>
    </row>
    <row r="21" customFormat="false" ht="15" hidden="false" customHeight="false" outlineLevel="0" collapsed="false">
      <c r="A21" s="23" t="n">
        <v>16</v>
      </c>
      <c r="B21" s="34" t="s">
        <v>68</v>
      </c>
      <c r="C21" s="34" t="s">
        <v>159</v>
      </c>
      <c r="D21" s="34" t="s">
        <v>177</v>
      </c>
      <c r="E21" s="23" t="s">
        <v>165</v>
      </c>
      <c r="F21" s="23" t="s">
        <v>188</v>
      </c>
      <c r="G21" s="23" t="s">
        <v>189</v>
      </c>
      <c r="H21" s="23" t="s">
        <v>148</v>
      </c>
      <c r="I21" s="25" t="n">
        <v>7</v>
      </c>
      <c r="J21" s="35" t="n">
        <v>1.077</v>
      </c>
      <c r="K21" s="26" t="n">
        <f aca="false">IF(I21=0,0,IF(L21="Rs./km",MROUND(IF(H21="Petrol",'Fuel &amp; Inputs'!$C$5,'Fuel &amp; Inputs'!$C$4)/I21*J21,1),MROUND(I21*J21*IF(H21="Petrol",'Fuel &amp; Inputs'!$C$5,'Fuel &amp; Inputs'!$C$4),10)))</f>
        <v>2880</v>
      </c>
      <c r="L21" s="23" t="s">
        <v>149</v>
      </c>
      <c r="M21" s="27" t="n">
        <v>1840</v>
      </c>
      <c r="N21" s="26" t="n">
        <f aca="false">MROUND(M21+'Fuel &amp; Inputs'!$C$13,50)</f>
        <v>2650</v>
      </c>
      <c r="O21" s="27" t="n">
        <v>3820</v>
      </c>
      <c r="P21" s="26" t="n">
        <f aca="false">MROUND(M21*'Fuel &amp; Inputs'!$C$19*'Fuel &amp; Inputs'!$C$21,100)</f>
        <v>7000</v>
      </c>
      <c r="Q21" s="26" t="n">
        <f aca="false">MROUND(N21*'Fuel &amp; Inputs'!$C$19*'Fuel &amp; Inputs'!$C$21,100)</f>
        <v>10100</v>
      </c>
      <c r="R21" s="26" t="n">
        <f aca="false">MROUND(O21*'Fuel &amp; Inputs'!$C$19*'Fuel &amp; Inputs'!$C$21,100)</f>
        <v>14500</v>
      </c>
      <c r="S21" s="26" t="n">
        <f aca="false">MROUND(M21*'Fuel &amp; Inputs'!$C$20*'Fuel &amp; Inputs'!$C$22,500)</f>
        <v>187500</v>
      </c>
      <c r="T21" s="26" t="n">
        <f aca="false">MROUND(N21*'Fuel &amp; Inputs'!$C$20*'Fuel &amp; Inputs'!$C$22,500)</f>
        <v>270500</v>
      </c>
      <c r="U21" s="26" t="n">
        <f aca="false">MROUND(O21*'Fuel &amp; Inputs'!$C$20*'Fuel &amp; Inputs'!$C$22,500)</f>
        <v>389500</v>
      </c>
    </row>
    <row r="22" customFormat="false" ht="15" hidden="false" customHeight="false" outlineLevel="0" collapsed="false">
      <c r="A22" s="17" t="n">
        <v>17</v>
      </c>
      <c r="B22" s="32" t="s">
        <v>68</v>
      </c>
      <c r="C22" s="32" t="s">
        <v>154</v>
      </c>
      <c r="D22" s="32" t="s">
        <v>177</v>
      </c>
      <c r="E22" s="17" t="s">
        <v>156</v>
      </c>
      <c r="F22" s="17" t="s">
        <v>190</v>
      </c>
      <c r="G22" s="17" t="s">
        <v>191</v>
      </c>
      <c r="H22" s="17" t="s">
        <v>148</v>
      </c>
      <c r="I22" s="19" t="n">
        <v>7</v>
      </c>
      <c r="J22" s="33" t="n">
        <v>1.042</v>
      </c>
      <c r="K22" s="20" t="n">
        <f aca="false">IF(I22=0,0,IF(L22="Rs./km",MROUND(IF(H22="Petrol",'Fuel &amp; Inputs'!$C$5,'Fuel &amp; Inputs'!$C$4)/I22*J22,1),MROUND(I22*J22*IF(H22="Petrol",'Fuel &amp; Inputs'!$C$5,'Fuel &amp; Inputs'!$C$4),10)))</f>
        <v>2790</v>
      </c>
      <c r="L22" s="17" t="s">
        <v>149</v>
      </c>
      <c r="M22" s="21" t="n">
        <v>1840</v>
      </c>
      <c r="N22" s="20" t="n">
        <f aca="false">MROUND(M22+'Fuel &amp; Inputs'!$C$13,50)</f>
        <v>2650</v>
      </c>
      <c r="O22" s="21" t="n">
        <v>3820</v>
      </c>
      <c r="P22" s="20" t="n">
        <f aca="false">MROUND(M22*'Fuel &amp; Inputs'!$C$19*'Fuel &amp; Inputs'!$C$21,100)</f>
        <v>7000</v>
      </c>
      <c r="Q22" s="20" t="n">
        <f aca="false">MROUND(N22*'Fuel &amp; Inputs'!$C$19*'Fuel &amp; Inputs'!$C$21,100)</f>
        <v>10100</v>
      </c>
      <c r="R22" s="20" t="n">
        <f aca="false">MROUND(O22*'Fuel &amp; Inputs'!$C$19*'Fuel &amp; Inputs'!$C$21,100)</f>
        <v>14500</v>
      </c>
      <c r="S22" s="20" t="n">
        <f aca="false">MROUND(M22*'Fuel &amp; Inputs'!$C$20*'Fuel &amp; Inputs'!$C$22,500)</f>
        <v>187500</v>
      </c>
      <c r="T22" s="20" t="n">
        <f aca="false">MROUND(N22*'Fuel &amp; Inputs'!$C$20*'Fuel &amp; Inputs'!$C$22,500)</f>
        <v>270500</v>
      </c>
      <c r="U22" s="20" t="n">
        <f aca="false">MROUND(O22*'Fuel &amp; Inputs'!$C$20*'Fuel &amp; Inputs'!$C$22,500)</f>
        <v>389500</v>
      </c>
    </row>
    <row r="23" customFormat="false" ht="15" hidden="false" customHeight="false" outlineLevel="0" collapsed="false">
      <c r="A23" s="23" t="n">
        <v>18</v>
      </c>
      <c r="B23" s="34" t="s">
        <v>68</v>
      </c>
      <c r="C23" s="34" t="s">
        <v>159</v>
      </c>
      <c r="D23" s="34" t="s">
        <v>155</v>
      </c>
      <c r="E23" s="23" t="s">
        <v>160</v>
      </c>
      <c r="F23" s="23" t="s">
        <v>192</v>
      </c>
      <c r="G23" s="23" t="s">
        <v>193</v>
      </c>
      <c r="H23" s="23" t="s">
        <v>148</v>
      </c>
      <c r="I23" s="25" t="n">
        <v>7</v>
      </c>
      <c r="J23" s="35" t="n">
        <v>1.098</v>
      </c>
      <c r="K23" s="26" t="n">
        <f aca="false">IF(I23=0,0,IF(L23="Rs./km",MROUND(IF(H23="Petrol",'Fuel &amp; Inputs'!$C$5,'Fuel &amp; Inputs'!$C$4)/I23*J23,1),MROUND(I23*J23*IF(H23="Petrol",'Fuel &amp; Inputs'!$C$5,'Fuel &amp; Inputs'!$C$4),10)))</f>
        <v>2940</v>
      </c>
      <c r="L23" s="23" t="s">
        <v>149</v>
      </c>
      <c r="M23" s="27" t="n">
        <v>1640</v>
      </c>
      <c r="N23" s="26" t="n">
        <f aca="false">MROUND(M23+'Fuel &amp; Inputs'!$C$13,50)</f>
        <v>2450</v>
      </c>
      <c r="O23" s="27" t="n">
        <v>3400</v>
      </c>
      <c r="P23" s="26" t="n">
        <f aca="false">MROUND(M23*'Fuel &amp; Inputs'!$C$19*'Fuel &amp; Inputs'!$C$21,100)</f>
        <v>6200</v>
      </c>
      <c r="Q23" s="26" t="n">
        <f aca="false">MROUND(N23*'Fuel &amp; Inputs'!$C$19*'Fuel &amp; Inputs'!$C$21,100)</f>
        <v>9300</v>
      </c>
      <c r="R23" s="26" t="n">
        <f aca="false">MROUND(O23*'Fuel &amp; Inputs'!$C$19*'Fuel &amp; Inputs'!$C$21,100)</f>
        <v>12900</v>
      </c>
      <c r="S23" s="26" t="n">
        <f aca="false">MROUND(M23*'Fuel &amp; Inputs'!$C$20*'Fuel &amp; Inputs'!$C$22,500)</f>
        <v>167500</v>
      </c>
      <c r="T23" s="26" t="n">
        <f aca="false">MROUND(N23*'Fuel &amp; Inputs'!$C$20*'Fuel &amp; Inputs'!$C$22,500)</f>
        <v>250000</v>
      </c>
      <c r="U23" s="26" t="n">
        <f aca="false">MROUND(O23*'Fuel &amp; Inputs'!$C$20*'Fuel &amp; Inputs'!$C$22,500)</f>
        <v>347000</v>
      </c>
    </row>
    <row r="24" customFormat="false" ht="15" hidden="false" customHeight="false" outlineLevel="0" collapsed="false">
      <c r="A24" s="17" t="n">
        <v>19</v>
      </c>
      <c r="B24" s="32" t="s">
        <v>68</v>
      </c>
      <c r="C24" s="32" t="s">
        <v>154</v>
      </c>
      <c r="D24" s="32" t="s">
        <v>155</v>
      </c>
      <c r="E24" s="17" t="s">
        <v>156</v>
      </c>
      <c r="F24" s="17" t="s">
        <v>194</v>
      </c>
      <c r="G24" s="17" t="s">
        <v>195</v>
      </c>
      <c r="H24" s="17" t="s">
        <v>148</v>
      </c>
      <c r="I24" s="19" t="n">
        <v>7</v>
      </c>
      <c r="J24" s="33" t="n">
        <v>1.042</v>
      </c>
      <c r="K24" s="20" t="n">
        <f aca="false">IF(I24=0,0,IF(L24="Rs./km",MROUND(IF(H24="Petrol",'Fuel &amp; Inputs'!$C$5,'Fuel &amp; Inputs'!$C$4)/I24*J24,1),MROUND(I24*J24*IF(H24="Petrol",'Fuel &amp; Inputs'!$C$5,'Fuel &amp; Inputs'!$C$4),10)))</f>
        <v>2790</v>
      </c>
      <c r="L24" s="17" t="s">
        <v>149</v>
      </c>
      <c r="M24" s="21" t="n">
        <v>1640</v>
      </c>
      <c r="N24" s="20" t="n">
        <f aca="false">MROUND(M24+'Fuel &amp; Inputs'!$C$13,50)</f>
        <v>2450</v>
      </c>
      <c r="O24" s="21" t="n">
        <v>3400</v>
      </c>
      <c r="P24" s="20" t="n">
        <f aca="false">MROUND(M24*'Fuel &amp; Inputs'!$C$19*'Fuel &amp; Inputs'!$C$21,100)</f>
        <v>6200</v>
      </c>
      <c r="Q24" s="20" t="n">
        <f aca="false">MROUND(N24*'Fuel &amp; Inputs'!$C$19*'Fuel &amp; Inputs'!$C$21,100)</f>
        <v>9300</v>
      </c>
      <c r="R24" s="20" t="n">
        <f aca="false">MROUND(O24*'Fuel &amp; Inputs'!$C$19*'Fuel &amp; Inputs'!$C$21,100)</f>
        <v>12900</v>
      </c>
      <c r="S24" s="20" t="n">
        <f aca="false">MROUND(M24*'Fuel &amp; Inputs'!$C$20*'Fuel &amp; Inputs'!$C$22,500)</f>
        <v>167500</v>
      </c>
      <c r="T24" s="20" t="n">
        <f aca="false">MROUND(N24*'Fuel &amp; Inputs'!$C$20*'Fuel &amp; Inputs'!$C$22,500)</f>
        <v>250000</v>
      </c>
      <c r="U24" s="20" t="n">
        <f aca="false">MROUND(O24*'Fuel &amp; Inputs'!$C$20*'Fuel &amp; Inputs'!$C$22,500)</f>
        <v>347000</v>
      </c>
    </row>
    <row r="25" customFormat="false" ht="15" hidden="false" customHeight="false" outlineLevel="0" collapsed="false">
      <c r="A25" s="23" t="n">
        <v>20</v>
      </c>
      <c r="B25" s="34" t="s">
        <v>68</v>
      </c>
      <c r="C25" s="34" t="s">
        <v>154</v>
      </c>
      <c r="D25" s="34" t="s">
        <v>155</v>
      </c>
      <c r="E25" s="23" t="s">
        <v>156</v>
      </c>
      <c r="F25" s="23" t="s">
        <v>196</v>
      </c>
      <c r="G25" s="23" t="s">
        <v>197</v>
      </c>
      <c r="H25" s="23" t="s">
        <v>148</v>
      </c>
      <c r="I25" s="25" t="n">
        <v>7</v>
      </c>
      <c r="J25" s="35" t="n">
        <v>1.042</v>
      </c>
      <c r="K25" s="26" t="n">
        <f aca="false">IF(I25=0,0,IF(L25="Rs./km",MROUND(IF(H25="Petrol",'Fuel &amp; Inputs'!$C$5,'Fuel &amp; Inputs'!$C$4)/I25*J25,1),MROUND(I25*J25*IF(H25="Petrol",'Fuel &amp; Inputs'!$C$5,'Fuel &amp; Inputs'!$C$4),10)))</f>
        <v>2790</v>
      </c>
      <c r="L25" s="23" t="s">
        <v>149</v>
      </c>
      <c r="M25" s="27" t="n">
        <v>1640</v>
      </c>
      <c r="N25" s="26" t="n">
        <f aca="false">MROUND(M25+'Fuel &amp; Inputs'!$C$13,50)</f>
        <v>2450</v>
      </c>
      <c r="O25" s="27" t="n">
        <v>3400</v>
      </c>
      <c r="P25" s="26" t="n">
        <f aca="false">MROUND(M25*'Fuel &amp; Inputs'!$C$19*'Fuel &amp; Inputs'!$C$21,100)</f>
        <v>6200</v>
      </c>
      <c r="Q25" s="26" t="n">
        <f aca="false">MROUND(N25*'Fuel &amp; Inputs'!$C$19*'Fuel &amp; Inputs'!$C$21,100)</f>
        <v>9300</v>
      </c>
      <c r="R25" s="26" t="n">
        <f aca="false">MROUND(O25*'Fuel &amp; Inputs'!$C$19*'Fuel &amp; Inputs'!$C$21,100)</f>
        <v>12900</v>
      </c>
      <c r="S25" s="26" t="n">
        <f aca="false">MROUND(M25*'Fuel &amp; Inputs'!$C$20*'Fuel &amp; Inputs'!$C$22,500)</f>
        <v>167500</v>
      </c>
      <c r="T25" s="26" t="n">
        <f aca="false">MROUND(N25*'Fuel &amp; Inputs'!$C$20*'Fuel &amp; Inputs'!$C$22,500)</f>
        <v>250000</v>
      </c>
      <c r="U25" s="26" t="n">
        <f aca="false">MROUND(O25*'Fuel &amp; Inputs'!$C$20*'Fuel &amp; Inputs'!$C$22,500)</f>
        <v>347000</v>
      </c>
    </row>
    <row r="26" customFormat="false" ht="15" hidden="false" customHeight="false" outlineLevel="0" collapsed="false">
      <c r="A26" s="17" t="n">
        <v>21</v>
      </c>
      <c r="B26" s="32" t="s">
        <v>68</v>
      </c>
      <c r="C26" s="32" t="s">
        <v>159</v>
      </c>
      <c r="D26" s="32" t="s">
        <v>155</v>
      </c>
      <c r="E26" s="17" t="s">
        <v>198</v>
      </c>
      <c r="F26" s="17" t="s">
        <v>199</v>
      </c>
      <c r="G26" s="17" t="s">
        <v>200</v>
      </c>
      <c r="H26" s="17" t="s">
        <v>148</v>
      </c>
      <c r="I26" s="19" t="n">
        <v>7</v>
      </c>
      <c r="J26" s="33" t="n">
        <v>1.14</v>
      </c>
      <c r="K26" s="20" t="n">
        <f aca="false">IF(I26=0,0,IF(L26="Rs./km",MROUND(IF(H26="Petrol",'Fuel &amp; Inputs'!$C$5,'Fuel &amp; Inputs'!$C$4)/I26*J26,1),MROUND(I26*J26*IF(H26="Petrol",'Fuel &amp; Inputs'!$C$5,'Fuel &amp; Inputs'!$C$4),10)))</f>
        <v>3050</v>
      </c>
      <c r="L26" s="17" t="s">
        <v>149</v>
      </c>
      <c r="M26" s="21" t="n">
        <v>1440</v>
      </c>
      <c r="N26" s="20" t="n">
        <f aca="false">MROUND(M26+'Fuel &amp; Inputs'!$C$13,50)</f>
        <v>2250</v>
      </c>
      <c r="O26" s="21" t="n">
        <v>2990</v>
      </c>
      <c r="P26" s="20" t="n">
        <f aca="false">MROUND(M26*'Fuel &amp; Inputs'!$C$19*'Fuel &amp; Inputs'!$C$21,100)</f>
        <v>5500</v>
      </c>
      <c r="Q26" s="20" t="n">
        <f aca="false">MROUND(N26*'Fuel &amp; Inputs'!$C$19*'Fuel &amp; Inputs'!$C$21,100)</f>
        <v>8600</v>
      </c>
      <c r="R26" s="20" t="n">
        <f aca="false">MROUND(O26*'Fuel &amp; Inputs'!$C$19*'Fuel &amp; Inputs'!$C$21,100)</f>
        <v>11400</v>
      </c>
      <c r="S26" s="20" t="n">
        <f aca="false">MROUND(M26*'Fuel &amp; Inputs'!$C$20*'Fuel &amp; Inputs'!$C$22,500)</f>
        <v>147000</v>
      </c>
      <c r="T26" s="20" t="n">
        <f aca="false">MROUND(N26*'Fuel &amp; Inputs'!$C$20*'Fuel &amp; Inputs'!$C$22,500)</f>
        <v>229500</v>
      </c>
      <c r="U26" s="20" t="n">
        <f aca="false">MROUND(O26*'Fuel &amp; Inputs'!$C$20*'Fuel &amp; Inputs'!$C$22,500)</f>
        <v>305000</v>
      </c>
    </row>
    <row r="27" customFormat="false" ht="15" hidden="false" customHeight="false" outlineLevel="0" collapsed="false">
      <c r="A27" s="23" t="n">
        <v>22</v>
      </c>
      <c r="B27" s="34" t="s">
        <v>68</v>
      </c>
      <c r="C27" s="34" t="s">
        <v>159</v>
      </c>
      <c r="D27" s="34" t="s">
        <v>201</v>
      </c>
      <c r="E27" s="23" t="s">
        <v>202</v>
      </c>
      <c r="F27" s="23" t="s">
        <v>203</v>
      </c>
      <c r="G27" s="23" t="s">
        <v>204</v>
      </c>
      <c r="H27" s="23" t="s">
        <v>148</v>
      </c>
      <c r="I27" s="25" t="n">
        <v>7</v>
      </c>
      <c r="J27" s="35" t="n">
        <v>1.154</v>
      </c>
      <c r="K27" s="26" t="n">
        <f aca="false">IF(I27=0,0,IF(L27="Rs./km",MROUND(IF(H27="Petrol",'Fuel &amp; Inputs'!$C$5,'Fuel &amp; Inputs'!$C$4)/I27*J27,1),MROUND(I27*J27*IF(H27="Petrol",'Fuel &amp; Inputs'!$C$5,'Fuel &amp; Inputs'!$C$4),10)))</f>
        <v>3090</v>
      </c>
      <c r="L27" s="23" t="s">
        <v>149</v>
      </c>
      <c r="M27" s="27" t="n">
        <v>1300</v>
      </c>
      <c r="N27" s="26" t="n">
        <f aca="false">MROUND(M27+'Fuel &amp; Inputs'!$C$13,50)</f>
        <v>2100</v>
      </c>
      <c r="O27" s="27" t="n">
        <v>2700</v>
      </c>
      <c r="P27" s="26" t="n">
        <f aca="false">MROUND(M27*'Fuel &amp; Inputs'!$C$19*'Fuel &amp; Inputs'!$C$21,100)</f>
        <v>4900</v>
      </c>
      <c r="Q27" s="26" t="n">
        <f aca="false">MROUND(N27*'Fuel &amp; Inputs'!$C$19*'Fuel &amp; Inputs'!$C$21,100)</f>
        <v>8000</v>
      </c>
      <c r="R27" s="26" t="n">
        <f aca="false">MROUND(O27*'Fuel &amp; Inputs'!$C$19*'Fuel &amp; Inputs'!$C$21,100)</f>
        <v>10300</v>
      </c>
      <c r="S27" s="26" t="n">
        <f aca="false">MROUND(M27*'Fuel &amp; Inputs'!$C$20*'Fuel &amp; Inputs'!$C$22,500)</f>
        <v>132500</v>
      </c>
      <c r="T27" s="26" t="n">
        <f aca="false">MROUND(N27*'Fuel &amp; Inputs'!$C$20*'Fuel &amp; Inputs'!$C$22,500)</f>
        <v>214000</v>
      </c>
      <c r="U27" s="26" t="n">
        <f aca="false">MROUND(O27*'Fuel &amp; Inputs'!$C$20*'Fuel &amp; Inputs'!$C$22,500)</f>
        <v>275500</v>
      </c>
    </row>
    <row r="28" customFormat="false" ht="15" hidden="false" customHeight="false" outlineLevel="0" collapsed="false">
      <c r="A28" s="17" t="n">
        <v>23</v>
      </c>
      <c r="B28" s="32" t="s">
        <v>68</v>
      </c>
      <c r="C28" s="32" t="s">
        <v>159</v>
      </c>
      <c r="D28" s="32" t="s">
        <v>205</v>
      </c>
      <c r="E28" s="17" t="s">
        <v>206</v>
      </c>
      <c r="F28" s="17" t="s">
        <v>207</v>
      </c>
      <c r="G28" s="17" t="s">
        <v>208</v>
      </c>
      <c r="H28" s="17" t="s">
        <v>148</v>
      </c>
      <c r="I28" s="19" t="n">
        <v>7</v>
      </c>
      <c r="J28" s="33" t="n">
        <v>1.168</v>
      </c>
      <c r="K28" s="20" t="n">
        <f aca="false">IF(I28=0,0,IF(L28="Rs./km",MROUND(IF(H28="Petrol",'Fuel &amp; Inputs'!$C$5,'Fuel &amp; Inputs'!$C$4)/I28*J28,1),MROUND(I28*J28*IF(H28="Petrol",'Fuel &amp; Inputs'!$C$5,'Fuel &amp; Inputs'!$C$4),10)))</f>
        <v>3120</v>
      </c>
      <c r="L28" s="17" t="s">
        <v>149</v>
      </c>
      <c r="M28" s="21" t="n">
        <v>1300</v>
      </c>
      <c r="N28" s="20" t="n">
        <f aca="false">MROUND(M28+'Fuel &amp; Inputs'!$C$13,50)</f>
        <v>2100</v>
      </c>
      <c r="O28" s="21" t="n">
        <v>2700</v>
      </c>
      <c r="P28" s="20" t="n">
        <f aca="false">MROUND(M28*'Fuel &amp; Inputs'!$C$19*'Fuel &amp; Inputs'!$C$21,100)</f>
        <v>4900</v>
      </c>
      <c r="Q28" s="20" t="n">
        <f aca="false">MROUND(N28*'Fuel &amp; Inputs'!$C$19*'Fuel &amp; Inputs'!$C$21,100)</f>
        <v>8000</v>
      </c>
      <c r="R28" s="20" t="n">
        <f aca="false">MROUND(O28*'Fuel &amp; Inputs'!$C$19*'Fuel &amp; Inputs'!$C$21,100)</f>
        <v>10300</v>
      </c>
      <c r="S28" s="20" t="n">
        <f aca="false">MROUND(M28*'Fuel &amp; Inputs'!$C$20*'Fuel &amp; Inputs'!$C$22,500)</f>
        <v>132500</v>
      </c>
      <c r="T28" s="20" t="n">
        <f aca="false">MROUND(N28*'Fuel &amp; Inputs'!$C$20*'Fuel &amp; Inputs'!$C$22,500)</f>
        <v>214000</v>
      </c>
      <c r="U28" s="20" t="n">
        <f aca="false">MROUND(O28*'Fuel &amp; Inputs'!$C$20*'Fuel &amp; Inputs'!$C$22,500)</f>
        <v>275500</v>
      </c>
    </row>
    <row r="29" customFormat="false" ht="15" hidden="false" customHeight="false" outlineLevel="0" collapsed="false">
      <c r="A29" s="23" t="n">
        <v>24</v>
      </c>
      <c r="B29" s="34" t="s">
        <v>68</v>
      </c>
      <c r="C29" s="34" t="s">
        <v>159</v>
      </c>
      <c r="D29" s="34" t="s">
        <v>209</v>
      </c>
      <c r="E29" s="23" t="s">
        <v>210</v>
      </c>
      <c r="F29" s="23" t="s">
        <v>211</v>
      </c>
      <c r="G29" s="23" t="s">
        <v>212</v>
      </c>
      <c r="H29" s="23" t="s">
        <v>148</v>
      </c>
      <c r="I29" s="25" t="n">
        <v>7</v>
      </c>
      <c r="J29" s="35" t="n">
        <v>1.175</v>
      </c>
      <c r="K29" s="26" t="n">
        <f aca="false">IF(I29=0,0,IF(L29="Rs./km",MROUND(IF(H29="Petrol",'Fuel &amp; Inputs'!$C$5,'Fuel &amp; Inputs'!$C$4)/I29*J29,1),MROUND(I29*J29*IF(H29="Petrol",'Fuel &amp; Inputs'!$C$5,'Fuel &amp; Inputs'!$C$4),10)))</f>
        <v>3140</v>
      </c>
      <c r="L29" s="23" t="s">
        <v>149</v>
      </c>
      <c r="M29" s="27" t="n">
        <v>1160</v>
      </c>
      <c r="N29" s="26" t="n">
        <f aca="false">MROUND(M29+'Fuel &amp; Inputs'!$C$13,50)</f>
        <v>1950</v>
      </c>
      <c r="O29" s="27" t="n">
        <v>2410</v>
      </c>
      <c r="P29" s="26" t="n">
        <f aca="false">MROUND(M29*'Fuel &amp; Inputs'!$C$19*'Fuel &amp; Inputs'!$C$21,100)</f>
        <v>4400</v>
      </c>
      <c r="Q29" s="26" t="n">
        <f aca="false">MROUND(N29*'Fuel &amp; Inputs'!$C$19*'Fuel &amp; Inputs'!$C$21,100)</f>
        <v>7400</v>
      </c>
      <c r="R29" s="26" t="n">
        <f aca="false">MROUND(O29*'Fuel &amp; Inputs'!$C$19*'Fuel &amp; Inputs'!$C$21,100)</f>
        <v>9200</v>
      </c>
      <c r="S29" s="26" t="n">
        <f aca="false">MROUND(M29*'Fuel &amp; Inputs'!$C$20*'Fuel &amp; Inputs'!$C$22,500)</f>
        <v>118500</v>
      </c>
      <c r="T29" s="26" t="n">
        <f aca="false">MROUND(N29*'Fuel &amp; Inputs'!$C$20*'Fuel &amp; Inputs'!$C$22,500)</f>
        <v>199000</v>
      </c>
      <c r="U29" s="26" t="n">
        <f aca="false">MROUND(O29*'Fuel &amp; Inputs'!$C$20*'Fuel &amp; Inputs'!$C$22,500)</f>
        <v>246000</v>
      </c>
    </row>
    <row r="30" customFormat="false" ht="15" hidden="false" customHeight="true" outlineLevel="0" collapsed="false">
      <c r="A30" s="31" t="s">
        <v>213</v>
      </c>
      <c r="B30" s="31"/>
      <c r="C30" s="31"/>
      <c r="D30" s="31"/>
      <c r="E30" s="31"/>
      <c r="F30" s="31"/>
      <c r="G30" s="31"/>
      <c r="H30" s="31"/>
      <c r="I30" s="31"/>
      <c r="J30" s="31"/>
      <c r="K30" s="31"/>
      <c r="L30" s="31"/>
      <c r="M30" s="31"/>
      <c r="N30" s="31"/>
      <c r="O30" s="31"/>
      <c r="P30" s="31"/>
      <c r="Q30" s="31"/>
      <c r="R30" s="31"/>
      <c r="S30" s="31"/>
      <c r="T30" s="31"/>
      <c r="U30" s="31"/>
    </row>
    <row r="31" customFormat="false" ht="15" hidden="false" customHeight="false" outlineLevel="0" collapsed="false">
      <c r="A31" s="17" t="n">
        <v>25</v>
      </c>
      <c r="B31" s="32" t="s">
        <v>70</v>
      </c>
      <c r="C31" s="32" t="s">
        <v>214</v>
      </c>
      <c r="D31" s="32" t="s">
        <v>215</v>
      </c>
      <c r="E31" s="17" t="s">
        <v>156</v>
      </c>
      <c r="F31" s="17" t="s">
        <v>216</v>
      </c>
      <c r="G31" s="17" t="s">
        <v>217</v>
      </c>
      <c r="H31" s="17" t="s">
        <v>148</v>
      </c>
      <c r="I31" s="19" t="n">
        <v>15</v>
      </c>
      <c r="J31" s="33" t="n">
        <v>1.042</v>
      </c>
      <c r="K31" s="20" t="n">
        <f aca="false">IF(I31=0,0,IF(L31="Rs./km",MROUND(IF(H31="Petrol",'Fuel &amp; Inputs'!$C$5,'Fuel &amp; Inputs'!$C$4)/I31*J31,1),MROUND(I31*J31*IF(H31="Petrol",'Fuel &amp; Inputs'!$C$5,'Fuel &amp; Inputs'!$C$4),10)))</f>
        <v>5970</v>
      </c>
      <c r="L31" s="17" t="s">
        <v>149</v>
      </c>
      <c r="M31" s="21" t="n">
        <v>3800</v>
      </c>
      <c r="N31" s="20" t="n">
        <f aca="false">MROUND(M31+'Fuel &amp; Inputs'!$C$13,50)</f>
        <v>4600</v>
      </c>
      <c r="O31" s="21" t="n">
        <v>8450</v>
      </c>
      <c r="P31" s="20" t="n">
        <f aca="false">MROUND(M31*'Fuel &amp; Inputs'!$C$19*'Fuel &amp; Inputs'!$C$21,100)</f>
        <v>14400</v>
      </c>
      <c r="Q31" s="20" t="n">
        <f aca="false">MROUND(N31*'Fuel &amp; Inputs'!$C$19*'Fuel &amp; Inputs'!$C$21,100)</f>
        <v>17500</v>
      </c>
      <c r="R31" s="20" t="n">
        <f aca="false">MROUND(O31*'Fuel &amp; Inputs'!$C$19*'Fuel &amp; Inputs'!$C$21,100)</f>
        <v>32100</v>
      </c>
      <c r="S31" s="20" t="n">
        <f aca="false">MROUND(M31*'Fuel &amp; Inputs'!$C$20*'Fuel &amp; Inputs'!$C$22,500)</f>
        <v>387500</v>
      </c>
      <c r="T31" s="20" t="n">
        <f aca="false">MROUND(N31*'Fuel &amp; Inputs'!$C$20*'Fuel &amp; Inputs'!$C$22,500)</f>
        <v>469000</v>
      </c>
      <c r="U31" s="20" t="n">
        <f aca="false">MROUND(O31*'Fuel &amp; Inputs'!$C$20*'Fuel &amp; Inputs'!$C$22,500)</f>
        <v>862000</v>
      </c>
    </row>
    <row r="32" customFormat="false" ht="15" hidden="false" customHeight="false" outlineLevel="0" collapsed="false">
      <c r="A32" s="23" t="n">
        <v>26</v>
      </c>
      <c r="B32" s="34" t="s">
        <v>70</v>
      </c>
      <c r="C32" s="34" t="s">
        <v>218</v>
      </c>
      <c r="D32" s="34" t="s">
        <v>219</v>
      </c>
      <c r="E32" s="23" t="s">
        <v>165</v>
      </c>
      <c r="F32" s="23" t="s">
        <v>220</v>
      </c>
      <c r="G32" s="23" t="s">
        <v>217</v>
      </c>
      <c r="H32" s="23" t="s">
        <v>148</v>
      </c>
      <c r="I32" s="25" t="n">
        <v>8</v>
      </c>
      <c r="J32" s="35" t="n">
        <v>1.077</v>
      </c>
      <c r="K32" s="26" t="n">
        <f aca="false">IF(I32=0,0,IF(L32="Rs./km",MROUND(IF(H32="Petrol",'Fuel &amp; Inputs'!$C$5,'Fuel &amp; Inputs'!$C$4)/I32*J32,1),MROUND(I32*J32*IF(H32="Petrol",'Fuel &amp; Inputs'!$C$5,'Fuel &amp; Inputs'!$C$4),10)))</f>
        <v>3290</v>
      </c>
      <c r="L32" s="23" t="s">
        <v>149</v>
      </c>
      <c r="M32" s="27" t="n">
        <v>3500</v>
      </c>
      <c r="N32" s="26" t="n">
        <f aca="false">MROUND(M32+'Fuel &amp; Inputs'!$C$13,50)</f>
        <v>4300</v>
      </c>
      <c r="O32" s="27" t="n">
        <v>7770</v>
      </c>
      <c r="P32" s="26" t="n">
        <f aca="false">MROUND(M32*'Fuel &amp; Inputs'!$C$19*'Fuel &amp; Inputs'!$C$21,100)</f>
        <v>13300</v>
      </c>
      <c r="Q32" s="26" t="n">
        <f aca="false">MROUND(N32*'Fuel &amp; Inputs'!$C$19*'Fuel &amp; Inputs'!$C$21,100)</f>
        <v>16300</v>
      </c>
      <c r="R32" s="26" t="n">
        <f aca="false">MROUND(O32*'Fuel &amp; Inputs'!$C$19*'Fuel &amp; Inputs'!$C$21,100)</f>
        <v>29500</v>
      </c>
      <c r="S32" s="26" t="n">
        <f aca="false">MROUND(M32*'Fuel &amp; Inputs'!$C$20*'Fuel &amp; Inputs'!$C$22,500)</f>
        <v>357000</v>
      </c>
      <c r="T32" s="26" t="n">
        <f aca="false">MROUND(N32*'Fuel &amp; Inputs'!$C$20*'Fuel &amp; Inputs'!$C$22,500)</f>
        <v>438500</v>
      </c>
      <c r="U32" s="26" t="n">
        <f aca="false">MROUND(O32*'Fuel &amp; Inputs'!$C$20*'Fuel &amp; Inputs'!$C$22,500)</f>
        <v>792500</v>
      </c>
    </row>
    <row r="33" customFormat="false" ht="15" hidden="false" customHeight="false" outlineLevel="0" collapsed="false">
      <c r="A33" s="17" t="n">
        <v>27</v>
      </c>
      <c r="B33" s="32" t="s">
        <v>70</v>
      </c>
      <c r="C33" s="32" t="s">
        <v>218</v>
      </c>
      <c r="D33" s="32" t="s">
        <v>221</v>
      </c>
      <c r="E33" s="17" t="s">
        <v>222</v>
      </c>
      <c r="F33" s="17" t="s">
        <v>223</v>
      </c>
      <c r="G33" s="17" t="s">
        <v>217</v>
      </c>
      <c r="H33" s="17" t="s">
        <v>148</v>
      </c>
      <c r="I33" s="19" t="n">
        <v>12</v>
      </c>
      <c r="J33" s="33" t="n">
        <v>1.084</v>
      </c>
      <c r="K33" s="20" t="n">
        <f aca="false">IF(I33=0,0,IF(L33="Rs./km",MROUND(IF(H33="Petrol",'Fuel &amp; Inputs'!$C$5,'Fuel &amp; Inputs'!$C$4)/I33*J33,1),MROUND(I33*J33*IF(H33="Petrol",'Fuel &amp; Inputs'!$C$5,'Fuel &amp; Inputs'!$C$4),10)))</f>
        <v>4970</v>
      </c>
      <c r="L33" s="17" t="s">
        <v>149</v>
      </c>
      <c r="M33" s="21" t="n">
        <v>3120</v>
      </c>
      <c r="N33" s="20" t="n">
        <f aca="false">MROUND(M33+'Fuel &amp; Inputs'!$C$13,50)</f>
        <v>3900</v>
      </c>
      <c r="O33" s="21" t="n">
        <v>6930</v>
      </c>
      <c r="P33" s="20" t="n">
        <f aca="false">MROUND(M33*'Fuel &amp; Inputs'!$C$19*'Fuel &amp; Inputs'!$C$21,100)</f>
        <v>11900</v>
      </c>
      <c r="Q33" s="20" t="n">
        <f aca="false">MROUND(N33*'Fuel &amp; Inputs'!$C$19*'Fuel &amp; Inputs'!$C$21,100)</f>
        <v>14800</v>
      </c>
      <c r="R33" s="20" t="n">
        <f aca="false">MROUND(O33*'Fuel &amp; Inputs'!$C$19*'Fuel &amp; Inputs'!$C$21,100)</f>
        <v>26300</v>
      </c>
      <c r="S33" s="20" t="n">
        <f aca="false">MROUND(M33*'Fuel &amp; Inputs'!$C$20*'Fuel &amp; Inputs'!$C$22,500)</f>
        <v>318000</v>
      </c>
      <c r="T33" s="20" t="n">
        <f aca="false">MROUND(N33*'Fuel &amp; Inputs'!$C$20*'Fuel &amp; Inputs'!$C$22,500)</f>
        <v>398000</v>
      </c>
      <c r="U33" s="20" t="n">
        <f aca="false">MROUND(O33*'Fuel &amp; Inputs'!$C$20*'Fuel &amp; Inputs'!$C$22,500)</f>
        <v>707000</v>
      </c>
    </row>
    <row r="34" customFormat="false" ht="15" hidden="false" customHeight="false" outlineLevel="0" collapsed="false">
      <c r="A34" s="23" t="n">
        <v>28</v>
      </c>
      <c r="B34" s="34" t="s">
        <v>70</v>
      </c>
      <c r="C34" s="34" t="s">
        <v>224</v>
      </c>
      <c r="D34" s="34" t="s">
        <v>225</v>
      </c>
      <c r="E34" s="23" t="s">
        <v>222</v>
      </c>
      <c r="F34" s="23" t="s">
        <v>226</v>
      </c>
      <c r="G34" s="23" t="s">
        <v>217</v>
      </c>
      <c r="H34" s="23" t="s">
        <v>148</v>
      </c>
      <c r="I34" s="25" t="n">
        <v>9</v>
      </c>
      <c r="J34" s="35" t="n">
        <v>1.084</v>
      </c>
      <c r="K34" s="26" t="n">
        <f aca="false">IF(I34=0,0,IF(L34="Rs./km",MROUND(IF(H34="Petrol",'Fuel &amp; Inputs'!$C$5,'Fuel &amp; Inputs'!$C$4)/I34*J34,1),MROUND(I34*J34*IF(H34="Petrol",'Fuel &amp; Inputs'!$C$5,'Fuel &amp; Inputs'!$C$4),10)))</f>
        <v>3730</v>
      </c>
      <c r="L34" s="23" t="s">
        <v>149</v>
      </c>
      <c r="M34" s="27" t="n">
        <v>3120</v>
      </c>
      <c r="N34" s="26" t="n">
        <f aca="false">MROUND(M34+'Fuel &amp; Inputs'!$C$13,50)</f>
        <v>3900</v>
      </c>
      <c r="O34" s="27" t="n">
        <v>6930</v>
      </c>
      <c r="P34" s="26" t="n">
        <f aca="false">MROUND(M34*'Fuel &amp; Inputs'!$C$19*'Fuel &amp; Inputs'!$C$21,100)</f>
        <v>11900</v>
      </c>
      <c r="Q34" s="26" t="n">
        <f aca="false">MROUND(N34*'Fuel &amp; Inputs'!$C$19*'Fuel &amp; Inputs'!$C$21,100)</f>
        <v>14800</v>
      </c>
      <c r="R34" s="26" t="n">
        <f aca="false">MROUND(O34*'Fuel &amp; Inputs'!$C$19*'Fuel &amp; Inputs'!$C$21,100)</f>
        <v>26300</v>
      </c>
      <c r="S34" s="26" t="n">
        <f aca="false">MROUND(M34*'Fuel &amp; Inputs'!$C$20*'Fuel &amp; Inputs'!$C$22,500)</f>
        <v>318000</v>
      </c>
      <c r="T34" s="26" t="n">
        <f aca="false">MROUND(N34*'Fuel &amp; Inputs'!$C$20*'Fuel &amp; Inputs'!$C$22,500)</f>
        <v>398000</v>
      </c>
      <c r="U34" s="26" t="n">
        <f aca="false">MROUND(O34*'Fuel &amp; Inputs'!$C$20*'Fuel &amp; Inputs'!$C$22,500)</f>
        <v>707000</v>
      </c>
    </row>
    <row r="35" customFormat="false" ht="15" hidden="false" customHeight="false" outlineLevel="0" collapsed="false">
      <c r="A35" s="17" t="n">
        <v>29</v>
      </c>
      <c r="B35" s="32" t="s">
        <v>70</v>
      </c>
      <c r="C35" s="32" t="s">
        <v>218</v>
      </c>
      <c r="D35" s="32" t="s">
        <v>227</v>
      </c>
      <c r="E35" s="17" t="s">
        <v>228</v>
      </c>
      <c r="F35" s="17" t="s">
        <v>229</v>
      </c>
      <c r="G35" s="17" t="s">
        <v>217</v>
      </c>
      <c r="H35" s="17" t="s">
        <v>148</v>
      </c>
      <c r="I35" s="19" t="n">
        <v>12</v>
      </c>
      <c r="J35" s="33" t="n">
        <v>1.091</v>
      </c>
      <c r="K35" s="20" t="n">
        <f aca="false">IF(I35=0,0,IF(L35="Rs./km",MROUND(IF(H35="Petrol",'Fuel &amp; Inputs'!$C$5,'Fuel &amp; Inputs'!$C$4)/I35*J35,1),MROUND(I35*J35*IF(H35="Petrol",'Fuel &amp; Inputs'!$C$5,'Fuel &amp; Inputs'!$C$4),10)))</f>
        <v>5000</v>
      </c>
      <c r="L35" s="17" t="s">
        <v>149</v>
      </c>
      <c r="M35" s="21" t="n">
        <v>3120</v>
      </c>
      <c r="N35" s="20" t="n">
        <f aca="false">MROUND(M35+'Fuel &amp; Inputs'!$C$13,50)</f>
        <v>3900</v>
      </c>
      <c r="O35" s="21" t="n">
        <v>6930</v>
      </c>
      <c r="P35" s="20" t="n">
        <f aca="false">MROUND(M35*'Fuel &amp; Inputs'!$C$19*'Fuel &amp; Inputs'!$C$21,100)</f>
        <v>11900</v>
      </c>
      <c r="Q35" s="20" t="n">
        <f aca="false">MROUND(N35*'Fuel &amp; Inputs'!$C$19*'Fuel &amp; Inputs'!$C$21,100)</f>
        <v>14800</v>
      </c>
      <c r="R35" s="20" t="n">
        <f aca="false">MROUND(O35*'Fuel &amp; Inputs'!$C$19*'Fuel &amp; Inputs'!$C$21,100)</f>
        <v>26300</v>
      </c>
      <c r="S35" s="20" t="n">
        <f aca="false">MROUND(M35*'Fuel &amp; Inputs'!$C$20*'Fuel &amp; Inputs'!$C$22,500)</f>
        <v>318000</v>
      </c>
      <c r="T35" s="20" t="n">
        <f aca="false">MROUND(N35*'Fuel &amp; Inputs'!$C$20*'Fuel &amp; Inputs'!$C$22,500)</f>
        <v>398000</v>
      </c>
      <c r="U35" s="20" t="n">
        <f aca="false">MROUND(O35*'Fuel &amp; Inputs'!$C$20*'Fuel &amp; Inputs'!$C$22,500)</f>
        <v>707000</v>
      </c>
    </row>
    <row r="36" customFormat="false" ht="15" hidden="false" customHeight="false" outlineLevel="0" collapsed="false">
      <c r="A36" s="23" t="n">
        <v>30</v>
      </c>
      <c r="B36" s="34" t="s">
        <v>70</v>
      </c>
      <c r="C36" s="34" t="s">
        <v>218</v>
      </c>
      <c r="D36" s="34" t="s">
        <v>230</v>
      </c>
      <c r="E36" s="23" t="s">
        <v>228</v>
      </c>
      <c r="F36" s="23" t="s">
        <v>231</v>
      </c>
      <c r="G36" s="23" t="s">
        <v>232</v>
      </c>
      <c r="H36" s="23" t="s">
        <v>148</v>
      </c>
      <c r="I36" s="25" t="n">
        <v>11</v>
      </c>
      <c r="J36" s="35" t="n">
        <v>1.091</v>
      </c>
      <c r="K36" s="26" t="n">
        <f aca="false">IF(I36=0,0,IF(L36="Rs./km",MROUND(IF(H36="Petrol",'Fuel &amp; Inputs'!$C$5,'Fuel &amp; Inputs'!$C$4)/I36*J36,1),MROUND(I36*J36*IF(H36="Petrol",'Fuel &amp; Inputs'!$C$5,'Fuel &amp; Inputs'!$C$4),10)))</f>
        <v>4580</v>
      </c>
      <c r="L36" s="23" t="s">
        <v>149</v>
      </c>
      <c r="M36" s="27" t="n">
        <v>3120</v>
      </c>
      <c r="N36" s="26" t="n">
        <f aca="false">MROUND(M36+'Fuel &amp; Inputs'!$C$13,50)</f>
        <v>3900</v>
      </c>
      <c r="O36" s="27" t="n">
        <v>6930</v>
      </c>
      <c r="P36" s="26" t="n">
        <f aca="false">MROUND(M36*'Fuel &amp; Inputs'!$C$19*'Fuel &amp; Inputs'!$C$21,100)</f>
        <v>11900</v>
      </c>
      <c r="Q36" s="26" t="n">
        <f aca="false">MROUND(N36*'Fuel &amp; Inputs'!$C$19*'Fuel &amp; Inputs'!$C$21,100)</f>
        <v>14800</v>
      </c>
      <c r="R36" s="26" t="n">
        <f aca="false">MROUND(O36*'Fuel &amp; Inputs'!$C$19*'Fuel &amp; Inputs'!$C$21,100)</f>
        <v>26300</v>
      </c>
      <c r="S36" s="26" t="n">
        <f aca="false">MROUND(M36*'Fuel &amp; Inputs'!$C$20*'Fuel &amp; Inputs'!$C$22,500)</f>
        <v>318000</v>
      </c>
      <c r="T36" s="26" t="n">
        <f aca="false">MROUND(N36*'Fuel &amp; Inputs'!$C$20*'Fuel &amp; Inputs'!$C$22,500)</f>
        <v>398000</v>
      </c>
      <c r="U36" s="26" t="n">
        <f aca="false">MROUND(O36*'Fuel &amp; Inputs'!$C$20*'Fuel &amp; Inputs'!$C$22,500)</f>
        <v>707000</v>
      </c>
    </row>
    <row r="37" customFormat="false" ht="15" hidden="false" customHeight="false" outlineLevel="0" collapsed="false">
      <c r="A37" s="17" t="n">
        <v>31</v>
      </c>
      <c r="B37" s="32" t="s">
        <v>70</v>
      </c>
      <c r="C37" s="32" t="s">
        <v>218</v>
      </c>
      <c r="D37" s="32" t="s">
        <v>233</v>
      </c>
      <c r="E37" s="17" t="s">
        <v>160</v>
      </c>
      <c r="F37" s="17" t="s">
        <v>234</v>
      </c>
      <c r="G37" s="17" t="s">
        <v>217</v>
      </c>
      <c r="H37" s="17" t="s">
        <v>148</v>
      </c>
      <c r="I37" s="19" t="n">
        <v>9</v>
      </c>
      <c r="J37" s="33" t="n">
        <v>1.098</v>
      </c>
      <c r="K37" s="20" t="n">
        <f aca="false">IF(I37=0,0,IF(L37="Rs./km",MROUND(IF(H37="Petrol",'Fuel &amp; Inputs'!$C$5,'Fuel &amp; Inputs'!$C$4)/I37*J37,1),MROUND(I37*J37*IF(H37="Petrol",'Fuel &amp; Inputs'!$C$5,'Fuel &amp; Inputs'!$C$4),10)))</f>
        <v>3770</v>
      </c>
      <c r="L37" s="17" t="s">
        <v>149</v>
      </c>
      <c r="M37" s="21" t="n">
        <v>3120</v>
      </c>
      <c r="N37" s="20" t="n">
        <f aca="false">MROUND(M37+'Fuel &amp; Inputs'!$C$13,50)</f>
        <v>3900</v>
      </c>
      <c r="O37" s="21" t="n">
        <v>6930</v>
      </c>
      <c r="P37" s="20" t="n">
        <f aca="false">MROUND(M37*'Fuel &amp; Inputs'!$C$19*'Fuel &amp; Inputs'!$C$21,100)</f>
        <v>11900</v>
      </c>
      <c r="Q37" s="20" t="n">
        <f aca="false">MROUND(N37*'Fuel &amp; Inputs'!$C$19*'Fuel &amp; Inputs'!$C$21,100)</f>
        <v>14800</v>
      </c>
      <c r="R37" s="20" t="n">
        <f aca="false">MROUND(O37*'Fuel &amp; Inputs'!$C$19*'Fuel &amp; Inputs'!$C$21,100)</f>
        <v>26300</v>
      </c>
      <c r="S37" s="20" t="n">
        <f aca="false">MROUND(M37*'Fuel &amp; Inputs'!$C$20*'Fuel &amp; Inputs'!$C$22,500)</f>
        <v>318000</v>
      </c>
      <c r="T37" s="20" t="n">
        <f aca="false">MROUND(N37*'Fuel &amp; Inputs'!$C$20*'Fuel &amp; Inputs'!$C$22,500)</f>
        <v>398000</v>
      </c>
      <c r="U37" s="20" t="n">
        <f aca="false">MROUND(O37*'Fuel &amp; Inputs'!$C$20*'Fuel &amp; Inputs'!$C$22,500)</f>
        <v>707000</v>
      </c>
    </row>
    <row r="38" customFormat="false" ht="15" hidden="false" customHeight="false" outlineLevel="0" collapsed="false">
      <c r="A38" s="23" t="n">
        <v>32</v>
      </c>
      <c r="B38" s="34" t="s">
        <v>70</v>
      </c>
      <c r="C38" s="34" t="s">
        <v>235</v>
      </c>
      <c r="D38" s="34" t="s">
        <v>236</v>
      </c>
      <c r="E38" s="23" t="s">
        <v>237</v>
      </c>
      <c r="F38" s="23" t="s">
        <v>238</v>
      </c>
      <c r="G38" s="23" t="s">
        <v>217</v>
      </c>
      <c r="H38" s="23" t="s">
        <v>148</v>
      </c>
      <c r="I38" s="25" t="n">
        <v>10</v>
      </c>
      <c r="J38" s="35" t="n">
        <v>1.112</v>
      </c>
      <c r="K38" s="26" t="n">
        <f aca="false">IF(I38=0,0,IF(L38="Rs./km",MROUND(IF(H38="Petrol",'Fuel &amp; Inputs'!$C$5,'Fuel &amp; Inputs'!$C$4)/I38*J38,1),MROUND(I38*J38*IF(H38="Petrol",'Fuel &amp; Inputs'!$C$5,'Fuel &amp; Inputs'!$C$4),10)))</f>
        <v>4250</v>
      </c>
      <c r="L38" s="23" t="s">
        <v>149</v>
      </c>
      <c r="M38" s="27" t="n">
        <v>3120</v>
      </c>
      <c r="N38" s="26" t="n">
        <f aca="false">MROUND(M38+'Fuel &amp; Inputs'!$C$13,50)</f>
        <v>3900</v>
      </c>
      <c r="O38" s="27" t="n">
        <v>6930</v>
      </c>
      <c r="P38" s="26" t="n">
        <f aca="false">MROUND(M38*'Fuel &amp; Inputs'!$C$19*'Fuel &amp; Inputs'!$C$21,100)</f>
        <v>11900</v>
      </c>
      <c r="Q38" s="26" t="n">
        <f aca="false">MROUND(N38*'Fuel &amp; Inputs'!$C$19*'Fuel &amp; Inputs'!$C$21,100)</f>
        <v>14800</v>
      </c>
      <c r="R38" s="26" t="n">
        <f aca="false">MROUND(O38*'Fuel &amp; Inputs'!$C$19*'Fuel &amp; Inputs'!$C$21,100)</f>
        <v>26300</v>
      </c>
      <c r="S38" s="26" t="n">
        <f aca="false">MROUND(M38*'Fuel &amp; Inputs'!$C$20*'Fuel &amp; Inputs'!$C$22,500)</f>
        <v>318000</v>
      </c>
      <c r="T38" s="26" t="n">
        <f aca="false">MROUND(N38*'Fuel &amp; Inputs'!$C$20*'Fuel &amp; Inputs'!$C$22,500)</f>
        <v>398000</v>
      </c>
      <c r="U38" s="26" t="n">
        <f aca="false">MROUND(O38*'Fuel &amp; Inputs'!$C$20*'Fuel &amp; Inputs'!$C$22,500)</f>
        <v>707000</v>
      </c>
    </row>
    <row r="39" customFormat="false" ht="15" hidden="false" customHeight="false" outlineLevel="0" collapsed="false">
      <c r="A39" s="17" t="n">
        <v>33</v>
      </c>
      <c r="B39" s="32" t="s">
        <v>70</v>
      </c>
      <c r="C39" s="32" t="s">
        <v>235</v>
      </c>
      <c r="D39" s="32" t="s">
        <v>239</v>
      </c>
      <c r="E39" s="17" t="s">
        <v>240</v>
      </c>
      <c r="F39" s="17" t="s">
        <v>241</v>
      </c>
      <c r="G39" s="17" t="s">
        <v>217</v>
      </c>
      <c r="H39" s="17" t="s">
        <v>148</v>
      </c>
      <c r="I39" s="19" t="n">
        <v>10</v>
      </c>
      <c r="J39" s="33" t="n">
        <v>1.119</v>
      </c>
      <c r="K39" s="20" t="n">
        <f aca="false">IF(I39=0,0,IF(L39="Rs./km",MROUND(IF(H39="Petrol",'Fuel &amp; Inputs'!$C$5,'Fuel &amp; Inputs'!$C$4)/I39*J39,1),MROUND(I39*J39*IF(H39="Petrol",'Fuel &amp; Inputs'!$C$5,'Fuel &amp; Inputs'!$C$4),10)))</f>
        <v>4270</v>
      </c>
      <c r="L39" s="17" t="s">
        <v>149</v>
      </c>
      <c r="M39" s="21" t="n">
        <v>2740</v>
      </c>
      <c r="N39" s="20" t="n">
        <f aca="false">MROUND(M39+'Fuel &amp; Inputs'!$C$13,50)</f>
        <v>3550</v>
      </c>
      <c r="O39" s="21" t="n">
        <v>6080</v>
      </c>
      <c r="P39" s="20" t="n">
        <f aca="false">MROUND(M39*'Fuel &amp; Inputs'!$C$19*'Fuel &amp; Inputs'!$C$21,100)</f>
        <v>10400</v>
      </c>
      <c r="Q39" s="20" t="n">
        <f aca="false">MROUND(N39*'Fuel &amp; Inputs'!$C$19*'Fuel &amp; Inputs'!$C$21,100)</f>
        <v>13500</v>
      </c>
      <c r="R39" s="20" t="n">
        <f aca="false">MROUND(O39*'Fuel &amp; Inputs'!$C$19*'Fuel &amp; Inputs'!$C$21,100)</f>
        <v>23100</v>
      </c>
      <c r="S39" s="20" t="n">
        <f aca="false">MROUND(M39*'Fuel &amp; Inputs'!$C$20*'Fuel &amp; Inputs'!$C$22,500)</f>
        <v>279500</v>
      </c>
      <c r="T39" s="20" t="n">
        <f aca="false">MROUND(N39*'Fuel &amp; Inputs'!$C$20*'Fuel &amp; Inputs'!$C$22,500)</f>
        <v>362000</v>
      </c>
      <c r="U39" s="20" t="n">
        <f aca="false">MROUND(O39*'Fuel &amp; Inputs'!$C$20*'Fuel &amp; Inputs'!$C$22,500)</f>
        <v>620000</v>
      </c>
    </row>
    <row r="40" customFormat="false" ht="15" hidden="false" customHeight="true" outlineLevel="0" collapsed="false">
      <c r="A40" s="31" t="s">
        <v>242</v>
      </c>
      <c r="B40" s="31"/>
      <c r="C40" s="31"/>
      <c r="D40" s="31"/>
      <c r="E40" s="31"/>
      <c r="F40" s="31"/>
      <c r="G40" s="31"/>
      <c r="H40" s="31"/>
      <c r="I40" s="31"/>
      <c r="J40" s="31"/>
      <c r="K40" s="31"/>
      <c r="L40" s="31"/>
      <c r="M40" s="31"/>
      <c r="N40" s="31"/>
      <c r="O40" s="31"/>
      <c r="P40" s="31"/>
      <c r="Q40" s="31"/>
      <c r="R40" s="31"/>
      <c r="S40" s="31"/>
      <c r="T40" s="31"/>
      <c r="U40" s="31"/>
    </row>
    <row r="41" customFormat="false" ht="15" hidden="false" customHeight="false" outlineLevel="0" collapsed="false">
      <c r="A41" s="23" t="n">
        <v>34</v>
      </c>
      <c r="B41" s="34" t="s">
        <v>72</v>
      </c>
      <c r="C41" s="34" t="s">
        <v>243</v>
      </c>
      <c r="D41" s="34" t="s">
        <v>244</v>
      </c>
      <c r="E41" s="23" t="s">
        <v>245</v>
      </c>
      <c r="F41" s="23" t="s">
        <v>246</v>
      </c>
      <c r="G41" s="23" t="s">
        <v>247</v>
      </c>
      <c r="H41" s="23" t="s">
        <v>148</v>
      </c>
      <c r="I41" s="25" t="n">
        <v>11</v>
      </c>
      <c r="J41" s="35" t="n">
        <v>1.063</v>
      </c>
      <c r="K41" s="26" t="n">
        <f aca="false">IF(I41=0,0,IF(L41="Rs./km",MROUND(IF(H41="Petrol",'Fuel &amp; Inputs'!$C$5,'Fuel &amp; Inputs'!$C$4)/I41*J41,1),MROUND(I41*J41*IF(H41="Petrol",'Fuel &amp; Inputs'!$C$5,'Fuel &amp; Inputs'!$C$4),10)))</f>
        <v>4470</v>
      </c>
      <c r="L41" s="23" t="s">
        <v>149</v>
      </c>
      <c r="M41" s="27" t="n">
        <v>2250</v>
      </c>
      <c r="N41" s="26" t="n">
        <f aca="false">MROUND(M41+'Fuel &amp; Inputs'!$C$13,50)</f>
        <v>3050</v>
      </c>
      <c r="O41" s="27" t="n">
        <v>4460</v>
      </c>
      <c r="P41" s="26" t="n">
        <f aca="false">MROUND(M41*'Fuel &amp; Inputs'!$C$19*'Fuel &amp; Inputs'!$C$21,100)</f>
        <v>8600</v>
      </c>
      <c r="Q41" s="26" t="n">
        <f aca="false">MROUND(N41*'Fuel &amp; Inputs'!$C$19*'Fuel &amp; Inputs'!$C$21,100)</f>
        <v>11600</v>
      </c>
      <c r="R41" s="26" t="n">
        <f aca="false">MROUND(O41*'Fuel &amp; Inputs'!$C$19*'Fuel &amp; Inputs'!$C$21,100)</f>
        <v>16900</v>
      </c>
      <c r="S41" s="26" t="n">
        <f aca="false">MROUND(M41*'Fuel &amp; Inputs'!$C$20*'Fuel &amp; Inputs'!$C$22,500)</f>
        <v>229500</v>
      </c>
      <c r="T41" s="26" t="n">
        <f aca="false">MROUND(N41*'Fuel &amp; Inputs'!$C$20*'Fuel &amp; Inputs'!$C$22,500)</f>
        <v>311000</v>
      </c>
      <c r="U41" s="26" t="n">
        <f aca="false">MROUND(O41*'Fuel &amp; Inputs'!$C$20*'Fuel &amp; Inputs'!$C$22,500)</f>
        <v>455000</v>
      </c>
    </row>
    <row r="42" customFormat="false" ht="15" hidden="false" customHeight="false" outlineLevel="0" collapsed="false">
      <c r="A42" s="17" t="n">
        <v>35</v>
      </c>
      <c r="B42" s="32" t="s">
        <v>72</v>
      </c>
      <c r="C42" s="32" t="s">
        <v>243</v>
      </c>
      <c r="D42" s="32" t="s">
        <v>248</v>
      </c>
      <c r="E42" s="17" t="s">
        <v>245</v>
      </c>
      <c r="F42" s="17" t="s">
        <v>249</v>
      </c>
      <c r="G42" s="17" t="s">
        <v>250</v>
      </c>
      <c r="H42" s="17" t="s">
        <v>148</v>
      </c>
      <c r="I42" s="19" t="n">
        <v>13</v>
      </c>
      <c r="J42" s="33" t="n">
        <v>1.063</v>
      </c>
      <c r="K42" s="20" t="n">
        <f aca="false">IF(I42=0,0,IF(L42="Rs./km",MROUND(IF(H42="Petrol",'Fuel &amp; Inputs'!$C$5,'Fuel &amp; Inputs'!$C$4)/I42*J42,1),MROUND(I42*J42*IF(H42="Petrol",'Fuel &amp; Inputs'!$C$5,'Fuel &amp; Inputs'!$C$4),10)))</f>
        <v>5280</v>
      </c>
      <c r="L42" s="17" t="s">
        <v>149</v>
      </c>
      <c r="M42" s="21" t="n">
        <v>2250</v>
      </c>
      <c r="N42" s="20" t="n">
        <f aca="false">MROUND(M42+'Fuel &amp; Inputs'!$C$13,50)</f>
        <v>3050</v>
      </c>
      <c r="O42" s="21" t="n">
        <v>4460</v>
      </c>
      <c r="P42" s="20" t="n">
        <f aca="false">MROUND(M42*'Fuel &amp; Inputs'!$C$19*'Fuel &amp; Inputs'!$C$21,100)</f>
        <v>8600</v>
      </c>
      <c r="Q42" s="20" t="n">
        <f aca="false">MROUND(N42*'Fuel &amp; Inputs'!$C$19*'Fuel &amp; Inputs'!$C$21,100)</f>
        <v>11600</v>
      </c>
      <c r="R42" s="20" t="n">
        <f aca="false">MROUND(O42*'Fuel &amp; Inputs'!$C$19*'Fuel &amp; Inputs'!$C$21,100)</f>
        <v>16900</v>
      </c>
      <c r="S42" s="20" t="n">
        <f aca="false">MROUND(M42*'Fuel &amp; Inputs'!$C$20*'Fuel &amp; Inputs'!$C$22,500)</f>
        <v>229500</v>
      </c>
      <c r="T42" s="20" t="n">
        <f aca="false">MROUND(N42*'Fuel &amp; Inputs'!$C$20*'Fuel &amp; Inputs'!$C$22,500)</f>
        <v>311000</v>
      </c>
      <c r="U42" s="20" t="n">
        <f aca="false">MROUND(O42*'Fuel &amp; Inputs'!$C$20*'Fuel &amp; Inputs'!$C$22,500)</f>
        <v>455000</v>
      </c>
    </row>
    <row r="43" customFormat="false" ht="15" hidden="false" customHeight="false" outlineLevel="0" collapsed="false">
      <c r="A43" s="23" t="n">
        <v>36</v>
      </c>
      <c r="B43" s="34" t="s">
        <v>72</v>
      </c>
      <c r="C43" s="34" t="s">
        <v>243</v>
      </c>
      <c r="D43" s="34" t="s">
        <v>244</v>
      </c>
      <c r="E43" s="23" t="s">
        <v>168</v>
      </c>
      <c r="F43" s="23" t="s">
        <v>251</v>
      </c>
      <c r="G43" s="23" t="s">
        <v>252</v>
      </c>
      <c r="H43" s="23" t="s">
        <v>148</v>
      </c>
      <c r="I43" s="25" t="n">
        <v>11</v>
      </c>
      <c r="J43" s="35" t="n">
        <v>1.07</v>
      </c>
      <c r="K43" s="26" t="n">
        <f aca="false">IF(I43=0,0,IF(L43="Rs./km",MROUND(IF(H43="Petrol",'Fuel &amp; Inputs'!$C$5,'Fuel &amp; Inputs'!$C$4)/I43*J43,1),MROUND(I43*J43*IF(H43="Petrol",'Fuel &amp; Inputs'!$C$5,'Fuel &amp; Inputs'!$C$4),10)))</f>
        <v>4500</v>
      </c>
      <c r="L43" s="23" t="s">
        <v>149</v>
      </c>
      <c r="M43" s="27" t="n">
        <v>2250</v>
      </c>
      <c r="N43" s="26" t="n">
        <f aca="false">MROUND(M43+'Fuel &amp; Inputs'!$C$13,50)</f>
        <v>3050</v>
      </c>
      <c r="O43" s="27" t="n">
        <v>4460</v>
      </c>
      <c r="P43" s="26" t="n">
        <f aca="false">MROUND(M43*'Fuel &amp; Inputs'!$C$19*'Fuel &amp; Inputs'!$C$21,100)</f>
        <v>8600</v>
      </c>
      <c r="Q43" s="26" t="n">
        <f aca="false">MROUND(N43*'Fuel &amp; Inputs'!$C$19*'Fuel &amp; Inputs'!$C$21,100)</f>
        <v>11600</v>
      </c>
      <c r="R43" s="26" t="n">
        <f aca="false">MROUND(O43*'Fuel &amp; Inputs'!$C$19*'Fuel &amp; Inputs'!$C$21,100)</f>
        <v>16900</v>
      </c>
      <c r="S43" s="26" t="n">
        <f aca="false">MROUND(M43*'Fuel &amp; Inputs'!$C$20*'Fuel &amp; Inputs'!$C$22,500)</f>
        <v>229500</v>
      </c>
      <c r="T43" s="26" t="n">
        <f aca="false">MROUND(N43*'Fuel &amp; Inputs'!$C$20*'Fuel &amp; Inputs'!$C$22,500)</f>
        <v>311000</v>
      </c>
      <c r="U43" s="26" t="n">
        <f aca="false">MROUND(O43*'Fuel &amp; Inputs'!$C$20*'Fuel &amp; Inputs'!$C$22,500)</f>
        <v>455000</v>
      </c>
    </row>
    <row r="44" customFormat="false" ht="15" hidden="false" customHeight="false" outlineLevel="0" collapsed="false">
      <c r="A44" s="17" t="n">
        <v>37</v>
      </c>
      <c r="B44" s="32" t="s">
        <v>72</v>
      </c>
      <c r="C44" s="32" t="s">
        <v>253</v>
      </c>
      <c r="D44" s="32" t="s">
        <v>254</v>
      </c>
      <c r="E44" s="17" t="s">
        <v>168</v>
      </c>
      <c r="F44" s="17" t="s">
        <v>255</v>
      </c>
      <c r="G44" s="17" t="s">
        <v>256</v>
      </c>
      <c r="H44" s="17" t="s">
        <v>148</v>
      </c>
      <c r="I44" s="19" t="n">
        <v>11</v>
      </c>
      <c r="J44" s="33" t="n">
        <v>1.07</v>
      </c>
      <c r="K44" s="20" t="n">
        <f aca="false">IF(I44=0,0,IF(L44="Rs./km",MROUND(IF(H44="Petrol",'Fuel &amp; Inputs'!$C$5,'Fuel &amp; Inputs'!$C$4)/I44*J44,1),MROUND(I44*J44*IF(H44="Petrol",'Fuel &amp; Inputs'!$C$5,'Fuel &amp; Inputs'!$C$4),10)))</f>
        <v>4500</v>
      </c>
      <c r="L44" s="17" t="s">
        <v>149</v>
      </c>
      <c r="M44" s="21" t="n">
        <v>2250</v>
      </c>
      <c r="N44" s="20" t="n">
        <f aca="false">MROUND(M44+'Fuel &amp; Inputs'!$C$13,50)</f>
        <v>3050</v>
      </c>
      <c r="O44" s="21" t="n">
        <v>4460</v>
      </c>
      <c r="P44" s="20" t="n">
        <f aca="false">MROUND(M44*'Fuel &amp; Inputs'!$C$19*'Fuel &amp; Inputs'!$C$21,100)</f>
        <v>8600</v>
      </c>
      <c r="Q44" s="20" t="n">
        <f aca="false">MROUND(N44*'Fuel &amp; Inputs'!$C$19*'Fuel &amp; Inputs'!$C$21,100)</f>
        <v>11600</v>
      </c>
      <c r="R44" s="20" t="n">
        <f aca="false">MROUND(O44*'Fuel &amp; Inputs'!$C$19*'Fuel &amp; Inputs'!$C$21,100)</f>
        <v>16900</v>
      </c>
      <c r="S44" s="20" t="n">
        <f aca="false">MROUND(M44*'Fuel &amp; Inputs'!$C$20*'Fuel &amp; Inputs'!$C$22,500)</f>
        <v>229500</v>
      </c>
      <c r="T44" s="20" t="n">
        <f aca="false">MROUND(N44*'Fuel &amp; Inputs'!$C$20*'Fuel &amp; Inputs'!$C$22,500)</f>
        <v>311000</v>
      </c>
      <c r="U44" s="20" t="n">
        <f aca="false">MROUND(O44*'Fuel &amp; Inputs'!$C$20*'Fuel &amp; Inputs'!$C$22,500)</f>
        <v>455000</v>
      </c>
    </row>
    <row r="45" customFormat="false" ht="15" hidden="false" customHeight="false" outlineLevel="0" collapsed="false">
      <c r="A45" s="23" t="n">
        <v>38</v>
      </c>
      <c r="B45" s="34" t="s">
        <v>72</v>
      </c>
      <c r="C45" s="34" t="s">
        <v>253</v>
      </c>
      <c r="D45" s="34" t="s">
        <v>254</v>
      </c>
      <c r="E45" s="23" t="s">
        <v>168</v>
      </c>
      <c r="F45" s="23" t="s">
        <v>257</v>
      </c>
      <c r="G45" s="23" t="s">
        <v>258</v>
      </c>
      <c r="H45" s="23" t="s">
        <v>148</v>
      </c>
      <c r="I45" s="25" t="n">
        <v>11</v>
      </c>
      <c r="J45" s="35" t="n">
        <v>1.07</v>
      </c>
      <c r="K45" s="26" t="n">
        <f aca="false">IF(I45=0,0,IF(L45="Rs./km",MROUND(IF(H45="Petrol",'Fuel &amp; Inputs'!$C$5,'Fuel &amp; Inputs'!$C$4)/I45*J45,1),MROUND(I45*J45*IF(H45="Petrol",'Fuel &amp; Inputs'!$C$5,'Fuel &amp; Inputs'!$C$4),10)))</f>
        <v>4500</v>
      </c>
      <c r="L45" s="23" t="s">
        <v>149</v>
      </c>
      <c r="M45" s="27" t="n">
        <v>2250</v>
      </c>
      <c r="N45" s="26" t="n">
        <f aca="false">MROUND(M45+'Fuel &amp; Inputs'!$C$13,50)</f>
        <v>3050</v>
      </c>
      <c r="O45" s="27" t="n">
        <v>4460</v>
      </c>
      <c r="P45" s="26" t="n">
        <f aca="false">MROUND(M45*'Fuel &amp; Inputs'!$C$19*'Fuel &amp; Inputs'!$C$21,100)</f>
        <v>8600</v>
      </c>
      <c r="Q45" s="26" t="n">
        <f aca="false">MROUND(N45*'Fuel &amp; Inputs'!$C$19*'Fuel &amp; Inputs'!$C$21,100)</f>
        <v>11600</v>
      </c>
      <c r="R45" s="26" t="n">
        <f aca="false">MROUND(O45*'Fuel &amp; Inputs'!$C$19*'Fuel &amp; Inputs'!$C$21,100)</f>
        <v>16900</v>
      </c>
      <c r="S45" s="26" t="n">
        <f aca="false">MROUND(M45*'Fuel &amp; Inputs'!$C$20*'Fuel &amp; Inputs'!$C$22,500)</f>
        <v>229500</v>
      </c>
      <c r="T45" s="26" t="n">
        <f aca="false">MROUND(N45*'Fuel &amp; Inputs'!$C$20*'Fuel &amp; Inputs'!$C$22,500)</f>
        <v>311000</v>
      </c>
      <c r="U45" s="26" t="n">
        <f aca="false">MROUND(O45*'Fuel &amp; Inputs'!$C$20*'Fuel &amp; Inputs'!$C$22,500)</f>
        <v>455000</v>
      </c>
    </row>
    <row r="46" customFormat="false" ht="15" hidden="false" customHeight="false" outlineLevel="0" collapsed="false">
      <c r="A46" s="17" t="n">
        <v>39</v>
      </c>
      <c r="B46" s="32" t="s">
        <v>72</v>
      </c>
      <c r="C46" s="32" t="s">
        <v>243</v>
      </c>
      <c r="D46" s="32" t="s">
        <v>248</v>
      </c>
      <c r="E46" s="17" t="s">
        <v>168</v>
      </c>
      <c r="F46" s="17" t="s">
        <v>259</v>
      </c>
      <c r="G46" s="17" t="s">
        <v>260</v>
      </c>
      <c r="H46" s="17" t="s">
        <v>148</v>
      </c>
      <c r="I46" s="19" t="n">
        <v>13</v>
      </c>
      <c r="J46" s="33" t="n">
        <v>1.07</v>
      </c>
      <c r="K46" s="20" t="n">
        <f aca="false">IF(I46=0,0,IF(L46="Rs./km",MROUND(IF(H46="Petrol",'Fuel &amp; Inputs'!$C$5,'Fuel &amp; Inputs'!$C$4)/I46*J46,1),MROUND(I46*J46*IF(H46="Petrol",'Fuel &amp; Inputs'!$C$5,'Fuel &amp; Inputs'!$C$4),10)))</f>
        <v>5310</v>
      </c>
      <c r="L46" s="17" t="s">
        <v>149</v>
      </c>
      <c r="M46" s="21" t="n">
        <v>2250</v>
      </c>
      <c r="N46" s="20" t="n">
        <f aca="false">MROUND(M46+'Fuel &amp; Inputs'!$C$13,50)</f>
        <v>3050</v>
      </c>
      <c r="O46" s="21" t="n">
        <v>4460</v>
      </c>
      <c r="P46" s="20" t="n">
        <f aca="false">MROUND(M46*'Fuel &amp; Inputs'!$C$19*'Fuel &amp; Inputs'!$C$21,100)</f>
        <v>8600</v>
      </c>
      <c r="Q46" s="20" t="n">
        <f aca="false">MROUND(N46*'Fuel &amp; Inputs'!$C$19*'Fuel &amp; Inputs'!$C$21,100)</f>
        <v>11600</v>
      </c>
      <c r="R46" s="20" t="n">
        <f aca="false">MROUND(O46*'Fuel &amp; Inputs'!$C$19*'Fuel &amp; Inputs'!$C$21,100)</f>
        <v>16900</v>
      </c>
      <c r="S46" s="20" t="n">
        <f aca="false">MROUND(M46*'Fuel &amp; Inputs'!$C$20*'Fuel &amp; Inputs'!$C$22,500)</f>
        <v>229500</v>
      </c>
      <c r="T46" s="20" t="n">
        <f aca="false">MROUND(N46*'Fuel &amp; Inputs'!$C$20*'Fuel &amp; Inputs'!$C$22,500)</f>
        <v>311000</v>
      </c>
      <c r="U46" s="20" t="n">
        <f aca="false">MROUND(O46*'Fuel &amp; Inputs'!$C$20*'Fuel &amp; Inputs'!$C$22,500)</f>
        <v>455000</v>
      </c>
    </row>
    <row r="47" customFormat="false" ht="15" hidden="false" customHeight="false" outlineLevel="0" collapsed="false">
      <c r="A47" s="23" t="n">
        <v>40</v>
      </c>
      <c r="B47" s="34" t="s">
        <v>72</v>
      </c>
      <c r="C47" s="34" t="s">
        <v>243</v>
      </c>
      <c r="D47" s="34" t="s">
        <v>248</v>
      </c>
      <c r="E47" s="23" t="s">
        <v>168</v>
      </c>
      <c r="F47" s="23" t="s">
        <v>261</v>
      </c>
      <c r="G47" s="23" t="s">
        <v>262</v>
      </c>
      <c r="H47" s="23" t="s">
        <v>148</v>
      </c>
      <c r="I47" s="25" t="n">
        <v>13</v>
      </c>
      <c r="J47" s="35" t="n">
        <v>1.07</v>
      </c>
      <c r="K47" s="26" t="n">
        <f aca="false">IF(I47=0,0,IF(L47="Rs./km",MROUND(IF(H47="Petrol",'Fuel &amp; Inputs'!$C$5,'Fuel &amp; Inputs'!$C$4)/I47*J47,1),MROUND(I47*J47*IF(H47="Petrol",'Fuel &amp; Inputs'!$C$5,'Fuel &amp; Inputs'!$C$4),10)))</f>
        <v>5310</v>
      </c>
      <c r="L47" s="23" t="s">
        <v>149</v>
      </c>
      <c r="M47" s="27" t="n">
        <v>2250</v>
      </c>
      <c r="N47" s="26" t="n">
        <f aca="false">MROUND(M47+'Fuel &amp; Inputs'!$C$13,50)</f>
        <v>3050</v>
      </c>
      <c r="O47" s="27" t="n">
        <v>4460</v>
      </c>
      <c r="P47" s="26" t="n">
        <f aca="false">MROUND(M47*'Fuel &amp; Inputs'!$C$19*'Fuel &amp; Inputs'!$C$21,100)</f>
        <v>8600</v>
      </c>
      <c r="Q47" s="26" t="n">
        <f aca="false">MROUND(N47*'Fuel &amp; Inputs'!$C$19*'Fuel &amp; Inputs'!$C$21,100)</f>
        <v>11600</v>
      </c>
      <c r="R47" s="26" t="n">
        <f aca="false">MROUND(O47*'Fuel &amp; Inputs'!$C$19*'Fuel &amp; Inputs'!$C$21,100)</f>
        <v>16900</v>
      </c>
      <c r="S47" s="26" t="n">
        <f aca="false">MROUND(M47*'Fuel &amp; Inputs'!$C$20*'Fuel &amp; Inputs'!$C$22,500)</f>
        <v>229500</v>
      </c>
      <c r="T47" s="26" t="n">
        <f aca="false">MROUND(N47*'Fuel &amp; Inputs'!$C$20*'Fuel &amp; Inputs'!$C$22,500)</f>
        <v>311000</v>
      </c>
      <c r="U47" s="26" t="n">
        <f aca="false">MROUND(O47*'Fuel &amp; Inputs'!$C$20*'Fuel &amp; Inputs'!$C$22,500)</f>
        <v>455000</v>
      </c>
    </row>
    <row r="48" customFormat="false" ht="15" hidden="false" customHeight="false" outlineLevel="0" collapsed="false">
      <c r="A48" s="17" t="n">
        <v>41</v>
      </c>
      <c r="B48" s="32" t="s">
        <v>72</v>
      </c>
      <c r="C48" s="32" t="s">
        <v>243</v>
      </c>
      <c r="D48" s="32" t="s">
        <v>248</v>
      </c>
      <c r="E48" s="17" t="s">
        <v>245</v>
      </c>
      <c r="F48" s="17" t="s">
        <v>263</v>
      </c>
      <c r="G48" s="17" t="s">
        <v>264</v>
      </c>
      <c r="H48" s="17" t="s">
        <v>148</v>
      </c>
      <c r="I48" s="19" t="n">
        <v>13</v>
      </c>
      <c r="J48" s="33" t="n">
        <v>1.063</v>
      </c>
      <c r="K48" s="20" t="n">
        <f aca="false">IF(I48=0,0,IF(L48="Rs./km",MROUND(IF(H48="Petrol",'Fuel &amp; Inputs'!$C$5,'Fuel &amp; Inputs'!$C$4)/I48*J48,1),MROUND(I48*J48*IF(H48="Petrol",'Fuel &amp; Inputs'!$C$5,'Fuel &amp; Inputs'!$C$4),10)))</f>
        <v>5280</v>
      </c>
      <c r="L48" s="17" t="s">
        <v>149</v>
      </c>
      <c r="M48" s="21" t="n">
        <v>2250</v>
      </c>
      <c r="N48" s="20" t="n">
        <f aca="false">MROUND(M48+'Fuel &amp; Inputs'!$C$13,50)</f>
        <v>3050</v>
      </c>
      <c r="O48" s="21" t="n">
        <v>4460</v>
      </c>
      <c r="P48" s="20" t="n">
        <f aca="false">MROUND(M48*'Fuel &amp; Inputs'!$C$19*'Fuel &amp; Inputs'!$C$21,100)</f>
        <v>8600</v>
      </c>
      <c r="Q48" s="20" t="n">
        <f aca="false">MROUND(N48*'Fuel &amp; Inputs'!$C$19*'Fuel &amp; Inputs'!$C$21,100)</f>
        <v>11600</v>
      </c>
      <c r="R48" s="20" t="n">
        <f aca="false">MROUND(O48*'Fuel &amp; Inputs'!$C$19*'Fuel &amp; Inputs'!$C$21,100)</f>
        <v>16900</v>
      </c>
      <c r="S48" s="20" t="n">
        <f aca="false">MROUND(M48*'Fuel &amp; Inputs'!$C$20*'Fuel &amp; Inputs'!$C$22,500)</f>
        <v>229500</v>
      </c>
      <c r="T48" s="20" t="n">
        <f aca="false">MROUND(N48*'Fuel &amp; Inputs'!$C$20*'Fuel &amp; Inputs'!$C$22,500)</f>
        <v>311000</v>
      </c>
      <c r="U48" s="20" t="n">
        <f aca="false">MROUND(O48*'Fuel &amp; Inputs'!$C$20*'Fuel &amp; Inputs'!$C$22,500)</f>
        <v>455000</v>
      </c>
    </row>
    <row r="49" customFormat="false" ht="23.85" hidden="false" customHeight="false" outlineLevel="0" collapsed="false">
      <c r="A49" s="23" t="n">
        <v>42</v>
      </c>
      <c r="B49" s="34" t="s">
        <v>72</v>
      </c>
      <c r="C49" s="34" t="s">
        <v>265</v>
      </c>
      <c r="D49" s="34" t="s">
        <v>266</v>
      </c>
      <c r="E49" s="23" t="s">
        <v>165</v>
      </c>
      <c r="F49" s="23" t="s">
        <v>267</v>
      </c>
      <c r="G49" s="23" t="s">
        <v>268</v>
      </c>
      <c r="H49" s="23" t="s">
        <v>148</v>
      </c>
      <c r="I49" s="25" t="n">
        <v>11</v>
      </c>
      <c r="J49" s="35" t="n">
        <v>1.077</v>
      </c>
      <c r="K49" s="26" t="n">
        <f aca="false">IF(I49=0,0,IF(L49="Rs./km",MROUND(IF(H49="Petrol",'Fuel &amp; Inputs'!$C$5,'Fuel &amp; Inputs'!$C$4)/I49*J49,1),MROUND(I49*J49*IF(H49="Petrol",'Fuel &amp; Inputs'!$C$5,'Fuel &amp; Inputs'!$C$4),10)))</f>
        <v>4530</v>
      </c>
      <c r="L49" s="23" t="s">
        <v>149</v>
      </c>
      <c r="M49" s="27" t="n">
        <v>2250</v>
      </c>
      <c r="N49" s="26" t="n">
        <f aca="false">MROUND(M49+'Fuel &amp; Inputs'!$C$13,50)</f>
        <v>3050</v>
      </c>
      <c r="O49" s="27" t="n">
        <v>4460</v>
      </c>
      <c r="P49" s="26" t="n">
        <f aca="false">MROUND(M49*'Fuel &amp; Inputs'!$C$19*'Fuel &amp; Inputs'!$C$21,100)</f>
        <v>8600</v>
      </c>
      <c r="Q49" s="26" t="n">
        <f aca="false">MROUND(N49*'Fuel &amp; Inputs'!$C$19*'Fuel &amp; Inputs'!$C$21,100)</f>
        <v>11600</v>
      </c>
      <c r="R49" s="26" t="n">
        <f aca="false">MROUND(O49*'Fuel &amp; Inputs'!$C$19*'Fuel &amp; Inputs'!$C$21,100)</f>
        <v>16900</v>
      </c>
      <c r="S49" s="26" t="n">
        <f aca="false">MROUND(M49*'Fuel &amp; Inputs'!$C$20*'Fuel &amp; Inputs'!$C$22,500)</f>
        <v>229500</v>
      </c>
      <c r="T49" s="26" t="n">
        <f aca="false">MROUND(N49*'Fuel &amp; Inputs'!$C$20*'Fuel &amp; Inputs'!$C$22,500)</f>
        <v>311000</v>
      </c>
      <c r="U49" s="26" t="n">
        <f aca="false">MROUND(O49*'Fuel &amp; Inputs'!$C$20*'Fuel &amp; Inputs'!$C$22,500)</f>
        <v>455000</v>
      </c>
    </row>
    <row r="50" customFormat="false" ht="23.85" hidden="false" customHeight="false" outlineLevel="0" collapsed="false">
      <c r="A50" s="17" t="n">
        <v>43</v>
      </c>
      <c r="B50" s="32" t="s">
        <v>72</v>
      </c>
      <c r="C50" s="32" t="s">
        <v>269</v>
      </c>
      <c r="D50" s="32" t="s">
        <v>270</v>
      </c>
      <c r="E50" s="17" t="s">
        <v>271</v>
      </c>
      <c r="F50" s="17" t="s">
        <v>272</v>
      </c>
      <c r="G50" s="17" t="s">
        <v>273</v>
      </c>
      <c r="H50" s="17" t="s">
        <v>148</v>
      </c>
      <c r="I50" s="19" t="n">
        <v>8</v>
      </c>
      <c r="J50" s="33" t="n">
        <v>1.161</v>
      </c>
      <c r="K50" s="20" t="n">
        <f aca="false">IF(I50=0,0,IF(L50="Rs./km",MROUND(IF(H50="Petrol",'Fuel &amp; Inputs'!$C$5,'Fuel &amp; Inputs'!$C$4)/I50*J50,1),MROUND(I50*J50*IF(H50="Petrol",'Fuel &amp; Inputs'!$C$5,'Fuel &amp; Inputs'!$C$4),10)))</f>
        <v>3550</v>
      </c>
      <c r="L50" s="17" t="s">
        <v>149</v>
      </c>
      <c r="M50" s="21" t="n">
        <v>1590</v>
      </c>
      <c r="N50" s="20" t="n">
        <f aca="false">MROUND(M50+'Fuel &amp; Inputs'!$C$13,50)</f>
        <v>2400</v>
      </c>
      <c r="O50" s="21" t="n">
        <v>3150</v>
      </c>
      <c r="P50" s="20" t="n">
        <f aca="false">MROUND(M50*'Fuel &amp; Inputs'!$C$19*'Fuel &amp; Inputs'!$C$21,100)</f>
        <v>6000</v>
      </c>
      <c r="Q50" s="20" t="n">
        <f aca="false">MROUND(N50*'Fuel &amp; Inputs'!$C$19*'Fuel &amp; Inputs'!$C$21,100)</f>
        <v>9100</v>
      </c>
      <c r="R50" s="20" t="n">
        <f aca="false">MROUND(O50*'Fuel &amp; Inputs'!$C$19*'Fuel &amp; Inputs'!$C$21,100)</f>
        <v>12000</v>
      </c>
      <c r="S50" s="20" t="n">
        <f aca="false">MROUND(M50*'Fuel &amp; Inputs'!$C$20*'Fuel &amp; Inputs'!$C$22,500)</f>
        <v>162000</v>
      </c>
      <c r="T50" s="20" t="n">
        <f aca="false">MROUND(N50*'Fuel &amp; Inputs'!$C$20*'Fuel &amp; Inputs'!$C$22,500)</f>
        <v>245000</v>
      </c>
      <c r="U50" s="20" t="n">
        <f aca="false">MROUND(O50*'Fuel &amp; Inputs'!$C$20*'Fuel &amp; Inputs'!$C$22,500)</f>
        <v>321500</v>
      </c>
    </row>
    <row r="51" customFormat="false" ht="23.85" hidden="false" customHeight="false" outlineLevel="0" collapsed="false">
      <c r="A51" s="23" t="n">
        <v>44</v>
      </c>
      <c r="B51" s="34" t="s">
        <v>72</v>
      </c>
      <c r="C51" s="34" t="s">
        <v>274</v>
      </c>
      <c r="D51" s="34" t="s">
        <v>275</v>
      </c>
      <c r="E51" s="23" t="s">
        <v>276</v>
      </c>
      <c r="F51" s="23" t="s">
        <v>277</v>
      </c>
      <c r="G51" s="23" t="s">
        <v>278</v>
      </c>
      <c r="H51" s="23" t="s">
        <v>148</v>
      </c>
      <c r="I51" s="25" t="n">
        <v>8</v>
      </c>
      <c r="J51" s="35" t="n">
        <v>1.175</v>
      </c>
      <c r="K51" s="26" t="n">
        <f aca="false">IF(I51=0,0,IF(L51="Rs./km",MROUND(IF(H51="Petrol",'Fuel &amp; Inputs'!$C$5,'Fuel &amp; Inputs'!$C$4)/I51*J51,1),MROUND(I51*J51*IF(H51="Petrol",'Fuel &amp; Inputs'!$C$5,'Fuel &amp; Inputs'!$C$4),10)))</f>
        <v>3590</v>
      </c>
      <c r="L51" s="23" t="s">
        <v>149</v>
      </c>
      <c r="M51" s="27" t="n">
        <v>1590</v>
      </c>
      <c r="N51" s="26" t="n">
        <f aca="false">MROUND(M51+'Fuel &amp; Inputs'!$C$13,50)</f>
        <v>2400</v>
      </c>
      <c r="O51" s="27" t="n">
        <v>3150</v>
      </c>
      <c r="P51" s="26" t="n">
        <f aca="false">MROUND(M51*'Fuel &amp; Inputs'!$C$19*'Fuel &amp; Inputs'!$C$21,100)</f>
        <v>6000</v>
      </c>
      <c r="Q51" s="26" t="n">
        <f aca="false">MROUND(N51*'Fuel &amp; Inputs'!$C$19*'Fuel &amp; Inputs'!$C$21,100)</f>
        <v>9100</v>
      </c>
      <c r="R51" s="26" t="n">
        <f aca="false">MROUND(O51*'Fuel &amp; Inputs'!$C$19*'Fuel &amp; Inputs'!$C$21,100)</f>
        <v>12000</v>
      </c>
      <c r="S51" s="26" t="n">
        <f aca="false">MROUND(M51*'Fuel &amp; Inputs'!$C$20*'Fuel &amp; Inputs'!$C$22,500)</f>
        <v>162000</v>
      </c>
      <c r="T51" s="26" t="n">
        <f aca="false">MROUND(N51*'Fuel &amp; Inputs'!$C$20*'Fuel &amp; Inputs'!$C$22,500)</f>
        <v>245000</v>
      </c>
      <c r="U51" s="26" t="n">
        <f aca="false">MROUND(O51*'Fuel &amp; Inputs'!$C$20*'Fuel &amp; Inputs'!$C$22,500)</f>
        <v>321500</v>
      </c>
    </row>
    <row r="52" customFormat="false" ht="15" hidden="false" customHeight="false" outlineLevel="0" collapsed="false">
      <c r="A52" s="17" t="n">
        <v>45</v>
      </c>
      <c r="B52" s="32" t="s">
        <v>72</v>
      </c>
      <c r="C52" s="32" t="s">
        <v>274</v>
      </c>
      <c r="D52" s="32" t="s">
        <v>279</v>
      </c>
      <c r="E52" s="17" t="s">
        <v>280</v>
      </c>
      <c r="F52" s="17" t="s">
        <v>281</v>
      </c>
      <c r="G52" s="17" t="s">
        <v>282</v>
      </c>
      <c r="H52" s="17" t="s">
        <v>148</v>
      </c>
      <c r="I52" s="19" t="n">
        <v>8</v>
      </c>
      <c r="J52" s="33" t="n">
        <v>1.175</v>
      </c>
      <c r="K52" s="20" t="n">
        <f aca="false">IF(I52=0,0,IF(L52="Rs./km",MROUND(IF(H52="Petrol",'Fuel &amp; Inputs'!$C$5,'Fuel &amp; Inputs'!$C$4)/I52*J52,1),MROUND(I52*J52*IF(H52="Petrol",'Fuel &amp; Inputs'!$C$5,'Fuel &amp; Inputs'!$C$4),10)))</f>
        <v>3590</v>
      </c>
      <c r="L52" s="17" t="s">
        <v>149</v>
      </c>
      <c r="M52" s="21" t="n">
        <v>1420</v>
      </c>
      <c r="N52" s="20" t="n">
        <f aca="false">MROUND(M52+'Fuel &amp; Inputs'!$C$13,50)</f>
        <v>2200</v>
      </c>
      <c r="O52" s="21" t="n">
        <v>2810</v>
      </c>
      <c r="P52" s="20" t="n">
        <f aca="false">MROUND(M52*'Fuel &amp; Inputs'!$C$19*'Fuel &amp; Inputs'!$C$21,100)</f>
        <v>5400</v>
      </c>
      <c r="Q52" s="20" t="n">
        <f aca="false">MROUND(N52*'Fuel &amp; Inputs'!$C$19*'Fuel &amp; Inputs'!$C$21,100)</f>
        <v>8400</v>
      </c>
      <c r="R52" s="20" t="n">
        <f aca="false">MROUND(O52*'Fuel &amp; Inputs'!$C$19*'Fuel &amp; Inputs'!$C$21,100)</f>
        <v>10700</v>
      </c>
      <c r="S52" s="20" t="n">
        <f aca="false">MROUND(M52*'Fuel &amp; Inputs'!$C$20*'Fuel &amp; Inputs'!$C$22,500)</f>
        <v>145000</v>
      </c>
      <c r="T52" s="20" t="n">
        <f aca="false">MROUND(N52*'Fuel &amp; Inputs'!$C$20*'Fuel &amp; Inputs'!$C$22,500)</f>
        <v>224500</v>
      </c>
      <c r="U52" s="20" t="n">
        <f aca="false">MROUND(O52*'Fuel &amp; Inputs'!$C$20*'Fuel &amp; Inputs'!$C$22,500)</f>
        <v>286500</v>
      </c>
    </row>
    <row r="53" customFormat="false" ht="15" hidden="false" customHeight="false" outlineLevel="0" collapsed="false">
      <c r="A53" s="23" t="n">
        <v>46</v>
      </c>
      <c r="B53" s="34" t="s">
        <v>72</v>
      </c>
      <c r="C53" s="34" t="s">
        <v>274</v>
      </c>
      <c r="D53" s="34" t="s">
        <v>279</v>
      </c>
      <c r="E53" s="23" t="s">
        <v>280</v>
      </c>
      <c r="F53" s="23" t="s">
        <v>283</v>
      </c>
      <c r="G53" s="23" t="s">
        <v>284</v>
      </c>
      <c r="H53" s="23" t="s">
        <v>148</v>
      </c>
      <c r="I53" s="25" t="n">
        <v>8</v>
      </c>
      <c r="J53" s="35" t="n">
        <v>1.175</v>
      </c>
      <c r="K53" s="26" t="n">
        <f aca="false">IF(I53=0,0,IF(L53="Rs./km",MROUND(IF(H53="Petrol",'Fuel &amp; Inputs'!$C$5,'Fuel &amp; Inputs'!$C$4)/I53*J53,1),MROUND(I53*J53*IF(H53="Petrol",'Fuel &amp; Inputs'!$C$5,'Fuel &amp; Inputs'!$C$4),10)))</f>
        <v>3590</v>
      </c>
      <c r="L53" s="23" t="s">
        <v>149</v>
      </c>
      <c r="M53" s="27" t="n">
        <v>1420</v>
      </c>
      <c r="N53" s="26" t="n">
        <f aca="false">MROUND(M53+'Fuel &amp; Inputs'!$C$13,50)</f>
        <v>2200</v>
      </c>
      <c r="O53" s="27" t="n">
        <v>2810</v>
      </c>
      <c r="P53" s="26" t="n">
        <f aca="false">MROUND(M53*'Fuel &amp; Inputs'!$C$19*'Fuel &amp; Inputs'!$C$21,100)</f>
        <v>5400</v>
      </c>
      <c r="Q53" s="26" t="n">
        <f aca="false">MROUND(N53*'Fuel &amp; Inputs'!$C$19*'Fuel &amp; Inputs'!$C$21,100)</f>
        <v>8400</v>
      </c>
      <c r="R53" s="26" t="n">
        <f aca="false">MROUND(O53*'Fuel &amp; Inputs'!$C$19*'Fuel &amp; Inputs'!$C$21,100)</f>
        <v>10700</v>
      </c>
      <c r="S53" s="26" t="n">
        <f aca="false">MROUND(M53*'Fuel &amp; Inputs'!$C$20*'Fuel &amp; Inputs'!$C$22,500)</f>
        <v>145000</v>
      </c>
      <c r="T53" s="26" t="n">
        <f aca="false">MROUND(N53*'Fuel &amp; Inputs'!$C$20*'Fuel &amp; Inputs'!$C$22,500)</f>
        <v>224500</v>
      </c>
      <c r="U53" s="26" t="n">
        <f aca="false">MROUND(O53*'Fuel &amp; Inputs'!$C$20*'Fuel &amp; Inputs'!$C$22,500)</f>
        <v>286500</v>
      </c>
    </row>
    <row r="54" customFormat="false" ht="15" hidden="false" customHeight="false" outlineLevel="0" collapsed="false">
      <c r="A54" s="17" t="n">
        <v>47</v>
      </c>
      <c r="B54" s="32" t="s">
        <v>72</v>
      </c>
      <c r="C54" s="32" t="s">
        <v>269</v>
      </c>
      <c r="D54" s="32" t="s">
        <v>285</v>
      </c>
      <c r="E54" s="17" t="s">
        <v>280</v>
      </c>
      <c r="F54" s="17" t="s">
        <v>286</v>
      </c>
      <c r="G54" s="17" t="s">
        <v>287</v>
      </c>
      <c r="H54" s="17" t="s">
        <v>148</v>
      </c>
      <c r="I54" s="19" t="n">
        <v>10</v>
      </c>
      <c r="J54" s="33" t="n">
        <v>1.175</v>
      </c>
      <c r="K54" s="20" t="n">
        <f aca="false">IF(I54=0,0,IF(L54="Rs./km",MROUND(IF(H54="Petrol",'Fuel &amp; Inputs'!$C$5,'Fuel &amp; Inputs'!$C$4)/I54*J54,1),MROUND(I54*J54*IF(H54="Petrol",'Fuel &amp; Inputs'!$C$5,'Fuel &amp; Inputs'!$C$4),10)))</f>
        <v>4490</v>
      </c>
      <c r="L54" s="17" t="s">
        <v>149</v>
      </c>
      <c r="M54" s="21" t="n">
        <v>1420</v>
      </c>
      <c r="N54" s="20" t="n">
        <f aca="false">MROUND(M54+'Fuel &amp; Inputs'!$C$13,50)</f>
        <v>2200</v>
      </c>
      <c r="O54" s="21" t="n">
        <v>2810</v>
      </c>
      <c r="P54" s="20" t="n">
        <f aca="false">MROUND(M54*'Fuel &amp; Inputs'!$C$19*'Fuel &amp; Inputs'!$C$21,100)</f>
        <v>5400</v>
      </c>
      <c r="Q54" s="20" t="n">
        <f aca="false">MROUND(N54*'Fuel &amp; Inputs'!$C$19*'Fuel &amp; Inputs'!$C$21,100)</f>
        <v>8400</v>
      </c>
      <c r="R54" s="20" t="n">
        <f aca="false">MROUND(O54*'Fuel &amp; Inputs'!$C$19*'Fuel &amp; Inputs'!$C$21,100)</f>
        <v>10700</v>
      </c>
      <c r="S54" s="20" t="n">
        <f aca="false">MROUND(M54*'Fuel &amp; Inputs'!$C$20*'Fuel &amp; Inputs'!$C$22,500)</f>
        <v>145000</v>
      </c>
      <c r="T54" s="20" t="n">
        <f aca="false">MROUND(N54*'Fuel &amp; Inputs'!$C$20*'Fuel &amp; Inputs'!$C$22,500)</f>
        <v>224500</v>
      </c>
      <c r="U54" s="20" t="n">
        <f aca="false">MROUND(O54*'Fuel &amp; Inputs'!$C$20*'Fuel &amp; Inputs'!$C$22,500)</f>
        <v>286500</v>
      </c>
    </row>
    <row r="55" customFormat="false" ht="15" hidden="false" customHeight="false" outlineLevel="0" collapsed="false">
      <c r="A55" s="23" t="n">
        <v>48</v>
      </c>
      <c r="B55" s="34" t="s">
        <v>72</v>
      </c>
      <c r="C55" s="34" t="s">
        <v>269</v>
      </c>
      <c r="D55" s="34" t="s">
        <v>288</v>
      </c>
      <c r="E55" s="23" t="s">
        <v>280</v>
      </c>
      <c r="F55" s="23" t="s">
        <v>289</v>
      </c>
      <c r="G55" s="23" t="s">
        <v>290</v>
      </c>
      <c r="H55" s="23" t="s">
        <v>148</v>
      </c>
      <c r="I55" s="25" t="n">
        <v>8</v>
      </c>
      <c r="J55" s="35" t="n">
        <v>1.175</v>
      </c>
      <c r="K55" s="26" t="n">
        <f aca="false">IF(I55=0,0,IF(L55="Rs./km",MROUND(IF(H55="Petrol",'Fuel &amp; Inputs'!$C$5,'Fuel &amp; Inputs'!$C$4)/I55*J55,1),MROUND(I55*J55*IF(H55="Petrol",'Fuel &amp; Inputs'!$C$5,'Fuel &amp; Inputs'!$C$4),10)))</f>
        <v>3590</v>
      </c>
      <c r="L55" s="23" t="s">
        <v>149</v>
      </c>
      <c r="M55" s="27" t="n">
        <v>1420</v>
      </c>
      <c r="N55" s="26" t="n">
        <f aca="false">MROUND(M55+'Fuel &amp; Inputs'!$C$13,50)</f>
        <v>2200</v>
      </c>
      <c r="O55" s="27" t="n">
        <v>2810</v>
      </c>
      <c r="P55" s="26" t="n">
        <f aca="false">MROUND(M55*'Fuel &amp; Inputs'!$C$19*'Fuel &amp; Inputs'!$C$21,100)</f>
        <v>5400</v>
      </c>
      <c r="Q55" s="26" t="n">
        <f aca="false">MROUND(N55*'Fuel &amp; Inputs'!$C$19*'Fuel &amp; Inputs'!$C$21,100)</f>
        <v>8400</v>
      </c>
      <c r="R55" s="26" t="n">
        <f aca="false">MROUND(O55*'Fuel &amp; Inputs'!$C$19*'Fuel &amp; Inputs'!$C$21,100)</f>
        <v>10700</v>
      </c>
      <c r="S55" s="26" t="n">
        <f aca="false">MROUND(M55*'Fuel &amp; Inputs'!$C$20*'Fuel &amp; Inputs'!$C$22,500)</f>
        <v>145000</v>
      </c>
      <c r="T55" s="26" t="n">
        <f aca="false">MROUND(N55*'Fuel &amp; Inputs'!$C$20*'Fuel &amp; Inputs'!$C$22,500)</f>
        <v>224500</v>
      </c>
      <c r="U55" s="26" t="n">
        <f aca="false">MROUND(O55*'Fuel &amp; Inputs'!$C$20*'Fuel &amp; Inputs'!$C$22,500)</f>
        <v>286500</v>
      </c>
    </row>
    <row r="56" customFormat="false" ht="15" hidden="false" customHeight="false" outlineLevel="0" collapsed="false">
      <c r="A56" s="17" t="n">
        <v>49</v>
      </c>
      <c r="B56" s="32" t="s">
        <v>72</v>
      </c>
      <c r="C56" s="32" t="s">
        <v>269</v>
      </c>
      <c r="D56" s="32" t="s">
        <v>291</v>
      </c>
      <c r="E56" s="17" t="s">
        <v>292</v>
      </c>
      <c r="F56" s="17" t="s">
        <v>293</v>
      </c>
      <c r="G56" s="17" t="s">
        <v>294</v>
      </c>
      <c r="H56" s="17" t="s">
        <v>148</v>
      </c>
      <c r="I56" s="19" t="n">
        <v>8</v>
      </c>
      <c r="J56" s="33" t="n">
        <v>1.175</v>
      </c>
      <c r="K56" s="20" t="n">
        <f aca="false">IF(I56=0,0,IF(L56="Rs./km",MROUND(IF(H56="Petrol",'Fuel &amp; Inputs'!$C$5,'Fuel &amp; Inputs'!$C$4)/I56*J56,1),MROUND(I56*J56*IF(H56="Petrol",'Fuel &amp; Inputs'!$C$5,'Fuel &amp; Inputs'!$C$4),10)))</f>
        <v>3590</v>
      </c>
      <c r="L56" s="17" t="s">
        <v>149</v>
      </c>
      <c r="M56" s="21" t="n">
        <v>1420</v>
      </c>
      <c r="N56" s="20" t="n">
        <f aca="false">MROUND(M56+'Fuel &amp; Inputs'!$C$13,50)</f>
        <v>2200</v>
      </c>
      <c r="O56" s="21" t="n">
        <v>2810</v>
      </c>
      <c r="P56" s="20" t="n">
        <f aca="false">MROUND(M56*'Fuel &amp; Inputs'!$C$19*'Fuel &amp; Inputs'!$C$21,100)</f>
        <v>5400</v>
      </c>
      <c r="Q56" s="20" t="n">
        <f aca="false">MROUND(N56*'Fuel &amp; Inputs'!$C$19*'Fuel &amp; Inputs'!$C$21,100)</f>
        <v>8400</v>
      </c>
      <c r="R56" s="20" t="n">
        <f aca="false">MROUND(O56*'Fuel &amp; Inputs'!$C$19*'Fuel &amp; Inputs'!$C$21,100)</f>
        <v>10700</v>
      </c>
      <c r="S56" s="20" t="n">
        <f aca="false">MROUND(M56*'Fuel &amp; Inputs'!$C$20*'Fuel &amp; Inputs'!$C$22,500)</f>
        <v>145000</v>
      </c>
      <c r="T56" s="20" t="n">
        <f aca="false">MROUND(N56*'Fuel &amp; Inputs'!$C$20*'Fuel &amp; Inputs'!$C$22,500)</f>
        <v>224500</v>
      </c>
      <c r="U56" s="20" t="n">
        <f aca="false">MROUND(O56*'Fuel &amp; Inputs'!$C$20*'Fuel &amp; Inputs'!$C$22,500)</f>
        <v>286500</v>
      </c>
    </row>
    <row r="57" customFormat="false" ht="15" hidden="false" customHeight="true" outlineLevel="0" collapsed="false">
      <c r="A57" s="31" t="s">
        <v>295</v>
      </c>
      <c r="B57" s="31"/>
      <c r="C57" s="31"/>
      <c r="D57" s="31"/>
      <c r="E57" s="31"/>
      <c r="F57" s="31"/>
      <c r="G57" s="31"/>
      <c r="H57" s="31"/>
      <c r="I57" s="31"/>
      <c r="J57" s="31"/>
      <c r="K57" s="31"/>
      <c r="L57" s="31"/>
      <c r="M57" s="31"/>
      <c r="N57" s="31"/>
      <c r="O57" s="31"/>
      <c r="P57" s="31"/>
      <c r="Q57" s="31"/>
      <c r="R57" s="31"/>
      <c r="S57" s="31"/>
      <c r="T57" s="31"/>
      <c r="U57" s="31"/>
    </row>
    <row r="58" customFormat="false" ht="15" hidden="false" customHeight="false" outlineLevel="0" collapsed="false">
      <c r="A58" s="23" t="n">
        <v>50</v>
      </c>
      <c r="B58" s="34" t="s">
        <v>74</v>
      </c>
      <c r="C58" s="34" t="s">
        <v>296</v>
      </c>
      <c r="D58" s="34" t="s">
        <v>297</v>
      </c>
      <c r="E58" s="23" t="s">
        <v>298</v>
      </c>
      <c r="F58" s="23" t="s">
        <v>299</v>
      </c>
      <c r="G58" s="23" t="s">
        <v>300</v>
      </c>
      <c r="H58" s="23" t="s">
        <v>148</v>
      </c>
      <c r="I58" s="25" t="n">
        <v>11</v>
      </c>
      <c r="J58" s="35" t="n">
        <v>1.056</v>
      </c>
      <c r="K58" s="26" t="n">
        <f aca="false">IF(I58=0,0,IF(L58="Rs./km",MROUND(IF(H58="Petrol",'Fuel &amp; Inputs'!$C$5,'Fuel &amp; Inputs'!$C$4)/I58*J58,1),MROUND(I58*J58*IF(H58="Petrol",'Fuel &amp; Inputs'!$C$5,'Fuel &amp; Inputs'!$C$4),10)))</f>
        <v>4440</v>
      </c>
      <c r="L58" s="23" t="s">
        <v>149</v>
      </c>
      <c r="M58" s="27" t="n">
        <v>2440</v>
      </c>
      <c r="N58" s="26" t="n">
        <f aca="false">MROUND(M58+'Fuel &amp; Inputs'!$C$13,50)</f>
        <v>3250</v>
      </c>
      <c r="O58" s="27" t="n">
        <v>4880</v>
      </c>
      <c r="P58" s="26" t="n">
        <f aca="false">MROUND(M58*'Fuel &amp; Inputs'!$C$19*'Fuel &amp; Inputs'!$C$21,100)</f>
        <v>9300</v>
      </c>
      <c r="Q58" s="26" t="n">
        <f aca="false">MROUND(N58*'Fuel &amp; Inputs'!$C$19*'Fuel &amp; Inputs'!$C$21,100)</f>
        <v>12400</v>
      </c>
      <c r="R58" s="26" t="n">
        <f aca="false">MROUND(O58*'Fuel &amp; Inputs'!$C$19*'Fuel &amp; Inputs'!$C$21,100)</f>
        <v>18500</v>
      </c>
      <c r="S58" s="26" t="n">
        <f aca="false">MROUND(M58*'Fuel &amp; Inputs'!$C$20*'Fuel &amp; Inputs'!$C$22,500)</f>
        <v>249000</v>
      </c>
      <c r="T58" s="26" t="n">
        <f aca="false">MROUND(N58*'Fuel &amp; Inputs'!$C$20*'Fuel &amp; Inputs'!$C$22,500)</f>
        <v>331500</v>
      </c>
      <c r="U58" s="26" t="n">
        <f aca="false">MROUND(O58*'Fuel &amp; Inputs'!$C$20*'Fuel &amp; Inputs'!$C$22,500)</f>
        <v>498000</v>
      </c>
    </row>
    <row r="59" customFormat="false" ht="15" hidden="false" customHeight="false" outlineLevel="0" collapsed="false">
      <c r="A59" s="17" t="n">
        <v>51</v>
      </c>
      <c r="B59" s="32" t="s">
        <v>74</v>
      </c>
      <c r="C59" s="32" t="s">
        <v>296</v>
      </c>
      <c r="D59" s="32" t="s">
        <v>301</v>
      </c>
      <c r="E59" s="17" t="s">
        <v>245</v>
      </c>
      <c r="F59" s="17" t="s">
        <v>302</v>
      </c>
      <c r="G59" s="17" t="s">
        <v>300</v>
      </c>
      <c r="H59" s="17" t="s">
        <v>148</v>
      </c>
      <c r="I59" s="19" t="n">
        <v>11</v>
      </c>
      <c r="J59" s="33" t="n">
        <v>1.063</v>
      </c>
      <c r="K59" s="20" t="n">
        <f aca="false">IF(I59=0,0,IF(L59="Rs./km",MROUND(IF(H59="Petrol",'Fuel &amp; Inputs'!$C$5,'Fuel &amp; Inputs'!$C$4)/I59*J59,1),MROUND(I59*J59*IF(H59="Petrol",'Fuel &amp; Inputs'!$C$5,'Fuel &amp; Inputs'!$C$4),10)))</f>
        <v>4470</v>
      </c>
      <c r="L59" s="17" t="s">
        <v>149</v>
      </c>
      <c r="M59" s="21" t="n">
        <v>2440</v>
      </c>
      <c r="N59" s="20" t="n">
        <f aca="false">MROUND(M59+'Fuel &amp; Inputs'!$C$13,50)</f>
        <v>3250</v>
      </c>
      <c r="O59" s="21" t="n">
        <v>4880</v>
      </c>
      <c r="P59" s="20" t="n">
        <f aca="false">MROUND(M59*'Fuel &amp; Inputs'!$C$19*'Fuel &amp; Inputs'!$C$21,100)</f>
        <v>9300</v>
      </c>
      <c r="Q59" s="20" t="n">
        <f aca="false">MROUND(N59*'Fuel &amp; Inputs'!$C$19*'Fuel &amp; Inputs'!$C$21,100)</f>
        <v>12400</v>
      </c>
      <c r="R59" s="20" t="n">
        <f aca="false">MROUND(O59*'Fuel &amp; Inputs'!$C$19*'Fuel &amp; Inputs'!$C$21,100)</f>
        <v>18500</v>
      </c>
      <c r="S59" s="20" t="n">
        <f aca="false">MROUND(M59*'Fuel &amp; Inputs'!$C$20*'Fuel &amp; Inputs'!$C$22,500)</f>
        <v>249000</v>
      </c>
      <c r="T59" s="20" t="n">
        <f aca="false">MROUND(N59*'Fuel &amp; Inputs'!$C$20*'Fuel &amp; Inputs'!$C$22,500)</f>
        <v>331500</v>
      </c>
      <c r="U59" s="20" t="n">
        <f aca="false">MROUND(O59*'Fuel &amp; Inputs'!$C$20*'Fuel &amp; Inputs'!$C$22,500)</f>
        <v>498000</v>
      </c>
    </row>
    <row r="60" customFormat="false" ht="15" hidden="false" customHeight="false" outlineLevel="0" collapsed="false">
      <c r="A60" s="23" t="n">
        <v>52</v>
      </c>
      <c r="B60" s="34" t="s">
        <v>74</v>
      </c>
      <c r="C60" s="34" t="s">
        <v>296</v>
      </c>
      <c r="D60" s="34" t="s">
        <v>303</v>
      </c>
      <c r="E60" s="23" t="s">
        <v>245</v>
      </c>
      <c r="F60" s="23" t="s">
        <v>304</v>
      </c>
      <c r="G60" s="23" t="s">
        <v>300</v>
      </c>
      <c r="H60" s="23" t="s">
        <v>148</v>
      </c>
      <c r="I60" s="25" t="n">
        <v>11</v>
      </c>
      <c r="J60" s="35" t="n">
        <v>1.063</v>
      </c>
      <c r="K60" s="26" t="n">
        <f aca="false">IF(I60=0,0,IF(L60="Rs./km",MROUND(IF(H60="Petrol",'Fuel &amp; Inputs'!$C$5,'Fuel &amp; Inputs'!$C$4)/I60*J60,1),MROUND(I60*J60*IF(H60="Petrol",'Fuel &amp; Inputs'!$C$5,'Fuel &amp; Inputs'!$C$4),10)))</f>
        <v>4470</v>
      </c>
      <c r="L60" s="23" t="s">
        <v>149</v>
      </c>
      <c r="M60" s="27" t="n">
        <v>2440</v>
      </c>
      <c r="N60" s="26" t="n">
        <f aca="false">MROUND(M60+'Fuel &amp; Inputs'!$C$13,50)</f>
        <v>3250</v>
      </c>
      <c r="O60" s="27" t="n">
        <v>4880</v>
      </c>
      <c r="P60" s="26" t="n">
        <f aca="false">MROUND(M60*'Fuel &amp; Inputs'!$C$19*'Fuel &amp; Inputs'!$C$21,100)</f>
        <v>9300</v>
      </c>
      <c r="Q60" s="26" t="n">
        <f aca="false">MROUND(N60*'Fuel &amp; Inputs'!$C$19*'Fuel &amp; Inputs'!$C$21,100)</f>
        <v>12400</v>
      </c>
      <c r="R60" s="26" t="n">
        <f aca="false">MROUND(O60*'Fuel &amp; Inputs'!$C$19*'Fuel &amp; Inputs'!$C$21,100)</f>
        <v>18500</v>
      </c>
      <c r="S60" s="26" t="n">
        <f aca="false">MROUND(M60*'Fuel &amp; Inputs'!$C$20*'Fuel &amp; Inputs'!$C$22,500)</f>
        <v>249000</v>
      </c>
      <c r="T60" s="26" t="n">
        <f aca="false">MROUND(N60*'Fuel &amp; Inputs'!$C$20*'Fuel &amp; Inputs'!$C$22,500)</f>
        <v>331500</v>
      </c>
      <c r="U60" s="26" t="n">
        <f aca="false">MROUND(O60*'Fuel &amp; Inputs'!$C$20*'Fuel &amp; Inputs'!$C$22,500)</f>
        <v>498000</v>
      </c>
    </row>
    <row r="61" customFormat="false" ht="15" hidden="false" customHeight="true" outlineLevel="0" collapsed="false">
      <c r="A61" s="31" t="s">
        <v>305</v>
      </c>
      <c r="B61" s="31"/>
      <c r="C61" s="31"/>
      <c r="D61" s="31"/>
      <c r="E61" s="31"/>
      <c r="F61" s="31"/>
      <c r="G61" s="31"/>
      <c r="H61" s="31"/>
      <c r="I61" s="31"/>
      <c r="J61" s="31"/>
      <c r="K61" s="31"/>
      <c r="L61" s="31"/>
      <c r="M61" s="31"/>
      <c r="N61" s="31"/>
      <c r="O61" s="31"/>
      <c r="P61" s="31"/>
      <c r="Q61" s="31"/>
      <c r="R61" s="31"/>
      <c r="S61" s="31"/>
      <c r="T61" s="31"/>
      <c r="U61" s="31"/>
    </row>
    <row r="62" customFormat="false" ht="15" hidden="false" customHeight="false" outlineLevel="0" collapsed="false">
      <c r="A62" s="17" t="n">
        <v>53</v>
      </c>
      <c r="B62" s="32" t="s">
        <v>76</v>
      </c>
      <c r="C62" s="32" t="s">
        <v>306</v>
      </c>
      <c r="D62" s="32" t="s">
        <v>307</v>
      </c>
      <c r="E62" s="17" t="s">
        <v>145</v>
      </c>
      <c r="F62" s="17" t="s">
        <v>308</v>
      </c>
      <c r="G62" s="17" t="s">
        <v>217</v>
      </c>
      <c r="H62" s="17" t="s">
        <v>148</v>
      </c>
      <c r="I62" s="19" t="n">
        <v>6</v>
      </c>
      <c r="J62" s="33" t="n">
        <v>1.035</v>
      </c>
      <c r="K62" s="20" t="n">
        <f aca="false">IF(I62=0,0,IF(L62="Rs./km",MROUND(IF(H62="Petrol",'Fuel &amp; Inputs'!$C$5,'Fuel &amp; Inputs'!$C$4)/I62*J62,1),MROUND(I62*J62*IF(H62="Petrol",'Fuel &amp; Inputs'!$C$5,'Fuel &amp; Inputs'!$C$4),10)))</f>
        <v>2370</v>
      </c>
      <c r="L62" s="17" t="s">
        <v>149</v>
      </c>
      <c r="M62" s="21" t="n">
        <v>2300</v>
      </c>
      <c r="N62" s="20" t="n">
        <f aca="false">MROUND(M62+'Fuel &amp; Inputs'!$C$13,50)</f>
        <v>3100</v>
      </c>
      <c r="O62" s="21" t="n">
        <v>4600</v>
      </c>
      <c r="P62" s="20" t="n">
        <f aca="false">MROUND(M62*'Fuel &amp; Inputs'!$C$19*'Fuel &amp; Inputs'!$C$21,100)</f>
        <v>8700</v>
      </c>
      <c r="Q62" s="20" t="n">
        <f aca="false">MROUND(N62*'Fuel &amp; Inputs'!$C$19*'Fuel &amp; Inputs'!$C$21,100)</f>
        <v>11800</v>
      </c>
      <c r="R62" s="20" t="n">
        <f aca="false">MROUND(O62*'Fuel &amp; Inputs'!$C$19*'Fuel &amp; Inputs'!$C$21,100)</f>
        <v>17500</v>
      </c>
      <c r="S62" s="20" t="n">
        <f aca="false">MROUND(M62*'Fuel &amp; Inputs'!$C$20*'Fuel &amp; Inputs'!$C$22,500)</f>
        <v>234500</v>
      </c>
      <c r="T62" s="20" t="n">
        <f aca="false">MROUND(N62*'Fuel &amp; Inputs'!$C$20*'Fuel &amp; Inputs'!$C$22,500)</f>
        <v>316000</v>
      </c>
      <c r="U62" s="20" t="n">
        <f aca="false">MROUND(O62*'Fuel &amp; Inputs'!$C$20*'Fuel &amp; Inputs'!$C$22,500)</f>
        <v>469000</v>
      </c>
    </row>
    <row r="63" customFormat="false" ht="15" hidden="false" customHeight="false" outlineLevel="0" collapsed="false">
      <c r="A63" s="23" t="n">
        <v>54</v>
      </c>
      <c r="B63" s="34" t="s">
        <v>76</v>
      </c>
      <c r="C63" s="34" t="s">
        <v>306</v>
      </c>
      <c r="D63" s="34" t="s">
        <v>309</v>
      </c>
      <c r="E63" s="23" t="s">
        <v>145</v>
      </c>
      <c r="F63" s="23" t="s">
        <v>310</v>
      </c>
      <c r="G63" s="23" t="s">
        <v>217</v>
      </c>
      <c r="H63" s="23" t="s">
        <v>148</v>
      </c>
      <c r="I63" s="25" t="n">
        <v>6</v>
      </c>
      <c r="J63" s="35" t="n">
        <v>1.035</v>
      </c>
      <c r="K63" s="26" t="n">
        <f aca="false">IF(I63=0,0,IF(L63="Rs./km",MROUND(IF(H63="Petrol",'Fuel &amp; Inputs'!$C$5,'Fuel &amp; Inputs'!$C$4)/I63*J63,1),MROUND(I63*J63*IF(H63="Petrol",'Fuel &amp; Inputs'!$C$5,'Fuel &amp; Inputs'!$C$4),10)))</f>
        <v>2370</v>
      </c>
      <c r="L63" s="23" t="s">
        <v>149</v>
      </c>
      <c r="M63" s="27" t="n">
        <v>2300</v>
      </c>
      <c r="N63" s="26" t="n">
        <f aca="false">MROUND(M63+'Fuel &amp; Inputs'!$C$13,50)</f>
        <v>3100</v>
      </c>
      <c r="O63" s="27" t="n">
        <v>4600</v>
      </c>
      <c r="P63" s="26" t="n">
        <f aca="false">MROUND(M63*'Fuel &amp; Inputs'!$C$19*'Fuel &amp; Inputs'!$C$21,100)</f>
        <v>8700</v>
      </c>
      <c r="Q63" s="26" t="n">
        <f aca="false">MROUND(N63*'Fuel &amp; Inputs'!$C$19*'Fuel &amp; Inputs'!$C$21,100)</f>
        <v>11800</v>
      </c>
      <c r="R63" s="26" t="n">
        <f aca="false">MROUND(O63*'Fuel &amp; Inputs'!$C$19*'Fuel &amp; Inputs'!$C$21,100)</f>
        <v>17500</v>
      </c>
      <c r="S63" s="26" t="n">
        <f aca="false">MROUND(M63*'Fuel &amp; Inputs'!$C$20*'Fuel &amp; Inputs'!$C$22,500)</f>
        <v>234500</v>
      </c>
      <c r="T63" s="26" t="n">
        <f aca="false">MROUND(N63*'Fuel &amp; Inputs'!$C$20*'Fuel &amp; Inputs'!$C$22,500)</f>
        <v>316000</v>
      </c>
      <c r="U63" s="26" t="n">
        <f aca="false">MROUND(O63*'Fuel &amp; Inputs'!$C$20*'Fuel &amp; Inputs'!$C$22,500)</f>
        <v>469000</v>
      </c>
    </row>
    <row r="64" customFormat="false" ht="15" hidden="false" customHeight="false" outlineLevel="0" collapsed="false">
      <c r="A64" s="17" t="n">
        <v>55</v>
      </c>
      <c r="B64" s="32" t="s">
        <v>76</v>
      </c>
      <c r="C64" s="32" t="s">
        <v>306</v>
      </c>
      <c r="D64" s="32" t="s">
        <v>309</v>
      </c>
      <c r="E64" s="17" t="s">
        <v>145</v>
      </c>
      <c r="F64" s="17" t="s">
        <v>311</v>
      </c>
      <c r="G64" s="17" t="s">
        <v>217</v>
      </c>
      <c r="H64" s="17" t="s">
        <v>148</v>
      </c>
      <c r="I64" s="19" t="n">
        <v>6</v>
      </c>
      <c r="J64" s="33" t="n">
        <v>1.035</v>
      </c>
      <c r="K64" s="20" t="n">
        <f aca="false">IF(I64=0,0,IF(L64="Rs./km",MROUND(IF(H64="Petrol",'Fuel &amp; Inputs'!$C$5,'Fuel &amp; Inputs'!$C$4)/I64*J64,1),MROUND(I64*J64*IF(H64="Petrol",'Fuel &amp; Inputs'!$C$5,'Fuel &amp; Inputs'!$C$4),10)))</f>
        <v>2370</v>
      </c>
      <c r="L64" s="17" t="s">
        <v>149</v>
      </c>
      <c r="M64" s="21" t="n">
        <v>2300</v>
      </c>
      <c r="N64" s="20" t="n">
        <f aca="false">MROUND(M64+'Fuel &amp; Inputs'!$C$13,50)</f>
        <v>3100</v>
      </c>
      <c r="O64" s="21" t="n">
        <v>4600</v>
      </c>
      <c r="P64" s="20" t="n">
        <f aca="false">MROUND(M64*'Fuel &amp; Inputs'!$C$19*'Fuel &amp; Inputs'!$C$21,100)</f>
        <v>8700</v>
      </c>
      <c r="Q64" s="20" t="n">
        <f aca="false">MROUND(N64*'Fuel &amp; Inputs'!$C$19*'Fuel &amp; Inputs'!$C$21,100)</f>
        <v>11800</v>
      </c>
      <c r="R64" s="20" t="n">
        <f aca="false">MROUND(O64*'Fuel &amp; Inputs'!$C$19*'Fuel &amp; Inputs'!$C$21,100)</f>
        <v>17500</v>
      </c>
      <c r="S64" s="20" t="n">
        <f aca="false">MROUND(M64*'Fuel &amp; Inputs'!$C$20*'Fuel &amp; Inputs'!$C$22,500)</f>
        <v>234500</v>
      </c>
      <c r="T64" s="20" t="n">
        <f aca="false">MROUND(N64*'Fuel &amp; Inputs'!$C$20*'Fuel &amp; Inputs'!$C$22,500)</f>
        <v>316000</v>
      </c>
      <c r="U64" s="20" t="n">
        <f aca="false">MROUND(O64*'Fuel &amp; Inputs'!$C$20*'Fuel &amp; Inputs'!$C$22,500)</f>
        <v>469000</v>
      </c>
    </row>
    <row r="65" customFormat="false" ht="15" hidden="false" customHeight="false" outlineLevel="0" collapsed="false">
      <c r="A65" s="23" t="n">
        <v>56</v>
      </c>
      <c r="B65" s="34" t="s">
        <v>76</v>
      </c>
      <c r="C65" s="34" t="s">
        <v>312</v>
      </c>
      <c r="D65" s="34" t="s">
        <v>313</v>
      </c>
      <c r="E65" s="23" t="s">
        <v>245</v>
      </c>
      <c r="F65" s="23" t="s">
        <v>314</v>
      </c>
      <c r="G65" s="23" t="s">
        <v>217</v>
      </c>
      <c r="H65" s="23" t="s">
        <v>148</v>
      </c>
      <c r="I65" s="25" t="n">
        <v>6</v>
      </c>
      <c r="J65" s="35" t="n">
        <v>1.063</v>
      </c>
      <c r="K65" s="26" t="n">
        <f aca="false">IF(I65=0,0,IF(L65="Rs./km",MROUND(IF(H65="Petrol",'Fuel &amp; Inputs'!$C$5,'Fuel &amp; Inputs'!$C$4)/I65*J65,1),MROUND(I65*J65*IF(H65="Petrol",'Fuel &amp; Inputs'!$C$5,'Fuel &amp; Inputs'!$C$4),10)))</f>
        <v>2440</v>
      </c>
      <c r="L65" s="23" t="s">
        <v>149</v>
      </c>
      <c r="M65" s="27" t="n">
        <v>2120</v>
      </c>
      <c r="N65" s="26" t="n">
        <f aca="false">MROUND(M65+'Fuel &amp; Inputs'!$C$13,50)</f>
        <v>2900</v>
      </c>
      <c r="O65" s="27" t="n">
        <v>4230</v>
      </c>
      <c r="P65" s="26" t="n">
        <f aca="false">MROUND(M65*'Fuel &amp; Inputs'!$C$19*'Fuel &amp; Inputs'!$C$21,100)</f>
        <v>8100</v>
      </c>
      <c r="Q65" s="26" t="n">
        <f aca="false">MROUND(N65*'Fuel &amp; Inputs'!$C$19*'Fuel &amp; Inputs'!$C$21,100)</f>
        <v>11000</v>
      </c>
      <c r="R65" s="26" t="n">
        <f aca="false">MROUND(O65*'Fuel &amp; Inputs'!$C$19*'Fuel &amp; Inputs'!$C$21,100)</f>
        <v>16100</v>
      </c>
      <c r="S65" s="26" t="n">
        <f aca="false">MROUND(M65*'Fuel &amp; Inputs'!$C$20*'Fuel &amp; Inputs'!$C$22,500)</f>
        <v>216000</v>
      </c>
      <c r="T65" s="26" t="n">
        <f aca="false">MROUND(N65*'Fuel &amp; Inputs'!$C$20*'Fuel &amp; Inputs'!$C$22,500)</f>
        <v>296000</v>
      </c>
      <c r="U65" s="26" t="n">
        <f aca="false">MROUND(O65*'Fuel &amp; Inputs'!$C$20*'Fuel &amp; Inputs'!$C$22,500)</f>
        <v>431500</v>
      </c>
    </row>
    <row r="66" customFormat="false" ht="15" hidden="false" customHeight="false" outlineLevel="0" collapsed="false">
      <c r="A66" s="17" t="n">
        <v>57</v>
      </c>
      <c r="B66" s="32" t="s">
        <v>76</v>
      </c>
      <c r="C66" s="32" t="s">
        <v>315</v>
      </c>
      <c r="D66" s="32" t="s">
        <v>313</v>
      </c>
      <c r="E66" s="17" t="s">
        <v>245</v>
      </c>
      <c r="F66" s="17" t="s">
        <v>316</v>
      </c>
      <c r="G66" s="17" t="s">
        <v>217</v>
      </c>
      <c r="H66" s="17" t="s">
        <v>148</v>
      </c>
      <c r="I66" s="19" t="n">
        <v>6</v>
      </c>
      <c r="J66" s="33" t="n">
        <v>1.063</v>
      </c>
      <c r="K66" s="20" t="n">
        <f aca="false">IF(I66=0,0,IF(L66="Rs./km",MROUND(IF(H66="Petrol",'Fuel &amp; Inputs'!$C$5,'Fuel &amp; Inputs'!$C$4)/I66*J66,1),MROUND(I66*J66*IF(H66="Petrol",'Fuel &amp; Inputs'!$C$5,'Fuel &amp; Inputs'!$C$4),10)))</f>
        <v>2440</v>
      </c>
      <c r="L66" s="17" t="s">
        <v>149</v>
      </c>
      <c r="M66" s="21" t="n">
        <v>2120</v>
      </c>
      <c r="N66" s="20" t="n">
        <f aca="false">MROUND(M66+'Fuel &amp; Inputs'!$C$13,50)</f>
        <v>2900</v>
      </c>
      <c r="O66" s="21" t="n">
        <v>4230</v>
      </c>
      <c r="P66" s="20" t="n">
        <f aca="false">MROUND(M66*'Fuel &amp; Inputs'!$C$19*'Fuel &amp; Inputs'!$C$21,100)</f>
        <v>8100</v>
      </c>
      <c r="Q66" s="20" t="n">
        <f aca="false">MROUND(N66*'Fuel &amp; Inputs'!$C$19*'Fuel &amp; Inputs'!$C$21,100)</f>
        <v>11000</v>
      </c>
      <c r="R66" s="20" t="n">
        <f aca="false">MROUND(O66*'Fuel &amp; Inputs'!$C$19*'Fuel &amp; Inputs'!$C$21,100)</f>
        <v>16100</v>
      </c>
      <c r="S66" s="20" t="n">
        <f aca="false">MROUND(M66*'Fuel &amp; Inputs'!$C$20*'Fuel &amp; Inputs'!$C$22,500)</f>
        <v>216000</v>
      </c>
      <c r="T66" s="20" t="n">
        <f aca="false">MROUND(N66*'Fuel &amp; Inputs'!$C$20*'Fuel &amp; Inputs'!$C$22,500)</f>
        <v>296000</v>
      </c>
      <c r="U66" s="20" t="n">
        <f aca="false">MROUND(O66*'Fuel &amp; Inputs'!$C$20*'Fuel &amp; Inputs'!$C$22,500)</f>
        <v>431500</v>
      </c>
    </row>
    <row r="67" customFormat="false" ht="15" hidden="false" customHeight="false" outlineLevel="0" collapsed="false">
      <c r="A67" s="23" t="n">
        <v>58</v>
      </c>
      <c r="B67" s="34" t="s">
        <v>76</v>
      </c>
      <c r="C67" s="34" t="s">
        <v>317</v>
      </c>
      <c r="D67" s="34" t="s">
        <v>318</v>
      </c>
      <c r="E67" s="23" t="s">
        <v>168</v>
      </c>
      <c r="F67" s="23" t="s">
        <v>319</v>
      </c>
      <c r="G67" s="23" t="s">
        <v>217</v>
      </c>
      <c r="H67" s="23" t="s">
        <v>148</v>
      </c>
      <c r="I67" s="25" t="n">
        <v>6</v>
      </c>
      <c r="J67" s="35" t="n">
        <v>1.07</v>
      </c>
      <c r="K67" s="26" t="n">
        <f aca="false">IF(I67=0,0,IF(L67="Rs./km",MROUND(IF(H67="Petrol",'Fuel &amp; Inputs'!$C$5,'Fuel &amp; Inputs'!$C$4)/I67*J67,1),MROUND(I67*J67*IF(H67="Petrol",'Fuel &amp; Inputs'!$C$5,'Fuel &amp; Inputs'!$C$4),10)))</f>
        <v>2450</v>
      </c>
      <c r="L67" s="23" t="s">
        <v>149</v>
      </c>
      <c r="M67" s="27" t="n">
        <v>2120</v>
      </c>
      <c r="N67" s="26" t="n">
        <f aca="false">MROUND(M67+'Fuel &amp; Inputs'!$C$13,50)</f>
        <v>2900</v>
      </c>
      <c r="O67" s="27" t="n">
        <v>4230</v>
      </c>
      <c r="P67" s="26" t="n">
        <f aca="false">MROUND(M67*'Fuel &amp; Inputs'!$C$19*'Fuel &amp; Inputs'!$C$21,100)</f>
        <v>8100</v>
      </c>
      <c r="Q67" s="26" t="n">
        <f aca="false">MROUND(N67*'Fuel &amp; Inputs'!$C$19*'Fuel &amp; Inputs'!$C$21,100)</f>
        <v>11000</v>
      </c>
      <c r="R67" s="26" t="n">
        <f aca="false">MROUND(O67*'Fuel &amp; Inputs'!$C$19*'Fuel &amp; Inputs'!$C$21,100)</f>
        <v>16100</v>
      </c>
      <c r="S67" s="26" t="n">
        <f aca="false">MROUND(M67*'Fuel &amp; Inputs'!$C$20*'Fuel &amp; Inputs'!$C$22,500)</f>
        <v>216000</v>
      </c>
      <c r="T67" s="26" t="n">
        <f aca="false">MROUND(N67*'Fuel &amp; Inputs'!$C$20*'Fuel &amp; Inputs'!$C$22,500)</f>
        <v>296000</v>
      </c>
      <c r="U67" s="26" t="n">
        <f aca="false">MROUND(O67*'Fuel &amp; Inputs'!$C$20*'Fuel &amp; Inputs'!$C$22,500)</f>
        <v>431500</v>
      </c>
    </row>
    <row r="68" customFormat="false" ht="15" hidden="false" customHeight="false" outlineLevel="0" collapsed="false">
      <c r="A68" s="17" t="n">
        <v>59</v>
      </c>
      <c r="B68" s="32" t="s">
        <v>76</v>
      </c>
      <c r="C68" s="32" t="s">
        <v>312</v>
      </c>
      <c r="D68" s="32" t="s">
        <v>217</v>
      </c>
      <c r="E68" s="17" t="s">
        <v>160</v>
      </c>
      <c r="F68" s="17" t="s">
        <v>320</v>
      </c>
      <c r="G68" s="17" t="s">
        <v>217</v>
      </c>
      <c r="H68" s="17" t="s">
        <v>148</v>
      </c>
      <c r="I68" s="19" t="n">
        <v>6</v>
      </c>
      <c r="J68" s="33" t="n">
        <v>1.098</v>
      </c>
      <c r="K68" s="20" t="n">
        <f aca="false">IF(I68=0,0,IF(L68="Rs./km",MROUND(IF(H68="Petrol",'Fuel &amp; Inputs'!$C$5,'Fuel &amp; Inputs'!$C$4)/I68*J68,1),MROUND(I68*J68*IF(H68="Petrol",'Fuel &amp; Inputs'!$C$5,'Fuel &amp; Inputs'!$C$4),10)))</f>
        <v>2520</v>
      </c>
      <c r="L68" s="17" t="s">
        <v>149</v>
      </c>
      <c r="M68" s="21" t="n">
        <v>1890</v>
      </c>
      <c r="N68" s="20" t="n">
        <f aca="false">MROUND(M68+'Fuel &amp; Inputs'!$C$13,50)</f>
        <v>2700</v>
      </c>
      <c r="O68" s="21" t="n">
        <v>3770</v>
      </c>
      <c r="P68" s="20" t="n">
        <f aca="false">MROUND(M68*'Fuel &amp; Inputs'!$C$19*'Fuel &amp; Inputs'!$C$21,100)</f>
        <v>7200</v>
      </c>
      <c r="Q68" s="20" t="n">
        <f aca="false">MROUND(N68*'Fuel &amp; Inputs'!$C$19*'Fuel &amp; Inputs'!$C$21,100)</f>
        <v>10300</v>
      </c>
      <c r="R68" s="20" t="n">
        <f aca="false">MROUND(O68*'Fuel &amp; Inputs'!$C$19*'Fuel &amp; Inputs'!$C$21,100)</f>
        <v>14300</v>
      </c>
      <c r="S68" s="20" t="n">
        <f aca="false">MROUND(M68*'Fuel &amp; Inputs'!$C$20*'Fuel &amp; Inputs'!$C$22,500)</f>
        <v>193000</v>
      </c>
      <c r="T68" s="20" t="n">
        <f aca="false">MROUND(N68*'Fuel &amp; Inputs'!$C$20*'Fuel &amp; Inputs'!$C$22,500)</f>
        <v>275500</v>
      </c>
      <c r="U68" s="20" t="n">
        <f aca="false">MROUND(O68*'Fuel &amp; Inputs'!$C$20*'Fuel &amp; Inputs'!$C$22,500)</f>
        <v>384500</v>
      </c>
    </row>
    <row r="69" customFormat="false" ht="15" hidden="false" customHeight="false" outlineLevel="0" collapsed="false">
      <c r="A69" s="23" t="n">
        <v>60</v>
      </c>
      <c r="B69" s="34" t="s">
        <v>76</v>
      </c>
      <c r="C69" s="34" t="s">
        <v>321</v>
      </c>
      <c r="D69" s="34" t="s">
        <v>322</v>
      </c>
      <c r="E69" s="23" t="s">
        <v>222</v>
      </c>
      <c r="F69" s="23" t="s">
        <v>323</v>
      </c>
      <c r="G69" s="23" t="s">
        <v>217</v>
      </c>
      <c r="H69" s="23" t="s">
        <v>148</v>
      </c>
      <c r="I69" s="25" t="n">
        <v>6</v>
      </c>
      <c r="J69" s="35" t="n">
        <v>1.084</v>
      </c>
      <c r="K69" s="26" t="n">
        <f aca="false">IF(I69=0,0,IF(L69="Rs./km",MROUND(IF(H69="Petrol",'Fuel &amp; Inputs'!$C$5,'Fuel &amp; Inputs'!$C$4)/I69*J69,1),MROUND(I69*J69*IF(H69="Petrol",'Fuel &amp; Inputs'!$C$5,'Fuel &amp; Inputs'!$C$4),10)))</f>
        <v>2480</v>
      </c>
      <c r="L69" s="23" t="s">
        <v>149</v>
      </c>
      <c r="M69" s="27" t="n">
        <v>1890</v>
      </c>
      <c r="N69" s="26" t="n">
        <f aca="false">MROUND(M69+'Fuel &amp; Inputs'!$C$13,50)</f>
        <v>2700</v>
      </c>
      <c r="O69" s="27" t="n">
        <v>3770</v>
      </c>
      <c r="P69" s="26" t="n">
        <f aca="false">MROUND(M69*'Fuel &amp; Inputs'!$C$19*'Fuel &amp; Inputs'!$C$21,100)</f>
        <v>7200</v>
      </c>
      <c r="Q69" s="26" t="n">
        <f aca="false">MROUND(N69*'Fuel &amp; Inputs'!$C$19*'Fuel &amp; Inputs'!$C$21,100)</f>
        <v>10300</v>
      </c>
      <c r="R69" s="26" t="n">
        <f aca="false">MROUND(O69*'Fuel &amp; Inputs'!$C$19*'Fuel &amp; Inputs'!$C$21,100)</f>
        <v>14300</v>
      </c>
      <c r="S69" s="26" t="n">
        <f aca="false">MROUND(M69*'Fuel &amp; Inputs'!$C$20*'Fuel &amp; Inputs'!$C$22,500)</f>
        <v>193000</v>
      </c>
      <c r="T69" s="26" t="n">
        <f aca="false">MROUND(N69*'Fuel &amp; Inputs'!$C$20*'Fuel &amp; Inputs'!$C$22,500)</f>
        <v>275500</v>
      </c>
      <c r="U69" s="26" t="n">
        <f aca="false">MROUND(O69*'Fuel &amp; Inputs'!$C$20*'Fuel &amp; Inputs'!$C$22,500)</f>
        <v>384500</v>
      </c>
    </row>
    <row r="70" customFormat="false" ht="15" hidden="false" customHeight="false" outlineLevel="0" collapsed="false">
      <c r="A70" s="17" t="n">
        <v>61</v>
      </c>
      <c r="B70" s="32" t="s">
        <v>76</v>
      </c>
      <c r="C70" s="32" t="s">
        <v>324</v>
      </c>
      <c r="D70" s="32" t="s">
        <v>325</v>
      </c>
      <c r="E70" s="17" t="s">
        <v>240</v>
      </c>
      <c r="F70" s="17" t="s">
        <v>326</v>
      </c>
      <c r="G70" s="17" t="s">
        <v>217</v>
      </c>
      <c r="H70" s="17" t="s">
        <v>148</v>
      </c>
      <c r="I70" s="19" t="n">
        <v>6</v>
      </c>
      <c r="J70" s="33" t="n">
        <v>1.119</v>
      </c>
      <c r="K70" s="20" t="n">
        <f aca="false">IF(I70=0,0,IF(L70="Rs./km",MROUND(IF(H70="Petrol",'Fuel &amp; Inputs'!$C$5,'Fuel &amp; Inputs'!$C$4)/I70*J70,1),MROUND(I70*J70*IF(H70="Petrol",'Fuel &amp; Inputs'!$C$5,'Fuel &amp; Inputs'!$C$4),10)))</f>
        <v>2560</v>
      </c>
      <c r="L70" s="17" t="s">
        <v>149</v>
      </c>
      <c r="M70" s="21" t="n">
        <v>1890</v>
      </c>
      <c r="N70" s="20" t="n">
        <f aca="false">MROUND(M70+'Fuel &amp; Inputs'!$C$13,50)</f>
        <v>2700</v>
      </c>
      <c r="O70" s="21" t="n">
        <v>3770</v>
      </c>
      <c r="P70" s="20" t="n">
        <f aca="false">MROUND(M70*'Fuel &amp; Inputs'!$C$19*'Fuel &amp; Inputs'!$C$21,100)</f>
        <v>7200</v>
      </c>
      <c r="Q70" s="20" t="n">
        <f aca="false">MROUND(N70*'Fuel &amp; Inputs'!$C$19*'Fuel &amp; Inputs'!$C$21,100)</f>
        <v>10300</v>
      </c>
      <c r="R70" s="20" t="n">
        <f aca="false">MROUND(O70*'Fuel &amp; Inputs'!$C$19*'Fuel &amp; Inputs'!$C$21,100)</f>
        <v>14300</v>
      </c>
      <c r="S70" s="20" t="n">
        <f aca="false">MROUND(M70*'Fuel &amp; Inputs'!$C$20*'Fuel &amp; Inputs'!$C$22,500)</f>
        <v>193000</v>
      </c>
      <c r="T70" s="20" t="n">
        <f aca="false">MROUND(N70*'Fuel &amp; Inputs'!$C$20*'Fuel &amp; Inputs'!$C$22,500)</f>
        <v>275500</v>
      </c>
      <c r="U70" s="20" t="n">
        <f aca="false">MROUND(O70*'Fuel &amp; Inputs'!$C$20*'Fuel &amp; Inputs'!$C$22,500)</f>
        <v>384500</v>
      </c>
    </row>
    <row r="71" customFormat="false" ht="15" hidden="false" customHeight="false" outlineLevel="0" collapsed="false">
      <c r="A71" s="23" t="n">
        <v>62</v>
      </c>
      <c r="B71" s="34" t="s">
        <v>76</v>
      </c>
      <c r="C71" s="34" t="s">
        <v>324</v>
      </c>
      <c r="D71" s="34" t="s">
        <v>217</v>
      </c>
      <c r="E71" s="23" t="s">
        <v>160</v>
      </c>
      <c r="F71" s="23" t="s">
        <v>327</v>
      </c>
      <c r="G71" s="23" t="s">
        <v>217</v>
      </c>
      <c r="H71" s="23" t="s">
        <v>148</v>
      </c>
      <c r="I71" s="25" t="n">
        <v>6</v>
      </c>
      <c r="J71" s="35" t="n">
        <v>1.098</v>
      </c>
      <c r="K71" s="26" t="n">
        <f aca="false">IF(I71=0,0,IF(L71="Rs./km",MROUND(IF(H71="Petrol",'Fuel &amp; Inputs'!$C$5,'Fuel &amp; Inputs'!$C$4)/I71*J71,1),MROUND(I71*J71*IF(H71="Petrol",'Fuel &amp; Inputs'!$C$5,'Fuel &amp; Inputs'!$C$4),10)))</f>
        <v>2520</v>
      </c>
      <c r="L71" s="23" t="s">
        <v>149</v>
      </c>
      <c r="M71" s="27" t="n">
        <v>1890</v>
      </c>
      <c r="N71" s="26" t="n">
        <f aca="false">MROUND(M71+'Fuel &amp; Inputs'!$C$13,50)</f>
        <v>2700</v>
      </c>
      <c r="O71" s="27" t="n">
        <v>3770</v>
      </c>
      <c r="P71" s="26" t="n">
        <f aca="false">MROUND(M71*'Fuel &amp; Inputs'!$C$19*'Fuel &amp; Inputs'!$C$21,100)</f>
        <v>7200</v>
      </c>
      <c r="Q71" s="26" t="n">
        <f aca="false">MROUND(N71*'Fuel &amp; Inputs'!$C$19*'Fuel &amp; Inputs'!$C$21,100)</f>
        <v>10300</v>
      </c>
      <c r="R71" s="26" t="n">
        <f aca="false">MROUND(O71*'Fuel &amp; Inputs'!$C$19*'Fuel &amp; Inputs'!$C$21,100)</f>
        <v>14300</v>
      </c>
      <c r="S71" s="26" t="n">
        <f aca="false">MROUND(M71*'Fuel &amp; Inputs'!$C$20*'Fuel &amp; Inputs'!$C$22,500)</f>
        <v>193000</v>
      </c>
      <c r="T71" s="26" t="n">
        <f aca="false">MROUND(N71*'Fuel &amp; Inputs'!$C$20*'Fuel &amp; Inputs'!$C$22,500)</f>
        <v>275500</v>
      </c>
      <c r="U71" s="26" t="n">
        <f aca="false">MROUND(O71*'Fuel &amp; Inputs'!$C$20*'Fuel &amp; Inputs'!$C$22,500)</f>
        <v>384500</v>
      </c>
    </row>
    <row r="72" customFormat="false" ht="15" hidden="false" customHeight="false" outlineLevel="0" collapsed="false">
      <c r="A72" s="17" t="n">
        <v>63</v>
      </c>
      <c r="B72" s="32" t="s">
        <v>76</v>
      </c>
      <c r="C72" s="32" t="s">
        <v>324</v>
      </c>
      <c r="D72" s="32" t="s">
        <v>217</v>
      </c>
      <c r="E72" s="17" t="s">
        <v>228</v>
      </c>
      <c r="F72" s="17" t="s">
        <v>328</v>
      </c>
      <c r="G72" s="17" t="s">
        <v>217</v>
      </c>
      <c r="H72" s="17" t="s">
        <v>148</v>
      </c>
      <c r="I72" s="19" t="n">
        <v>6</v>
      </c>
      <c r="J72" s="33" t="n">
        <v>1.091</v>
      </c>
      <c r="K72" s="20" t="n">
        <f aca="false">IF(I72=0,0,IF(L72="Rs./km",MROUND(IF(H72="Petrol",'Fuel &amp; Inputs'!$C$5,'Fuel &amp; Inputs'!$C$4)/I72*J72,1),MROUND(I72*J72*IF(H72="Petrol",'Fuel &amp; Inputs'!$C$5,'Fuel &amp; Inputs'!$C$4),10)))</f>
        <v>2500</v>
      </c>
      <c r="L72" s="17" t="s">
        <v>149</v>
      </c>
      <c r="M72" s="21" t="n">
        <v>1890</v>
      </c>
      <c r="N72" s="20" t="n">
        <f aca="false">MROUND(M72+'Fuel &amp; Inputs'!$C$13,50)</f>
        <v>2700</v>
      </c>
      <c r="O72" s="21" t="n">
        <v>3770</v>
      </c>
      <c r="P72" s="20" t="n">
        <f aca="false">MROUND(M72*'Fuel &amp; Inputs'!$C$19*'Fuel &amp; Inputs'!$C$21,100)</f>
        <v>7200</v>
      </c>
      <c r="Q72" s="20" t="n">
        <f aca="false">MROUND(N72*'Fuel &amp; Inputs'!$C$19*'Fuel &amp; Inputs'!$C$21,100)</f>
        <v>10300</v>
      </c>
      <c r="R72" s="20" t="n">
        <f aca="false">MROUND(O72*'Fuel &amp; Inputs'!$C$19*'Fuel &amp; Inputs'!$C$21,100)</f>
        <v>14300</v>
      </c>
      <c r="S72" s="20" t="n">
        <f aca="false">MROUND(M72*'Fuel &amp; Inputs'!$C$20*'Fuel &amp; Inputs'!$C$22,500)</f>
        <v>193000</v>
      </c>
      <c r="T72" s="20" t="n">
        <f aca="false">MROUND(N72*'Fuel &amp; Inputs'!$C$20*'Fuel &amp; Inputs'!$C$22,500)</f>
        <v>275500</v>
      </c>
      <c r="U72" s="20" t="n">
        <f aca="false">MROUND(O72*'Fuel &amp; Inputs'!$C$20*'Fuel &amp; Inputs'!$C$22,500)</f>
        <v>384500</v>
      </c>
    </row>
    <row r="73" customFormat="false" ht="15" hidden="false" customHeight="false" outlineLevel="0" collapsed="false">
      <c r="A73" s="23" t="n">
        <v>64</v>
      </c>
      <c r="B73" s="34" t="s">
        <v>76</v>
      </c>
      <c r="C73" s="34" t="s">
        <v>329</v>
      </c>
      <c r="D73" s="34" t="s">
        <v>330</v>
      </c>
      <c r="E73" s="23" t="s">
        <v>237</v>
      </c>
      <c r="F73" s="23" t="s">
        <v>331</v>
      </c>
      <c r="G73" s="23" t="s">
        <v>217</v>
      </c>
      <c r="H73" s="23" t="s">
        <v>148</v>
      </c>
      <c r="I73" s="25" t="n">
        <v>6</v>
      </c>
      <c r="J73" s="35" t="n">
        <v>1.112</v>
      </c>
      <c r="K73" s="26" t="n">
        <f aca="false">IF(I73=0,0,IF(L73="Rs./km",MROUND(IF(H73="Petrol",'Fuel &amp; Inputs'!$C$5,'Fuel &amp; Inputs'!$C$4)/I73*J73,1),MROUND(I73*J73*IF(H73="Petrol",'Fuel &amp; Inputs'!$C$5,'Fuel &amp; Inputs'!$C$4),10)))</f>
        <v>2550</v>
      </c>
      <c r="L73" s="23" t="s">
        <v>149</v>
      </c>
      <c r="M73" s="27" t="n">
        <v>1890</v>
      </c>
      <c r="N73" s="26" t="n">
        <f aca="false">MROUND(M73+'Fuel &amp; Inputs'!$C$13,50)</f>
        <v>2700</v>
      </c>
      <c r="O73" s="27" t="n">
        <v>3770</v>
      </c>
      <c r="P73" s="26" t="n">
        <f aca="false">MROUND(M73*'Fuel &amp; Inputs'!$C$19*'Fuel &amp; Inputs'!$C$21,100)</f>
        <v>7200</v>
      </c>
      <c r="Q73" s="26" t="n">
        <f aca="false">MROUND(N73*'Fuel &amp; Inputs'!$C$19*'Fuel &amp; Inputs'!$C$21,100)</f>
        <v>10300</v>
      </c>
      <c r="R73" s="26" t="n">
        <f aca="false">MROUND(O73*'Fuel &amp; Inputs'!$C$19*'Fuel &amp; Inputs'!$C$21,100)</f>
        <v>14300</v>
      </c>
      <c r="S73" s="26" t="n">
        <f aca="false">MROUND(M73*'Fuel &amp; Inputs'!$C$20*'Fuel &amp; Inputs'!$C$22,500)</f>
        <v>193000</v>
      </c>
      <c r="T73" s="26" t="n">
        <f aca="false">MROUND(N73*'Fuel &amp; Inputs'!$C$20*'Fuel &amp; Inputs'!$C$22,500)</f>
        <v>275500</v>
      </c>
      <c r="U73" s="26" t="n">
        <f aca="false">MROUND(O73*'Fuel &amp; Inputs'!$C$20*'Fuel &amp; Inputs'!$C$22,500)</f>
        <v>384500</v>
      </c>
    </row>
    <row r="74" customFormat="false" ht="15" hidden="false" customHeight="false" outlineLevel="0" collapsed="false">
      <c r="A74" s="17" t="n">
        <v>65</v>
      </c>
      <c r="B74" s="32" t="s">
        <v>76</v>
      </c>
      <c r="C74" s="32" t="s">
        <v>312</v>
      </c>
      <c r="D74" s="32" t="s">
        <v>217</v>
      </c>
      <c r="E74" s="17" t="s">
        <v>222</v>
      </c>
      <c r="F74" s="17" t="s">
        <v>332</v>
      </c>
      <c r="G74" s="17" t="s">
        <v>217</v>
      </c>
      <c r="H74" s="17" t="s">
        <v>148</v>
      </c>
      <c r="I74" s="19" t="n">
        <v>6</v>
      </c>
      <c r="J74" s="33" t="n">
        <v>1.084</v>
      </c>
      <c r="K74" s="20" t="n">
        <f aca="false">IF(I74=0,0,IF(L74="Rs./km",MROUND(IF(H74="Petrol",'Fuel &amp; Inputs'!$C$5,'Fuel &amp; Inputs'!$C$4)/I74*J74,1),MROUND(I74*J74*IF(H74="Petrol",'Fuel &amp; Inputs'!$C$5,'Fuel &amp; Inputs'!$C$4),10)))</f>
        <v>2480</v>
      </c>
      <c r="L74" s="17" t="s">
        <v>149</v>
      </c>
      <c r="M74" s="21" t="n">
        <v>1660</v>
      </c>
      <c r="N74" s="20" t="n">
        <f aca="false">MROUND(M74+'Fuel &amp; Inputs'!$C$13,50)</f>
        <v>2450</v>
      </c>
      <c r="O74" s="21" t="n">
        <v>3310</v>
      </c>
      <c r="P74" s="20" t="n">
        <f aca="false">MROUND(M74*'Fuel &amp; Inputs'!$C$19*'Fuel &amp; Inputs'!$C$21,100)</f>
        <v>6300</v>
      </c>
      <c r="Q74" s="20" t="n">
        <f aca="false">MROUND(N74*'Fuel &amp; Inputs'!$C$19*'Fuel &amp; Inputs'!$C$21,100)</f>
        <v>9300</v>
      </c>
      <c r="R74" s="20" t="n">
        <f aca="false">MROUND(O74*'Fuel &amp; Inputs'!$C$19*'Fuel &amp; Inputs'!$C$21,100)</f>
        <v>12600</v>
      </c>
      <c r="S74" s="20" t="n">
        <f aca="false">MROUND(M74*'Fuel &amp; Inputs'!$C$20*'Fuel &amp; Inputs'!$C$22,500)</f>
        <v>169500</v>
      </c>
      <c r="T74" s="20" t="n">
        <f aca="false">MROUND(N74*'Fuel &amp; Inputs'!$C$20*'Fuel &amp; Inputs'!$C$22,500)</f>
        <v>250000</v>
      </c>
      <c r="U74" s="20" t="n">
        <f aca="false">MROUND(O74*'Fuel &amp; Inputs'!$C$20*'Fuel &amp; Inputs'!$C$22,500)</f>
        <v>337500</v>
      </c>
    </row>
    <row r="75" customFormat="false" ht="15" hidden="false" customHeight="false" outlineLevel="0" collapsed="false">
      <c r="A75" s="23" t="n">
        <v>66</v>
      </c>
      <c r="B75" s="34" t="s">
        <v>76</v>
      </c>
      <c r="C75" s="34" t="s">
        <v>312</v>
      </c>
      <c r="D75" s="34" t="s">
        <v>217</v>
      </c>
      <c r="E75" s="23" t="s">
        <v>217</v>
      </c>
      <c r="F75" s="23" t="s">
        <v>333</v>
      </c>
      <c r="G75" s="23" t="s">
        <v>217</v>
      </c>
      <c r="H75" s="23" t="s">
        <v>148</v>
      </c>
      <c r="I75" s="25" t="n">
        <v>6</v>
      </c>
      <c r="J75" s="35" t="n">
        <v>1</v>
      </c>
      <c r="K75" s="26" t="n">
        <f aca="false">IF(I75=0,0,IF(L75="Rs./km",MROUND(IF(H75="Petrol",'Fuel &amp; Inputs'!$C$5,'Fuel &amp; Inputs'!$C$4)/I75*J75,1),MROUND(I75*J75*IF(H75="Petrol",'Fuel &amp; Inputs'!$C$5,'Fuel &amp; Inputs'!$C$4),10)))</f>
        <v>2290</v>
      </c>
      <c r="L75" s="23" t="s">
        <v>149</v>
      </c>
      <c r="M75" s="27" t="n">
        <v>1330</v>
      </c>
      <c r="N75" s="26" t="n">
        <f aca="false">MROUND(M75+'Fuel &amp; Inputs'!$C$13,50)</f>
        <v>2150</v>
      </c>
      <c r="O75" s="27" t="n">
        <v>2670</v>
      </c>
      <c r="P75" s="26" t="n">
        <f aca="false">MROUND(M75*'Fuel &amp; Inputs'!$C$19*'Fuel &amp; Inputs'!$C$21,100)</f>
        <v>5100</v>
      </c>
      <c r="Q75" s="26" t="n">
        <f aca="false">MROUND(N75*'Fuel &amp; Inputs'!$C$19*'Fuel &amp; Inputs'!$C$21,100)</f>
        <v>8200</v>
      </c>
      <c r="R75" s="26" t="n">
        <f aca="false">MROUND(O75*'Fuel &amp; Inputs'!$C$19*'Fuel &amp; Inputs'!$C$21,100)</f>
        <v>10100</v>
      </c>
      <c r="S75" s="26" t="n">
        <f aca="false">MROUND(M75*'Fuel &amp; Inputs'!$C$20*'Fuel &amp; Inputs'!$C$22,500)</f>
        <v>135500</v>
      </c>
      <c r="T75" s="26" t="n">
        <f aca="false">MROUND(N75*'Fuel &amp; Inputs'!$C$20*'Fuel &amp; Inputs'!$C$22,500)</f>
        <v>219500</v>
      </c>
      <c r="U75" s="26" t="n">
        <f aca="false">MROUND(O75*'Fuel &amp; Inputs'!$C$20*'Fuel &amp; Inputs'!$C$22,500)</f>
        <v>272500</v>
      </c>
    </row>
    <row r="76" customFormat="false" ht="15" hidden="false" customHeight="false" outlineLevel="0" collapsed="false">
      <c r="A76" s="17" t="n">
        <v>67</v>
      </c>
      <c r="B76" s="32" t="s">
        <v>76</v>
      </c>
      <c r="C76" s="32" t="s">
        <v>306</v>
      </c>
      <c r="D76" s="32" t="s">
        <v>334</v>
      </c>
      <c r="E76" s="17" t="s">
        <v>217</v>
      </c>
      <c r="F76" s="17" t="s">
        <v>335</v>
      </c>
      <c r="G76" s="17" t="s">
        <v>217</v>
      </c>
      <c r="H76" s="17" t="s">
        <v>148</v>
      </c>
      <c r="I76" s="19" t="n">
        <v>6</v>
      </c>
      <c r="J76" s="33" t="n">
        <v>1</v>
      </c>
      <c r="K76" s="20" t="n">
        <f aca="false">IF(I76=0,0,IF(L76="Rs./km",MROUND(IF(H76="Petrol",'Fuel &amp; Inputs'!$C$5,'Fuel &amp; Inputs'!$C$4)/I76*J76,1),MROUND(I76*J76*IF(H76="Petrol",'Fuel &amp; Inputs'!$C$5,'Fuel &amp; Inputs'!$C$4),10)))</f>
        <v>2290</v>
      </c>
      <c r="L76" s="17" t="s">
        <v>149</v>
      </c>
      <c r="M76" s="21" t="n">
        <v>1330</v>
      </c>
      <c r="N76" s="20" t="n">
        <f aca="false">MROUND(M76+'Fuel &amp; Inputs'!$C$13,50)</f>
        <v>2150</v>
      </c>
      <c r="O76" s="21" t="n">
        <v>2670</v>
      </c>
      <c r="P76" s="20" t="n">
        <f aca="false">MROUND(M76*'Fuel &amp; Inputs'!$C$19*'Fuel &amp; Inputs'!$C$21,100)</f>
        <v>5100</v>
      </c>
      <c r="Q76" s="20" t="n">
        <f aca="false">MROUND(N76*'Fuel &amp; Inputs'!$C$19*'Fuel &amp; Inputs'!$C$21,100)</f>
        <v>8200</v>
      </c>
      <c r="R76" s="20" t="n">
        <f aca="false">MROUND(O76*'Fuel &amp; Inputs'!$C$19*'Fuel &amp; Inputs'!$C$21,100)</f>
        <v>10100</v>
      </c>
      <c r="S76" s="20" t="n">
        <f aca="false">MROUND(M76*'Fuel &amp; Inputs'!$C$20*'Fuel &amp; Inputs'!$C$22,500)</f>
        <v>135500</v>
      </c>
      <c r="T76" s="20" t="n">
        <f aca="false">MROUND(N76*'Fuel &amp; Inputs'!$C$20*'Fuel &amp; Inputs'!$C$22,500)</f>
        <v>219500</v>
      </c>
      <c r="U76" s="20" t="n">
        <f aca="false">MROUND(O76*'Fuel &amp; Inputs'!$C$20*'Fuel &amp; Inputs'!$C$22,500)</f>
        <v>272500</v>
      </c>
    </row>
    <row r="77" customFormat="false" ht="15" hidden="false" customHeight="false" outlineLevel="0" collapsed="false">
      <c r="A77" s="23" t="n">
        <v>68</v>
      </c>
      <c r="B77" s="34" t="s">
        <v>76</v>
      </c>
      <c r="C77" s="34" t="s">
        <v>306</v>
      </c>
      <c r="D77" s="34" t="s">
        <v>309</v>
      </c>
      <c r="E77" s="23" t="s">
        <v>217</v>
      </c>
      <c r="F77" s="23" t="s">
        <v>336</v>
      </c>
      <c r="G77" s="23" t="s">
        <v>217</v>
      </c>
      <c r="H77" s="23" t="s">
        <v>148</v>
      </c>
      <c r="I77" s="25" t="n">
        <v>6</v>
      </c>
      <c r="J77" s="35" t="n">
        <v>1</v>
      </c>
      <c r="K77" s="26" t="n">
        <f aca="false">IF(I77=0,0,IF(L77="Rs./km",MROUND(IF(H77="Petrol",'Fuel &amp; Inputs'!$C$5,'Fuel &amp; Inputs'!$C$4)/I77*J77,1),MROUND(I77*J77*IF(H77="Petrol",'Fuel &amp; Inputs'!$C$5,'Fuel &amp; Inputs'!$C$4),10)))</f>
        <v>2290</v>
      </c>
      <c r="L77" s="23" t="s">
        <v>149</v>
      </c>
      <c r="M77" s="27" t="n">
        <v>1330</v>
      </c>
      <c r="N77" s="26" t="n">
        <f aca="false">MROUND(M77+'Fuel &amp; Inputs'!$C$13,50)</f>
        <v>2150</v>
      </c>
      <c r="O77" s="27" t="n">
        <v>2670</v>
      </c>
      <c r="P77" s="26" t="n">
        <f aca="false">MROUND(M77*'Fuel &amp; Inputs'!$C$19*'Fuel &amp; Inputs'!$C$21,100)</f>
        <v>5100</v>
      </c>
      <c r="Q77" s="26" t="n">
        <f aca="false">MROUND(N77*'Fuel &amp; Inputs'!$C$19*'Fuel &amp; Inputs'!$C$21,100)</f>
        <v>8200</v>
      </c>
      <c r="R77" s="26" t="n">
        <f aca="false">MROUND(O77*'Fuel &amp; Inputs'!$C$19*'Fuel &amp; Inputs'!$C$21,100)</f>
        <v>10100</v>
      </c>
      <c r="S77" s="26" t="n">
        <f aca="false">MROUND(M77*'Fuel &amp; Inputs'!$C$20*'Fuel &amp; Inputs'!$C$22,500)</f>
        <v>135500</v>
      </c>
      <c r="T77" s="26" t="n">
        <f aca="false">MROUND(N77*'Fuel &amp; Inputs'!$C$20*'Fuel &amp; Inputs'!$C$22,500)</f>
        <v>219500</v>
      </c>
      <c r="U77" s="26" t="n">
        <f aca="false">MROUND(O77*'Fuel &amp; Inputs'!$C$20*'Fuel &amp; Inputs'!$C$22,500)</f>
        <v>272500</v>
      </c>
    </row>
    <row r="78" customFormat="false" ht="15" hidden="false" customHeight="false" outlineLevel="0" collapsed="false">
      <c r="A78" s="17" t="n">
        <v>69</v>
      </c>
      <c r="B78" s="32" t="s">
        <v>76</v>
      </c>
      <c r="C78" s="32" t="s">
        <v>317</v>
      </c>
      <c r="D78" s="32" t="s">
        <v>318</v>
      </c>
      <c r="E78" s="17" t="s">
        <v>217</v>
      </c>
      <c r="F78" s="17" t="s">
        <v>337</v>
      </c>
      <c r="G78" s="17" t="s">
        <v>217</v>
      </c>
      <c r="H78" s="17" t="s">
        <v>148</v>
      </c>
      <c r="I78" s="19" t="n">
        <v>6</v>
      </c>
      <c r="J78" s="33" t="n">
        <v>1</v>
      </c>
      <c r="K78" s="20" t="n">
        <f aca="false">IF(I78=0,0,IF(L78="Rs./km",MROUND(IF(H78="Petrol",'Fuel &amp; Inputs'!$C$5,'Fuel &amp; Inputs'!$C$4)/I78*J78,1),MROUND(I78*J78*IF(H78="Petrol",'Fuel &amp; Inputs'!$C$5,'Fuel &amp; Inputs'!$C$4),10)))</f>
        <v>2290</v>
      </c>
      <c r="L78" s="17" t="s">
        <v>149</v>
      </c>
      <c r="M78" s="21" t="n">
        <v>1330</v>
      </c>
      <c r="N78" s="20" t="n">
        <f aca="false">MROUND(M78+'Fuel &amp; Inputs'!$C$13,50)</f>
        <v>2150</v>
      </c>
      <c r="O78" s="21" t="n">
        <v>2670</v>
      </c>
      <c r="P78" s="20" t="n">
        <f aca="false">MROUND(M78*'Fuel &amp; Inputs'!$C$19*'Fuel &amp; Inputs'!$C$21,100)</f>
        <v>5100</v>
      </c>
      <c r="Q78" s="20" t="n">
        <f aca="false">MROUND(N78*'Fuel &amp; Inputs'!$C$19*'Fuel &amp; Inputs'!$C$21,100)</f>
        <v>8200</v>
      </c>
      <c r="R78" s="20" t="n">
        <f aca="false">MROUND(O78*'Fuel &amp; Inputs'!$C$19*'Fuel &amp; Inputs'!$C$21,100)</f>
        <v>10100</v>
      </c>
      <c r="S78" s="20" t="n">
        <f aca="false">MROUND(M78*'Fuel &amp; Inputs'!$C$20*'Fuel &amp; Inputs'!$C$22,500)</f>
        <v>135500</v>
      </c>
      <c r="T78" s="20" t="n">
        <f aca="false">MROUND(N78*'Fuel &amp; Inputs'!$C$20*'Fuel &amp; Inputs'!$C$22,500)</f>
        <v>219500</v>
      </c>
      <c r="U78" s="20" t="n">
        <f aca="false">MROUND(O78*'Fuel &amp; Inputs'!$C$20*'Fuel &amp; Inputs'!$C$22,500)</f>
        <v>272500</v>
      </c>
    </row>
    <row r="79" customFormat="false" ht="15" hidden="false" customHeight="false" outlineLevel="0" collapsed="false">
      <c r="A79" s="23" t="n">
        <v>70</v>
      </c>
      <c r="B79" s="34" t="s">
        <v>76</v>
      </c>
      <c r="C79" s="34" t="s">
        <v>315</v>
      </c>
      <c r="D79" s="34" t="s">
        <v>217</v>
      </c>
      <c r="E79" s="23" t="s">
        <v>217</v>
      </c>
      <c r="F79" s="23" t="s">
        <v>338</v>
      </c>
      <c r="G79" s="23" t="s">
        <v>217</v>
      </c>
      <c r="H79" s="23" t="s">
        <v>148</v>
      </c>
      <c r="I79" s="25" t="n">
        <v>6</v>
      </c>
      <c r="J79" s="35" t="n">
        <v>1</v>
      </c>
      <c r="K79" s="26" t="n">
        <f aca="false">IF(I79=0,0,IF(L79="Rs./km",MROUND(IF(H79="Petrol",'Fuel &amp; Inputs'!$C$5,'Fuel &amp; Inputs'!$C$4)/I79*J79,1),MROUND(I79*J79*IF(H79="Petrol",'Fuel &amp; Inputs'!$C$5,'Fuel &amp; Inputs'!$C$4),10)))</f>
        <v>2290</v>
      </c>
      <c r="L79" s="23" t="s">
        <v>149</v>
      </c>
      <c r="M79" s="27" t="n">
        <v>1330</v>
      </c>
      <c r="N79" s="26" t="n">
        <f aca="false">MROUND(M79+'Fuel &amp; Inputs'!$C$13,50)</f>
        <v>2150</v>
      </c>
      <c r="O79" s="27" t="n">
        <v>2670</v>
      </c>
      <c r="P79" s="26" t="n">
        <f aca="false">MROUND(M79*'Fuel &amp; Inputs'!$C$19*'Fuel &amp; Inputs'!$C$21,100)</f>
        <v>5100</v>
      </c>
      <c r="Q79" s="26" t="n">
        <f aca="false">MROUND(N79*'Fuel &amp; Inputs'!$C$19*'Fuel &amp; Inputs'!$C$21,100)</f>
        <v>8200</v>
      </c>
      <c r="R79" s="26" t="n">
        <f aca="false">MROUND(O79*'Fuel &amp; Inputs'!$C$19*'Fuel &amp; Inputs'!$C$21,100)</f>
        <v>10100</v>
      </c>
      <c r="S79" s="26" t="n">
        <f aca="false">MROUND(M79*'Fuel &amp; Inputs'!$C$20*'Fuel &amp; Inputs'!$C$22,500)</f>
        <v>135500</v>
      </c>
      <c r="T79" s="26" t="n">
        <f aca="false">MROUND(N79*'Fuel &amp; Inputs'!$C$20*'Fuel &amp; Inputs'!$C$22,500)</f>
        <v>219500</v>
      </c>
      <c r="U79" s="26" t="n">
        <f aca="false">MROUND(O79*'Fuel &amp; Inputs'!$C$20*'Fuel &amp; Inputs'!$C$22,500)</f>
        <v>272500</v>
      </c>
    </row>
    <row r="80" customFormat="false" ht="15" hidden="false" customHeight="false" outlineLevel="0" collapsed="false">
      <c r="A80" s="17" t="n">
        <v>71</v>
      </c>
      <c r="B80" s="32" t="s">
        <v>76</v>
      </c>
      <c r="C80" s="32" t="s">
        <v>321</v>
      </c>
      <c r="D80" s="32" t="s">
        <v>339</v>
      </c>
      <c r="E80" s="17" t="s">
        <v>217</v>
      </c>
      <c r="F80" s="17" t="s">
        <v>340</v>
      </c>
      <c r="G80" s="17" t="s">
        <v>217</v>
      </c>
      <c r="H80" s="17" t="s">
        <v>148</v>
      </c>
      <c r="I80" s="19" t="n">
        <v>6</v>
      </c>
      <c r="J80" s="33" t="n">
        <v>1</v>
      </c>
      <c r="K80" s="20" t="n">
        <f aca="false">IF(I80=0,0,IF(L80="Rs./km",MROUND(IF(H80="Petrol",'Fuel &amp; Inputs'!$C$5,'Fuel &amp; Inputs'!$C$4)/I80*J80,1),MROUND(I80*J80*IF(H80="Petrol",'Fuel &amp; Inputs'!$C$5,'Fuel &amp; Inputs'!$C$4),10)))</f>
        <v>2290</v>
      </c>
      <c r="L80" s="17" t="s">
        <v>149</v>
      </c>
      <c r="M80" s="21" t="n">
        <v>1330</v>
      </c>
      <c r="N80" s="20" t="n">
        <f aca="false">MROUND(M80+'Fuel &amp; Inputs'!$C$13,50)</f>
        <v>2150</v>
      </c>
      <c r="O80" s="21" t="n">
        <v>2670</v>
      </c>
      <c r="P80" s="20" t="n">
        <f aca="false">MROUND(M80*'Fuel &amp; Inputs'!$C$19*'Fuel &amp; Inputs'!$C$21,100)</f>
        <v>5100</v>
      </c>
      <c r="Q80" s="20" t="n">
        <f aca="false">MROUND(N80*'Fuel &amp; Inputs'!$C$19*'Fuel &amp; Inputs'!$C$21,100)</f>
        <v>8200</v>
      </c>
      <c r="R80" s="20" t="n">
        <f aca="false">MROUND(O80*'Fuel &amp; Inputs'!$C$19*'Fuel &amp; Inputs'!$C$21,100)</f>
        <v>10100</v>
      </c>
      <c r="S80" s="20" t="n">
        <f aca="false">MROUND(M80*'Fuel &amp; Inputs'!$C$20*'Fuel &amp; Inputs'!$C$22,500)</f>
        <v>135500</v>
      </c>
      <c r="T80" s="20" t="n">
        <f aca="false">MROUND(N80*'Fuel &amp; Inputs'!$C$20*'Fuel &amp; Inputs'!$C$22,500)</f>
        <v>219500</v>
      </c>
      <c r="U80" s="20" t="n">
        <f aca="false">MROUND(O80*'Fuel &amp; Inputs'!$C$20*'Fuel &amp; Inputs'!$C$22,500)</f>
        <v>272500</v>
      </c>
    </row>
    <row r="81" customFormat="false" ht="15" hidden="false" customHeight="true" outlineLevel="0" collapsed="false">
      <c r="A81" s="31" t="s">
        <v>341</v>
      </c>
      <c r="B81" s="31"/>
      <c r="C81" s="31"/>
      <c r="D81" s="31"/>
      <c r="E81" s="31"/>
      <c r="F81" s="31"/>
      <c r="G81" s="31"/>
      <c r="H81" s="31"/>
      <c r="I81" s="31"/>
      <c r="J81" s="31"/>
      <c r="K81" s="31"/>
      <c r="L81" s="31"/>
      <c r="M81" s="31"/>
      <c r="N81" s="31"/>
      <c r="O81" s="31"/>
      <c r="P81" s="31"/>
      <c r="Q81" s="31"/>
      <c r="R81" s="31"/>
      <c r="S81" s="31"/>
      <c r="T81" s="31"/>
      <c r="U81" s="31"/>
    </row>
    <row r="82" customFormat="false" ht="15" hidden="false" customHeight="false" outlineLevel="0" collapsed="false">
      <c r="A82" s="23" t="n">
        <v>72</v>
      </c>
      <c r="B82" s="34" t="s">
        <v>78</v>
      </c>
      <c r="C82" s="34" t="s">
        <v>324</v>
      </c>
      <c r="D82" s="34" t="s">
        <v>217</v>
      </c>
      <c r="E82" s="23" t="s">
        <v>237</v>
      </c>
      <c r="F82" s="23" t="s">
        <v>342</v>
      </c>
      <c r="G82" s="23" t="s">
        <v>217</v>
      </c>
      <c r="H82" s="23" t="s">
        <v>148</v>
      </c>
      <c r="I82" s="25" t="n">
        <v>10</v>
      </c>
      <c r="J82" s="35" t="n">
        <v>1.112</v>
      </c>
      <c r="K82" s="26" t="n">
        <f aca="false">IF(I82=0,0,IF(L82="Rs./km",MROUND(IF(H82="Petrol",'Fuel &amp; Inputs'!$C$5,'Fuel &amp; Inputs'!$C$4)/I82*J82,1),MROUND(I82*J82*IF(H82="Petrol",'Fuel &amp; Inputs'!$C$5,'Fuel &amp; Inputs'!$C$4),10)))</f>
        <v>4250</v>
      </c>
      <c r="L82" s="23" t="s">
        <v>149</v>
      </c>
      <c r="M82" s="27" t="n">
        <v>1790</v>
      </c>
      <c r="N82" s="26" t="n">
        <f aca="false">MROUND(M82+'Fuel &amp; Inputs'!$C$13,50)</f>
        <v>2600</v>
      </c>
      <c r="O82" s="27" t="n">
        <v>3590</v>
      </c>
      <c r="P82" s="26" t="n">
        <f aca="false">MROUND(M82*'Fuel &amp; Inputs'!$C$19*'Fuel &amp; Inputs'!$C$21,100)</f>
        <v>6800</v>
      </c>
      <c r="Q82" s="26" t="n">
        <f aca="false">MROUND(N82*'Fuel &amp; Inputs'!$C$19*'Fuel &amp; Inputs'!$C$21,100)</f>
        <v>9900</v>
      </c>
      <c r="R82" s="26" t="n">
        <f aca="false">MROUND(O82*'Fuel &amp; Inputs'!$C$19*'Fuel &amp; Inputs'!$C$21,100)</f>
        <v>13600</v>
      </c>
      <c r="S82" s="26" t="n">
        <f aca="false">MROUND(M82*'Fuel &amp; Inputs'!$C$20*'Fuel &amp; Inputs'!$C$22,500)</f>
        <v>182500</v>
      </c>
      <c r="T82" s="26" t="n">
        <f aca="false">MROUND(N82*'Fuel &amp; Inputs'!$C$20*'Fuel &amp; Inputs'!$C$22,500)</f>
        <v>265000</v>
      </c>
      <c r="U82" s="26" t="n">
        <f aca="false">MROUND(O82*'Fuel &amp; Inputs'!$C$20*'Fuel &amp; Inputs'!$C$22,500)</f>
        <v>366000</v>
      </c>
    </row>
    <row r="83" customFormat="false" ht="15" hidden="false" customHeight="false" outlineLevel="0" collapsed="false">
      <c r="A83" s="17" t="n">
        <v>73</v>
      </c>
      <c r="B83" s="32" t="s">
        <v>78</v>
      </c>
      <c r="C83" s="32" t="s">
        <v>218</v>
      </c>
      <c r="D83" s="32" t="s">
        <v>343</v>
      </c>
      <c r="E83" s="17" t="s">
        <v>160</v>
      </c>
      <c r="F83" s="17" t="s">
        <v>344</v>
      </c>
      <c r="G83" s="17" t="s">
        <v>217</v>
      </c>
      <c r="H83" s="17" t="s">
        <v>148</v>
      </c>
      <c r="I83" s="19" t="n">
        <v>10</v>
      </c>
      <c r="J83" s="33" t="n">
        <v>1.098</v>
      </c>
      <c r="K83" s="20" t="n">
        <f aca="false">IF(I83=0,0,IF(L83="Rs./km",MROUND(IF(H83="Petrol",'Fuel &amp; Inputs'!$C$5,'Fuel &amp; Inputs'!$C$4)/I83*J83,1),MROUND(I83*J83*IF(H83="Petrol",'Fuel &amp; Inputs'!$C$5,'Fuel &amp; Inputs'!$C$4),10)))</f>
        <v>4190</v>
      </c>
      <c r="L83" s="17" t="s">
        <v>149</v>
      </c>
      <c r="M83" s="21" t="n">
        <v>1790</v>
      </c>
      <c r="N83" s="20" t="n">
        <f aca="false">MROUND(M83+'Fuel &amp; Inputs'!$C$13,50)</f>
        <v>2600</v>
      </c>
      <c r="O83" s="21" t="n">
        <v>3590</v>
      </c>
      <c r="P83" s="20" t="n">
        <f aca="false">MROUND(M83*'Fuel &amp; Inputs'!$C$19*'Fuel &amp; Inputs'!$C$21,100)</f>
        <v>6800</v>
      </c>
      <c r="Q83" s="20" t="n">
        <f aca="false">MROUND(N83*'Fuel &amp; Inputs'!$C$19*'Fuel &amp; Inputs'!$C$21,100)</f>
        <v>9900</v>
      </c>
      <c r="R83" s="20" t="n">
        <f aca="false">MROUND(O83*'Fuel &amp; Inputs'!$C$19*'Fuel &amp; Inputs'!$C$21,100)</f>
        <v>13600</v>
      </c>
      <c r="S83" s="20" t="n">
        <f aca="false">MROUND(M83*'Fuel &amp; Inputs'!$C$20*'Fuel &amp; Inputs'!$C$22,500)</f>
        <v>182500</v>
      </c>
      <c r="T83" s="20" t="n">
        <f aca="false">MROUND(N83*'Fuel &amp; Inputs'!$C$20*'Fuel &amp; Inputs'!$C$22,500)</f>
        <v>265000</v>
      </c>
      <c r="U83" s="20" t="n">
        <f aca="false">MROUND(O83*'Fuel &amp; Inputs'!$C$20*'Fuel &amp; Inputs'!$C$22,500)</f>
        <v>366000</v>
      </c>
    </row>
    <row r="84" customFormat="false" ht="15" hidden="false" customHeight="false" outlineLevel="0" collapsed="false">
      <c r="A84" s="23" t="n">
        <v>74</v>
      </c>
      <c r="B84" s="34" t="s">
        <v>78</v>
      </c>
      <c r="C84" s="34" t="s">
        <v>324</v>
      </c>
      <c r="D84" s="34" t="s">
        <v>217</v>
      </c>
      <c r="E84" s="23" t="s">
        <v>228</v>
      </c>
      <c r="F84" s="23" t="s">
        <v>345</v>
      </c>
      <c r="G84" s="23" t="s">
        <v>217</v>
      </c>
      <c r="H84" s="23" t="s">
        <v>148</v>
      </c>
      <c r="I84" s="25" t="n">
        <v>10</v>
      </c>
      <c r="J84" s="35" t="n">
        <v>1.091</v>
      </c>
      <c r="K84" s="26" t="n">
        <f aca="false">IF(I84=0,0,IF(L84="Rs./km",MROUND(IF(H84="Petrol",'Fuel &amp; Inputs'!$C$5,'Fuel &amp; Inputs'!$C$4)/I84*J84,1),MROUND(I84*J84*IF(H84="Petrol",'Fuel &amp; Inputs'!$C$5,'Fuel &amp; Inputs'!$C$4),10)))</f>
        <v>4170</v>
      </c>
      <c r="L84" s="23" t="s">
        <v>149</v>
      </c>
      <c r="M84" s="27" t="n">
        <v>1790</v>
      </c>
      <c r="N84" s="26" t="n">
        <f aca="false">MROUND(M84+'Fuel &amp; Inputs'!$C$13,50)</f>
        <v>2600</v>
      </c>
      <c r="O84" s="27" t="n">
        <v>3590</v>
      </c>
      <c r="P84" s="26" t="n">
        <f aca="false">MROUND(M84*'Fuel &amp; Inputs'!$C$19*'Fuel &amp; Inputs'!$C$21,100)</f>
        <v>6800</v>
      </c>
      <c r="Q84" s="26" t="n">
        <f aca="false">MROUND(N84*'Fuel &amp; Inputs'!$C$19*'Fuel &amp; Inputs'!$C$21,100)</f>
        <v>9900</v>
      </c>
      <c r="R84" s="26" t="n">
        <f aca="false">MROUND(O84*'Fuel &amp; Inputs'!$C$19*'Fuel &amp; Inputs'!$C$21,100)</f>
        <v>13600</v>
      </c>
      <c r="S84" s="26" t="n">
        <f aca="false">MROUND(M84*'Fuel &amp; Inputs'!$C$20*'Fuel &amp; Inputs'!$C$22,500)</f>
        <v>182500</v>
      </c>
      <c r="T84" s="26" t="n">
        <f aca="false">MROUND(N84*'Fuel &amp; Inputs'!$C$20*'Fuel &amp; Inputs'!$C$22,500)</f>
        <v>265000</v>
      </c>
      <c r="U84" s="26" t="n">
        <f aca="false">MROUND(O84*'Fuel &amp; Inputs'!$C$20*'Fuel &amp; Inputs'!$C$22,500)</f>
        <v>366000</v>
      </c>
    </row>
    <row r="85" customFormat="false" ht="15" hidden="false" customHeight="false" outlineLevel="0" collapsed="false">
      <c r="A85" s="17" t="n">
        <v>75</v>
      </c>
      <c r="B85" s="32" t="s">
        <v>78</v>
      </c>
      <c r="C85" s="32" t="s">
        <v>346</v>
      </c>
      <c r="D85" s="32" t="s">
        <v>347</v>
      </c>
      <c r="E85" s="17" t="s">
        <v>168</v>
      </c>
      <c r="F85" s="17" t="s">
        <v>348</v>
      </c>
      <c r="G85" s="17" t="s">
        <v>217</v>
      </c>
      <c r="H85" s="17" t="s">
        <v>148</v>
      </c>
      <c r="I85" s="19" t="n">
        <v>10</v>
      </c>
      <c r="J85" s="33" t="n">
        <v>1.07</v>
      </c>
      <c r="K85" s="20" t="n">
        <f aca="false">IF(I85=0,0,IF(L85="Rs./km",MROUND(IF(H85="Petrol",'Fuel &amp; Inputs'!$C$5,'Fuel &amp; Inputs'!$C$4)/I85*J85,1),MROUND(I85*J85*IF(H85="Petrol",'Fuel &amp; Inputs'!$C$5,'Fuel &amp; Inputs'!$C$4),10)))</f>
        <v>4090</v>
      </c>
      <c r="L85" s="17" t="s">
        <v>149</v>
      </c>
      <c r="M85" s="21" t="n">
        <v>1790</v>
      </c>
      <c r="N85" s="20" t="n">
        <f aca="false">MROUND(M85+'Fuel &amp; Inputs'!$C$13,50)</f>
        <v>2600</v>
      </c>
      <c r="O85" s="21" t="n">
        <v>3590</v>
      </c>
      <c r="P85" s="20" t="n">
        <f aca="false">MROUND(M85*'Fuel &amp; Inputs'!$C$19*'Fuel &amp; Inputs'!$C$21,100)</f>
        <v>6800</v>
      </c>
      <c r="Q85" s="20" t="n">
        <f aca="false">MROUND(N85*'Fuel &amp; Inputs'!$C$19*'Fuel &amp; Inputs'!$C$21,100)</f>
        <v>9900</v>
      </c>
      <c r="R85" s="20" t="n">
        <f aca="false">MROUND(O85*'Fuel &amp; Inputs'!$C$19*'Fuel &amp; Inputs'!$C$21,100)</f>
        <v>13600</v>
      </c>
      <c r="S85" s="20" t="n">
        <f aca="false">MROUND(M85*'Fuel &amp; Inputs'!$C$20*'Fuel &amp; Inputs'!$C$22,500)</f>
        <v>182500</v>
      </c>
      <c r="T85" s="20" t="n">
        <f aca="false">MROUND(N85*'Fuel &amp; Inputs'!$C$20*'Fuel &amp; Inputs'!$C$22,500)</f>
        <v>265000</v>
      </c>
      <c r="U85" s="20" t="n">
        <f aca="false">MROUND(O85*'Fuel &amp; Inputs'!$C$20*'Fuel &amp; Inputs'!$C$22,500)</f>
        <v>366000</v>
      </c>
    </row>
    <row r="86" customFormat="false" ht="15" hidden="false" customHeight="false" outlineLevel="0" collapsed="false">
      <c r="A86" s="23" t="n">
        <v>76</v>
      </c>
      <c r="B86" s="34" t="s">
        <v>78</v>
      </c>
      <c r="C86" s="34" t="s">
        <v>346</v>
      </c>
      <c r="D86" s="34" t="s">
        <v>349</v>
      </c>
      <c r="E86" s="23" t="s">
        <v>168</v>
      </c>
      <c r="F86" s="23" t="s">
        <v>350</v>
      </c>
      <c r="G86" s="23" t="s">
        <v>217</v>
      </c>
      <c r="H86" s="23" t="s">
        <v>148</v>
      </c>
      <c r="I86" s="25" t="n">
        <v>10</v>
      </c>
      <c r="J86" s="35" t="n">
        <v>1.07</v>
      </c>
      <c r="K86" s="26" t="n">
        <f aca="false">IF(I86=0,0,IF(L86="Rs./km",MROUND(IF(H86="Petrol",'Fuel &amp; Inputs'!$C$5,'Fuel &amp; Inputs'!$C$4)/I86*J86,1),MROUND(I86*J86*IF(H86="Petrol",'Fuel &amp; Inputs'!$C$5,'Fuel &amp; Inputs'!$C$4),10)))</f>
        <v>4090</v>
      </c>
      <c r="L86" s="23" t="s">
        <v>149</v>
      </c>
      <c r="M86" s="27" t="n">
        <v>1790</v>
      </c>
      <c r="N86" s="26" t="n">
        <f aca="false">MROUND(M86+'Fuel &amp; Inputs'!$C$13,50)</f>
        <v>2600</v>
      </c>
      <c r="O86" s="27" t="n">
        <v>3590</v>
      </c>
      <c r="P86" s="26" t="n">
        <f aca="false">MROUND(M86*'Fuel &amp; Inputs'!$C$19*'Fuel &amp; Inputs'!$C$21,100)</f>
        <v>6800</v>
      </c>
      <c r="Q86" s="26" t="n">
        <f aca="false">MROUND(N86*'Fuel &amp; Inputs'!$C$19*'Fuel &amp; Inputs'!$C$21,100)</f>
        <v>9900</v>
      </c>
      <c r="R86" s="26" t="n">
        <f aca="false">MROUND(O86*'Fuel &amp; Inputs'!$C$19*'Fuel &amp; Inputs'!$C$21,100)</f>
        <v>13600</v>
      </c>
      <c r="S86" s="26" t="n">
        <f aca="false">MROUND(M86*'Fuel &amp; Inputs'!$C$20*'Fuel &amp; Inputs'!$C$22,500)</f>
        <v>182500</v>
      </c>
      <c r="T86" s="26" t="n">
        <f aca="false">MROUND(N86*'Fuel &amp; Inputs'!$C$20*'Fuel &amp; Inputs'!$C$22,500)</f>
        <v>265000</v>
      </c>
      <c r="U86" s="26" t="n">
        <f aca="false">MROUND(O86*'Fuel &amp; Inputs'!$C$20*'Fuel &amp; Inputs'!$C$22,500)</f>
        <v>366000</v>
      </c>
    </row>
    <row r="87" customFormat="false" ht="15" hidden="false" customHeight="false" outlineLevel="0" collapsed="false">
      <c r="A87" s="17" t="n">
        <v>77</v>
      </c>
      <c r="B87" s="32" t="s">
        <v>78</v>
      </c>
      <c r="C87" s="32" t="s">
        <v>346</v>
      </c>
      <c r="D87" s="32" t="s">
        <v>351</v>
      </c>
      <c r="E87" s="17" t="s">
        <v>168</v>
      </c>
      <c r="F87" s="17" t="s">
        <v>352</v>
      </c>
      <c r="G87" s="17" t="s">
        <v>217</v>
      </c>
      <c r="H87" s="17" t="s">
        <v>148</v>
      </c>
      <c r="I87" s="19" t="n">
        <v>10</v>
      </c>
      <c r="J87" s="33" t="n">
        <v>1.07</v>
      </c>
      <c r="K87" s="20" t="n">
        <f aca="false">IF(I87=0,0,IF(L87="Rs./km",MROUND(IF(H87="Petrol",'Fuel &amp; Inputs'!$C$5,'Fuel &amp; Inputs'!$C$4)/I87*J87,1),MROUND(I87*J87*IF(H87="Petrol",'Fuel &amp; Inputs'!$C$5,'Fuel &amp; Inputs'!$C$4),10)))</f>
        <v>4090</v>
      </c>
      <c r="L87" s="17" t="s">
        <v>149</v>
      </c>
      <c r="M87" s="21" t="n">
        <v>1790</v>
      </c>
      <c r="N87" s="20" t="n">
        <f aca="false">MROUND(M87+'Fuel &amp; Inputs'!$C$13,50)</f>
        <v>2600</v>
      </c>
      <c r="O87" s="21" t="n">
        <v>3590</v>
      </c>
      <c r="P87" s="20" t="n">
        <f aca="false">MROUND(M87*'Fuel &amp; Inputs'!$C$19*'Fuel &amp; Inputs'!$C$21,100)</f>
        <v>6800</v>
      </c>
      <c r="Q87" s="20" t="n">
        <f aca="false">MROUND(N87*'Fuel &amp; Inputs'!$C$19*'Fuel &amp; Inputs'!$C$21,100)</f>
        <v>9900</v>
      </c>
      <c r="R87" s="20" t="n">
        <f aca="false">MROUND(O87*'Fuel &amp; Inputs'!$C$19*'Fuel &amp; Inputs'!$C$21,100)</f>
        <v>13600</v>
      </c>
      <c r="S87" s="20" t="n">
        <f aca="false">MROUND(M87*'Fuel &amp; Inputs'!$C$20*'Fuel &amp; Inputs'!$C$22,500)</f>
        <v>182500</v>
      </c>
      <c r="T87" s="20" t="n">
        <f aca="false">MROUND(N87*'Fuel &amp; Inputs'!$C$20*'Fuel &amp; Inputs'!$C$22,500)</f>
        <v>265000</v>
      </c>
      <c r="U87" s="20" t="n">
        <f aca="false">MROUND(O87*'Fuel &amp; Inputs'!$C$20*'Fuel &amp; Inputs'!$C$22,500)</f>
        <v>366000</v>
      </c>
    </row>
    <row r="88" customFormat="false" ht="15" hidden="false" customHeight="false" outlineLevel="0" collapsed="false">
      <c r="A88" s="23" t="n">
        <v>78</v>
      </c>
      <c r="B88" s="34" t="s">
        <v>78</v>
      </c>
      <c r="C88" s="34" t="s">
        <v>353</v>
      </c>
      <c r="D88" s="34" t="s">
        <v>354</v>
      </c>
      <c r="E88" s="23" t="s">
        <v>168</v>
      </c>
      <c r="F88" s="23" t="s">
        <v>355</v>
      </c>
      <c r="G88" s="23" t="s">
        <v>217</v>
      </c>
      <c r="H88" s="23" t="s">
        <v>148</v>
      </c>
      <c r="I88" s="25" t="n">
        <v>10</v>
      </c>
      <c r="J88" s="35" t="n">
        <v>1.07</v>
      </c>
      <c r="K88" s="26" t="n">
        <f aca="false">IF(I88=0,0,IF(L88="Rs./km",MROUND(IF(H88="Petrol",'Fuel &amp; Inputs'!$C$5,'Fuel &amp; Inputs'!$C$4)/I88*J88,1),MROUND(I88*J88*IF(H88="Petrol",'Fuel &amp; Inputs'!$C$5,'Fuel &amp; Inputs'!$C$4),10)))</f>
        <v>4090</v>
      </c>
      <c r="L88" s="23" t="s">
        <v>149</v>
      </c>
      <c r="M88" s="27" t="n">
        <v>1790</v>
      </c>
      <c r="N88" s="26" t="n">
        <f aca="false">MROUND(M88+'Fuel &amp; Inputs'!$C$13,50)</f>
        <v>2600</v>
      </c>
      <c r="O88" s="27" t="n">
        <v>3590</v>
      </c>
      <c r="P88" s="26" t="n">
        <f aca="false">MROUND(M88*'Fuel &amp; Inputs'!$C$19*'Fuel &amp; Inputs'!$C$21,100)</f>
        <v>6800</v>
      </c>
      <c r="Q88" s="26" t="n">
        <f aca="false">MROUND(N88*'Fuel &amp; Inputs'!$C$19*'Fuel &amp; Inputs'!$C$21,100)</f>
        <v>9900</v>
      </c>
      <c r="R88" s="26" t="n">
        <f aca="false">MROUND(O88*'Fuel &amp; Inputs'!$C$19*'Fuel &amp; Inputs'!$C$21,100)</f>
        <v>13600</v>
      </c>
      <c r="S88" s="26" t="n">
        <f aca="false">MROUND(M88*'Fuel &amp; Inputs'!$C$20*'Fuel &amp; Inputs'!$C$22,500)</f>
        <v>182500</v>
      </c>
      <c r="T88" s="26" t="n">
        <f aca="false">MROUND(N88*'Fuel &amp; Inputs'!$C$20*'Fuel &amp; Inputs'!$C$22,500)</f>
        <v>265000</v>
      </c>
      <c r="U88" s="26" t="n">
        <f aca="false">MROUND(O88*'Fuel &amp; Inputs'!$C$20*'Fuel &amp; Inputs'!$C$22,500)</f>
        <v>366000</v>
      </c>
    </row>
    <row r="89" customFormat="false" ht="15" hidden="false" customHeight="false" outlineLevel="0" collapsed="false">
      <c r="A89" s="17" t="n">
        <v>79</v>
      </c>
      <c r="B89" s="32" t="s">
        <v>78</v>
      </c>
      <c r="C89" s="32" t="s">
        <v>353</v>
      </c>
      <c r="D89" s="32" t="s">
        <v>351</v>
      </c>
      <c r="E89" s="17" t="s">
        <v>168</v>
      </c>
      <c r="F89" s="17" t="s">
        <v>356</v>
      </c>
      <c r="G89" s="17" t="s">
        <v>217</v>
      </c>
      <c r="H89" s="17" t="s">
        <v>148</v>
      </c>
      <c r="I89" s="19" t="n">
        <v>10</v>
      </c>
      <c r="J89" s="33" t="n">
        <v>1.07</v>
      </c>
      <c r="K89" s="20" t="n">
        <f aca="false">IF(I89=0,0,IF(L89="Rs./km",MROUND(IF(H89="Petrol",'Fuel &amp; Inputs'!$C$5,'Fuel &amp; Inputs'!$C$4)/I89*J89,1),MROUND(I89*J89*IF(H89="Petrol",'Fuel &amp; Inputs'!$C$5,'Fuel &amp; Inputs'!$C$4),10)))</f>
        <v>4090</v>
      </c>
      <c r="L89" s="17" t="s">
        <v>149</v>
      </c>
      <c r="M89" s="21" t="n">
        <v>1790</v>
      </c>
      <c r="N89" s="20" t="n">
        <f aca="false">MROUND(M89+'Fuel &amp; Inputs'!$C$13,50)</f>
        <v>2600</v>
      </c>
      <c r="O89" s="21" t="n">
        <v>3590</v>
      </c>
      <c r="P89" s="20" t="n">
        <f aca="false">MROUND(M89*'Fuel &amp; Inputs'!$C$19*'Fuel &amp; Inputs'!$C$21,100)</f>
        <v>6800</v>
      </c>
      <c r="Q89" s="20" t="n">
        <f aca="false">MROUND(N89*'Fuel &amp; Inputs'!$C$19*'Fuel &amp; Inputs'!$C$21,100)</f>
        <v>9900</v>
      </c>
      <c r="R89" s="20" t="n">
        <f aca="false">MROUND(O89*'Fuel &amp; Inputs'!$C$19*'Fuel &amp; Inputs'!$C$21,100)</f>
        <v>13600</v>
      </c>
      <c r="S89" s="20" t="n">
        <f aca="false">MROUND(M89*'Fuel &amp; Inputs'!$C$20*'Fuel &amp; Inputs'!$C$22,500)</f>
        <v>182500</v>
      </c>
      <c r="T89" s="20" t="n">
        <f aca="false">MROUND(N89*'Fuel &amp; Inputs'!$C$20*'Fuel &amp; Inputs'!$C$22,500)</f>
        <v>265000</v>
      </c>
      <c r="U89" s="20" t="n">
        <f aca="false">MROUND(O89*'Fuel &amp; Inputs'!$C$20*'Fuel &amp; Inputs'!$C$22,500)</f>
        <v>366000</v>
      </c>
    </row>
    <row r="90" customFormat="false" ht="15" hidden="false" customHeight="false" outlineLevel="0" collapsed="false">
      <c r="A90" s="23" t="n">
        <v>80</v>
      </c>
      <c r="B90" s="34" t="s">
        <v>78</v>
      </c>
      <c r="C90" s="34" t="s">
        <v>353</v>
      </c>
      <c r="D90" s="34" t="s">
        <v>351</v>
      </c>
      <c r="E90" s="23" t="s">
        <v>168</v>
      </c>
      <c r="F90" s="23" t="s">
        <v>357</v>
      </c>
      <c r="G90" s="23" t="s">
        <v>217</v>
      </c>
      <c r="H90" s="23" t="s">
        <v>148</v>
      </c>
      <c r="I90" s="25" t="n">
        <v>10</v>
      </c>
      <c r="J90" s="35" t="n">
        <v>1.07</v>
      </c>
      <c r="K90" s="26" t="n">
        <f aca="false">IF(I90=0,0,IF(L90="Rs./km",MROUND(IF(H90="Petrol",'Fuel &amp; Inputs'!$C$5,'Fuel &amp; Inputs'!$C$4)/I90*J90,1),MROUND(I90*J90*IF(H90="Petrol",'Fuel &amp; Inputs'!$C$5,'Fuel &amp; Inputs'!$C$4),10)))</f>
        <v>4090</v>
      </c>
      <c r="L90" s="23" t="s">
        <v>149</v>
      </c>
      <c r="M90" s="27" t="n">
        <v>1790</v>
      </c>
      <c r="N90" s="26" t="n">
        <f aca="false">MROUND(M90+'Fuel &amp; Inputs'!$C$13,50)</f>
        <v>2600</v>
      </c>
      <c r="O90" s="27" t="n">
        <v>3590</v>
      </c>
      <c r="P90" s="26" t="n">
        <f aca="false">MROUND(M90*'Fuel &amp; Inputs'!$C$19*'Fuel &amp; Inputs'!$C$21,100)</f>
        <v>6800</v>
      </c>
      <c r="Q90" s="26" t="n">
        <f aca="false">MROUND(N90*'Fuel &amp; Inputs'!$C$19*'Fuel &amp; Inputs'!$C$21,100)</f>
        <v>9900</v>
      </c>
      <c r="R90" s="26" t="n">
        <f aca="false">MROUND(O90*'Fuel &amp; Inputs'!$C$19*'Fuel &amp; Inputs'!$C$21,100)</f>
        <v>13600</v>
      </c>
      <c r="S90" s="26" t="n">
        <f aca="false">MROUND(M90*'Fuel &amp; Inputs'!$C$20*'Fuel &amp; Inputs'!$C$22,500)</f>
        <v>182500</v>
      </c>
      <c r="T90" s="26" t="n">
        <f aca="false">MROUND(N90*'Fuel &amp; Inputs'!$C$20*'Fuel &amp; Inputs'!$C$22,500)</f>
        <v>265000</v>
      </c>
      <c r="U90" s="26" t="n">
        <f aca="false">MROUND(O90*'Fuel &amp; Inputs'!$C$20*'Fuel &amp; Inputs'!$C$22,500)</f>
        <v>366000</v>
      </c>
    </row>
    <row r="91" customFormat="false" ht="15" hidden="false" customHeight="false" outlineLevel="0" collapsed="false">
      <c r="A91" s="17" t="n">
        <v>81</v>
      </c>
      <c r="B91" s="32" t="s">
        <v>78</v>
      </c>
      <c r="C91" s="32" t="s">
        <v>324</v>
      </c>
      <c r="D91" s="32" t="s">
        <v>217</v>
      </c>
      <c r="E91" s="17" t="s">
        <v>237</v>
      </c>
      <c r="F91" s="17" t="s">
        <v>358</v>
      </c>
      <c r="G91" s="17" t="s">
        <v>217</v>
      </c>
      <c r="H91" s="17" t="s">
        <v>148</v>
      </c>
      <c r="I91" s="19" t="n">
        <v>10</v>
      </c>
      <c r="J91" s="33" t="n">
        <v>1.112</v>
      </c>
      <c r="K91" s="20" t="n">
        <f aca="false">IF(I91=0,0,IF(L91="Rs./km",MROUND(IF(H91="Petrol",'Fuel &amp; Inputs'!$C$5,'Fuel &amp; Inputs'!$C$4)/I91*J91,1),MROUND(I91*J91*IF(H91="Petrol",'Fuel &amp; Inputs'!$C$5,'Fuel &amp; Inputs'!$C$4),10)))</f>
        <v>4250</v>
      </c>
      <c r="L91" s="17" t="s">
        <v>149</v>
      </c>
      <c r="M91" s="21" t="n">
        <v>1790</v>
      </c>
      <c r="N91" s="20" t="n">
        <f aca="false">MROUND(M91+'Fuel &amp; Inputs'!$C$13,50)</f>
        <v>2600</v>
      </c>
      <c r="O91" s="21" t="n">
        <v>3590</v>
      </c>
      <c r="P91" s="20" t="n">
        <f aca="false">MROUND(M91*'Fuel &amp; Inputs'!$C$19*'Fuel &amp; Inputs'!$C$21,100)</f>
        <v>6800</v>
      </c>
      <c r="Q91" s="20" t="n">
        <f aca="false">MROUND(N91*'Fuel &amp; Inputs'!$C$19*'Fuel &amp; Inputs'!$C$21,100)</f>
        <v>9900</v>
      </c>
      <c r="R91" s="20" t="n">
        <f aca="false">MROUND(O91*'Fuel &amp; Inputs'!$C$19*'Fuel &amp; Inputs'!$C$21,100)</f>
        <v>13600</v>
      </c>
      <c r="S91" s="20" t="n">
        <f aca="false">MROUND(M91*'Fuel &amp; Inputs'!$C$20*'Fuel &amp; Inputs'!$C$22,500)</f>
        <v>182500</v>
      </c>
      <c r="T91" s="20" t="n">
        <f aca="false">MROUND(N91*'Fuel &amp; Inputs'!$C$20*'Fuel &amp; Inputs'!$C$22,500)</f>
        <v>265000</v>
      </c>
      <c r="U91" s="20" t="n">
        <f aca="false">MROUND(O91*'Fuel &amp; Inputs'!$C$20*'Fuel &amp; Inputs'!$C$22,500)</f>
        <v>366000</v>
      </c>
    </row>
    <row r="92" customFormat="false" ht="15" hidden="false" customHeight="false" outlineLevel="0" collapsed="false">
      <c r="A92" s="23" t="n">
        <v>82</v>
      </c>
      <c r="B92" s="34" t="s">
        <v>78</v>
      </c>
      <c r="C92" s="34" t="s">
        <v>346</v>
      </c>
      <c r="D92" s="34" t="s">
        <v>351</v>
      </c>
      <c r="E92" s="23" t="s">
        <v>165</v>
      </c>
      <c r="F92" s="23" t="s">
        <v>359</v>
      </c>
      <c r="G92" s="23" t="s">
        <v>217</v>
      </c>
      <c r="H92" s="23" t="s">
        <v>148</v>
      </c>
      <c r="I92" s="25" t="n">
        <v>10</v>
      </c>
      <c r="J92" s="35" t="n">
        <v>1.077</v>
      </c>
      <c r="K92" s="26" t="n">
        <f aca="false">IF(I92=0,0,IF(L92="Rs./km",MROUND(IF(H92="Petrol",'Fuel &amp; Inputs'!$C$5,'Fuel &amp; Inputs'!$C$4)/I92*J92,1),MROUND(I92*J92*IF(H92="Petrol",'Fuel &amp; Inputs'!$C$5,'Fuel &amp; Inputs'!$C$4),10)))</f>
        <v>4110</v>
      </c>
      <c r="L92" s="23" t="s">
        <v>149</v>
      </c>
      <c r="M92" s="27" t="n">
        <v>1790</v>
      </c>
      <c r="N92" s="26" t="n">
        <f aca="false">MROUND(M92+'Fuel &amp; Inputs'!$C$13,50)</f>
        <v>2600</v>
      </c>
      <c r="O92" s="27" t="n">
        <v>3590</v>
      </c>
      <c r="P92" s="26" t="n">
        <f aca="false">MROUND(M92*'Fuel &amp; Inputs'!$C$19*'Fuel &amp; Inputs'!$C$21,100)</f>
        <v>6800</v>
      </c>
      <c r="Q92" s="26" t="n">
        <f aca="false">MROUND(N92*'Fuel &amp; Inputs'!$C$19*'Fuel &amp; Inputs'!$C$21,100)</f>
        <v>9900</v>
      </c>
      <c r="R92" s="26" t="n">
        <f aca="false">MROUND(O92*'Fuel &amp; Inputs'!$C$19*'Fuel &amp; Inputs'!$C$21,100)</f>
        <v>13600</v>
      </c>
      <c r="S92" s="26" t="n">
        <f aca="false">MROUND(M92*'Fuel &amp; Inputs'!$C$20*'Fuel &amp; Inputs'!$C$22,500)</f>
        <v>182500</v>
      </c>
      <c r="T92" s="26" t="n">
        <f aca="false">MROUND(N92*'Fuel &amp; Inputs'!$C$20*'Fuel &amp; Inputs'!$C$22,500)</f>
        <v>265000</v>
      </c>
      <c r="U92" s="26" t="n">
        <f aca="false">MROUND(O92*'Fuel &amp; Inputs'!$C$20*'Fuel &amp; Inputs'!$C$22,500)</f>
        <v>366000</v>
      </c>
    </row>
    <row r="93" customFormat="false" ht="15" hidden="false" customHeight="false" outlineLevel="0" collapsed="false">
      <c r="A93" s="17" t="n">
        <v>83</v>
      </c>
      <c r="B93" s="32" t="s">
        <v>78</v>
      </c>
      <c r="C93" s="32" t="s">
        <v>353</v>
      </c>
      <c r="D93" s="32" t="s">
        <v>354</v>
      </c>
      <c r="E93" s="17" t="s">
        <v>165</v>
      </c>
      <c r="F93" s="17" t="s">
        <v>360</v>
      </c>
      <c r="G93" s="17" t="s">
        <v>217</v>
      </c>
      <c r="H93" s="17" t="s">
        <v>148</v>
      </c>
      <c r="I93" s="19" t="n">
        <v>10</v>
      </c>
      <c r="J93" s="33" t="n">
        <v>1.077</v>
      </c>
      <c r="K93" s="20" t="n">
        <f aca="false">IF(I93=0,0,IF(L93="Rs./km",MROUND(IF(H93="Petrol",'Fuel &amp; Inputs'!$C$5,'Fuel &amp; Inputs'!$C$4)/I93*J93,1),MROUND(I93*J93*IF(H93="Petrol",'Fuel &amp; Inputs'!$C$5,'Fuel &amp; Inputs'!$C$4),10)))</f>
        <v>4110</v>
      </c>
      <c r="L93" s="17" t="s">
        <v>149</v>
      </c>
      <c r="M93" s="21" t="n">
        <v>1790</v>
      </c>
      <c r="N93" s="20" t="n">
        <f aca="false">MROUND(M93+'Fuel &amp; Inputs'!$C$13,50)</f>
        <v>2600</v>
      </c>
      <c r="O93" s="21" t="n">
        <v>3590</v>
      </c>
      <c r="P93" s="20" t="n">
        <f aca="false">MROUND(M93*'Fuel &amp; Inputs'!$C$19*'Fuel &amp; Inputs'!$C$21,100)</f>
        <v>6800</v>
      </c>
      <c r="Q93" s="20" t="n">
        <f aca="false">MROUND(N93*'Fuel &amp; Inputs'!$C$19*'Fuel &amp; Inputs'!$C$21,100)</f>
        <v>9900</v>
      </c>
      <c r="R93" s="20" t="n">
        <f aca="false">MROUND(O93*'Fuel &amp; Inputs'!$C$19*'Fuel &amp; Inputs'!$C$21,100)</f>
        <v>13600</v>
      </c>
      <c r="S93" s="20" t="n">
        <f aca="false">MROUND(M93*'Fuel &amp; Inputs'!$C$20*'Fuel &amp; Inputs'!$C$22,500)</f>
        <v>182500</v>
      </c>
      <c r="T93" s="20" t="n">
        <f aca="false">MROUND(N93*'Fuel &amp; Inputs'!$C$20*'Fuel &amp; Inputs'!$C$22,500)</f>
        <v>265000</v>
      </c>
      <c r="U93" s="20" t="n">
        <f aca="false">MROUND(O93*'Fuel &amp; Inputs'!$C$20*'Fuel &amp; Inputs'!$C$22,500)</f>
        <v>366000</v>
      </c>
    </row>
    <row r="94" customFormat="false" ht="15" hidden="false" customHeight="false" outlineLevel="0" collapsed="false">
      <c r="A94" s="23" t="n">
        <v>84</v>
      </c>
      <c r="B94" s="34" t="s">
        <v>78</v>
      </c>
      <c r="C94" s="34" t="s">
        <v>346</v>
      </c>
      <c r="D94" s="34" t="s">
        <v>351</v>
      </c>
      <c r="E94" s="23" t="s">
        <v>222</v>
      </c>
      <c r="F94" s="23" t="s">
        <v>361</v>
      </c>
      <c r="G94" s="23" t="s">
        <v>217</v>
      </c>
      <c r="H94" s="23" t="s">
        <v>148</v>
      </c>
      <c r="I94" s="25" t="n">
        <v>10</v>
      </c>
      <c r="J94" s="35" t="n">
        <v>1.084</v>
      </c>
      <c r="K94" s="26" t="n">
        <f aca="false">IF(I94=0,0,IF(L94="Rs./km",MROUND(IF(H94="Petrol",'Fuel &amp; Inputs'!$C$5,'Fuel &amp; Inputs'!$C$4)/I94*J94,1),MROUND(I94*J94*IF(H94="Petrol",'Fuel &amp; Inputs'!$C$5,'Fuel &amp; Inputs'!$C$4),10)))</f>
        <v>4140</v>
      </c>
      <c r="L94" s="23" t="s">
        <v>149</v>
      </c>
      <c r="M94" s="27" t="n">
        <v>1600</v>
      </c>
      <c r="N94" s="26" t="n">
        <f aca="false">MROUND(M94+'Fuel &amp; Inputs'!$C$13,50)</f>
        <v>2400</v>
      </c>
      <c r="O94" s="27" t="n">
        <v>3200</v>
      </c>
      <c r="P94" s="26" t="n">
        <f aca="false">MROUND(M94*'Fuel &amp; Inputs'!$C$19*'Fuel &amp; Inputs'!$C$21,100)</f>
        <v>6100</v>
      </c>
      <c r="Q94" s="26" t="n">
        <f aca="false">MROUND(N94*'Fuel &amp; Inputs'!$C$19*'Fuel &amp; Inputs'!$C$21,100)</f>
        <v>9100</v>
      </c>
      <c r="R94" s="26" t="n">
        <f aca="false">MROUND(O94*'Fuel &amp; Inputs'!$C$19*'Fuel &amp; Inputs'!$C$21,100)</f>
        <v>12200</v>
      </c>
      <c r="S94" s="26" t="n">
        <f aca="false">MROUND(M94*'Fuel &amp; Inputs'!$C$20*'Fuel &amp; Inputs'!$C$22,500)</f>
        <v>163000</v>
      </c>
      <c r="T94" s="26" t="n">
        <f aca="false">MROUND(N94*'Fuel &amp; Inputs'!$C$20*'Fuel &amp; Inputs'!$C$22,500)</f>
        <v>245000</v>
      </c>
      <c r="U94" s="26" t="n">
        <f aca="false">MROUND(O94*'Fuel &amp; Inputs'!$C$20*'Fuel &amp; Inputs'!$C$22,500)</f>
        <v>326500</v>
      </c>
    </row>
    <row r="95" customFormat="false" ht="15" hidden="false" customHeight="false" outlineLevel="0" collapsed="false">
      <c r="A95" s="17" t="n">
        <v>85</v>
      </c>
      <c r="B95" s="32" t="s">
        <v>78</v>
      </c>
      <c r="C95" s="32" t="s">
        <v>353</v>
      </c>
      <c r="D95" s="32" t="s">
        <v>354</v>
      </c>
      <c r="E95" s="17" t="s">
        <v>222</v>
      </c>
      <c r="F95" s="17" t="s">
        <v>362</v>
      </c>
      <c r="G95" s="17" t="s">
        <v>217</v>
      </c>
      <c r="H95" s="17" t="s">
        <v>148</v>
      </c>
      <c r="I95" s="19" t="n">
        <v>10</v>
      </c>
      <c r="J95" s="33" t="n">
        <v>1.084</v>
      </c>
      <c r="K95" s="20" t="n">
        <f aca="false">IF(I95=0,0,IF(L95="Rs./km",MROUND(IF(H95="Petrol",'Fuel &amp; Inputs'!$C$5,'Fuel &amp; Inputs'!$C$4)/I95*J95,1),MROUND(I95*J95*IF(H95="Petrol",'Fuel &amp; Inputs'!$C$5,'Fuel &amp; Inputs'!$C$4),10)))</f>
        <v>4140</v>
      </c>
      <c r="L95" s="17" t="s">
        <v>149</v>
      </c>
      <c r="M95" s="21" t="n">
        <v>1600</v>
      </c>
      <c r="N95" s="20" t="n">
        <f aca="false">MROUND(M95+'Fuel &amp; Inputs'!$C$13,50)</f>
        <v>2400</v>
      </c>
      <c r="O95" s="21" t="n">
        <v>3200</v>
      </c>
      <c r="P95" s="20" t="n">
        <f aca="false">MROUND(M95*'Fuel &amp; Inputs'!$C$19*'Fuel &amp; Inputs'!$C$21,100)</f>
        <v>6100</v>
      </c>
      <c r="Q95" s="20" t="n">
        <f aca="false">MROUND(N95*'Fuel &amp; Inputs'!$C$19*'Fuel &amp; Inputs'!$C$21,100)</f>
        <v>9100</v>
      </c>
      <c r="R95" s="20" t="n">
        <f aca="false">MROUND(O95*'Fuel &amp; Inputs'!$C$19*'Fuel &amp; Inputs'!$C$21,100)</f>
        <v>12200</v>
      </c>
      <c r="S95" s="20" t="n">
        <f aca="false">MROUND(M95*'Fuel &amp; Inputs'!$C$20*'Fuel &amp; Inputs'!$C$22,500)</f>
        <v>163000</v>
      </c>
      <c r="T95" s="20" t="n">
        <f aca="false">MROUND(N95*'Fuel &amp; Inputs'!$C$20*'Fuel &amp; Inputs'!$C$22,500)</f>
        <v>245000</v>
      </c>
      <c r="U95" s="20" t="n">
        <f aca="false">MROUND(O95*'Fuel &amp; Inputs'!$C$20*'Fuel &amp; Inputs'!$C$22,500)</f>
        <v>326500</v>
      </c>
    </row>
    <row r="96" customFormat="false" ht="15" hidden="false" customHeight="false" outlineLevel="0" collapsed="false">
      <c r="A96" s="23" t="n">
        <v>86</v>
      </c>
      <c r="B96" s="34" t="s">
        <v>78</v>
      </c>
      <c r="C96" s="34" t="s">
        <v>324</v>
      </c>
      <c r="D96" s="34" t="s">
        <v>217</v>
      </c>
      <c r="E96" s="23" t="s">
        <v>160</v>
      </c>
      <c r="F96" s="23" t="s">
        <v>363</v>
      </c>
      <c r="G96" s="23" t="s">
        <v>217</v>
      </c>
      <c r="H96" s="23" t="s">
        <v>148</v>
      </c>
      <c r="I96" s="25" t="n">
        <v>10</v>
      </c>
      <c r="J96" s="35" t="n">
        <v>1.098</v>
      </c>
      <c r="K96" s="26" t="n">
        <f aca="false">IF(I96=0,0,IF(L96="Rs./km",MROUND(IF(H96="Petrol",'Fuel &amp; Inputs'!$C$5,'Fuel &amp; Inputs'!$C$4)/I96*J96,1),MROUND(I96*J96*IF(H96="Petrol",'Fuel &amp; Inputs'!$C$5,'Fuel &amp; Inputs'!$C$4),10)))</f>
        <v>4190</v>
      </c>
      <c r="L96" s="23" t="s">
        <v>149</v>
      </c>
      <c r="M96" s="27" t="n">
        <v>1600</v>
      </c>
      <c r="N96" s="26" t="n">
        <f aca="false">MROUND(M96+'Fuel &amp; Inputs'!$C$13,50)</f>
        <v>2400</v>
      </c>
      <c r="O96" s="27" t="n">
        <v>3200</v>
      </c>
      <c r="P96" s="26" t="n">
        <f aca="false">MROUND(M96*'Fuel &amp; Inputs'!$C$19*'Fuel &amp; Inputs'!$C$21,100)</f>
        <v>6100</v>
      </c>
      <c r="Q96" s="26" t="n">
        <f aca="false">MROUND(N96*'Fuel &amp; Inputs'!$C$19*'Fuel &amp; Inputs'!$C$21,100)</f>
        <v>9100</v>
      </c>
      <c r="R96" s="26" t="n">
        <f aca="false">MROUND(O96*'Fuel &amp; Inputs'!$C$19*'Fuel &amp; Inputs'!$C$21,100)</f>
        <v>12200</v>
      </c>
      <c r="S96" s="26" t="n">
        <f aca="false">MROUND(M96*'Fuel &amp; Inputs'!$C$20*'Fuel &amp; Inputs'!$C$22,500)</f>
        <v>163000</v>
      </c>
      <c r="T96" s="26" t="n">
        <f aca="false">MROUND(N96*'Fuel &amp; Inputs'!$C$20*'Fuel &amp; Inputs'!$C$22,500)</f>
        <v>245000</v>
      </c>
      <c r="U96" s="26" t="n">
        <f aca="false">MROUND(O96*'Fuel &amp; Inputs'!$C$20*'Fuel &amp; Inputs'!$C$22,500)</f>
        <v>326500</v>
      </c>
    </row>
    <row r="97" customFormat="false" ht="15" hidden="false" customHeight="false" outlineLevel="0" collapsed="false">
      <c r="A97" s="17" t="n">
        <v>87</v>
      </c>
      <c r="B97" s="32" t="s">
        <v>78</v>
      </c>
      <c r="C97" s="32" t="s">
        <v>346</v>
      </c>
      <c r="D97" s="32" t="s">
        <v>217</v>
      </c>
      <c r="E97" s="17" t="s">
        <v>165</v>
      </c>
      <c r="F97" s="17" t="s">
        <v>364</v>
      </c>
      <c r="G97" s="17" t="s">
        <v>217</v>
      </c>
      <c r="H97" s="17" t="s">
        <v>148</v>
      </c>
      <c r="I97" s="19" t="n">
        <v>10</v>
      </c>
      <c r="J97" s="33" t="n">
        <v>1.077</v>
      </c>
      <c r="K97" s="20" t="n">
        <f aca="false">IF(I97=0,0,IF(L97="Rs./km",MROUND(IF(H97="Petrol",'Fuel &amp; Inputs'!$C$5,'Fuel &amp; Inputs'!$C$4)/I97*J97,1),MROUND(I97*J97*IF(H97="Petrol",'Fuel &amp; Inputs'!$C$5,'Fuel &amp; Inputs'!$C$4),10)))</f>
        <v>4110</v>
      </c>
      <c r="L97" s="17" t="s">
        <v>149</v>
      </c>
      <c r="M97" s="21" t="n">
        <v>1600</v>
      </c>
      <c r="N97" s="20" t="n">
        <f aca="false">MROUND(M97+'Fuel &amp; Inputs'!$C$13,50)</f>
        <v>2400</v>
      </c>
      <c r="O97" s="21" t="n">
        <v>3200</v>
      </c>
      <c r="P97" s="20" t="n">
        <f aca="false">MROUND(M97*'Fuel &amp; Inputs'!$C$19*'Fuel &amp; Inputs'!$C$21,100)</f>
        <v>6100</v>
      </c>
      <c r="Q97" s="20" t="n">
        <f aca="false">MROUND(N97*'Fuel &amp; Inputs'!$C$19*'Fuel &amp; Inputs'!$C$21,100)</f>
        <v>9100</v>
      </c>
      <c r="R97" s="20" t="n">
        <f aca="false">MROUND(O97*'Fuel &amp; Inputs'!$C$19*'Fuel &amp; Inputs'!$C$21,100)</f>
        <v>12200</v>
      </c>
      <c r="S97" s="20" t="n">
        <f aca="false">MROUND(M97*'Fuel &amp; Inputs'!$C$20*'Fuel &amp; Inputs'!$C$22,500)</f>
        <v>163000</v>
      </c>
      <c r="T97" s="20" t="n">
        <f aca="false">MROUND(N97*'Fuel &amp; Inputs'!$C$20*'Fuel &amp; Inputs'!$C$22,500)</f>
        <v>245000</v>
      </c>
      <c r="U97" s="20" t="n">
        <f aca="false">MROUND(O97*'Fuel &amp; Inputs'!$C$20*'Fuel &amp; Inputs'!$C$22,500)</f>
        <v>326500</v>
      </c>
    </row>
    <row r="98" customFormat="false" ht="15" hidden="false" customHeight="false" outlineLevel="0" collapsed="false">
      <c r="A98" s="23" t="n">
        <v>88</v>
      </c>
      <c r="B98" s="34" t="s">
        <v>78</v>
      </c>
      <c r="C98" s="34" t="s">
        <v>346</v>
      </c>
      <c r="D98" s="34" t="s">
        <v>365</v>
      </c>
      <c r="E98" s="23" t="s">
        <v>228</v>
      </c>
      <c r="F98" s="23" t="s">
        <v>366</v>
      </c>
      <c r="G98" s="23" t="s">
        <v>217</v>
      </c>
      <c r="H98" s="23" t="s">
        <v>148</v>
      </c>
      <c r="I98" s="25" t="n">
        <v>10</v>
      </c>
      <c r="J98" s="35" t="n">
        <v>1.091</v>
      </c>
      <c r="K98" s="26" t="n">
        <f aca="false">IF(I98=0,0,IF(L98="Rs./km",MROUND(IF(H98="Petrol",'Fuel &amp; Inputs'!$C$5,'Fuel &amp; Inputs'!$C$4)/I98*J98,1),MROUND(I98*J98*IF(H98="Petrol",'Fuel &amp; Inputs'!$C$5,'Fuel &amp; Inputs'!$C$4),10)))</f>
        <v>4170</v>
      </c>
      <c r="L98" s="23" t="s">
        <v>149</v>
      </c>
      <c r="M98" s="27" t="n">
        <v>1600</v>
      </c>
      <c r="N98" s="26" t="n">
        <f aca="false">MROUND(M98+'Fuel &amp; Inputs'!$C$13,50)</f>
        <v>2400</v>
      </c>
      <c r="O98" s="27" t="n">
        <v>3200</v>
      </c>
      <c r="P98" s="26" t="n">
        <f aca="false">MROUND(M98*'Fuel &amp; Inputs'!$C$19*'Fuel &amp; Inputs'!$C$21,100)</f>
        <v>6100</v>
      </c>
      <c r="Q98" s="26" t="n">
        <f aca="false">MROUND(N98*'Fuel &amp; Inputs'!$C$19*'Fuel &amp; Inputs'!$C$21,100)</f>
        <v>9100</v>
      </c>
      <c r="R98" s="26" t="n">
        <f aca="false">MROUND(O98*'Fuel &amp; Inputs'!$C$19*'Fuel &amp; Inputs'!$C$21,100)</f>
        <v>12200</v>
      </c>
      <c r="S98" s="26" t="n">
        <f aca="false">MROUND(M98*'Fuel &amp; Inputs'!$C$20*'Fuel &amp; Inputs'!$C$22,500)</f>
        <v>163000</v>
      </c>
      <c r="T98" s="26" t="n">
        <f aca="false">MROUND(N98*'Fuel &amp; Inputs'!$C$20*'Fuel &amp; Inputs'!$C$22,500)</f>
        <v>245000</v>
      </c>
      <c r="U98" s="26" t="n">
        <f aca="false">MROUND(O98*'Fuel &amp; Inputs'!$C$20*'Fuel &amp; Inputs'!$C$22,500)</f>
        <v>326500</v>
      </c>
    </row>
    <row r="99" customFormat="false" ht="15" hidden="false" customHeight="false" outlineLevel="0" collapsed="false">
      <c r="A99" s="17" t="n">
        <v>89</v>
      </c>
      <c r="B99" s="32" t="s">
        <v>78</v>
      </c>
      <c r="C99" s="32" t="s">
        <v>346</v>
      </c>
      <c r="D99" s="32" t="s">
        <v>365</v>
      </c>
      <c r="E99" s="17" t="s">
        <v>228</v>
      </c>
      <c r="F99" s="17" t="s">
        <v>367</v>
      </c>
      <c r="G99" s="17" t="s">
        <v>217</v>
      </c>
      <c r="H99" s="17" t="s">
        <v>148</v>
      </c>
      <c r="I99" s="19" t="n">
        <v>10</v>
      </c>
      <c r="J99" s="33" t="n">
        <v>1.091</v>
      </c>
      <c r="K99" s="20" t="n">
        <f aca="false">IF(I99=0,0,IF(L99="Rs./km",MROUND(IF(H99="Petrol",'Fuel &amp; Inputs'!$C$5,'Fuel &amp; Inputs'!$C$4)/I99*J99,1),MROUND(I99*J99*IF(H99="Petrol",'Fuel &amp; Inputs'!$C$5,'Fuel &amp; Inputs'!$C$4),10)))</f>
        <v>4170</v>
      </c>
      <c r="L99" s="17" t="s">
        <v>149</v>
      </c>
      <c r="M99" s="21" t="n">
        <v>1600</v>
      </c>
      <c r="N99" s="20" t="n">
        <f aca="false">MROUND(M99+'Fuel &amp; Inputs'!$C$13,50)</f>
        <v>2400</v>
      </c>
      <c r="O99" s="21" t="n">
        <v>3200</v>
      </c>
      <c r="P99" s="20" t="n">
        <f aca="false">MROUND(M99*'Fuel &amp; Inputs'!$C$19*'Fuel &amp; Inputs'!$C$21,100)</f>
        <v>6100</v>
      </c>
      <c r="Q99" s="20" t="n">
        <f aca="false">MROUND(N99*'Fuel &amp; Inputs'!$C$19*'Fuel &amp; Inputs'!$C$21,100)</f>
        <v>9100</v>
      </c>
      <c r="R99" s="20" t="n">
        <f aca="false">MROUND(O99*'Fuel &amp; Inputs'!$C$19*'Fuel &amp; Inputs'!$C$21,100)</f>
        <v>12200</v>
      </c>
      <c r="S99" s="20" t="n">
        <f aca="false">MROUND(M99*'Fuel &amp; Inputs'!$C$20*'Fuel &amp; Inputs'!$C$22,500)</f>
        <v>163000</v>
      </c>
      <c r="T99" s="20" t="n">
        <f aca="false">MROUND(N99*'Fuel &amp; Inputs'!$C$20*'Fuel &amp; Inputs'!$C$22,500)</f>
        <v>245000</v>
      </c>
      <c r="U99" s="20" t="n">
        <f aca="false">MROUND(O99*'Fuel &amp; Inputs'!$C$20*'Fuel &amp; Inputs'!$C$22,500)</f>
        <v>326500</v>
      </c>
    </row>
    <row r="100" customFormat="false" ht="15" hidden="false" customHeight="false" outlineLevel="0" collapsed="false">
      <c r="A100" s="23" t="n">
        <v>90</v>
      </c>
      <c r="B100" s="34" t="s">
        <v>78</v>
      </c>
      <c r="C100" s="34" t="s">
        <v>346</v>
      </c>
      <c r="D100" s="34" t="s">
        <v>351</v>
      </c>
      <c r="E100" s="23" t="s">
        <v>228</v>
      </c>
      <c r="F100" s="23" t="s">
        <v>368</v>
      </c>
      <c r="G100" s="23" t="s">
        <v>217</v>
      </c>
      <c r="H100" s="23" t="s">
        <v>148</v>
      </c>
      <c r="I100" s="25" t="n">
        <v>10</v>
      </c>
      <c r="J100" s="35" t="n">
        <v>1.091</v>
      </c>
      <c r="K100" s="26" t="n">
        <f aca="false">IF(I100=0,0,IF(L100="Rs./km",MROUND(IF(H100="Petrol",'Fuel &amp; Inputs'!$C$5,'Fuel &amp; Inputs'!$C$4)/I100*J100,1),MROUND(I100*J100*IF(H100="Petrol",'Fuel &amp; Inputs'!$C$5,'Fuel &amp; Inputs'!$C$4),10)))</f>
        <v>4170</v>
      </c>
      <c r="L100" s="23" t="s">
        <v>149</v>
      </c>
      <c r="M100" s="27" t="n">
        <v>1600</v>
      </c>
      <c r="N100" s="26" t="n">
        <f aca="false">MROUND(M100+'Fuel &amp; Inputs'!$C$13,50)</f>
        <v>2400</v>
      </c>
      <c r="O100" s="27" t="n">
        <v>3200</v>
      </c>
      <c r="P100" s="26" t="n">
        <f aca="false">MROUND(M100*'Fuel &amp; Inputs'!$C$19*'Fuel &amp; Inputs'!$C$21,100)</f>
        <v>6100</v>
      </c>
      <c r="Q100" s="26" t="n">
        <f aca="false">MROUND(N100*'Fuel &amp; Inputs'!$C$19*'Fuel &amp; Inputs'!$C$21,100)</f>
        <v>9100</v>
      </c>
      <c r="R100" s="26" t="n">
        <f aca="false">MROUND(O100*'Fuel &amp; Inputs'!$C$19*'Fuel &amp; Inputs'!$C$21,100)</f>
        <v>12200</v>
      </c>
      <c r="S100" s="26" t="n">
        <f aca="false">MROUND(M100*'Fuel &amp; Inputs'!$C$20*'Fuel &amp; Inputs'!$C$22,500)</f>
        <v>163000</v>
      </c>
      <c r="T100" s="26" t="n">
        <f aca="false">MROUND(N100*'Fuel &amp; Inputs'!$C$20*'Fuel &amp; Inputs'!$C$22,500)</f>
        <v>245000</v>
      </c>
      <c r="U100" s="26" t="n">
        <f aca="false">MROUND(O100*'Fuel &amp; Inputs'!$C$20*'Fuel &amp; Inputs'!$C$22,500)</f>
        <v>326500</v>
      </c>
    </row>
    <row r="101" customFormat="false" ht="15" hidden="false" customHeight="false" outlineLevel="0" collapsed="false">
      <c r="A101" s="17" t="n">
        <v>91</v>
      </c>
      <c r="B101" s="32" t="s">
        <v>78</v>
      </c>
      <c r="C101" s="32" t="s">
        <v>346</v>
      </c>
      <c r="D101" s="32" t="s">
        <v>351</v>
      </c>
      <c r="E101" s="17" t="s">
        <v>228</v>
      </c>
      <c r="F101" s="17" t="s">
        <v>369</v>
      </c>
      <c r="G101" s="17" t="s">
        <v>217</v>
      </c>
      <c r="H101" s="17" t="s">
        <v>148</v>
      </c>
      <c r="I101" s="19" t="n">
        <v>10</v>
      </c>
      <c r="J101" s="33" t="n">
        <v>1.091</v>
      </c>
      <c r="K101" s="20" t="n">
        <f aca="false">IF(I101=0,0,IF(L101="Rs./km",MROUND(IF(H101="Petrol",'Fuel &amp; Inputs'!$C$5,'Fuel &amp; Inputs'!$C$4)/I101*J101,1),MROUND(I101*J101*IF(H101="Petrol",'Fuel &amp; Inputs'!$C$5,'Fuel &amp; Inputs'!$C$4),10)))</f>
        <v>4170</v>
      </c>
      <c r="L101" s="17" t="s">
        <v>149</v>
      </c>
      <c r="M101" s="21" t="n">
        <v>1600</v>
      </c>
      <c r="N101" s="20" t="n">
        <f aca="false">MROUND(M101+'Fuel &amp; Inputs'!$C$13,50)</f>
        <v>2400</v>
      </c>
      <c r="O101" s="21" t="n">
        <v>3200</v>
      </c>
      <c r="P101" s="20" t="n">
        <f aca="false">MROUND(M101*'Fuel &amp; Inputs'!$C$19*'Fuel &amp; Inputs'!$C$21,100)</f>
        <v>6100</v>
      </c>
      <c r="Q101" s="20" t="n">
        <f aca="false">MROUND(N101*'Fuel &amp; Inputs'!$C$19*'Fuel &amp; Inputs'!$C$21,100)</f>
        <v>9100</v>
      </c>
      <c r="R101" s="20" t="n">
        <f aca="false">MROUND(O101*'Fuel &amp; Inputs'!$C$19*'Fuel &amp; Inputs'!$C$21,100)</f>
        <v>12200</v>
      </c>
      <c r="S101" s="20" t="n">
        <f aca="false">MROUND(M101*'Fuel &amp; Inputs'!$C$20*'Fuel &amp; Inputs'!$C$22,500)</f>
        <v>163000</v>
      </c>
      <c r="T101" s="20" t="n">
        <f aca="false">MROUND(N101*'Fuel &amp; Inputs'!$C$20*'Fuel &amp; Inputs'!$C$22,500)</f>
        <v>245000</v>
      </c>
      <c r="U101" s="20" t="n">
        <f aca="false">MROUND(O101*'Fuel &amp; Inputs'!$C$20*'Fuel &amp; Inputs'!$C$22,500)</f>
        <v>326500</v>
      </c>
    </row>
    <row r="102" customFormat="false" ht="15" hidden="false" customHeight="false" outlineLevel="0" collapsed="false">
      <c r="A102" s="23" t="n">
        <v>92</v>
      </c>
      <c r="B102" s="34" t="s">
        <v>78</v>
      </c>
      <c r="C102" s="34" t="s">
        <v>235</v>
      </c>
      <c r="D102" s="34" t="s">
        <v>370</v>
      </c>
      <c r="E102" s="23" t="s">
        <v>228</v>
      </c>
      <c r="F102" s="23" t="s">
        <v>371</v>
      </c>
      <c r="G102" s="23" t="s">
        <v>217</v>
      </c>
      <c r="H102" s="23" t="s">
        <v>148</v>
      </c>
      <c r="I102" s="25" t="n">
        <v>10</v>
      </c>
      <c r="J102" s="35" t="n">
        <v>1.091</v>
      </c>
      <c r="K102" s="26" t="n">
        <f aca="false">IF(I102=0,0,IF(L102="Rs./km",MROUND(IF(H102="Petrol",'Fuel &amp; Inputs'!$C$5,'Fuel &amp; Inputs'!$C$4)/I102*J102,1),MROUND(I102*J102*IF(H102="Petrol",'Fuel &amp; Inputs'!$C$5,'Fuel &amp; Inputs'!$C$4),10)))</f>
        <v>4170</v>
      </c>
      <c r="L102" s="23" t="s">
        <v>149</v>
      </c>
      <c r="M102" s="27" t="n">
        <v>1600</v>
      </c>
      <c r="N102" s="26" t="n">
        <f aca="false">MROUND(M102+'Fuel &amp; Inputs'!$C$13,50)</f>
        <v>2400</v>
      </c>
      <c r="O102" s="27" t="n">
        <v>3200</v>
      </c>
      <c r="P102" s="26" t="n">
        <f aca="false">MROUND(M102*'Fuel &amp; Inputs'!$C$19*'Fuel &amp; Inputs'!$C$21,100)</f>
        <v>6100</v>
      </c>
      <c r="Q102" s="26" t="n">
        <f aca="false">MROUND(N102*'Fuel &amp; Inputs'!$C$19*'Fuel &amp; Inputs'!$C$21,100)</f>
        <v>9100</v>
      </c>
      <c r="R102" s="26" t="n">
        <f aca="false">MROUND(O102*'Fuel &amp; Inputs'!$C$19*'Fuel &amp; Inputs'!$C$21,100)</f>
        <v>12200</v>
      </c>
      <c r="S102" s="26" t="n">
        <f aca="false">MROUND(M102*'Fuel &amp; Inputs'!$C$20*'Fuel &amp; Inputs'!$C$22,500)</f>
        <v>163000</v>
      </c>
      <c r="T102" s="26" t="n">
        <f aca="false">MROUND(N102*'Fuel &amp; Inputs'!$C$20*'Fuel &amp; Inputs'!$C$22,500)</f>
        <v>245000</v>
      </c>
      <c r="U102" s="26" t="n">
        <f aca="false">MROUND(O102*'Fuel &amp; Inputs'!$C$20*'Fuel &amp; Inputs'!$C$22,500)</f>
        <v>326500</v>
      </c>
    </row>
    <row r="103" customFormat="false" ht="15" hidden="false" customHeight="false" outlineLevel="0" collapsed="false">
      <c r="A103" s="17" t="n">
        <v>93</v>
      </c>
      <c r="B103" s="32" t="s">
        <v>78</v>
      </c>
      <c r="C103" s="32" t="s">
        <v>306</v>
      </c>
      <c r="D103" s="32" t="s">
        <v>372</v>
      </c>
      <c r="E103" s="17" t="s">
        <v>228</v>
      </c>
      <c r="F103" s="17" t="s">
        <v>373</v>
      </c>
      <c r="G103" s="17" t="s">
        <v>217</v>
      </c>
      <c r="H103" s="17" t="s">
        <v>148</v>
      </c>
      <c r="I103" s="19" t="n">
        <v>10</v>
      </c>
      <c r="J103" s="33" t="n">
        <v>1.091</v>
      </c>
      <c r="K103" s="20" t="n">
        <f aca="false">IF(I103=0,0,IF(L103="Rs./km",MROUND(IF(H103="Petrol",'Fuel &amp; Inputs'!$C$5,'Fuel &amp; Inputs'!$C$4)/I103*J103,1),MROUND(I103*J103*IF(H103="Petrol",'Fuel &amp; Inputs'!$C$5,'Fuel &amp; Inputs'!$C$4),10)))</f>
        <v>4170</v>
      </c>
      <c r="L103" s="17" t="s">
        <v>149</v>
      </c>
      <c r="M103" s="21" t="n">
        <v>1600</v>
      </c>
      <c r="N103" s="20" t="n">
        <f aca="false">MROUND(M103+'Fuel &amp; Inputs'!$C$13,50)</f>
        <v>2400</v>
      </c>
      <c r="O103" s="21" t="n">
        <v>3200</v>
      </c>
      <c r="P103" s="20" t="n">
        <f aca="false">MROUND(M103*'Fuel &amp; Inputs'!$C$19*'Fuel &amp; Inputs'!$C$21,100)</f>
        <v>6100</v>
      </c>
      <c r="Q103" s="20" t="n">
        <f aca="false">MROUND(N103*'Fuel &amp; Inputs'!$C$19*'Fuel &amp; Inputs'!$C$21,100)</f>
        <v>9100</v>
      </c>
      <c r="R103" s="20" t="n">
        <f aca="false">MROUND(O103*'Fuel &amp; Inputs'!$C$19*'Fuel &amp; Inputs'!$C$21,100)</f>
        <v>12200</v>
      </c>
      <c r="S103" s="20" t="n">
        <f aca="false">MROUND(M103*'Fuel &amp; Inputs'!$C$20*'Fuel &amp; Inputs'!$C$22,500)</f>
        <v>163000</v>
      </c>
      <c r="T103" s="20" t="n">
        <f aca="false">MROUND(N103*'Fuel &amp; Inputs'!$C$20*'Fuel &amp; Inputs'!$C$22,500)</f>
        <v>245000</v>
      </c>
      <c r="U103" s="20" t="n">
        <f aca="false">MROUND(O103*'Fuel &amp; Inputs'!$C$20*'Fuel &amp; Inputs'!$C$22,500)</f>
        <v>326500</v>
      </c>
    </row>
    <row r="104" customFormat="false" ht="15" hidden="false" customHeight="false" outlineLevel="0" collapsed="false">
      <c r="A104" s="23" t="n">
        <v>94</v>
      </c>
      <c r="B104" s="34" t="s">
        <v>78</v>
      </c>
      <c r="C104" s="34" t="s">
        <v>306</v>
      </c>
      <c r="D104" s="34" t="s">
        <v>374</v>
      </c>
      <c r="E104" s="23" t="s">
        <v>228</v>
      </c>
      <c r="F104" s="23" t="s">
        <v>375</v>
      </c>
      <c r="G104" s="23" t="s">
        <v>217</v>
      </c>
      <c r="H104" s="23" t="s">
        <v>148</v>
      </c>
      <c r="I104" s="25" t="n">
        <v>10</v>
      </c>
      <c r="J104" s="35" t="n">
        <v>1.091</v>
      </c>
      <c r="K104" s="26" t="n">
        <f aca="false">IF(I104=0,0,IF(L104="Rs./km",MROUND(IF(H104="Petrol",'Fuel &amp; Inputs'!$C$5,'Fuel &amp; Inputs'!$C$4)/I104*J104,1),MROUND(I104*J104*IF(H104="Petrol",'Fuel &amp; Inputs'!$C$5,'Fuel &amp; Inputs'!$C$4),10)))</f>
        <v>4170</v>
      </c>
      <c r="L104" s="23" t="s">
        <v>149</v>
      </c>
      <c r="M104" s="27" t="n">
        <v>1600</v>
      </c>
      <c r="N104" s="26" t="n">
        <f aca="false">MROUND(M104+'Fuel &amp; Inputs'!$C$13,50)</f>
        <v>2400</v>
      </c>
      <c r="O104" s="27" t="n">
        <v>3200</v>
      </c>
      <c r="P104" s="26" t="n">
        <f aca="false">MROUND(M104*'Fuel &amp; Inputs'!$C$19*'Fuel &amp; Inputs'!$C$21,100)</f>
        <v>6100</v>
      </c>
      <c r="Q104" s="26" t="n">
        <f aca="false">MROUND(N104*'Fuel &amp; Inputs'!$C$19*'Fuel &amp; Inputs'!$C$21,100)</f>
        <v>9100</v>
      </c>
      <c r="R104" s="26" t="n">
        <f aca="false">MROUND(O104*'Fuel &amp; Inputs'!$C$19*'Fuel &amp; Inputs'!$C$21,100)</f>
        <v>12200</v>
      </c>
      <c r="S104" s="26" t="n">
        <f aca="false">MROUND(M104*'Fuel &amp; Inputs'!$C$20*'Fuel &amp; Inputs'!$C$22,500)</f>
        <v>163000</v>
      </c>
      <c r="T104" s="26" t="n">
        <f aca="false">MROUND(N104*'Fuel &amp; Inputs'!$C$20*'Fuel &amp; Inputs'!$C$22,500)</f>
        <v>245000</v>
      </c>
      <c r="U104" s="26" t="n">
        <f aca="false">MROUND(O104*'Fuel &amp; Inputs'!$C$20*'Fuel &amp; Inputs'!$C$22,500)</f>
        <v>326500</v>
      </c>
    </row>
    <row r="105" customFormat="false" ht="15" hidden="false" customHeight="false" outlineLevel="0" collapsed="false">
      <c r="A105" s="17" t="n">
        <v>95</v>
      </c>
      <c r="B105" s="32" t="s">
        <v>78</v>
      </c>
      <c r="C105" s="32" t="s">
        <v>321</v>
      </c>
      <c r="D105" s="32" t="s">
        <v>376</v>
      </c>
      <c r="E105" s="17" t="s">
        <v>228</v>
      </c>
      <c r="F105" s="17" t="s">
        <v>377</v>
      </c>
      <c r="G105" s="17" t="s">
        <v>217</v>
      </c>
      <c r="H105" s="17" t="s">
        <v>148</v>
      </c>
      <c r="I105" s="19" t="n">
        <v>10</v>
      </c>
      <c r="J105" s="33" t="n">
        <v>1.091</v>
      </c>
      <c r="K105" s="20" t="n">
        <f aca="false">IF(I105=0,0,IF(L105="Rs./km",MROUND(IF(H105="Petrol",'Fuel &amp; Inputs'!$C$5,'Fuel &amp; Inputs'!$C$4)/I105*J105,1),MROUND(I105*J105*IF(H105="Petrol",'Fuel &amp; Inputs'!$C$5,'Fuel &amp; Inputs'!$C$4),10)))</f>
        <v>4170</v>
      </c>
      <c r="L105" s="17" t="s">
        <v>149</v>
      </c>
      <c r="M105" s="21" t="n">
        <v>1600</v>
      </c>
      <c r="N105" s="20" t="n">
        <f aca="false">MROUND(M105+'Fuel &amp; Inputs'!$C$13,50)</f>
        <v>2400</v>
      </c>
      <c r="O105" s="21" t="n">
        <v>3200</v>
      </c>
      <c r="P105" s="20" t="n">
        <f aca="false">MROUND(M105*'Fuel &amp; Inputs'!$C$19*'Fuel &amp; Inputs'!$C$21,100)</f>
        <v>6100</v>
      </c>
      <c r="Q105" s="20" t="n">
        <f aca="false">MROUND(N105*'Fuel &amp; Inputs'!$C$19*'Fuel &amp; Inputs'!$C$21,100)</f>
        <v>9100</v>
      </c>
      <c r="R105" s="20" t="n">
        <f aca="false">MROUND(O105*'Fuel &amp; Inputs'!$C$19*'Fuel &amp; Inputs'!$C$21,100)</f>
        <v>12200</v>
      </c>
      <c r="S105" s="20" t="n">
        <f aca="false">MROUND(M105*'Fuel &amp; Inputs'!$C$20*'Fuel &amp; Inputs'!$C$22,500)</f>
        <v>163000</v>
      </c>
      <c r="T105" s="20" t="n">
        <f aca="false">MROUND(N105*'Fuel &amp; Inputs'!$C$20*'Fuel &amp; Inputs'!$C$22,500)</f>
        <v>245000</v>
      </c>
      <c r="U105" s="20" t="n">
        <f aca="false">MROUND(O105*'Fuel &amp; Inputs'!$C$20*'Fuel &amp; Inputs'!$C$22,500)</f>
        <v>326500</v>
      </c>
    </row>
    <row r="106" customFormat="false" ht="15" hidden="false" customHeight="false" outlineLevel="0" collapsed="false">
      <c r="A106" s="23" t="n">
        <v>96</v>
      </c>
      <c r="B106" s="34" t="s">
        <v>78</v>
      </c>
      <c r="C106" s="34" t="s">
        <v>378</v>
      </c>
      <c r="D106" s="34" t="s">
        <v>217</v>
      </c>
      <c r="E106" s="23" t="s">
        <v>160</v>
      </c>
      <c r="F106" s="23" t="s">
        <v>379</v>
      </c>
      <c r="G106" s="23" t="s">
        <v>217</v>
      </c>
      <c r="H106" s="23" t="s">
        <v>148</v>
      </c>
      <c r="I106" s="25" t="n">
        <v>10</v>
      </c>
      <c r="J106" s="35" t="n">
        <v>1.098</v>
      </c>
      <c r="K106" s="26" t="n">
        <f aca="false">IF(I106=0,0,IF(L106="Rs./km",MROUND(IF(H106="Petrol",'Fuel &amp; Inputs'!$C$5,'Fuel &amp; Inputs'!$C$4)/I106*J106,1),MROUND(I106*J106*IF(H106="Petrol",'Fuel &amp; Inputs'!$C$5,'Fuel &amp; Inputs'!$C$4),10)))</f>
        <v>4190</v>
      </c>
      <c r="L106" s="23" t="s">
        <v>149</v>
      </c>
      <c r="M106" s="27" t="n">
        <v>1600</v>
      </c>
      <c r="N106" s="26" t="n">
        <f aca="false">MROUND(M106+'Fuel &amp; Inputs'!$C$13,50)</f>
        <v>2400</v>
      </c>
      <c r="O106" s="27" t="n">
        <v>3200</v>
      </c>
      <c r="P106" s="26" t="n">
        <f aca="false">MROUND(M106*'Fuel &amp; Inputs'!$C$19*'Fuel &amp; Inputs'!$C$21,100)</f>
        <v>6100</v>
      </c>
      <c r="Q106" s="26" t="n">
        <f aca="false">MROUND(N106*'Fuel &amp; Inputs'!$C$19*'Fuel &amp; Inputs'!$C$21,100)</f>
        <v>9100</v>
      </c>
      <c r="R106" s="26" t="n">
        <f aca="false">MROUND(O106*'Fuel &amp; Inputs'!$C$19*'Fuel &amp; Inputs'!$C$21,100)</f>
        <v>12200</v>
      </c>
      <c r="S106" s="26" t="n">
        <f aca="false">MROUND(M106*'Fuel &amp; Inputs'!$C$20*'Fuel &amp; Inputs'!$C$22,500)</f>
        <v>163000</v>
      </c>
      <c r="T106" s="26" t="n">
        <f aca="false">MROUND(N106*'Fuel &amp; Inputs'!$C$20*'Fuel &amp; Inputs'!$C$22,500)</f>
        <v>245000</v>
      </c>
      <c r="U106" s="26" t="n">
        <f aca="false">MROUND(O106*'Fuel &amp; Inputs'!$C$20*'Fuel &amp; Inputs'!$C$22,500)</f>
        <v>326500</v>
      </c>
    </row>
    <row r="107" customFormat="false" ht="15" hidden="false" customHeight="false" outlineLevel="0" collapsed="false">
      <c r="A107" s="17" t="n">
        <v>97</v>
      </c>
      <c r="B107" s="32" t="s">
        <v>78</v>
      </c>
      <c r="C107" s="32" t="s">
        <v>346</v>
      </c>
      <c r="D107" s="32" t="s">
        <v>217</v>
      </c>
      <c r="E107" s="17" t="s">
        <v>228</v>
      </c>
      <c r="F107" s="17" t="s">
        <v>380</v>
      </c>
      <c r="G107" s="17" t="s">
        <v>217</v>
      </c>
      <c r="H107" s="17" t="s">
        <v>148</v>
      </c>
      <c r="I107" s="19" t="n">
        <v>10</v>
      </c>
      <c r="J107" s="33" t="n">
        <v>1.091</v>
      </c>
      <c r="K107" s="20" t="n">
        <f aca="false">IF(I107=0,0,IF(L107="Rs./km",MROUND(IF(H107="Petrol",'Fuel &amp; Inputs'!$C$5,'Fuel &amp; Inputs'!$C$4)/I107*J107,1),MROUND(I107*J107*IF(H107="Petrol",'Fuel &amp; Inputs'!$C$5,'Fuel &amp; Inputs'!$C$4),10)))</f>
        <v>4170</v>
      </c>
      <c r="L107" s="17" t="s">
        <v>149</v>
      </c>
      <c r="M107" s="21" t="n">
        <v>1600</v>
      </c>
      <c r="N107" s="20" t="n">
        <f aca="false">MROUND(M107+'Fuel &amp; Inputs'!$C$13,50)</f>
        <v>2400</v>
      </c>
      <c r="O107" s="21" t="n">
        <v>3200</v>
      </c>
      <c r="P107" s="20" t="n">
        <f aca="false">MROUND(M107*'Fuel &amp; Inputs'!$C$19*'Fuel &amp; Inputs'!$C$21,100)</f>
        <v>6100</v>
      </c>
      <c r="Q107" s="20" t="n">
        <f aca="false">MROUND(N107*'Fuel &amp; Inputs'!$C$19*'Fuel &amp; Inputs'!$C$21,100)</f>
        <v>9100</v>
      </c>
      <c r="R107" s="20" t="n">
        <f aca="false">MROUND(O107*'Fuel &amp; Inputs'!$C$19*'Fuel &amp; Inputs'!$C$21,100)</f>
        <v>12200</v>
      </c>
      <c r="S107" s="20" t="n">
        <f aca="false">MROUND(M107*'Fuel &amp; Inputs'!$C$20*'Fuel &amp; Inputs'!$C$22,500)</f>
        <v>163000</v>
      </c>
      <c r="T107" s="20" t="n">
        <f aca="false">MROUND(N107*'Fuel &amp; Inputs'!$C$20*'Fuel &amp; Inputs'!$C$22,500)</f>
        <v>245000</v>
      </c>
      <c r="U107" s="20" t="n">
        <f aca="false">MROUND(O107*'Fuel &amp; Inputs'!$C$20*'Fuel &amp; Inputs'!$C$22,500)</f>
        <v>326500</v>
      </c>
    </row>
    <row r="108" customFormat="false" ht="15" hidden="false" customHeight="false" outlineLevel="0" collapsed="false">
      <c r="A108" s="23" t="n">
        <v>98</v>
      </c>
      <c r="B108" s="34" t="s">
        <v>78</v>
      </c>
      <c r="C108" s="34" t="s">
        <v>317</v>
      </c>
      <c r="D108" s="34" t="s">
        <v>217</v>
      </c>
      <c r="E108" s="23" t="s">
        <v>160</v>
      </c>
      <c r="F108" s="23" t="s">
        <v>381</v>
      </c>
      <c r="G108" s="23" t="s">
        <v>217</v>
      </c>
      <c r="H108" s="23" t="s">
        <v>148</v>
      </c>
      <c r="I108" s="25" t="n">
        <v>10</v>
      </c>
      <c r="J108" s="35" t="n">
        <v>1.098</v>
      </c>
      <c r="K108" s="26" t="n">
        <f aca="false">IF(I108=0,0,IF(L108="Rs./km",MROUND(IF(H108="Petrol",'Fuel &amp; Inputs'!$C$5,'Fuel &amp; Inputs'!$C$4)/I108*J108,1),MROUND(I108*J108*IF(H108="Petrol",'Fuel &amp; Inputs'!$C$5,'Fuel &amp; Inputs'!$C$4),10)))</f>
        <v>4190</v>
      </c>
      <c r="L108" s="23" t="s">
        <v>149</v>
      </c>
      <c r="M108" s="27" t="n">
        <v>1600</v>
      </c>
      <c r="N108" s="26" t="n">
        <f aca="false">MROUND(M108+'Fuel &amp; Inputs'!$C$13,50)</f>
        <v>2400</v>
      </c>
      <c r="O108" s="27" t="n">
        <v>3200</v>
      </c>
      <c r="P108" s="26" t="n">
        <f aca="false">MROUND(M108*'Fuel &amp; Inputs'!$C$19*'Fuel &amp; Inputs'!$C$21,100)</f>
        <v>6100</v>
      </c>
      <c r="Q108" s="26" t="n">
        <f aca="false">MROUND(N108*'Fuel &amp; Inputs'!$C$19*'Fuel &amp; Inputs'!$C$21,100)</f>
        <v>9100</v>
      </c>
      <c r="R108" s="26" t="n">
        <f aca="false">MROUND(O108*'Fuel &amp; Inputs'!$C$19*'Fuel &amp; Inputs'!$C$21,100)</f>
        <v>12200</v>
      </c>
      <c r="S108" s="26" t="n">
        <f aca="false">MROUND(M108*'Fuel &amp; Inputs'!$C$20*'Fuel &amp; Inputs'!$C$22,500)</f>
        <v>163000</v>
      </c>
      <c r="T108" s="26" t="n">
        <f aca="false">MROUND(N108*'Fuel &amp; Inputs'!$C$20*'Fuel &amp; Inputs'!$C$22,500)</f>
        <v>245000</v>
      </c>
      <c r="U108" s="26" t="n">
        <f aca="false">MROUND(O108*'Fuel &amp; Inputs'!$C$20*'Fuel &amp; Inputs'!$C$22,500)</f>
        <v>326500</v>
      </c>
    </row>
    <row r="109" customFormat="false" ht="15" hidden="false" customHeight="false" outlineLevel="0" collapsed="false">
      <c r="A109" s="17" t="n">
        <v>99</v>
      </c>
      <c r="B109" s="32" t="s">
        <v>78</v>
      </c>
      <c r="C109" s="32" t="s">
        <v>218</v>
      </c>
      <c r="D109" s="32" t="s">
        <v>217</v>
      </c>
      <c r="E109" s="17" t="s">
        <v>160</v>
      </c>
      <c r="F109" s="17" t="s">
        <v>382</v>
      </c>
      <c r="G109" s="17" t="s">
        <v>217</v>
      </c>
      <c r="H109" s="17" t="s">
        <v>148</v>
      </c>
      <c r="I109" s="19" t="n">
        <v>10</v>
      </c>
      <c r="J109" s="33" t="n">
        <v>1.098</v>
      </c>
      <c r="K109" s="20" t="n">
        <f aca="false">IF(I109=0,0,IF(L109="Rs./km",MROUND(IF(H109="Petrol",'Fuel &amp; Inputs'!$C$5,'Fuel &amp; Inputs'!$C$4)/I109*J109,1),MROUND(I109*J109*IF(H109="Petrol",'Fuel &amp; Inputs'!$C$5,'Fuel &amp; Inputs'!$C$4),10)))</f>
        <v>4190</v>
      </c>
      <c r="L109" s="17" t="s">
        <v>149</v>
      </c>
      <c r="M109" s="21" t="n">
        <v>1600</v>
      </c>
      <c r="N109" s="20" t="n">
        <f aca="false">MROUND(M109+'Fuel &amp; Inputs'!$C$13,50)</f>
        <v>2400</v>
      </c>
      <c r="O109" s="21" t="n">
        <v>3200</v>
      </c>
      <c r="P109" s="20" t="n">
        <f aca="false">MROUND(M109*'Fuel &amp; Inputs'!$C$19*'Fuel &amp; Inputs'!$C$21,100)</f>
        <v>6100</v>
      </c>
      <c r="Q109" s="20" t="n">
        <f aca="false">MROUND(N109*'Fuel &amp; Inputs'!$C$19*'Fuel &amp; Inputs'!$C$21,100)</f>
        <v>9100</v>
      </c>
      <c r="R109" s="20" t="n">
        <f aca="false">MROUND(O109*'Fuel &amp; Inputs'!$C$19*'Fuel &amp; Inputs'!$C$21,100)</f>
        <v>12200</v>
      </c>
      <c r="S109" s="20" t="n">
        <f aca="false">MROUND(M109*'Fuel &amp; Inputs'!$C$20*'Fuel &amp; Inputs'!$C$22,500)</f>
        <v>163000</v>
      </c>
      <c r="T109" s="20" t="n">
        <f aca="false">MROUND(N109*'Fuel &amp; Inputs'!$C$20*'Fuel &amp; Inputs'!$C$22,500)</f>
        <v>245000</v>
      </c>
      <c r="U109" s="20" t="n">
        <f aca="false">MROUND(O109*'Fuel &amp; Inputs'!$C$20*'Fuel &amp; Inputs'!$C$22,500)</f>
        <v>326500</v>
      </c>
    </row>
    <row r="110" customFormat="false" ht="15" hidden="false" customHeight="false" outlineLevel="0" collapsed="false">
      <c r="A110" s="23" t="n">
        <v>100</v>
      </c>
      <c r="B110" s="34" t="s">
        <v>78</v>
      </c>
      <c r="C110" s="34" t="s">
        <v>324</v>
      </c>
      <c r="D110" s="34" t="s">
        <v>217</v>
      </c>
      <c r="E110" s="23" t="s">
        <v>237</v>
      </c>
      <c r="F110" s="23" t="s">
        <v>383</v>
      </c>
      <c r="G110" s="23" t="s">
        <v>217</v>
      </c>
      <c r="H110" s="23" t="s">
        <v>148</v>
      </c>
      <c r="I110" s="25" t="n">
        <v>10</v>
      </c>
      <c r="J110" s="35" t="n">
        <v>1.112</v>
      </c>
      <c r="K110" s="26" t="n">
        <f aca="false">IF(I110=0,0,IF(L110="Rs./km",MROUND(IF(H110="Petrol",'Fuel &amp; Inputs'!$C$5,'Fuel &amp; Inputs'!$C$4)/I110*J110,1),MROUND(I110*J110*IF(H110="Petrol",'Fuel &amp; Inputs'!$C$5,'Fuel &amp; Inputs'!$C$4),10)))</f>
        <v>4250</v>
      </c>
      <c r="L110" s="23" t="s">
        <v>149</v>
      </c>
      <c r="M110" s="27" t="n">
        <v>1600</v>
      </c>
      <c r="N110" s="26" t="n">
        <f aca="false">MROUND(M110+'Fuel &amp; Inputs'!$C$13,50)</f>
        <v>2400</v>
      </c>
      <c r="O110" s="27" t="n">
        <v>3200</v>
      </c>
      <c r="P110" s="26" t="n">
        <f aca="false">MROUND(M110*'Fuel &amp; Inputs'!$C$19*'Fuel &amp; Inputs'!$C$21,100)</f>
        <v>6100</v>
      </c>
      <c r="Q110" s="26" t="n">
        <f aca="false">MROUND(N110*'Fuel &amp; Inputs'!$C$19*'Fuel &amp; Inputs'!$C$21,100)</f>
        <v>9100</v>
      </c>
      <c r="R110" s="26" t="n">
        <f aca="false">MROUND(O110*'Fuel &amp; Inputs'!$C$19*'Fuel &amp; Inputs'!$C$21,100)</f>
        <v>12200</v>
      </c>
      <c r="S110" s="26" t="n">
        <f aca="false">MROUND(M110*'Fuel &amp; Inputs'!$C$20*'Fuel &amp; Inputs'!$C$22,500)</f>
        <v>163000</v>
      </c>
      <c r="T110" s="26" t="n">
        <f aca="false">MROUND(N110*'Fuel &amp; Inputs'!$C$20*'Fuel &amp; Inputs'!$C$22,500)</f>
        <v>245000</v>
      </c>
      <c r="U110" s="26" t="n">
        <f aca="false">MROUND(O110*'Fuel &amp; Inputs'!$C$20*'Fuel &amp; Inputs'!$C$22,500)</f>
        <v>326500</v>
      </c>
    </row>
    <row r="111" customFormat="false" ht="15" hidden="false" customHeight="false" outlineLevel="0" collapsed="false">
      <c r="A111" s="17" t="n">
        <v>101</v>
      </c>
      <c r="B111" s="32" t="s">
        <v>78</v>
      </c>
      <c r="C111" s="32" t="s">
        <v>324</v>
      </c>
      <c r="D111" s="32" t="s">
        <v>217</v>
      </c>
      <c r="E111" s="17" t="s">
        <v>237</v>
      </c>
      <c r="F111" s="17" t="s">
        <v>384</v>
      </c>
      <c r="G111" s="17" t="s">
        <v>217</v>
      </c>
      <c r="H111" s="17" t="s">
        <v>148</v>
      </c>
      <c r="I111" s="19" t="n">
        <v>10</v>
      </c>
      <c r="J111" s="33" t="n">
        <v>1.112</v>
      </c>
      <c r="K111" s="20" t="n">
        <f aca="false">IF(I111=0,0,IF(L111="Rs./km",MROUND(IF(H111="Petrol",'Fuel &amp; Inputs'!$C$5,'Fuel &amp; Inputs'!$C$4)/I111*J111,1),MROUND(I111*J111*IF(H111="Petrol",'Fuel &amp; Inputs'!$C$5,'Fuel &amp; Inputs'!$C$4),10)))</f>
        <v>4250</v>
      </c>
      <c r="L111" s="17" t="s">
        <v>149</v>
      </c>
      <c r="M111" s="21" t="n">
        <v>1600</v>
      </c>
      <c r="N111" s="20" t="n">
        <f aca="false">MROUND(M111+'Fuel &amp; Inputs'!$C$13,50)</f>
        <v>2400</v>
      </c>
      <c r="O111" s="21" t="n">
        <v>3200</v>
      </c>
      <c r="P111" s="20" t="n">
        <f aca="false">MROUND(M111*'Fuel &amp; Inputs'!$C$19*'Fuel &amp; Inputs'!$C$21,100)</f>
        <v>6100</v>
      </c>
      <c r="Q111" s="20" t="n">
        <f aca="false">MROUND(N111*'Fuel &amp; Inputs'!$C$19*'Fuel &amp; Inputs'!$C$21,100)</f>
        <v>9100</v>
      </c>
      <c r="R111" s="20" t="n">
        <f aca="false">MROUND(O111*'Fuel &amp; Inputs'!$C$19*'Fuel &amp; Inputs'!$C$21,100)</f>
        <v>12200</v>
      </c>
      <c r="S111" s="20" t="n">
        <f aca="false">MROUND(M111*'Fuel &amp; Inputs'!$C$20*'Fuel &amp; Inputs'!$C$22,500)</f>
        <v>163000</v>
      </c>
      <c r="T111" s="20" t="n">
        <f aca="false">MROUND(N111*'Fuel &amp; Inputs'!$C$20*'Fuel &amp; Inputs'!$C$22,500)</f>
        <v>245000</v>
      </c>
      <c r="U111" s="20" t="n">
        <f aca="false">MROUND(O111*'Fuel &amp; Inputs'!$C$20*'Fuel &amp; Inputs'!$C$22,500)</f>
        <v>326500</v>
      </c>
    </row>
    <row r="112" customFormat="false" ht="15" hidden="false" customHeight="false" outlineLevel="0" collapsed="false">
      <c r="A112" s="23" t="n">
        <v>102</v>
      </c>
      <c r="B112" s="34" t="s">
        <v>78</v>
      </c>
      <c r="C112" s="34" t="s">
        <v>324</v>
      </c>
      <c r="D112" s="34" t="s">
        <v>217</v>
      </c>
      <c r="E112" s="23" t="s">
        <v>217</v>
      </c>
      <c r="F112" s="23" t="s">
        <v>385</v>
      </c>
      <c r="G112" s="23" t="s">
        <v>217</v>
      </c>
      <c r="H112" s="23" t="s">
        <v>148</v>
      </c>
      <c r="I112" s="25" t="n">
        <v>10</v>
      </c>
      <c r="J112" s="35" t="n">
        <v>1</v>
      </c>
      <c r="K112" s="26" t="n">
        <f aca="false">IF(I112=0,0,IF(L112="Rs./km",MROUND(IF(H112="Petrol",'Fuel &amp; Inputs'!$C$5,'Fuel &amp; Inputs'!$C$4)/I112*J112,1),MROUND(I112*J112*IF(H112="Petrol",'Fuel &amp; Inputs'!$C$5,'Fuel &amp; Inputs'!$C$4),10)))</f>
        <v>3820</v>
      </c>
      <c r="L112" s="23" t="s">
        <v>149</v>
      </c>
      <c r="M112" s="27" t="n">
        <v>1130</v>
      </c>
      <c r="N112" s="26" t="n">
        <f aca="false">MROUND(M112+'Fuel &amp; Inputs'!$C$13,50)</f>
        <v>1950</v>
      </c>
      <c r="O112" s="27" t="n">
        <v>2260</v>
      </c>
      <c r="P112" s="26" t="n">
        <f aca="false">MROUND(M112*'Fuel &amp; Inputs'!$C$19*'Fuel &amp; Inputs'!$C$21,100)</f>
        <v>4300</v>
      </c>
      <c r="Q112" s="26" t="n">
        <f aca="false">MROUND(N112*'Fuel &amp; Inputs'!$C$19*'Fuel &amp; Inputs'!$C$21,100)</f>
        <v>7400</v>
      </c>
      <c r="R112" s="26" t="n">
        <f aca="false">MROUND(O112*'Fuel &amp; Inputs'!$C$19*'Fuel &amp; Inputs'!$C$21,100)</f>
        <v>8600</v>
      </c>
      <c r="S112" s="26" t="n">
        <f aca="false">MROUND(M112*'Fuel &amp; Inputs'!$C$20*'Fuel &amp; Inputs'!$C$22,500)</f>
        <v>115500</v>
      </c>
      <c r="T112" s="26" t="n">
        <f aca="false">MROUND(N112*'Fuel &amp; Inputs'!$C$20*'Fuel &amp; Inputs'!$C$22,500)</f>
        <v>199000</v>
      </c>
      <c r="U112" s="26" t="n">
        <f aca="false">MROUND(O112*'Fuel &amp; Inputs'!$C$20*'Fuel &amp; Inputs'!$C$22,500)</f>
        <v>230500</v>
      </c>
    </row>
    <row r="113" customFormat="false" ht="15" hidden="false" customHeight="false" outlineLevel="0" collapsed="false">
      <c r="A113" s="17" t="n">
        <v>103</v>
      </c>
      <c r="B113" s="32" t="s">
        <v>78</v>
      </c>
      <c r="C113" s="32" t="s">
        <v>324</v>
      </c>
      <c r="D113" s="32" t="s">
        <v>217</v>
      </c>
      <c r="E113" s="17" t="s">
        <v>217</v>
      </c>
      <c r="F113" s="17" t="s">
        <v>386</v>
      </c>
      <c r="G113" s="17" t="s">
        <v>217</v>
      </c>
      <c r="H113" s="17" t="s">
        <v>148</v>
      </c>
      <c r="I113" s="19" t="n">
        <v>10</v>
      </c>
      <c r="J113" s="33" t="n">
        <v>1</v>
      </c>
      <c r="K113" s="20" t="n">
        <f aca="false">IF(I113=0,0,IF(L113="Rs./km",MROUND(IF(H113="Petrol",'Fuel &amp; Inputs'!$C$5,'Fuel &amp; Inputs'!$C$4)/I113*J113,1),MROUND(I113*J113*IF(H113="Petrol",'Fuel &amp; Inputs'!$C$5,'Fuel &amp; Inputs'!$C$4),10)))</f>
        <v>3820</v>
      </c>
      <c r="L113" s="17" t="s">
        <v>149</v>
      </c>
      <c r="M113" s="21" t="n">
        <v>1130</v>
      </c>
      <c r="N113" s="20" t="n">
        <f aca="false">MROUND(M113+'Fuel &amp; Inputs'!$C$13,50)</f>
        <v>1950</v>
      </c>
      <c r="O113" s="21" t="n">
        <v>2260</v>
      </c>
      <c r="P113" s="20" t="n">
        <f aca="false">MROUND(M113*'Fuel &amp; Inputs'!$C$19*'Fuel &amp; Inputs'!$C$21,100)</f>
        <v>4300</v>
      </c>
      <c r="Q113" s="20" t="n">
        <f aca="false">MROUND(N113*'Fuel &amp; Inputs'!$C$19*'Fuel &amp; Inputs'!$C$21,100)</f>
        <v>7400</v>
      </c>
      <c r="R113" s="20" t="n">
        <f aca="false">MROUND(O113*'Fuel &amp; Inputs'!$C$19*'Fuel &amp; Inputs'!$C$21,100)</f>
        <v>8600</v>
      </c>
      <c r="S113" s="20" t="n">
        <f aca="false">MROUND(M113*'Fuel &amp; Inputs'!$C$20*'Fuel &amp; Inputs'!$C$22,500)</f>
        <v>115500</v>
      </c>
      <c r="T113" s="20" t="n">
        <f aca="false">MROUND(N113*'Fuel &amp; Inputs'!$C$20*'Fuel &amp; Inputs'!$C$22,500)</f>
        <v>199000</v>
      </c>
      <c r="U113" s="20" t="n">
        <f aca="false">MROUND(O113*'Fuel &amp; Inputs'!$C$20*'Fuel &amp; Inputs'!$C$22,500)</f>
        <v>230500</v>
      </c>
    </row>
    <row r="114" customFormat="false" ht="15" hidden="false" customHeight="false" outlineLevel="0" collapsed="false">
      <c r="A114" s="23" t="n">
        <v>104</v>
      </c>
      <c r="B114" s="34" t="s">
        <v>78</v>
      </c>
      <c r="C114" s="34" t="s">
        <v>324</v>
      </c>
      <c r="D114" s="34" t="s">
        <v>217</v>
      </c>
      <c r="E114" s="23" t="s">
        <v>217</v>
      </c>
      <c r="F114" s="23" t="s">
        <v>387</v>
      </c>
      <c r="G114" s="23" t="s">
        <v>217</v>
      </c>
      <c r="H114" s="23" t="s">
        <v>148</v>
      </c>
      <c r="I114" s="25" t="n">
        <v>10</v>
      </c>
      <c r="J114" s="35" t="n">
        <v>1</v>
      </c>
      <c r="K114" s="26" t="n">
        <f aca="false">IF(I114=0,0,IF(L114="Rs./km",MROUND(IF(H114="Petrol",'Fuel &amp; Inputs'!$C$5,'Fuel &amp; Inputs'!$C$4)/I114*J114,1),MROUND(I114*J114*IF(H114="Petrol",'Fuel &amp; Inputs'!$C$5,'Fuel &amp; Inputs'!$C$4),10)))</f>
        <v>3820</v>
      </c>
      <c r="L114" s="23" t="s">
        <v>149</v>
      </c>
      <c r="M114" s="27" t="n">
        <v>1130</v>
      </c>
      <c r="N114" s="26" t="n">
        <f aca="false">MROUND(M114+'Fuel &amp; Inputs'!$C$13,50)</f>
        <v>1950</v>
      </c>
      <c r="O114" s="27" t="n">
        <v>2260</v>
      </c>
      <c r="P114" s="26" t="n">
        <f aca="false">MROUND(M114*'Fuel &amp; Inputs'!$C$19*'Fuel &amp; Inputs'!$C$21,100)</f>
        <v>4300</v>
      </c>
      <c r="Q114" s="26" t="n">
        <f aca="false">MROUND(N114*'Fuel &amp; Inputs'!$C$19*'Fuel &amp; Inputs'!$C$21,100)</f>
        <v>7400</v>
      </c>
      <c r="R114" s="26" t="n">
        <f aca="false">MROUND(O114*'Fuel &amp; Inputs'!$C$19*'Fuel &amp; Inputs'!$C$21,100)</f>
        <v>8600</v>
      </c>
      <c r="S114" s="26" t="n">
        <f aca="false">MROUND(M114*'Fuel &amp; Inputs'!$C$20*'Fuel &amp; Inputs'!$C$22,500)</f>
        <v>115500</v>
      </c>
      <c r="T114" s="26" t="n">
        <f aca="false">MROUND(N114*'Fuel &amp; Inputs'!$C$20*'Fuel &amp; Inputs'!$C$22,500)</f>
        <v>199000</v>
      </c>
      <c r="U114" s="26" t="n">
        <f aca="false">MROUND(O114*'Fuel &amp; Inputs'!$C$20*'Fuel &amp; Inputs'!$C$22,500)</f>
        <v>230500</v>
      </c>
    </row>
    <row r="115" customFormat="false" ht="15" hidden="false" customHeight="false" outlineLevel="0" collapsed="false">
      <c r="A115" s="17" t="n">
        <v>105</v>
      </c>
      <c r="B115" s="32" t="s">
        <v>78</v>
      </c>
      <c r="C115" s="32" t="s">
        <v>346</v>
      </c>
      <c r="D115" s="32" t="s">
        <v>217</v>
      </c>
      <c r="E115" s="17" t="s">
        <v>217</v>
      </c>
      <c r="F115" s="17" t="s">
        <v>388</v>
      </c>
      <c r="G115" s="17" t="s">
        <v>217</v>
      </c>
      <c r="H115" s="17" t="s">
        <v>148</v>
      </c>
      <c r="I115" s="19" t="n">
        <v>10</v>
      </c>
      <c r="J115" s="33" t="n">
        <v>1</v>
      </c>
      <c r="K115" s="20" t="n">
        <f aca="false">IF(I115=0,0,IF(L115="Rs./km",MROUND(IF(H115="Petrol",'Fuel &amp; Inputs'!$C$5,'Fuel &amp; Inputs'!$C$4)/I115*J115,1),MROUND(I115*J115*IF(H115="Petrol",'Fuel &amp; Inputs'!$C$5,'Fuel &amp; Inputs'!$C$4),10)))</f>
        <v>3820</v>
      </c>
      <c r="L115" s="17" t="s">
        <v>149</v>
      </c>
      <c r="M115" s="21" t="n">
        <v>1130</v>
      </c>
      <c r="N115" s="20" t="n">
        <f aca="false">MROUND(M115+'Fuel &amp; Inputs'!$C$13,50)</f>
        <v>1950</v>
      </c>
      <c r="O115" s="21" t="n">
        <v>2260</v>
      </c>
      <c r="P115" s="20" t="n">
        <f aca="false">MROUND(M115*'Fuel &amp; Inputs'!$C$19*'Fuel &amp; Inputs'!$C$21,100)</f>
        <v>4300</v>
      </c>
      <c r="Q115" s="20" t="n">
        <f aca="false">MROUND(N115*'Fuel &amp; Inputs'!$C$19*'Fuel &amp; Inputs'!$C$21,100)</f>
        <v>7400</v>
      </c>
      <c r="R115" s="20" t="n">
        <f aca="false">MROUND(O115*'Fuel &amp; Inputs'!$C$19*'Fuel &amp; Inputs'!$C$21,100)</f>
        <v>8600</v>
      </c>
      <c r="S115" s="20" t="n">
        <f aca="false">MROUND(M115*'Fuel &amp; Inputs'!$C$20*'Fuel &amp; Inputs'!$C$22,500)</f>
        <v>115500</v>
      </c>
      <c r="T115" s="20" t="n">
        <f aca="false">MROUND(N115*'Fuel &amp; Inputs'!$C$20*'Fuel &amp; Inputs'!$C$22,500)</f>
        <v>199000</v>
      </c>
      <c r="U115" s="20" t="n">
        <f aca="false">MROUND(O115*'Fuel &amp; Inputs'!$C$20*'Fuel &amp; Inputs'!$C$22,500)</f>
        <v>230500</v>
      </c>
    </row>
    <row r="116" customFormat="false" ht="15" hidden="false" customHeight="false" outlineLevel="0" collapsed="false">
      <c r="A116" s="23" t="n">
        <v>106</v>
      </c>
      <c r="B116" s="34" t="s">
        <v>78</v>
      </c>
      <c r="C116" s="34" t="s">
        <v>324</v>
      </c>
      <c r="D116" s="34" t="s">
        <v>217</v>
      </c>
      <c r="E116" s="23" t="s">
        <v>217</v>
      </c>
      <c r="F116" s="23" t="s">
        <v>389</v>
      </c>
      <c r="G116" s="23" t="s">
        <v>217</v>
      </c>
      <c r="H116" s="23" t="s">
        <v>148</v>
      </c>
      <c r="I116" s="25" t="n">
        <v>10</v>
      </c>
      <c r="J116" s="35" t="n">
        <v>1</v>
      </c>
      <c r="K116" s="26" t="n">
        <f aca="false">IF(I116=0,0,IF(L116="Rs./km",MROUND(IF(H116="Petrol",'Fuel &amp; Inputs'!$C$5,'Fuel &amp; Inputs'!$C$4)/I116*J116,1),MROUND(I116*J116*IF(H116="Petrol",'Fuel &amp; Inputs'!$C$5,'Fuel &amp; Inputs'!$C$4),10)))</f>
        <v>3820</v>
      </c>
      <c r="L116" s="23" t="s">
        <v>149</v>
      </c>
      <c r="M116" s="27" t="n">
        <v>1130</v>
      </c>
      <c r="N116" s="26" t="n">
        <f aca="false">MROUND(M116+'Fuel &amp; Inputs'!$C$13,50)</f>
        <v>1950</v>
      </c>
      <c r="O116" s="27" t="n">
        <v>2260</v>
      </c>
      <c r="P116" s="26" t="n">
        <f aca="false">MROUND(M116*'Fuel &amp; Inputs'!$C$19*'Fuel &amp; Inputs'!$C$21,100)</f>
        <v>4300</v>
      </c>
      <c r="Q116" s="26" t="n">
        <f aca="false">MROUND(N116*'Fuel &amp; Inputs'!$C$19*'Fuel &amp; Inputs'!$C$21,100)</f>
        <v>7400</v>
      </c>
      <c r="R116" s="26" t="n">
        <f aca="false">MROUND(O116*'Fuel &amp; Inputs'!$C$19*'Fuel &amp; Inputs'!$C$21,100)</f>
        <v>8600</v>
      </c>
      <c r="S116" s="26" t="n">
        <f aca="false">MROUND(M116*'Fuel &amp; Inputs'!$C$20*'Fuel &amp; Inputs'!$C$22,500)</f>
        <v>115500</v>
      </c>
      <c r="T116" s="26" t="n">
        <f aca="false">MROUND(N116*'Fuel &amp; Inputs'!$C$20*'Fuel &amp; Inputs'!$C$22,500)</f>
        <v>199000</v>
      </c>
      <c r="U116" s="26" t="n">
        <f aca="false">MROUND(O116*'Fuel &amp; Inputs'!$C$20*'Fuel &amp; Inputs'!$C$22,500)</f>
        <v>230500</v>
      </c>
    </row>
    <row r="117" customFormat="false" ht="15" hidden="false" customHeight="false" outlineLevel="0" collapsed="false">
      <c r="A117" s="17" t="n">
        <v>107</v>
      </c>
      <c r="B117" s="32" t="s">
        <v>78</v>
      </c>
      <c r="C117" s="32" t="s">
        <v>353</v>
      </c>
      <c r="D117" s="32" t="s">
        <v>217</v>
      </c>
      <c r="E117" s="17" t="s">
        <v>217</v>
      </c>
      <c r="F117" s="17" t="s">
        <v>390</v>
      </c>
      <c r="G117" s="17" t="s">
        <v>217</v>
      </c>
      <c r="H117" s="17" t="s">
        <v>148</v>
      </c>
      <c r="I117" s="19" t="n">
        <v>10</v>
      </c>
      <c r="J117" s="33" t="n">
        <v>1</v>
      </c>
      <c r="K117" s="20" t="n">
        <f aca="false">IF(I117=0,0,IF(L117="Rs./km",MROUND(IF(H117="Petrol",'Fuel &amp; Inputs'!$C$5,'Fuel &amp; Inputs'!$C$4)/I117*J117,1),MROUND(I117*J117*IF(H117="Petrol",'Fuel &amp; Inputs'!$C$5,'Fuel &amp; Inputs'!$C$4),10)))</f>
        <v>3820</v>
      </c>
      <c r="L117" s="17" t="s">
        <v>149</v>
      </c>
      <c r="M117" s="21" t="n">
        <v>1130</v>
      </c>
      <c r="N117" s="20" t="n">
        <f aca="false">MROUND(M117+'Fuel &amp; Inputs'!$C$13,50)</f>
        <v>1950</v>
      </c>
      <c r="O117" s="21" t="n">
        <v>2260</v>
      </c>
      <c r="P117" s="20" t="n">
        <f aca="false">MROUND(M117*'Fuel &amp; Inputs'!$C$19*'Fuel &amp; Inputs'!$C$21,100)</f>
        <v>4300</v>
      </c>
      <c r="Q117" s="20" t="n">
        <f aca="false">MROUND(N117*'Fuel &amp; Inputs'!$C$19*'Fuel &amp; Inputs'!$C$21,100)</f>
        <v>7400</v>
      </c>
      <c r="R117" s="20" t="n">
        <f aca="false">MROUND(O117*'Fuel &amp; Inputs'!$C$19*'Fuel &amp; Inputs'!$C$21,100)</f>
        <v>8600</v>
      </c>
      <c r="S117" s="20" t="n">
        <f aca="false">MROUND(M117*'Fuel &amp; Inputs'!$C$20*'Fuel &amp; Inputs'!$C$22,500)</f>
        <v>115500</v>
      </c>
      <c r="T117" s="20" t="n">
        <f aca="false">MROUND(N117*'Fuel &amp; Inputs'!$C$20*'Fuel &amp; Inputs'!$C$22,500)</f>
        <v>199000</v>
      </c>
      <c r="U117" s="20" t="n">
        <f aca="false">MROUND(O117*'Fuel &amp; Inputs'!$C$20*'Fuel &amp; Inputs'!$C$22,500)</f>
        <v>230500</v>
      </c>
    </row>
    <row r="118" customFormat="false" ht="15" hidden="false" customHeight="false" outlineLevel="0" collapsed="false">
      <c r="A118" s="23" t="n">
        <v>108</v>
      </c>
      <c r="B118" s="34" t="s">
        <v>78</v>
      </c>
      <c r="C118" s="34" t="s">
        <v>324</v>
      </c>
      <c r="D118" s="34" t="s">
        <v>217</v>
      </c>
      <c r="E118" s="23" t="s">
        <v>217</v>
      </c>
      <c r="F118" s="23" t="s">
        <v>391</v>
      </c>
      <c r="G118" s="23" t="s">
        <v>217</v>
      </c>
      <c r="H118" s="23" t="s">
        <v>148</v>
      </c>
      <c r="I118" s="25" t="n">
        <v>10</v>
      </c>
      <c r="J118" s="35" t="n">
        <v>1</v>
      </c>
      <c r="K118" s="26" t="n">
        <f aca="false">IF(I118=0,0,IF(L118="Rs./km",MROUND(IF(H118="Petrol",'Fuel &amp; Inputs'!$C$5,'Fuel &amp; Inputs'!$C$4)/I118*J118,1),MROUND(I118*J118*IF(H118="Petrol",'Fuel &amp; Inputs'!$C$5,'Fuel &amp; Inputs'!$C$4),10)))</f>
        <v>3820</v>
      </c>
      <c r="L118" s="23" t="s">
        <v>149</v>
      </c>
      <c r="M118" s="27" t="n">
        <v>1130</v>
      </c>
      <c r="N118" s="26" t="n">
        <f aca="false">MROUND(M118+'Fuel &amp; Inputs'!$C$13,50)</f>
        <v>1950</v>
      </c>
      <c r="O118" s="27" t="n">
        <v>2260</v>
      </c>
      <c r="P118" s="26" t="n">
        <f aca="false">MROUND(M118*'Fuel &amp; Inputs'!$C$19*'Fuel &amp; Inputs'!$C$21,100)</f>
        <v>4300</v>
      </c>
      <c r="Q118" s="26" t="n">
        <f aca="false">MROUND(N118*'Fuel &amp; Inputs'!$C$19*'Fuel &amp; Inputs'!$C$21,100)</f>
        <v>7400</v>
      </c>
      <c r="R118" s="26" t="n">
        <f aca="false">MROUND(O118*'Fuel &amp; Inputs'!$C$19*'Fuel &amp; Inputs'!$C$21,100)</f>
        <v>8600</v>
      </c>
      <c r="S118" s="26" t="n">
        <f aca="false">MROUND(M118*'Fuel &amp; Inputs'!$C$20*'Fuel &amp; Inputs'!$C$22,500)</f>
        <v>115500</v>
      </c>
      <c r="T118" s="26" t="n">
        <f aca="false">MROUND(N118*'Fuel &amp; Inputs'!$C$20*'Fuel &amp; Inputs'!$C$22,500)</f>
        <v>199000</v>
      </c>
      <c r="U118" s="26" t="n">
        <f aca="false">MROUND(O118*'Fuel &amp; Inputs'!$C$20*'Fuel &amp; Inputs'!$C$22,500)</f>
        <v>230500</v>
      </c>
    </row>
    <row r="119" customFormat="false" ht="15" hidden="false" customHeight="false" outlineLevel="0" collapsed="false">
      <c r="A119" s="17" t="n">
        <v>109</v>
      </c>
      <c r="B119" s="32" t="s">
        <v>78</v>
      </c>
      <c r="C119" s="32" t="s">
        <v>324</v>
      </c>
      <c r="D119" s="32" t="s">
        <v>217</v>
      </c>
      <c r="E119" s="17" t="s">
        <v>217</v>
      </c>
      <c r="F119" s="17" t="s">
        <v>392</v>
      </c>
      <c r="G119" s="17" t="s">
        <v>217</v>
      </c>
      <c r="H119" s="17" t="s">
        <v>148</v>
      </c>
      <c r="I119" s="19" t="n">
        <v>10</v>
      </c>
      <c r="J119" s="33" t="n">
        <v>1</v>
      </c>
      <c r="K119" s="20" t="n">
        <f aca="false">IF(I119=0,0,IF(L119="Rs./km",MROUND(IF(H119="Petrol",'Fuel &amp; Inputs'!$C$5,'Fuel &amp; Inputs'!$C$4)/I119*J119,1),MROUND(I119*J119*IF(H119="Petrol",'Fuel &amp; Inputs'!$C$5,'Fuel &amp; Inputs'!$C$4),10)))</f>
        <v>3820</v>
      </c>
      <c r="L119" s="17" t="s">
        <v>149</v>
      </c>
      <c r="M119" s="21" t="n">
        <v>1130</v>
      </c>
      <c r="N119" s="20" t="n">
        <f aca="false">MROUND(M119+'Fuel &amp; Inputs'!$C$13,50)</f>
        <v>1950</v>
      </c>
      <c r="O119" s="21" t="n">
        <v>2260</v>
      </c>
      <c r="P119" s="20" t="n">
        <f aca="false">MROUND(M119*'Fuel &amp; Inputs'!$C$19*'Fuel &amp; Inputs'!$C$21,100)</f>
        <v>4300</v>
      </c>
      <c r="Q119" s="20" t="n">
        <f aca="false">MROUND(N119*'Fuel &amp; Inputs'!$C$19*'Fuel &amp; Inputs'!$C$21,100)</f>
        <v>7400</v>
      </c>
      <c r="R119" s="20" t="n">
        <f aca="false">MROUND(O119*'Fuel &amp; Inputs'!$C$19*'Fuel &amp; Inputs'!$C$21,100)</f>
        <v>8600</v>
      </c>
      <c r="S119" s="20" t="n">
        <f aca="false">MROUND(M119*'Fuel &amp; Inputs'!$C$20*'Fuel &amp; Inputs'!$C$22,500)</f>
        <v>115500</v>
      </c>
      <c r="T119" s="20" t="n">
        <f aca="false">MROUND(N119*'Fuel &amp; Inputs'!$C$20*'Fuel &amp; Inputs'!$C$22,500)</f>
        <v>199000</v>
      </c>
      <c r="U119" s="20" t="n">
        <f aca="false">MROUND(O119*'Fuel &amp; Inputs'!$C$20*'Fuel &amp; Inputs'!$C$22,500)</f>
        <v>230500</v>
      </c>
    </row>
    <row r="120" customFormat="false" ht="15" hidden="false" customHeight="false" outlineLevel="0" collapsed="false">
      <c r="A120" s="23" t="n">
        <v>110</v>
      </c>
      <c r="B120" s="34" t="s">
        <v>78</v>
      </c>
      <c r="C120" s="34" t="s">
        <v>324</v>
      </c>
      <c r="D120" s="34" t="s">
        <v>217</v>
      </c>
      <c r="E120" s="23" t="s">
        <v>217</v>
      </c>
      <c r="F120" s="23" t="s">
        <v>393</v>
      </c>
      <c r="G120" s="23" t="s">
        <v>217</v>
      </c>
      <c r="H120" s="23" t="s">
        <v>148</v>
      </c>
      <c r="I120" s="25" t="n">
        <v>10</v>
      </c>
      <c r="J120" s="35" t="n">
        <v>1</v>
      </c>
      <c r="K120" s="26" t="n">
        <f aca="false">IF(I120=0,0,IF(L120="Rs./km",MROUND(IF(H120="Petrol",'Fuel &amp; Inputs'!$C$5,'Fuel &amp; Inputs'!$C$4)/I120*J120,1),MROUND(I120*J120*IF(H120="Petrol",'Fuel &amp; Inputs'!$C$5,'Fuel &amp; Inputs'!$C$4),10)))</f>
        <v>3820</v>
      </c>
      <c r="L120" s="23" t="s">
        <v>149</v>
      </c>
      <c r="M120" s="27" t="n">
        <v>1130</v>
      </c>
      <c r="N120" s="26" t="n">
        <f aca="false">MROUND(M120+'Fuel &amp; Inputs'!$C$13,50)</f>
        <v>1950</v>
      </c>
      <c r="O120" s="27" t="n">
        <v>2260</v>
      </c>
      <c r="P120" s="26" t="n">
        <f aca="false">MROUND(M120*'Fuel &amp; Inputs'!$C$19*'Fuel &amp; Inputs'!$C$21,100)</f>
        <v>4300</v>
      </c>
      <c r="Q120" s="26" t="n">
        <f aca="false">MROUND(N120*'Fuel &amp; Inputs'!$C$19*'Fuel &amp; Inputs'!$C$21,100)</f>
        <v>7400</v>
      </c>
      <c r="R120" s="26" t="n">
        <f aca="false">MROUND(O120*'Fuel &amp; Inputs'!$C$19*'Fuel &amp; Inputs'!$C$21,100)</f>
        <v>8600</v>
      </c>
      <c r="S120" s="26" t="n">
        <f aca="false">MROUND(M120*'Fuel &amp; Inputs'!$C$20*'Fuel &amp; Inputs'!$C$22,500)</f>
        <v>115500</v>
      </c>
      <c r="T120" s="26" t="n">
        <f aca="false">MROUND(N120*'Fuel &amp; Inputs'!$C$20*'Fuel &amp; Inputs'!$C$22,500)</f>
        <v>199000</v>
      </c>
      <c r="U120" s="26" t="n">
        <f aca="false">MROUND(O120*'Fuel &amp; Inputs'!$C$20*'Fuel &amp; Inputs'!$C$22,500)</f>
        <v>230500</v>
      </c>
    </row>
    <row r="121" customFormat="false" ht="15" hidden="false" customHeight="false" outlineLevel="0" collapsed="false">
      <c r="A121" s="17" t="n">
        <v>111</v>
      </c>
      <c r="B121" s="32" t="s">
        <v>78</v>
      </c>
      <c r="C121" s="32" t="s">
        <v>321</v>
      </c>
      <c r="D121" s="32" t="s">
        <v>217</v>
      </c>
      <c r="E121" s="17" t="s">
        <v>217</v>
      </c>
      <c r="F121" s="17" t="s">
        <v>394</v>
      </c>
      <c r="G121" s="17" t="s">
        <v>217</v>
      </c>
      <c r="H121" s="17" t="s">
        <v>148</v>
      </c>
      <c r="I121" s="19" t="n">
        <v>10</v>
      </c>
      <c r="J121" s="33" t="n">
        <v>1</v>
      </c>
      <c r="K121" s="20" t="n">
        <f aca="false">IF(I121=0,0,IF(L121="Rs./km",MROUND(IF(H121="Petrol",'Fuel &amp; Inputs'!$C$5,'Fuel &amp; Inputs'!$C$4)/I121*J121,1),MROUND(I121*J121*IF(H121="Petrol",'Fuel &amp; Inputs'!$C$5,'Fuel &amp; Inputs'!$C$4),10)))</f>
        <v>3820</v>
      </c>
      <c r="L121" s="17" t="s">
        <v>149</v>
      </c>
      <c r="M121" s="21" t="n">
        <v>1130</v>
      </c>
      <c r="N121" s="20" t="n">
        <f aca="false">MROUND(M121+'Fuel &amp; Inputs'!$C$13,50)</f>
        <v>1950</v>
      </c>
      <c r="O121" s="21" t="n">
        <v>2260</v>
      </c>
      <c r="P121" s="20" t="n">
        <f aca="false">MROUND(M121*'Fuel &amp; Inputs'!$C$19*'Fuel &amp; Inputs'!$C$21,100)</f>
        <v>4300</v>
      </c>
      <c r="Q121" s="20" t="n">
        <f aca="false">MROUND(N121*'Fuel &amp; Inputs'!$C$19*'Fuel &amp; Inputs'!$C$21,100)</f>
        <v>7400</v>
      </c>
      <c r="R121" s="20" t="n">
        <f aca="false">MROUND(O121*'Fuel &amp; Inputs'!$C$19*'Fuel &amp; Inputs'!$C$21,100)</f>
        <v>8600</v>
      </c>
      <c r="S121" s="20" t="n">
        <f aca="false">MROUND(M121*'Fuel &amp; Inputs'!$C$20*'Fuel &amp; Inputs'!$C$22,500)</f>
        <v>115500</v>
      </c>
      <c r="T121" s="20" t="n">
        <f aca="false">MROUND(N121*'Fuel &amp; Inputs'!$C$20*'Fuel &amp; Inputs'!$C$22,500)</f>
        <v>199000</v>
      </c>
      <c r="U121" s="20" t="n">
        <f aca="false">MROUND(O121*'Fuel &amp; Inputs'!$C$20*'Fuel &amp; Inputs'!$C$22,500)</f>
        <v>230500</v>
      </c>
    </row>
    <row r="122" customFormat="false" ht="15" hidden="false" customHeight="false" outlineLevel="0" collapsed="false">
      <c r="A122" s="23" t="n">
        <v>112</v>
      </c>
      <c r="B122" s="34" t="s">
        <v>78</v>
      </c>
      <c r="C122" s="34" t="s">
        <v>324</v>
      </c>
      <c r="D122" s="34" t="s">
        <v>217</v>
      </c>
      <c r="E122" s="23" t="s">
        <v>217</v>
      </c>
      <c r="F122" s="23" t="s">
        <v>395</v>
      </c>
      <c r="G122" s="23" t="s">
        <v>217</v>
      </c>
      <c r="H122" s="23" t="s">
        <v>148</v>
      </c>
      <c r="I122" s="25" t="n">
        <v>10</v>
      </c>
      <c r="J122" s="35" t="n">
        <v>1</v>
      </c>
      <c r="K122" s="26" t="n">
        <f aca="false">IF(I122=0,0,IF(L122="Rs./km",MROUND(IF(H122="Petrol",'Fuel &amp; Inputs'!$C$5,'Fuel &amp; Inputs'!$C$4)/I122*J122,1),MROUND(I122*J122*IF(H122="Petrol",'Fuel &amp; Inputs'!$C$5,'Fuel &amp; Inputs'!$C$4),10)))</f>
        <v>3820</v>
      </c>
      <c r="L122" s="23" t="s">
        <v>149</v>
      </c>
      <c r="M122" s="27" t="n">
        <v>1130</v>
      </c>
      <c r="N122" s="26" t="n">
        <f aca="false">MROUND(M122+'Fuel &amp; Inputs'!$C$13,50)</f>
        <v>1950</v>
      </c>
      <c r="O122" s="27" t="n">
        <v>2260</v>
      </c>
      <c r="P122" s="26" t="n">
        <f aca="false">MROUND(M122*'Fuel &amp; Inputs'!$C$19*'Fuel &amp; Inputs'!$C$21,100)</f>
        <v>4300</v>
      </c>
      <c r="Q122" s="26" t="n">
        <f aca="false">MROUND(N122*'Fuel &amp; Inputs'!$C$19*'Fuel &amp; Inputs'!$C$21,100)</f>
        <v>7400</v>
      </c>
      <c r="R122" s="26" t="n">
        <f aca="false">MROUND(O122*'Fuel &amp; Inputs'!$C$19*'Fuel &amp; Inputs'!$C$21,100)</f>
        <v>8600</v>
      </c>
      <c r="S122" s="26" t="n">
        <f aca="false">MROUND(M122*'Fuel &amp; Inputs'!$C$20*'Fuel &amp; Inputs'!$C$22,500)</f>
        <v>115500</v>
      </c>
      <c r="T122" s="26" t="n">
        <f aca="false">MROUND(N122*'Fuel &amp; Inputs'!$C$20*'Fuel &amp; Inputs'!$C$22,500)</f>
        <v>199000</v>
      </c>
      <c r="U122" s="26" t="n">
        <f aca="false">MROUND(O122*'Fuel &amp; Inputs'!$C$20*'Fuel &amp; Inputs'!$C$22,500)</f>
        <v>230500</v>
      </c>
    </row>
    <row r="123" customFormat="false" ht="15" hidden="false" customHeight="false" outlineLevel="0" collapsed="false">
      <c r="A123" s="17" t="n">
        <v>113</v>
      </c>
      <c r="B123" s="32" t="s">
        <v>78</v>
      </c>
      <c r="C123" s="32" t="s">
        <v>324</v>
      </c>
      <c r="D123" s="32" t="s">
        <v>217</v>
      </c>
      <c r="E123" s="17" t="s">
        <v>217</v>
      </c>
      <c r="F123" s="17" t="s">
        <v>396</v>
      </c>
      <c r="G123" s="17" t="s">
        <v>217</v>
      </c>
      <c r="H123" s="17" t="s">
        <v>148</v>
      </c>
      <c r="I123" s="19" t="n">
        <v>10</v>
      </c>
      <c r="J123" s="33" t="n">
        <v>1</v>
      </c>
      <c r="K123" s="20" t="n">
        <f aca="false">IF(I123=0,0,IF(L123="Rs./km",MROUND(IF(H123="Petrol",'Fuel &amp; Inputs'!$C$5,'Fuel &amp; Inputs'!$C$4)/I123*J123,1),MROUND(I123*J123*IF(H123="Petrol",'Fuel &amp; Inputs'!$C$5,'Fuel &amp; Inputs'!$C$4),10)))</f>
        <v>3820</v>
      </c>
      <c r="L123" s="17" t="s">
        <v>149</v>
      </c>
      <c r="M123" s="21" t="n">
        <v>1130</v>
      </c>
      <c r="N123" s="20" t="n">
        <f aca="false">MROUND(M123+'Fuel &amp; Inputs'!$C$13,50)</f>
        <v>1950</v>
      </c>
      <c r="O123" s="21" t="n">
        <v>2260</v>
      </c>
      <c r="P123" s="20" t="n">
        <f aca="false">MROUND(M123*'Fuel &amp; Inputs'!$C$19*'Fuel &amp; Inputs'!$C$21,100)</f>
        <v>4300</v>
      </c>
      <c r="Q123" s="20" t="n">
        <f aca="false">MROUND(N123*'Fuel &amp; Inputs'!$C$19*'Fuel &amp; Inputs'!$C$21,100)</f>
        <v>7400</v>
      </c>
      <c r="R123" s="20" t="n">
        <f aca="false">MROUND(O123*'Fuel &amp; Inputs'!$C$19*'Fuel &amp; Inputs'!$C$21,100)</f>
        <v>8600</v>
      </c>
      <c r="S123" s="20" t="n">
        <f aca="false">MROUND(M123*'Fuel &amp; Inputs'!$C$20*'Fuel &amp; Inputs'!$C$22,500)</f>
        <v>115500</v>
      </c>
      <c r="T123" s="20" t="n">
        <f aca="false">MROUND(N123*'Fuel &amp; Inputs'!$C$20*'Fuel &amp; Inputs'!$C$22,500)</f>
        <v>199000</v>
      </c>
      <c r="U123" s="20" t="n">
        <f aca="false">MROUND(O123*'Fuel &amp; Inputs'!$C$20*'Fuel &amp; Inputs'!$C$22,500)</f>
        <v>230500</v>
      </c>
    </row>
    <row r="124" customFormat="false" ht="15" hidden="false" customHeight="false" outlineLevel="0" collapsed="false">
      <c r="A124" s="23" t="n">
        <v>114</v>
      </c>
      <c r="B124" s="34" t="s">
        <v>78</v>
      </c>
      <c r="C124" s="34" t="s">
        <v>324</v>
      </c>
      <c r="D124" s="34" t="s">
        <v>217</v>
      </c>
      <c r="E124" s="23" t="s">
        <v>217</v>
      </c>
      <c r="F124" s="23" t="s">
        <v>397</v>
      </c>
      <c r="G124" s="23" t="s">
        <v>217</v>
      </c>
      <c r="H124" s="23" t="s">
        <v>148</v>
      </c>
      <c r="I124" s="25" t="n">
        <v>10</v>
      </c>
      <c r="J124" s="35" t="n">
        <v>1</v>
      </c>
      <c r="K124" s="26" t="n">
        <f aca="false">IF(I124=0,0,IF(L124="Rs./km",MROUND(IF(H124="Petrol",'Fuel &amp; Inputs'!$C$5,'Fuel &amp; Inputs'!$C$4)/I124*J124,1),MROUND(I124*J124*IF(H124="Petrol",'Fuel &amp; Inputs'!$C$5,'Fuel &amp; Inputs'!$C$4),10)))</f>
        <v>3820</v>
      </c>
      <c r="L124" s="23" t="s">
        <v>149</v>
      </c>
      <c r="M124" s="27" t="n">
        <v>1130</v>
      </c>
      <c r="N124" s="26" t="n">
        <f aca="false">MROUND(M124+'Fuel &amp; Inputs'!$C$13,50)</f>
        <v>1950</v>
      </c>
      <c r="O124" s="27" t="n">
        <v>2260</v>
      </c>
      <c r="P124" s="26" t="n">
        <f aca="false">MROUND(M124*'Fuel &amp; Inputs'!$C$19*'Fuel &amp; Inputs'!$C$21,100)</f>
        <v>4300</v>
      </c>
      <c r="Q124" s="26" t="n">
        <f aca="false">MROUND(N124*'Fuel &amp; Inputs'!$C$19*'Fuel &amp; Inputs'!$C$21,100)</f>
        <v>7400</v>
      </c>
      <c r="R124" s="26" t="n">
        <f aca="false">MROUND(O124*'Fuel &amp; Inputs'!$C$19*'Fuel &amp; Inputs'!$C$21,100)</f>
        <v>8600</v>
      </c>
      <c r="S124" s="26" t="n">
        <f aca="false">MROUND(M124*'Fuel &amp; Inputs'!$C$20*'Fuel &amp; Inputs'!$C$22,500)</f>
        <v>115500</v>
      </c>
      <c r="T124" s="26" t="n">
        <f aca="false">MROUND(N124*'Fuel &amp; Inputs'!$C$20*'Fuel &amp; Inputs'!$C$22,500)</f>
        <v>199000</v>
      </c>
      <c r="U124" s="26" t="n">
        <f aca="false">MROUND(O124*'Fuel &amp; Inputs'!$C$20*'Fuel &amp; Inputs'!$C$22,500)</f>
        <v>230500</v>
      </c>
    </row>
    <row r="125" customFormat="false" ht="15" hidden="false" customHeight="false" outlineLevel="0" collapsed="false">
      <c r="A125" s="17" t="n">
        <v>115</v>
      </c>
      <c r="B125" s="32" t="s">
        <v>78</v>
      </c>
      <c r="C125" s="32" t="s">
        <v>324</v>
      </c>
      <c r="D125" s="32" t="s">
        <v>217</v>
      </c>
      <c r="E125" s="17" t="s">
        <v>217</v>
      </c>
      <c r="F125" s="17" t="s">
        <v>398</v>
      </c>
      <c r="G125" s="17" t="s">
        <v>217</v>
      </c>
      <c r="H125" s="17" t="s">
        <v>148</v>
      </c>
      <c r="I125" s="19" t="n">
        <v>10</v>
      </c>
      <c r="J125" s="33" t="n">
        <v>1</v>
      </c>
      <c r="K125" s="20" t="n">
        <f aca="false">IF(I125=0,0,IF(L125="Rs./km",MROUND(IF(H125="Petrol",'Fuel &amp; Inputs'!$C$5,'Fuel &amp; Inputs'!$C$4)/I125*J125,1),MROUND(I125*J125*IF(H125="Petrol",'Fuel &amp; Inputs'!$C$5,'Fuel &amp; Inputs'!$C$4),10)))</f>
        <v>3820</v>
      </c>
      <c r="L125" s="17" t="s">
        <v>149</v>
      </c>
      <c r="M125" s="21" t="n">
        <v>1130</v>
      </c>
      <c r="N125" s="20" t="n">
        <f aca="false">MROUND(M125+'Fuel &amp; Inputs'!$C$13,50)</f>
        <v>1950</v>
      </c>
      <c r="O125" s="21" t="n">
        <v>2260</v>
      </c>
      <c r="P125" s="20" t="n">
        <f aca="false">MROUND(M125*'Fuel &amp; Inputs'!$C$19*'Fuel &amp; Inputs'!$C$21,100)</f>
        <v>4300</v>
      </c>
      <c r="Q125" s="20" t="n">
        <f aca="false">MROUND(N125*'Fuel &amp; Inputs'!$C$19*'Fuel &amp; Inputs'!$C$21,100)</f>
        <v>7400</v>
      </c>
      <c r="R125" s="20" t="n">
        <f aca="false">MROUND(O125*'Fuel &amp; Inputs'!$C$19*'Fuel &amp; Inputs'!$C$21,100)</f>
        <v>8600</v>
      </c>
      <c r="S125" s="20" t="n">
        <f aca="false">MROUND(M125*'Fuel &amp; Inputs'!$C$20*'Fuel &amp; Inputs'!$C$22,500)</f>
        <v>115500</v>
      </c>
      <c r="T125" s="20" t="n">
        <f aca="false">MROUND(N125*'Fuel &amp; Inputs'!$C$20*'Fuel &amp; Inputs'!$C$22,500)</f>
        <v>199000</v>
      </c>
      <c r="U125" s="20" t="n">
        <f aca="false">MROUND(O125*'Fuel &amp; Inputs'!$C$20*'Fuel &amp; Inputs'!$C$22,500)</f>
        <v>230500</v>
      </c>
    </row>
    <row r="126" customFormat="false" ht="15" hidden="false" customHeight="false" outlineLevel="0" collapsed="false">
      <c r="A126" s="23" t="n">
        <v>116</v>
      </c>
      <c r="B126" s="34" t="s">
        <v>78</v>
      </c>
      <c r="C126" s="34" t="s">
        <v>324</v>
      </c>
      <c r="D126" s="34" t="s">
        <v>217</v>
      </c>
      <c r="E126" s="23" t="s">
        <v>217</v>
      </c>
      <c r="F126" s="23" t="s">
        <v>399</v>
      </c>
      <c r="G126" s="23" t="s">
        <v>217</v>
      </c>
      <c r="H126" s="23" t="s">
        <v>148</v>
      </c>
      <c r="I126" s="25" t="n">
        <v>10</v>
      </c>
      <c r="J126" s="35" t="n">
        <v>1</v>
      </c>
      <c r="K126" s="26" t="n">
        <f aca="false">IF(I126=0,0,IF(L126="Rs./km",MROUND(IF(H126="Petrol",'Fuel &amp; Inputs'!$C$5,'Fuel &amp; Inputs'!$C$4)/I126*J126,1),MROUND(I126*J126*IF(H126="Petrol",'Fuel &amp; Inputs'!$C$5,'Fuel &amp; Inputs'!$C$4),10)))</f>
        <v>3820</v>
      </c>
      <c r="L126" s="23" t="s">
        <v>149</v>
      </c>
      <c r="M126" s="27" t="n">
        <v>1130</v>
      </c>
      <c r="N126" s="26" t="n">
        <f aca="false">MROUND(M126+'Fuel &amp; Inputs'!$C$13,50)</f>
        <v>1950</v>
      </c>
      <c r="O126" s="27" t="n">
        <v>2260</v>
      </c>
      <c r="P126" s="26" t="n">
        <f aca="false">MROUND(M126*'Fuel &amp; Inputs'!$C$19*'Fuel &amp; Inputs'!$C$21,100)</f>
        <v>4300</v>
      </c>
      <c r="Q126" s="26" t="n">
        <f aca="false">MROUND(N126*'Fuel &amp; Inputs'!$C$19*'Fuel &amp; Inputs'!$C$21,100)</f>
        <v>7400</v>
      </c>
      <c r="R126" s="26" t="n">
        <f aca="false">MROUND(O126*'Fuel &amp; Inputs'!$C$19*'Fuel &amp; Inputs'!$C$21,100)</f>
        <v>8600</v>
      </c>
      <c r="S126" s="26" t="n">
        <f aca="false">MROUND(M126*'Fuel &amp; Inputs'!$C$20*'Fuel &amp; Inputs'!$C$22,500)</f>
        <v>115500</v>
      </c>
      <c r="T126" s="26" t="n">
        <f aca="false">MROUND(N126*'Fuel &amp; Inputs'!$C$20*'Fuel &amp; Inputs'!$C$22,500)</f>
        <v>199000</v>
      </c>
      <c r="U126" s="26" t="n">
        <f aca="false">MROUND(O126*'Fuel &amp; Inputs'!$C$20*'Fuel &amp; Inputs'!$C$22,500)</f>
        <v>230500</v>
      </c>
    </row>
    <row r="127" customFormat="false" ht="15" hidden="false" customHeight="false" outlineLevel="0" collapsed="false">
      <c r="A127" s="17" t="n">
        <v>117</v>
      </c>
      <c r="B127" s="32" t="s">
        <v>78</v>
      </c>
      <c r="C127" s="32" t="s">
        <v>321</v>
      </c>
      <c r="D127" s="32" t="s">
        <v>217</v>
      </c>
      <c r="E127" s="17" t="s">
        <v>217</v>
      </c>
      <c r="F127" s="17" t="s">
        <v>400</v>
      </c>
      <c r="G127" s="17" t="s">
        <v>217</v>
      </c>
      <c r="H127" s="17" t="s">
        <v>148</v>
      </c>
      <c r="I127" s="19" t="n">
        <v>10</v>
      </c>
      <c r="J127" s="33" t="n">
        <v>1</v>
      </c>
      <c r="K127" s="20" t="n">
        <f aca="false">IF(I127=0,0,IF(L127="Rs./km",MROUND(IF(H127="Petrol",'Fuel &amp; Inputs'!$C$5,'Fuel &amp; Inputs'!$C$4)/I127*J127,1),MROUND(I127*J127*IF(H127="Petrol",'Fuel &amp; Inputs'!$C$5,'Fuel &amp; Inputs'!$C$4),10)))</f>
        <v>3820</v>
      </c>
      <c r="L127" s="17" t="s">
        <v>149</v>
      </c>
      <c r="M127" s="21" t="n">
        <v>1130</v>
      </c>
      <c r="N127" s="20" t="n">
        <f aca="false">MROUND(M127+'Fuel &amp; Inputs'!$C$13,50)</f>
        <v>1950</v>
      </c>
      <c r="O127" s="21" t="n">
        <v>2260</v>
      </c>
      <c r="P127" s="20" t="n">
        <f aca="false">MROUND(M127*'Fuel &amp; Inputs'!$C$19*'Fuel &amp; Inputs'!$C$21,100)</f>
        <v>4300</v>
      </c>
      <c r="Q127" s="20" t="n">
        <f aca="false">MROUND(N127*'Fuel &amp; Inputs'!$C$19*'Fuel &amp; Inputs'!$C$21,100)</f>
        <v>7400</v>
      </c>
      <c r="R127" s="20" t="n">
        <f aca="false">MROUND(O127*'Fuel &amp; Inputs'!$C$19*'Fuel &amp; Inputs'!$C$21,100)</f>
        <v>8600</v>
      </c>
      <c r="S127" s="20" t="n">
        <f aca="false">MROUND(M127*'Fuel &amp; Inputs'!$C$20*'Fuel &amp; Inputs'!$C$22,500)</f>
        <v>115500</v>
      </c>
      <c r="T127" s="20" t="n">
        <f aca="false">MROUND(N127*'Fuel &amp; Inputs'!$C$20*'Fuel &amp; Inputs'!$C$22,500)</f>
        <v>199000</v>
      </c>
      <c r="U127" s="20" t="n">
        <f aca="false">MROUND(O127*'Fuel &amp; Inputs'!$C$20*'Fuel &amp; Inputs'!$C$22,500)</f>
        <v>230500</v>
      </c>
    </row>
    <row r="128" customFormat="false" ht="15" hidden="false" customHeight="false" outlineLevel="0" collapsed="false">
      <c r="A128" s="23" t="n">
        <v>118</v>
      </c>
      <c r="B128" s="34" t="s">
        <v>78</v>
      </c>
      <c r="C128" s="34" t="s">
        <v>324</v>
      </c>
      <c r="D128" s="34" t="s">
        <v>217</v>
      </c>
      <c r="E128" s="23" t="s">
        <v>217</v>
      </c>
      <c r="F128" s="23" t="s">
        <v>401</v>
      </c>
      <c r="G128" s="23" t="s">
        <v>217</v>
      </c>
      <c r="H128" s="23" t="s">
        <v>148</v>
      </c>
      <c r="I128" s="25" t="n">
        <v>10</v>
      </c>
      <c r="J128" s="35" t="n">
        <v>1</v>
      </c>
      <c r="K128" s="26" t="n">
        <f aca="false">IF(I128=0,0,IF(L128="Rs./km",MROUND(IF(H128="Petrol",'Fuel &amp; Inputs'!$C$5,'Fuel &amp; Inputs'!$C$4)/I128*J128,1),MROUND(I128*J128*IF(H128="Petrol",'Fuel &amp; Inputs'!$C$5,'Fuel &amp; Inputs'!$C$4),10)))</f>
        <v>3820</v>
      </c>
      <c r="L128" s="23" t="s">
        <v>149</v>
      </c>
      <c r="M128" s="27" t="n">
        <v>1130</v>
      </c>
      <c r="N128" s="26" t="n">
        <f aca="false">MROUND(M128+'Fuel &amp; Inputs'!$C$13,50)</f>
        <v>1950</v>
      </c>
      <c r="O128" s="27" t="n">
        <v>2260</v>
      </c>
      <c r="P128" s="26" t="n">
        <f aca="false">MROUND(M128*'Fuel &amp; Inputs'!$C$19*'Fuel &amp; Inputs'!$C$21,100)</f>
        <v>4300</v>
      </c>
      <c r="Q128" s="26" t="n">
        <f aca="false">MROUND(N128*'Fuel &amp; Inputs'!$C$19*'Fuel &amp; Inputs'!$C$21,100)</f>
        <v>7400</v>
      </c>
      <c r="R128" s="26" t="n">
        <f aca="false">MROUND(O128*'Fuel &amp; Inputs'!$C$19*'Fuel &amp; Inputs'!$C$21,100)</f>
        <v>8600</v>
      </c>
      <c r="S128" s="26" t="n">
        <f aca="false">MROUND(M128*'Fuel &amp; Inputs'!$C$20*'Fuel &amp; Inputs'!$C$22,500)</f>
        <v>115500</v>
      </c>
      <c r="T128" s="26" t="n">
        <f aca="false">MROUND(N128*'Fuel &amp; Inputs'!$C$20*'Fuel &amp; Inputs'!$C$22,500)</f>
        <v>199000</v>
      </c>
      <c r="U128" s="26" t="n">
        <f aca="false">MROUND(O128*'Fuel &amp; Inputs'!$C$20*'Fuel &amp; Inputs'!$C$22,500)</f>
        <v>230500</v>
      </c>
    </row>
    <row r="129" customFormat="false" ht="15" hidden="false" customHeight="false" outlineLevel="0" collapsed="false">
      <c r="A129" s="17" t="n">
        <v>119</v>
      </c>
      <c r="B129" s="32" t="s">
        <v>78</v>
      </c>
      <c r="C129" s="32" t="s">
        <v>324</v>
      </c>
      <c r="D129" s="32" t="s">
        <v>217</v>
      </c>
      <c r="E129" s="17" t="s">
        <v>217</v>
      </c>
      <c r="F129" s="17" t="s">
        <v>402</v>
      </c>
      <c r="G129" s="17" t="s">
        <v>217</v>
      </c>
      <c r="H129" s="17" t="s">
        <v>148</v>
      </c>
      <c r="I129" s="19" t="n">
        <v>10</v>
      </c>
      <c r="J129" s="33" t="n">
        <v>1</v>
      </c>
      <c r="K129" s="20" t="n">
        <f aca="false">IF(I129=0,0,IF(L129="Rs./km",MROUND(IF(H129="Petrol",'Fuel &amp; Inputs'!$C$5,'Fuel &amp; Inputs'!$C$4)/I129*J129,1),MROUND(I129*J129*IF(H129="Petrol",'Fuel &amp; Inputs'!$C$5,'Fuel &amp; Inputs'!$C$4),10)))</f>
        <v>3820</v>
      </c>
      <c r="L129" s="17" t="s">
        <v>149</v>
      </c>
      <c r="M129" s="21" t="n">
        <v>1130</v>
      </c>
      <c r="N129" s="20" t="n">
        <f aca="false">MROUND(M129+'Fuel &amp; Inputs'!$C$13,50)</f>
        <v>1950</v>
      </c>
      <c r="O129" s="21" t="n">
        <v>2260</v>
      </c>
      <c r="P129" s="20" t="n">
        <f aca="false">MROUND(M129*'Fuel &amp; Inputs'!$C$19*'Fuel &amp; Inputs'!$C$21,100)</f>
        <v>4300</v>
      </c>
      <c r="Q129" s="20" t="n">
        <f aca="false">MROUND(N129*'Fuel &amp; Inputs'!$C$19*'Fuel &amp; Inputs'!$C$21,100)</f>
        <v>7400</v>
      </c>
      <c r="R129" s="20" t="n">
        <f aca="false">MROUND(O129*'Fuel &amp; Inputs'!$C$19*'Fuel &amp; Inputs'!$C$21,100)</f>
        <v>8600</v>
      </c>
      <c r="S129" s="20" t="n">
        <f aca="false">MROUND(M129*'Fuel &amp; Inputs'!$C$20*'Fuel &amp; Inputs'!$C$22,500)</f>
        <v>115500</v>
      </c>
      <c r="T129" s="20" t="n">
        <f aca="false">MROUND(N129*'Fuel &amp; Inputs'!$C$20*'Fuel &amp; Inputs'!$C$22,500)</f>
        <v>199000</v>
      </c>
      <c r="U129" s="20" t="n">
        <f aca="false">MROUND(O129*'Fuel &amp; Inputs'!$C$20*'Fuel &amp; Inputs'!$C$22,500)</f>
        <v>230500</v>
      </c>
    </row>
    <row r="130" customFormat="false" ht="15" hidden="false" customHeight="false" outlineLevel="0" collapsed="false">
      <c r="A130" s="23" t="n">
        <v>120</v>
      </c>
      <c r="B130" s="34" t="s">
        <v>78</v>
      </c>
      <c r="C130" s="34" t="s">
        <v>324</v>
      </c>
      <c r="D130" s="34" t="s">
        <v>217</v>
      </c>
      <c r="E130" s="23" t="s">
        <v>217</v>
      </c>
      <c r="F130" s="23" t="s">
        <v>403</v>
      </c>
      <c r="G130" s="23" t="s">
        <v>217</v>
      </c>
      <c r="H130" s="23" t="s">
        <v>148</v>
      </c>
      <c r="I130" s="25" t="n">
        <v>10</v>
      </c>
      <c r="J130" s="35" t="n">
        <v>1</v>
      </c>
      <c r="K130" s="26" t="n">
        <f aca="false">IF(I130=0,0,IF(L130="Rs./km",MROUND(IF(H130="Petrol",'Fuel &amp; Inputs'!$C$5,'Fuel &amp; Inputs'!$C$4)/I130*J130,1),MROUND(I130*J130*IF(H130="Petrol",'Fuel &amp; Inputs'!$C$5,'Fuel &amp; Inputs'!$C$4),10)))</f>
        <v>3820</v>
      </c>
      <c r="L130" s="23" t="s">
        <v>149</v>
      </c>
      <c r="M130" s="27" t="n">
        <v>1130</v>
      </c>
      <c r="N130" s="26" t="n">
        <f aca="false">MROUND(M130+'Fuel &amp; Inputs'!$C$13,50)</f>
        <v>1950</v>
      </c>
      <c r="O130" s="27" t="n">
        <v>2260</v>
      </c>
      <c r="P130" s="26" t="n">
        <f aca="false">MROUND(M130*'Fuel &amp; Inputs'!$C$19*'Fuel &amp; Inputs'!$C$21,100)</f>
        <v>4300</v>
      </c>
      <c r="Q130" s="26" t="n">
        <f aca="false">MROUND(N130*'Fuel &amp; Inputs'!$C$19*'Fuel &amp; Inputs'!$C$21,100)</f>
        <v>7400</v>
      </c>
      <c r="R130" s="26" t="n">
        <f aca="false">MROUND(O130*'Fuel &amp; Inputs'!$C$19*'Fuel &amp; Inputs'!$C$21,100)</f>
        <v>8600</v>
      </c>
      <c r="S130" s="26" t="n">
        <f aca="false">MROUND(M130*'Fuel &amp; Inputs'!$C$20*'Fuel &amp; Inputs'!$C$22,500)</f>
        <v>115500</v>
      </c>
      <c r="T130" s="26" t="n">
        <f aca="false">MROUND(N130*'Fuel &amp; Inputs'!$C$20*'Fuel &amp; Inputs'!$C$22,500)</f>
        <v>199000</v>
      </c>
      <c r="U130" s="26" t="n">
        <f aca="false">MROUND(O130*'Fuel &amp; Inputs'!$C$20*'Fuel &amp; Inputs'!$C$22,500)</f>
        <v>230500</v>
      </c>
    </row>
    <row r="131" customFormat="false" ht="15" hidden="false" customHeight="false" outlineLevel="0" collapsed="false">
      <c r="A131" s="17" t="n">
        <v>121</v>
      </c>
      <c r="B131" s="32" t="s">
        <v>78</v>
      </c>
      <c r="C131" s="32" t="s">
        <v>324</v>
      </c>
      <c r="D131" s="32" t="s">
        <v>217</v>
      </c>
      <c r="E131" s="17" t="s">
        <v>217</v>
      </c>
      <c r="F131" s="17" t="s">
        <v>404</v>
      </c>
      <c r="G131" s="17" t="s">
        <v>217</v>
      </c>
      <c r="H131" s="17" t="s">
        <v>148</v>
      </c>
      <c r="I131" s="19" t="n">
        <v>10</v>
      </c>
      <c r="J131" s="33" t="n">
        <v>1</v>
      </c>
      <c r="K131" s="20" t="n">
        <f aca="false">IF(I131=0,0,IF(L131="Rs./km",MROUND(IF(H131="Petrol",'Fuel &amp; Inputs'!$C$5,'Fuel &amp; Inputs'!$C$4)/I131*J131,1),MROUND(I131*J131*IF(H131="Petrol",'Fuel &amp; Inputs'!$C$5,'Fuel &amp; Inputs'!$C$4),10)))</f>
        <v>3820</v>
      </c>
      <c r="L131" s="17" t="s">
        <v>149</v>
      </c>
      <c r="M131" s="21" t="n">
        <v>1130</v>
      </c>
      <c r="N131" s="20" t="n">
        <f aca="false">MROUND(M131+'Fuel &amp; Inputs'!$C$13,50)</f>
        <v>1950</v>
      </c>
      <c r="O131" s="21" t="n">
        <v>2260</v>
      </c>
      <c r="P131" s="20" t="n">
        <f aca="false">MROUND(M131*'Fuel &amp; Inputs'!$C$19*'Fuel &amp; Inputs'!$C$21,100)</f>
        <v>4300</v>
      </c>
      <c r="Q131" s="20" t="n">
        <f aca="false">MROUND(N131*'Fuel &amp; Inputs'!$C$19*'Fuel &amp; Inputs'!$C$21,100)</f>
        <v>7400</v>
      </c>
      <c r="R131" s="20" t="n">
        <f aca="false">MROUND(O131*'Fuel &amp; Inputs'!$C$19*'Fuel &amp; Inputs'!$C$21,100)</f>
        <v>8600</v>
      </c>
      <c r="S131" s="20" t="n">
        <f aca="false">MROUND(M131*'Fuel &amp; Inputs'!$C$20*'Fuel &amp; Inputs'!$C$22,500)</f>
        <v>115500</v>
      </c>
      <c r="T131" s="20" t="n">
        <f aca="false">MROUND(N131*'Fuel &amp; Inputs'!$C$20*'Fuel &amp; Inputs'!$C$22,500)</f>
        <v>199000</v>
      </c>
      <c r="U131" s="20" t="n">
        <f aca="false">MROUND(O131*'Fuel &amp; Inputs'!$C$20*'Fuel &amp; Inputs'!$C$22,500)</f>
        <v>230500</v>
      </c>
    </row>
    <row r="132" customFormat="false" ht="15" hidden="false" customHeight="false" outlineLevel="0" collapsed="false">
      <c r="A132" s="23" t="n">
        <v>122</v>
      </c>
      <c r="B132" s="34" t="s">
        <v>78</v>
      </c>
      <c r="C132" s="34" t="s">
        <v>324</v>
      </c>
      <c r="D132" s="34" t="s">
        <v>217</v>
      </c>
      <c r="E132" s="23" t="s">
        <v>217</v>
      </c>
      <c r="F132" s="23" t="s">
        <v>405</v>
      </c>
      <c r="G132" s="23" t="s">
        <v>217</v>
      </c>
      <c r="H132" s="23" t="s">
        <v>148</v>
      </c>
      <c r="I132" s="25" t="n">
        <v>10</v>
      </c>
      <c r="J132" s="35" t="n">
        <v>1</v>
      </c>
      <c r="K132" s="26" t="n">
        <f aca="false">IF(I132=0,0,IF(L132="Rs./km",MROUND(IF(H132="Petrol",'Fuel &amp; Inputs'!$C$5,'Fuel &amp; Inputs'!$C$4)/I132*J132,1),MROUND(I132*J132*IF(H132="Petrol",'Fuel &amp; Inputs'!$C$5,'Fuel &amp; Inputs'!$C$4),10)))</f>
        <v>3820</v>
      </c>
      <c r="L132" s="23" t="s">
        <v>149</v>
      </c>
      <c r="M132" s="27" t="n">
        <v>1130</v>
      </c>
      <c r="N132" s="26" t="n">
        <f aca="false">MROUND(M132+'Fuel &amp; Inputs'!$C$13,50)</f>
        <v>1950</v>
      </c>
      <c r="O132" s="27" t="n">
        <v>2260</v>
      </c>
      <c r="P132" s="26" t="n">
        <f aca="false">MROUND(M132*'Fuel &amp; Inputs'!$C$19*'Fuel &amp; Inputs'!$C$21,100)</f>
        <v>4300</v>
      </c>
      <c r="Q132" s="26" t="n">
        <f aca="false">MROUND(N132*'Fuel &amp; Inputs'!$C$19*'Fuel &amp; Inputs'!$C$21,100)</f>
        <v>7400</v>
      </c>
      <c r="R132" s="26" t="n">
        <f aca="false">MROUND(O132*'Fuel &amp; Inputs'!$C$19*'Fuel &amp; Inputs'!$C$21,100)</f>
        <v>8600</v>
      </c>
      <c r="S132" s="26" t="n">
        <f aca="false">MROUND(M132*'Fuel &amp; Inputs'!$C$20*'Fuel &amp; Inputs'!$C$22,500)</f>
        <v>115500</v>
      </c>
      <c r="T132" s="26" t="n">
        <f aca="false">MROUND(N132*'Fuel &amp; Inputs'!$C$20*'Fuel &amp; Inputs'!$C$22,500)</f>
        <v>199000</v>
      </c>
      <c r="U132" s="26" t="n">
        <f aca="false">MROUND(O132*'Fuel &amp; Inputs'!$C$20*'Fuel &amp; Inputs'!$C$22,500)</f>
        <v>230500</v>
      </c>
    </row>
    <row r="133" customFormat="false" ht="15" hidden="false" customHeight="false" outlineLevel="0" collapsed="false">
      <c r="A133" s="17" t="n">
        <v>123</v>
      </c>
      <c r="B133" s="32" t="s">
        <v>78</v>
      </c>
      <c r="C133" s="32" t="s">
        <v>324</v>
      </c>
      <c r="D133" s="32" t="s">
        <v>217</v>
      </c>
      <c r="E133" s="17" t="s">
        <v>217</v>
      </c>
      <c r="F133" s="17" t="s">
        <v>406</v>
      </c>
      <c r="G133" s="17" t="s">
        <v>217</v>
      </c>
      <c r="H133" s="17" t="s">
        <v>148</v>
      </c>
      <c r="I133" s="19" t="n">
        <v>10</v>
      </c>
      <c r="J133" s="33" t="n">
        <v>1</v>
      </c>
      <c r="K133" s="20" t="n">
        <f aca="false">IF(I133=0,0,IF(L133="Rs./km",MROUND(IF(H133="Petrol",'Fuel &amp; Inputs'!$C$5,'Fuel &amp; Inputs'!$C$4)/I133*J133,1),MROUND(I133*J133*IF(H133="Petrol",'Fuel &amp; Inputs'!$C$5,'Fuel &amp; Inputs'!$C$4),10)))</f>
        <v>3820</v>
      </c>
      <c r="L133" s="17" t="s">
        <v>149</v>
      </c>
      <c r="M133" s="21" t="n">
        <v>1130</v>
      </c>
      <c r="N133" s="20" t="n">
        <f aca="false">MROUND(M133+'Fuel &amp; Inputs'!$C$13,50)</f>
        <v>1950</v>
      </c>
      <c r="O133" s="21" t="n">
        <v>2260</v>
      </c>
      <c r="P133" s="20" t="n">
        <f aca="false">MROUND(M133*'Fuel &amp; Inputs'!$C$19*'Fuel &amp; Inputs'!$C$21,100)</f>
        <v>4300</v>
      </c>
      <c r="Q133" s="20" t="n">
        <f aca="false">MROUND(N133*'Fuel &amp; Inputs'!$C$19*'Fuel &amp; Inputs'!$C$21,100)</f>
        <v>7400</v>
      </c>
      <c r="R133" s="20" t="n">
        <f aca="false">MROUND(O133*'Fuel &amp; Inputs'!$C$19*'Fuel &amp; Inputs'!$C$21,100)</f>
        <v>8600</v>
      </c>
      <c r="S133" s="20" t="n">
        <f aca="false">MROUND(M133*'Fuel &amp; Inputs'!$C$20*'Fuel &amp; Inputs'!$C$22,500)</f>
        <v>115500</v>
      </c>
      <c r="T133" s="20" t="n">
        <f aca="false">MROUND(N133*'Fuel &amp; Inputs'!$C$20*'Fuel &amp; Inputs'!$C$22,500)</f>
        <v>199000</v>
      </c>
      <c r="U133" s="20" t="n">
        <f aca="false">MROUND(O133*'Fuel &amp; Inputs'!$C$20*'Fuel &amp; Inputs'!$C$22,500)</f>
        <v>230500</v>
      </c>
    </row>
    <row r="134" customFormat="false" ht="15" hidden="false" customHeight="false" outlineLevel="0" collapsed="false">
      <c r="A134" s="23" t="n">
        <v>124</v>
      </c>
      <c r="B134" s="34" t="s">
        <v>78</v>
      </c>
      <c r="C134" s="34" t="s">
        <v>324</v>
      </c>
      <c r="D134" s="34" t="s">
        <v>217</v>
      </c>
      <c r="E134" s="23" t="s">
        <v>217</v>
      </c>
      <c r="F134" s="23" t="s">
        <v>407</v>
      </c>
      <c r="G134" s="23" t="s">
        <v>217</v>
      </c>
      <c r="H134" s="23" t="s">
        <v>148</v>
      </c>
      <c r="I134" s="25" t="n">
        <v>10</v>
      </c>
      <c r="J134" s="35" t="n">
        <v>1</v>
      </c>
      <c r="K134" s="26" t="n">
        <f aca="false">IF(I134=0,0,IF(L134="Rs./km",MROUND(IF(H134="Petrol",'Fuel &amp; Inputs'!$C$5,'Fuel &amp; Inputs'!$C$4)/I134*J134,1),MROUND(I134*J134*IF(H134="Petrol",'Fuel &amp; Inputs'!$C$5,'Fuel &amp; Inputs'!$C$4),10)))</f>
        <v>3820</v>
      </c>
      <c r="L134" s="23" t="s">
        <v>149</v>
      </c>
      <c r="M134" s="27" t="n">
        <v>1130</v>
      </c>
      <c r="N134" s="26" t="n">
        <f aca="false">MROUND(M134+'Fuel &amp; Inputs'!$C$13,50)</f>
        <v>1950</v>
      </c>
      <c r="O134" s="27" t="n">
        <v>2260</v>
      </c>
      <c r="P134" s="26" t="n">
        <f aca="false">MROUND(M134*'Fuel &amp; Inputs'!$C$19*'Fuel &amp; Inputs'!$C$21,100)</f>
        <v>4300</v>
      </c>
      <c r="Q134" s="26" t="n">
        <f aca="false">MROUND(N134*'Fuel &amp; Inputs'!$C$19*'Fuel &amp; Inputs'!$C$21,100)</f>
        <v>7400</v>
      </c>
      <c r="R134" s="26" t="n">
        <f aca="false">MROUND(O134*'Fuel &amp; Inputs'!$C$19*'Fuel &amp; Inputs'!$C$21,100)</f>
        <v>8600</v>
      </c>
      <c r="S134" s="26" t="n">
        <f aca="false">MROUND(M134*'Fuel &amp; Inputs'!$C$20*'Fuel &amp; Inputs'!$C$22,500)</f>
        <v>115500</v>
      </c>
      <c r="T134" s="26" t="n">
        <f aca="false">MROUND(N134*'Fuel &amp; Inputs'!$C$20*'Fuel &amp; Inputs'!$C$22,500)</f>
        <v>199000</v>
      </c>
      <c r="U134" s="26" t="n">
        <f aca="false">MROUND(O134*'Fuel &amp; Inputs'!$C$20*'Fuel &amp; Inputs'!$C$22,500)</f>
        <v>230500</v>
      </c>
    </row>
    <row r="135" customFormat="false" ht="15" hidden="false" customHeight="false" outlineLevel="0" collapsed="false">
      <c r="A135" s="17" t="n">
        <v>125</v>
      </c>
      <c r="B135" s="32" t="s">
        <v>78</v>
      </c>
      <c r="C135" s="32" t="s">
        <v>324</v>
      </c>
      <c r="D135" s="32" t="s">
        <v>217</v>
      </c>
      <c r="E135" s="17" t="s">
        <v>217</v>
      </c>
      <c r="F135" s="17" t="s">
        <v>408</v>
      </c>
      <c r="G135" s="17" t="s">
        <v>217</v>
      </c>
      <c r="H135" s="17" t="s">
        <v>148</v>
      </c>
      <c r="I135" s="19" t="n">
        <v>10</v>
      </c>
      <c r="J135" s="33" t="n">
        <v>1</v>
      </c>
      <c r="K135" s="20" t="n">
        <f aca="false">IF(I135=0,0,IF(L135="Rs./km",MROUND(IF(H135="Petrol",'Fuel &amp; Inputs'!$C$5,'Fuel &amp; Inputs'!$C$4)/I135*J135,1),MROUND(I135*J135*IF(H135="Petrol",'Fuel &amp; Inputs'!$C$5,'Fuel &amp; Inputs'!$C$4),10)))</f>
        <v>3820</v>
      </c>
      <c r="L135" s="17" t="s">
        <v>149</v>
      </c>
      <c r="M135" s="21" t="n">
        <v>1130</v>
      </c>
      <c r="N135" s="20" t="n">
        <f aca="false">MROUND(M135+'Fuel &amp; Inputs'!$C$13,50)</f>
        <v>1950</v>
      </c>
      <c r="O135" s="21" t="n">
        <v>2260</v>
      </c>
      <c r="P135" s="20" t="n">
        <f aca="false">MROUND(M135*'Fuel &amp; Inputs'!$C$19*'Fuel &amp; Inputs'!$C$21,100)</f>
        <v>4300</v>
      </c>
      <c r="Q135" s="20" t="n">
        <f aca="false">MROUND(N135*'Fuel &amp; Inputs'!$C$19*'Fuel &amp; Inputs'!$C$21,100)</f>
        <v>7400</v>
      </c>
      <c r="R135" s="20" t="n">
        <f aca="false">MROUND(O135*'Fuel &amp; Inputs'!$C$19*'Fuel &amp; Inputs'!$C$21,100)</f>
        <v>8600</v>
      </c>
      <c r="S135" s="20" t="n">
        <f aca="false">MROUND(M135*'Fuel &amp; Inputs'!$C$20*'Fuel &amp; Inputs'!$C$22,500)</f>
        <v>115500</v>
      </c>
      <c r="T135" s="20" t="n">
        <f aca="false">MROUND(N135*'Fuel &amp; Inputs'!$C$20*'Fuel &amp; Inputs'!$C$22,500)</f>
        <v>199000</v>
      </c>
      <c r="U135" s="20" t="n">
        <f aca="false">MROUND(O135*'Fuel &amp; Inputs'!$C$20*'Fuel &amp; Inputs'!$C$22,500)</f>
        <v>230500</v>
      </c>
    </row>
    <row r="136" customFormat="false" ht="15" hidden="false" customHeight="false" outlineLevel="0" collapsed="false">
      <c r="A136" s="23" t="n">
        <v>126</v>
      </c>
      <c r="B136" s="34" t="s">
        <v>78</v>
      </c>
      <c r="C136" s="34" t="s">
        <v>324</v>
      </c>
      <c r="D136" s="34" t="s">
        <v>217</v>
      </c>
      <c r="E136" s="23" t="s">
        <v>217</v>
      </c>
      <c r="F136" s="23" t="s">
        <v>409</v>
      </c>
      <c r="G136" s="23" t="s">
        <v>217</v>
      </c>
      <c r="H136" s="23" t="s">
        <v>148</v>
      </c>
      <c r="I136" s="25" t="n">
        <v>10</v>
      </c>
      <c r="J136" s="35" t="n">
        <v>1</v>
      </c>
      <c r="K136" s="26" t="n">
        <f aca="false">IF(I136=0,0,IF(L136="Rs./km",MROUND(IF(H136="Petrol",'Fuel &amp; Inputs'!$C$5,'Fuel &amp; Inputs'!$C$4)/I136*J136,1),MROUND(I136*J136*IF(H136="Petrol",'Fuel &amp; Inputs'!$C$5,'Fuel &amp; Inputs'!$C$4),10)))</f>
        <v>3820</v>
      </c>
      <c r="L136" s="23" t="s">
        <v>149</v>
      </c>
      <c r="M136" s="27" t="n">
        <v>1130</v>
      </c>
      <c r="N136" s="26" t="n">
        <f aca="false">MROUND(M136+'Fuel &amp; Inputs'!$C$13,50)</f>
        <v>1950</v>
      </c>
      <c r="O136" s="27" t="n">
        <v>2260</v>
      </c>
      <c r="P136" s="26" t="n">
        <f aca="false">MROUND(M136*'Fuel &amp; Inputs'!$C$19*'Fuel &amp; Inputs'!$C$21,100)</f>
        <v>4300</v>
      </c>
      <c r="Q136" s="26" t="n">
        <f aca="false">MROUND(N136*'Fuel &amp; Inputs'!$C$19*'Fuel &amp; Inputs'!$C$21,100)</f>
        <v>7400</v>
      </c>
      <c r="R136" s="26" t="n">
        <f aca="false">MROUND(O136*'Fuel &amp; Inputs'!$C$19*'Fuel &amp; Inputs'!$C$21,100)</f>
        <v>8600</v>
      </c>
      <c r="S136" s="26" t="n">
        <f aca="false">MROUND(M136*'Fuel &amp; Inputs'!$C$20*'Fuel &amp; Inputs'!$C$22,500)</f>
        <v>115500</v>
      </c>
      <c r="T136" s="26" t="n">
        <f aca="false">MROUND(N136*'Fuel &amp; Inputs'!$C$20*'Fuel &amp; Inputs'!$C$22,500)</f>
        <v>199000</v>
      </c>
      <c r="U136" s="26" t="n">
        <f aca="false">MROUND(O136*'Fuel &amp; Inputs'!$C$20*'Fuel &amp; Inputs'!$C$22,500)</f>
        <v>230500</v>
      </c>
    </row>
    <row r="137" customFormat="false" ht="15" hidden="false" customHeight="false" outlineLevel="0" collapsed="false">
      <c r="A137" s="17" t="n">
        <v>127</v>
      </c>
      <c r="B137" s="32" t="s">
        <v>78</v>
      </c>
      <c r="C137" s="32" t="s">
        <v>324</v>
      </c>
      <c r="D137" s="32" t="s">
        <v>217</v>
      </c>
      <c r="E137" s="17" t="s">
        <v>217</v>
      </c>
      <c r="F137" s="17" t="s">
        <v>410</v>
      </c>
      <c r="G137" s="17" t="s">
        <v>217</v>
      </c>
      <c r="H137" s="17" t="s">
        <v>148</v>
      </c>
      <c r="I137" s="19" t="n">
        <v>10</v>
      </c>
      <c r="J137" s="33" t="n">
        <v>1</v>
      </c>
      <c r="K137" s="20" t="n">
        <f aca="false">IF(I137=0,0,IF(L137="Rs./km",MROUND(IF(H137="Petrol",'Fuel &amp; Inputs'!$C$5,'Fuel &amp; Inputs'!$C$4)/I137*J137,1),MROUND(I137*J137*IF(H137="Petrol",'Fuel &amp; Inputs'!$C$5,'Fuel &amp; Inputs'!$C$4),10)))</f>
        <v>3820</v>
      </c>
      <c r="L137" s="17" t="s">
        <v>149</v>
      </c>
      <c r="M137" s="21" t="n">
        <v>1130</v>
      </c>
      <c r="N137" s="20" t="n">
        <f aca="false">MROUND(M137+'Fuel &amp; Inputs'!$C$13,50)</f>
        <v>1950</v>
      </c>
      <c r="O137" s="21" t="n">
        <v>2260</v>
      </c>
      <c r="P137" s="20" t="n">
        <f aca="false">MROUND(M137*'Fuel &amp; Inputs'!$C$19*'Fuel &amp; Inputs'!$C$21,100)</f>
        <v>4300</v>
      </c>
      <c r="Q137" s="20" t="n">
        <f aca="false">MROUND(N137*'Fuel &amp; Inputs'!$C$19*'Fuel &amp; Inputs'!$C$21,100)</f>
        <v>7400</v>
      </c>
      <c r="R137" s="20" t="n">
        <f aca="false">MROUND(O137*'Fuel &amp; Inputs'!$C$19*'Fuel &amp; Inputs'!$C$21,100)</f>
        <v>8600</v>
      </c>
      <c r="S137" s="20" t="n">
        <f aca="false">MROUND(M137*'Fuel &amp; Inputs'!$C$20*'Fuel &amp; Inputs'!$C$22,500)</f>
        <v>115500</v>
      </c>
      <c r="T137" s="20" t="n">
        <f aca="false">MROUND(N137*'Fuel &amp; Inputs'!$C$20*'Fuel &amp; Inputs'!$C$22,500)</f>
        <v>199000</v>
      </c>
      <c r="U137" s="20" t="n">
        <f aca="false">MROUND(O137*'Fuel &amp; Inputs'!$C$20*'Fuel &amp; Inputs'!$C$22,500)</f>
        <v>230500</v>
      </c>
    </row>
    <row r="138" customFormat="false" ht="15" hidden="false" customHeight="false" outlineLevel="0" collapsed="false">
      <c r="A138" s="23" t="n">
        <v>128</v>
      </c>
      <c r="B138" s="34" t="s">
        <v>78</v>
      </c>
      <c r="C138" s="34" t="s">
        <v>324</v>
      </c>
      <c r="D138" s="34" t="s">
        <v>411</v>
      </c>
      <c r="E138" s="23" t="s">
        <v>217</v>
      </c>
      <c r="F138" s="23" t="s">
        <v>412</v>
      </c>
      <c r="G138" s="23" t="s">
        <v>217</v>
      </c>
      <c r="H138" s="23" t="s">
        <v>148</v>
      </c>
      <c r="I138" s="25" t="n">
        <v>10</v>
      </c>
      <c r="J138" s="35" t="n">
        <v>1</v>
      </c>
      <c r="K138" s="26" t="n">
        <f aca="false">IF(I138=0,0,IF(L138="Rs./km",MROUND(IF(H138="Petrol",'Fuel &amp; Inputs'!$C$5,'Fuel &amp; Inputs'!$C$4)/I138*J138,1),MROUND(I138*J138*IF(H138="Petrol",'Fuel &amp; Inputs'!$C$5,'Fuel &amp; Inputs'!$C$4),10)))</f>
        <v>3820</v>
      </c>
      <c r="L138" s="23" t="s">
        <v>149</v>
      </c>
      <c r="M138" s="27" t="n">
        <v>1130</v>
      </c>
      <c r="N138" s="26" t="n">
        <f aca="false">MROUND(M138+'Fuel &amp; Inputs'!$C$13,50)</f>
        <v>1950</v>
      </c>
      <c r="O138" s="27" t="n">
        <v>2260</v>
      </c>
      <c r="P138" s="26" t="n">
        <f aca="false">MROUND(M138*'Fuel &amp; Inputs'!$C$19*'Fuel &amp; Inputs'!$C$21,100)</f>
        <v>4300</v>
      </c>
      <c r="Q138" s="26" t="n">
        <f aca="false">MROUND(N138*'Fuel &amp; Inputs'!$C$19*'Fuel &amp; Inputs'!$C$21,100)</f>
        <v>7400</v>
      </c>
      <c r="R138" s="26" t="n">
        <f aca="false">MROUND(O138*'Fuel &amp; Inputs'!$C$19*'Fuel &amp; Inputs'!$C$21,100)</f>
        <v>8600</v>
      </c>
      <c r="S138" s="26" t="n">
        <f aca="false">MROUND(M138*'Fuel &amp; Inputs'!$C$20*'Fuel &amp; Inputs'!$C$22,500)</f>
        <v>115500</v>
      </c>
      <c r="T138" s="26" t="n">
        <f aca="false">MROUND(N138*'Fuel &amp; Inputs'!$C$20*'Fuel &amp; Inputs'!$C$22,500)</f>
        <v>199000</v>
      </c>
      <c r="U138" s="26" t="n">
        <f aca="false">MROUND(O138*'Fuel &amp; Inputs'!$C$20*'Fuel &amp; Inputs'!$C$22,500)</f>
        <v>230500</v>
      </c>
    </row>
    <row r="139" customFormat="false" ht="15" hidden="false" customHeight="false" outlineLevel="0" collapsed="false">
      <c r="A139" s="17" t="n">
        <v>129</v>
      </c>
      <c r="B139" s="32" t="s">
        <v>78</v>
      </c>
      <c r="C139" s="32" t="s">
        <v>324</v>
      </c>
      <c r="D139" s="32" t="s">
        <v>411</v>
      </c>
      <c r="E139" s="17" t="s">
        <v>217</v>
      </c>
      <c r="F139" s="17" t="s">
        <v>413</v>
      </c>
      <c r="G139" s="17" t="s">
        <v>217</v>
      </c>
      <c r="H139" s="17" t="s">
        <v>148</v>
      </c>
      <c r="I139" s="19" t="n">
        <v>10</v>
      </c>
      <c r="J139" s="33" t="n">
        <v>1</v>
      </c>
      <c r="K139" s="20" t="n">
        <f aca="false">IF(I139=0,0,IF(L139="Rs./km",MROUND(IF(H139="Petrol",'Fuel &amp; Inputs'!$C$5,'Fuel &amp; Inputs'!$C$4)/I139*J139,1),MROUND(I139*J139*IF(H139="Petrol",'Fuel &amp; Inputs'!$C$5,'Fuel &amp; Inputs'!$C$4),10)))</f>
        <v>3820</v>
      </c>
      <c r="L139" s="17" t="s">
        <v>149</v>
      </c>
      <c r="M139" s="21" t="n">
        <v>1130</v>
      </c>
      <c r="N139" s="20" t="n">
        <f aca="false">MROUND(M139+'Fuel &amp; Inputs'!$C$13,50)</f>
        <v>1950</v>
      </c>
      <c r="O139" s="21" t="n">
        <v>2260</v>
      </c>
      <c r="P139" s="20" t="n">
        <f aca="false">MROUND(M139*'Fuel &amp; Inputs'!$C$19*'Fuel &amp; Inputs'!$C$21,100)</f>
        <v>4300</v>
      </c>
      <c r="Q139" s="20" t="n">
        <f aca="false">MROUND(N139*'Fuel &amp; Inputs'!$C$19*'Fuel &amp; Inputs'!$C$21,100)</f>
        <v>7400</v>
      </c>
      <c r="R139" s="20" t="n">
        <f aca="false">MROUND(O139*'Fuel &amp; Inputs'!$C$19*'Fuel &amp; Inputs'!$C$21,100)</f>
        <v>8600</v>
      </c>
      <c r="S139" s="20" t="n">
        <f aca="false">MROUND(M139*'Fuel &amp; Inputs'!$C$20*'Fuel &amp; Inputs'!$C$22,500)</f>
        <v>115500</v>
      </c>
      <c r="T139" s="20" t="n">
        <f aca="false">MROUND(N139*'Fuel &amp; Inputs'!$C$20*'Fuel &amp; Inputs'!$C$22,500)</f>
        <v>199000</v>
      </c>
      <c r="U139" s="20" t="n">
        <f aca="false">MROUND(O139*'Fuel &amp; Inputs'!$C$20*'Fuel &amp; Inputs'!$C$22,500)</f>
        <v>230500</v>
      </c>
    </row>
    <row r="140" customFormat="false" ht="15" hidden="false" customHeight="false" outlineLevel="0" collapsed="false">
      <c r="A140" s="23" t="n">
        <v>130</v>
      </c>
      <c r="B140" s="34" t="s">
        <v>78</v>
      </c>
      <c r="C140" s="34" t="s">
        <v>324</v>
      </c>
      <c r="D140" s="34" t="s">
        <v>411</v>
      </c>
      <c r="E140" s="23" t="s">
        <v>217</v>
      </c>
      <c r="F140" s="23" t="s">
        <v>414</v>
      </c>
      <c r="G140" s="23" t="s">
        <v>217</v>
      </c>
      <c r="H140" s="23" t="s">
        <v>148</v>
      </c>
      <c r="I140" s="25" t="n">
        <v>10</v>
      </c>
      <c r="J140" s="35" t="n">
        <v>1</v>
      </c>
      <c r="K140" s="26" t="n">
        <f aca="false">IF(I140=0,0,IF(L140="Rs./km",MROUND(IF(H140="Petrol",'Fuel &amp; Inputs'!$C$5,'Fuel &amp; Inputs'!$C$4)/I140*J140,1),MROUND(I140*J140*IF(H140="Petrol",'Fuel &amp; Inputs'!$C$5,'Fuel &amp; Inputs'!$C$4),10)))</f>
        <v>3820</v>
      </c>
      <c r="L140" s="23" t="s">
        <v>149</v>
      </c>
      <c r="M140" s="27" t="n">
        <v>1130</v>
      </c>
      <c r="N140" s="26" t="n">
        <f aca="false">MROUND(M140+'Fuel &amp; Inputs'!$C$13,50)</f>
        <v>1950</v>
      </c>
      <c r="O140" s="27" t="n">
        <v>2260</v>
      </c>
      <c r="P140" s="26" t="n">
        <f aca="false">MROUND(M140*'Fuel &amp; Inputs'!$C$19*'Fuel &amp; Inputs'!$C$21,100)</f>
        <v>4300</v>
      </c>
      <c r="Q140" s="26" t="n">
        <f aca="false">MROUND(N140*'Fuel &amp; Inputs'!$C$19*'Fuel &amp; Inputs'!$C$21,100)</f>
        <v>7400</v>
      </c>
      <c r="R140" s="26" t="n">
        <f aca="false">MROUND(O140*'Fuel &amp; Inputs'!$C$19*'Fuel &amp; Inputs'!$C$21,100)</f>
        <v>8600</v>
      </c>
      <c r="S140" s="26" t="n">
        <f aca="false">MROUND(M140*'Fuel &amp; Inputs'!$C$20*'Fuel &amp; Inputs'!$C$22,500)</f>
        <v>115500</v>
      </c>
      <c r="T140" s="26" t="n">
        <f aca="false">MROUND(N140*'Fuel &amp; Inputs'!$C$20*'Fuel &amp; Inputs'!$C$22,500)</f>
        <v>199000</v>
      </c>
      <c r="U140" s="26" t="n">
        <f aca="false">MROUND(O140*'Fuel &amp; Inputs'!$C$20*'Fuel &amp; Inputs'!$C$22,500)</f>
        <v>230500</v>
      </c>
    </row>
    <row r="141" customFormat="false" ht="15" hidden="false" customHeight="false" outlineLevel="0" collapsed="false">
      <c r="A141" s="17" t="n">
        <v>131</v>
      </c>
      <c r="B141" s="32" t="s">
        <v>78</v>
      </c>
      <c r="C141" s="32" t="s">
        <v>324</v>
      </c>
      <c r="D141" s="32" t="s">
        <v>411</v>
      </c>
      <c r="E141" s="17" t="s">
        <v>217</v>
      </c>
      <c r="F141" s="17" t="s">
        <v>415</v>
      </c>
      <c r="G141" s="17" t="s">
        <v>217</v>
      </c>
      <c r="H141" s="17" t="s">
        <v>148</v>
      </c>
      <c r="I141" s="19" t="n">
        <v>10</v>
      </c>
      <c r="J141" s="33" t="n">
        <v>1</v>
      </c>
      <c r="K141" s="20" t="n">
        <f aca="false">IF(I141=0,0,IF(L141="Rs./km",MROUND(IF(H141="Petrol",'Fuel &amp; Inputs'!$C$5,'Fuel &amp; Inputs'!$C$4)/I141*J141,1),MROUND(I141*J141*IF(H141="Petrol",'Fuel &amp; Inputs'!$C$5,'Fuel &amp; Inputs'!$C$4),10)))</f>
        <v>3820</v>
      </c>
      <c r="L141" s="17" t="s">
        <v>149</v>
      </c>
      <c r="M141" s="21" t="n">
        <v>1130</v>
      </c>
      <c r="N141" s="20" t="n">
        <f aca="false">MROUND(M141+'Fuel &amp; Inputs'!$C$13,50)</f>
        <v>1950</v>
      </c>
      <c r="O141" s="21" t="n">
        <v>2260</v>
      </c>
      <c r="P141" s="20" t="n">
        <f aca="false">MROUND(M141*'Fuel &amp; Inputs'!$C$19*'Fuel &amp; Inputs'!$C$21,100)</f>
        <v>4300</v>
      </c>
      <c r="Q141" s="20" t="n">
        <f aca="false">MROUND(N141*'Fuel &amp; Inputs'!$C$19*'Fuel &amp; Inputs'!$C$21,100)</f>
        <v>7400</v>
      </c>
      <c r="R141" s="20" t="n">
        <f aca="false">MROUND(O141*'Fuel &amp; Inputs'!$C$19*'Fuel &amp; Inputs'!$C$21,100)</f>
        <v>8600</v>
      </c>
      <c r="S141" s="20" t="n">
        <f aca="false">MROUND(M141*'Fuel &amp; Inputs'!$C$20*'Fuel &amp; Inputs'!$C$22,500)</f>
        <v>115500</v>
      </c>
      <c r="T141" s="20" t="n">
        <f aca="false">MROUND(N141*'Fuel &amp; Inputs'!$C$20*'Fuel &amp; Inputs'!$C$22,500)</f>
        <v>199000</v>
      </c>
      <c r="U141" s="20" t="n">
        <f aca="false">MROUND(O141*'Fuel &amp; Inputs'!$C$20*'Fuel &amp; Inputs'!$C$22,500)</f>
        <v>230500</v>
      </c>
    </row>
    <row r="142" customFormat="false" ht="15" hidden="false" customHeight="false" outlineLevel="0" collapsed="false">
      <c r="A142" s="23" t="n">
        <v>132</v>
      </c>
      <c r="B142" s="34" t="s">
        <v>78</v>
      </c>
      <c r="C142" s="34" t="s">
        <v>324</v>
      </c>
      <c r="D142" s="34" t="s">
        <v>411</v>
      </c>
      <c r="E142" s="23" t="s">
        <v>217</v>
      </c>
      <c r="F142" s="23" t="s">
        <v>416</v>
      </c>
      <c r="G142" s="23" t="s">
        <v>217</v>
      </c>
      <c r="H142" s="23" t="s">
        <v>148</v>
      </c>
      <c r="I142" s="25" t="n">
        <v>10</v>
      </c>
      <c r="J142" s="35" t="n">
        <v>1</v>
      </c>
      <c r="K142" s="26" t="n">
        <f aca="false">IF(I142=0,0,IF(L142="Rs./km",MROUND(IF(H142="Petrol",'Fuel &amp; Inputs'!$C$5,'Fuel &amp; Inputs'!$C$4)/I142*J142,1),MROUND(I142*J142*IF(H142="Petrol",'Fuel &amp; Inputs'!$C$5,'Fuel &amp; Inputs'!$C$4),10)))</f>
        <v>3820</v>
      </c>
      <c r="L142" s="23" t="s">
        <v>149</v>
      </c>
      <c r="M142" s="27" t="n">
        <v>1130</v>
      </c>
      <c r="N142" s="26" t="n">
        <f aca="false">MROUND(M142+'Fuel &amp; Inputs'!$C$13,50)</f>
        <v>1950</v>
      </c>
      <c r="O142" s="27" t="n">
        <v>2260</v>
      </c>
      <c r="P142" s="26" t="n">
        <f aca="false">MROUND(M142*'Fuel &amp; Inputs'!$C$19*'Fuel &amp; Inputs'!$C$21,100)</f>
        <v>4300</v>
      </c>
      <c r="Q142" s="26" t="n">
        <f aca="false">MROUND(N142*'Fuel &amp; Inputs'!$C$19*'Fuel &amp; Inputs'!$C$21,100)</f>
        <v>7400</v>
      </c>
      <c r="R142" s="26" t="n">
        <f aca="false">MROUND(O142*'Fuel &amp; Inputs'!$C$19*'Fuel &amp; Inputs'!$C$21,100)</f>
        <v>8600</v>
      </c>
      <c r="S142" s="26" t="n">
        <f aca="false">MROUND(M142*'Fuel &amp; Inputs'!$C$20*'Fuel &amp; Inputs'!$C$22,500)</f>
        <v>115500</v>
      </c>
      <c r="T142" s="26" t="n">
        <f aca="false">MROUND(N142*'Fuel &amp; Inputs'!$C$20*'Fuel &amp; Inputs'!$C$22,500)</f>
        <v>199000</v>
      </c>
      <c r="U142" s="26" t="n">
        <f aca="false">MROUND(O142*'Fuel &amp; Inputs'!$C$20*'Fuel &amp; Inputs'!$C$22,500)</f>
        <v>230500</v>
      </c>
    </row>
    <row r="143" customFormat="false" ht="15" hidden="false" customHeight="false" outlineLevel="0" collapsed="false">
      <c r="A143" s="17" t="n">
        <v>133</v>
      </c>
      <c r="B143" s="32" t="s">
        <v>78</v>
      </c>
      <c r="C143" s="32" t="s">
        <v>324</v>
      </c>
      <c r="D143" s="32" t="s">
        <v>411</v>
      </c>
      <c r="E143" s="17" t="s">
        <v>217</v>
      </c>
      <c r="F143" s="17" t="s">
        <v>417</v>
      </c>
      <c r="G143" s="17" t="s">
        <v>217</v>
      </c>
      <c r="H143" s="17" t="s">
        <v>148</v>
      </c>
      <c r="I143" s="19" t="n">
        <v>10</v>
      </c>
      <c r="J143" s="33" t="n">
        <v>1</v>
      </c>
      <c r="K143" s="20" t="n">
        <f aca="false">IF(I143=0,0,IF(L143="Rs./km",MROUND(IF(H143="Petrol",'Fuel &amp; Inputs'!$C$5,'Fuel &amp; Inputs'!$C$4)/I143*J143,1),MROUND(I143*J143*IF(H143="Petrol",'Fuel &amp; Inputs'!$C$5,'Fuel &amp; Inputs'!$C$4),10)))</f>
        <v>3820</v>
      </c>
      <c r="L143" s="17" t="s">
        <v>149</v>
      </c>
      <c r="M143" s="21" t="n">
        <v>1130</v>
      </c>
      <c r="N143" s="20" t="n">
        <f aca="false">MROUND(M143+'Fuel &amp; Inputs'!$C$13,50)</f>
        <v>1950</v>
      </c>
      <c r="O143" s="21" t="n">
        <v>2260</v>
      </c>
      <c r="P143" s="20" t="n">
        <f aca="false">MROUND(M143*'Fuel &amp; Inputs'!$C$19*'Fuel &amp; Inputs'!$C$21,100)</f>
        <v>4300</v>
      </c>
      <c r="Q143" s="20" t="n">
        <f aca="false">MROUND(N143*'Fuel &amp; Inputs'!$C$19*'Fuel &amp; Inputs'!$C$21,100)</f>
        <v>7400</v>
      </c>
      <c r="R143" s="20" t="n">
        <f aca="false">MROUND(O143*'Fuel &amp; Inputs'!$C$19*'Fuel &amp; Inputs'!$C$21,100)</f>
        <v>8600</v>
      </c>
      <c r="S143" s="20" t="n">
        <f aca="false">MROUND(M143*'Fuel &amp; Inputs'!$C$20*'Fuel &amp; Inputs'!$C$22,500)</f>
        <v>115500</v>
      </c>
      <c r="T143" s="20" t="n">
        <f aca="false">MROUND(N143*'Fuel &amp; Inputs'!$C$20*'Fuel &amp; Inputs'!$C$22,500)</f>
        <v>199000</v>
      </c>
      <c r="U143" s="20" t="n">
        <f aca="false">MROUND(O143*'Fuel &amp; Inputs'!$C$20*'Fuel &amp; Inputs'!$C$22,500)</f>
        <v>230500</v>
      </c>
    </row>
    <row r="144" customFormat="false" ht="15" hidden="false" customHeight="false" outlineLevel="0" collapsed="false">
      <c r="A144" s="23" t="n">
        <v>134</v>
      </c>
      <c r="B144" s="34" t="s">
        <v>78</v>
      </c>
      <c r="C144" s="34" t="s">
        <v>324</v>
      </c>
      <c r="D144" s="34" t="s">
        <v>411</v>
      </c>
      <c r="E144" s="23" t="s">
        <v>217</v>
      </c>
      <c r="F144" s="23" t="s">
        <v>418</v>
      </c>
      <c r="G144" s="23" t="s">
        <v>217</v>
      </c>
      <c r="H144" s="23" t="s">
        <v>148</v>
      </c>
      <c r="I144" s="25" t="n">
        <v>10</v>
      </c>
      <c r="J144" s="35" t="n">
        <v>1</v>
      </c>
      <c r="K144" s="26" t="n">
        <f aca="false">IF(I144=0,0,IF(L144="Rs./km",MROUND(IF(H144="Petrol",'Fuel &amp; Inputs'!$C$5,'Fuel &amp; Inputs'!$C$4)/I144*J144,1),MROUND(I144*J144*IF(H144="Petrol",'Fuel &amp; Inputs'!$C$5,'Fuel &amp; Inputs'!$C$4),10)))</f>
        <v>3820</v>
      </c>
      <c r="L144" s="23" t="s">
        <v>149</v>
      </c>
      <c r="M144" s="27" t="n">
        <v>1130</v>
      </c>
      <c r="N144" s="26" t="n">
        <f aca="false">MROUND(M144+'Fuel &amp; Inputs'!$C$13,50)</f>
        <v>1950</v>
      </c>
      <c r="O144" s="27" t="n">
        <v>2260</v>
      </c>
      <c r="P144" s="26" t="n">
        <f aca="false">MROUND(M144*'Fuel &amp; Inputs'!$C$19*'Fuel &amp; Inputs'!$C$21,100)</f>
        <v>4300</v>
      </c>
      <c r="Q144" s="26" t="n">
        <f aca="false">MROUND(N144*'Fuel &amp; Inputs'!$C$19*'Fuel &amp; Inputs'!$C$21,100)</f>
        <v>7400</v>
      </c>
      <c r="R144" s="26" t="n">
        <f aca="false">MROUND(O144*'Fuel &amp; Inputs'!$C$19*'Fuel &amp; Inputs'!$C$21,100)</f>
        <v>8600</v>
      </c>
      <c r="S144" s="26" t="n">
        <f aca="false">MROUND(M144*'Fuel &amp; Inputs'!$C$20*'Fuel &amp; Inputs'!$C$22,500)</f>
        <v>115500</v>
      </c>
      <c r="T144" s="26" t="n">
        <f aca="false">MROUND(N144*'Fuel &amp; Inputs'!$C$20*'Fuel &amp; Inputs'!$C$22,500)</f>
        <v>199000</v>
      </c>
      <c r="U144" s="26" t="n">
        <f aca="false">MROUND(O144*'Fuel &amp; Inputs'!$C$20*'Fuel &amp; Inputs'!$C$22,500)</f>
        <v>230500</v>
      </c>
    </row>
    <row r="145" customFormat="false" ht="15" hidden="false" customHeight="false" outlineLevel="0" collapsed="false">
      <c r="A145" s="17" t="n">
        <v>135</v>
      </c>
      <c r="B145" s="32" t="s">
        <v>78</v>
      </c>
      <c r="C145" s="32" t="s">
        <v>324</v>
      </c>
      <c r="D145" s="32" t="s">
        <v>411</v>
      </c>
      <c r="E145" s="17" t="s">
        <v>217</v>
      </c>
      <c r="F145" s="17" t="s">
        <v>419</v>
      </c>
      <c r="G145" s="17" t="s">
        <v>217</v>
      </c>
      <c r="H145" s="17" t="s">
        <v>148</v>
      </c>
      <c r="I145" s="19" t="n">
        <v>10</v>
      </c>
      <c r="J145" s="33" t="n">
        <v>1</v>
      </c>
      <c r="K145" s="20" t="n">
        <f aca="false">IF(I145=0,0,IF(L145="Rs./km",MROUND(IF(H145="Petrol",'Fuel &amp; Inputs'!$C$5,'Fuel &amp; Inputs'!$C$4)/I145*J145,1),MROUND(I145*J145*IF(H145="Petrol",'Fuel &amp; Inputs'!$C$5,'Fuel &amp; Inputs'!$C$4),10)))</f>
        <v>3820</v>
      </c>
      <c r="L145" s="17" t="s">
        <v>149</v>
      </c>
      <c r="M145" s="21" t="n">
        <v>1130</v>
      </c>
      <c r="N145" s="20" t="n">
        <f aca="false">MROUND(M145+'Fuel &amp; Inputs'!$C$13,50)</f>
        <v>1950</v>
      </c>
      <c r="O145" s="21" t="n">
        <v>2260</v>
      </c>
      <c r="P145" s="20" t="n">
        <f aca="false">MROUND(M145*'Fuel &amp; Inputs'!$C$19*'Fuel &amp; Inputs'!$C$21,100)</f>
        <v>4300</v>
      </c>
      <c r="Q145" s="20" t="n">
        <f aca="false">MROUND(N145*'Fuel &amp; Inputs'!$C$19*'Fuel &amp; Inputs'!$C$21,100)</f>
        <v>7400</v>
      </c>
      <c r="R145" s="20" t="n">
        <f aca="false">MROUND(O145*'Fuel &amp; Inputs'!$C$19*'Fuel &amp; Inputs'!$C$21,100)</f>
        <v>8600</v>
      </c>
      <c r="S145" s="20" t="n">
        <f aca="false">MROUND(M145*'Fuel &amp; Inputs'!$C$20*'Fuel &amp; Inputs'!$C$22,500)</f>
        <v>115500</v>
      </c>
      <c r="T145" s="20" t="n">
        <f aca="false">MROUND(N145*'Fuel &amp; Inputs'!$C$20*'Fuel &amp; Inputs'!$C$22,500)</f>
        <v>199000</v>
      </c>
      <c r="U145" s="20" t="n">
        <f aca="false">MROUND(O145*'Fuel &amp; Inputs'!$C$20*'Fuel &amp; Inputs'!$C$22,500)</f>
        <v>230500</v>
      </c>
    </row>
    <row r="146" customFormat="false" ht="15" hidden="false" customHeight="false" outlineLevel="0" collapsed="false">
      <c r="A146" s="23" t="n">
        <v>136</v>
      </c>
      <c r="B146" s="34" t="s">
        <v>78</v>
      </c>
      <c r="C146" s="34" t="s">
        <v>324</v>
      </c>
      <c r="D146" s="34" t="s">
        <v>411</v>
      </c>
      <c r="E146" s="23" t="s">
        <v>217</v>
      </c>
      <c r="F146" s="23" t="s">
        <v>420</v>
      </c>
      <c r="G146" s="23" t="s">
        <v>217</v>
      </c>
      <c r="H146" s="23" t="s">
        <v>148</v>
      </c>
      <c r="I146" s="25" t="n">
        <v>10</v>
      </c>
      <c r="J146" s="35" t="n">
        <v>1</v>
      </c>
      <c r="K146" s="26" t="n">
        <f aca="false">IF(I146=0,0,IF(L146="Rs./km",MROUND(IF(H146="Petrol",'Fuel &amp; Inputs'!$C$5,'Fuel &amp; Inputs'!$C$4)/I146*J146,1),MROUND(I146*J146*IF(H146="Petrol",'Fuel &amp; Inputs'!$C$5,'Fuel &amp; Inputs'!$C$4),10)))</f>
        <v>3820</v>
      </c>
      <c r="L146" s="23" t="s">
        <v>149</v>
      </c>
      <c r="M146" s="27" t="n">
        <v>1130</v>
      </c>
      <c r="N146" s="26" t="n">
        <f aca="false">MROUND(M146+'Fuel &amp; Inputs'!$C$13,50)</f>
        <v>1950</v>
      </c>
      <c r="O146" s="27" t="n">
        <v>2260</v>
      </c>
      <c r="P146" s="26" t="n">
        <f aca="false">MROUND(M146*'Fuel &amp; Inputs'!$C$19*'Fuel &amp; Inputs'!$C$21,100)</f>
        <v>4300</v>
      </c>
      <c r="Q146" s="26" t="n">
        <f aca="false">MROUND(N146*'Fuel &amp; Inputs'!$C$19*'Fuel &amp; Inputs'!$C$21,100)</f>
        <v>7400</v>
      </c>
      <c r="R146" s="26" t="n">
        <f aca="false">MROUND(O146*'Fuel &amp; Inputs'!$C$19*'Fuel &amp; Inputs'!$C$21,100)</f>
        <v>8600</v>
      </c>
      <c r="S146" s="26" t="n">
        <f aca="false">MROUND(M146*'Fuel &amp; Inputs'!$C$20*'Fuel &amp; Inputs'!$C$22,500)</f>
        <v>115500</v>
      </c>
      <c r="T146" s="26" t="n">
        <f aca="false">MROUND(N146*'Fuel &amp; Inputs'!$C$20*'Fuel &amp; Inputs'!$C$22,500)</f>
        <v>199000</v>
      </c>
      <c r="U146" s="26" t="n">
        <f aca="false">MROUND(O146*'Fuel &amp; Inputs'!$C$20*'Fuel &amp; Inputs'!$C$22,500)</f>
        <v>230500</v>
      </c>
    </row>
    <row r="147" customFormat="false" ht="15" hidden="false" customHeight="false" outlineLevel="0" collapsed="false">
      <c r="A147" s="17" t="n">
        <v>137</v>
      </c>
      <c r="B147" s="32" t="s">
        <v>78</v>
      </c>
      <c r="C147" s="32" t="s">
        <v>324</v>
      </c>
      <c r="D147" s="32" t="s">
        <v>411</v>
      </c>
      <c r="E147" s="17" t="s">
        <v>217</v>
      </c>
      <c r="F147" s="17" t="s">
        <v>421</v>
      </c>
      <c r="G147" s="17" t="s">
        <v>217</v>
      </c>
      <c r="H147" s="17" t="s">
        <v>148</v>
      </c>
      <c r="I147" s="19" t="n">
        <v>10</v>
      </c>
      <c r="J147" s="33" t="n">
        <v>1</v>
      </c>
      <c r="K147" s="20" t="n">
        <f aca="false">IF(I147=0,0,IF(L147="Rs./km",MROUND(IF(H147="Petrol",'Fuel &amp; Inputs'!$C$5,'Fuel &amp; Inputs'!$C$4)/I147*J147,1),MROUND(I147*J147*IF(H147="Petrol",'Fuel &amp; Inputs'!$C$5,'Fuel &amp; Inputs'!$C$4),10)))</f>
        <v>3820</v>
      </c>
      <c r="L147" s="17" t="s">
        <v>149</v>
      </c>
      <c r="M147" s="21" t="n">
        <v>1130</v>
      </c>
      <c r="N147" s="20" t="n">
        <f aca="false">MROUND(M147+'Fuel &amp; Inputs'!$C$13,50)</f>
        <v>1950</v>
      </c>
      <c r="O147" s="21" t="n">
        <v>2260</v>
      </c>
      <c r="P147" s="20" t="n">
        <f aca="false">MROUND(M147*'Fuel &amp; Inputs'!$C$19*'Fuel &amp; Inputs'!$C$21,100)</f>
        <v>4300</v>
      </c>
      <c r="Q147" s="20" t="n">
        <f aca="false">MROUND(N147*'Fuel &amp; Inputs'!$C$19*'Fuel &amp; Inputs'!$C$21,100)</f>
        <v>7400</v>
      </c>
      <c r="R147" s="20" t="n">
        <f aca="false">MROUND(O147*'Fuel &amp; Inputs'!$C$19*'Fuel &amp; Inputs'!$C$21,100)</f>
        <v>8600</v>
      </c>
      <c r="S147" s="20" t="n">
        <f aca="false">MROUND(M147*'Fuel &amp; Inputs'!$C$20*'Fuel &amp; Inputs'!$C$22,500)</f>
        <v>115500</v>
      </c>
      <c r="T147" s="20" t="n">
        <f aca="false">MROUND(N147*'Fuel &amp; Inputs'!$C$20*'Fuel &amp; Inputs'!$C$22,500)</f>
        <v>199000</v>
      </c>
      <c r="U147" s="20" t="n">
        <f aca="false">MROUND(O147*'Fuel &amp; Inputs'!$C$20*'Fuel &amp; Inputs'!$C$22,500)</f>
        <v>230500</v>
      </c>
    </row>
    <row r="148" customFormat="false" ht="15" hidden="false" customHeight="false" outlineLevel="0" collapsed="false">
      <c r="A148" s="23" t="n">
        <v>138</v>
      </c>
      <c r="B148" s="34" t="s">
        <v>78</v>
      </c>
      <c r="C148" s="34" t="s">
        <v>324</v>
      </c>
      <c r="D148" s="34" t="s">
        <v>411</v>
      </c>
      <c r="E148" s="23" t="s">
        <v>217</v>
      </c>
      <c r="F148" s="23" t="s">
        <v>422</v>
      </c>
      <c r="G148" s="23" t="s">
        <v>217</v>
      </c>
      <c r="H148" s="23" t="s">
        <v>148</v>
      </c>
      <c r="I148" s="25" t="n">
        <v>10</v>
      </c>
      <c r="J148" s="35" t="n">
        <v>1</v>
      </c>
      <c r="K148" s="26" t="n">
        <f aca="false">IF(I148=0,0,IF(L148="Rs./km",MROUND(IF(H148="Petrol",'Fuel &amp; Inputs'!$C$5,'Fuel &amp; Inputs'!$C$4)/I148*J148,1),MROUND(I148*J148*IF(H148="Petrol",'Fuel &amp; Inputs'!$C$5,'Fuel &amp; Inputs'!$C$4),10)))</f>
        <v>3820</v>
      </c>
      <c r="L148" s="23" t="s">
        <v>149</v>
      </c>
      <c r="M148" s="27" t="n">
        <v>1130</v>
      </c>
      <c r="N148" s="26" t="n">
        <f aca="false">MROUND(M148+'Fuel &amp; Inputs'!$C$13,50)</f>
        <v>1950</v>
      </c>
      <c r="O148" s="27" t="n">
        <v>2260</v>
      </c>
      <c r="P148" s="26" t="n">
        <f aca="false">MROUND(M148*'Fuel &amp; Inputs'!$C$19*'Fuel &amp; Inputs'!$C$21,100)</f>
        <v>4300</v>
      </c>
      <c r="Q148" s="26" t="n">
        <f aca="false">MROUND(N148*'Fuel &amp; Inputs'!$C$19*'Fuel &amp; Inputs'!$C$21,100)</f>
        <v>7400</v>
      </c>
      <c r="R148" s="26" t="n">
        <f aca="false">MROUND(O148*'Fuel &amp; Inputs'!$C$19*'Fuel &amp; Inputs'!$C$21,100)</f>
        <v>8600</v>
      </c>
      <c r="S148" s="26" t="n">
        <f aca="false">MROUND(M148*'Fuel &amp; Inputs'!$C$20*'Fuel &amp; Inputs'!$C$22,500)</f>
        <v>115500</v>
      </c>
      <c r="T148" s="26" t="n">
        <f aca="false">MROUND(N148*'Fuel &amp; Inputs'!$C$20*'Fuel &amp; Inputs'!$C$22,500)</f>
        <v>199000</v>
      </c>
      <c r="U148" s="26" t="n">
        <f aca="false">MROUND(O148*'Fuel &amp; Inputs'!$C$20*'Fuel &amp; Inputs'!$C$22,500)</f>
        <v>230500</v>
      </c>
    </row>
    <row r="149" customFormat="false" ht="15" hidden="false" customHeight="false" outlineLevel="0" collapsed="false">
      <c r="A149" s="17" t="n">
        <v>139</v>
      </c>
      <c r="B149" s="32" t="s">
        <v>78</v>
      </c>
      <c r="C149" s="32" t="s">
        <v>378</v>
      </c>
      <c r="D149" s="32" t="s">
        <v>217</v>
      </c>
      <c r="E149" s="17" t="s">
        <v>217</v>
      </c>
      <c r="F149" s="17" t="s">
        <v>423</v>
      </c>
      <c r="G149" s="17" t="s">
        <v>217</v>
      </c>
      <c r="H149" s="17" t="s">
        <v>148</v>
      </c>
      <c r="I149" s="19" t="n">
        <v>10</v>
      </c>
      <c r="J149" s="33" t="n">
        <v>1</v>
      </c>
      <c r="K149" s="20" t="n">
        <f aca="false">IF(I149=0,0,IF(L149="Rs./km",MROUND(IF(H149="Petrol",'Fuel &amp; Inputs'!$C$5,'Fuel &amp; Inputs'!$C$4)/I149*J149,1),MROUND(I149*J149*IF(H149="Petrol",'Fuel &amp; Inputs'!$C$5,'Fuel &amp; Inputs'!$C$4),10)))</f>
        <v>3820</v>
      </c>
      <c r="L149" s="17" t="s">
        <v>149</v>
      </c>
      <c r="M149" s="21" t="n">
        <v>1130</v>
      </c>
      <c r="N149" s="20" t="n">
        <f aca="false">MROUND(M149+'Fuel &amp; Inputs'!$C$13,50)</f>
        <v>1950</v>
      </c>
      <c r="O149" s="21" t="n">
        <v>2260</v>
      </c>
      <c r="P149" s="20" t="n">
        <f aca="false">MROUND(M149*'Fuel &amp; Inputs'!$C$19*'Fuel &amp; Inputs'!$C$21,100)</f>
        <v>4300</v>
      </c>
      <c r="Q149" s="20" t="n">
        <f aca="false">MROUND(N149*'Fuel &amp; Inputs'!$C$19*'Fuel &amp; Inputs'!$C$21,100)</f>
        <v>7400</v>
      </c>
      <c r="R149" s="20" t="n">
        <f aca="false">MROUND(O149*'Fuel &amp; Inputs'!$C$19*'Fuel &amp; Inputs'!$C$21,100)</f>
        <v>8600</v>
      </c>
      <c r="S149" s="20" t="n">
        <f aca="false">MROUND(M149*'Fuel &amp; Inputs'!$C$20*'Fuel &amp; Inputs'!$C$22,500)</f>
        <v>115500</v>
      </c>
      <c r="T149" s="20" t="n">
        <f aca="false">MROUND(N149*'Fuel &amp; Inputs'!$C$20*'Fuel &amp; Inputs'!$C$22,500)</f>
        <v>199000</v>
      </c>
      <c r="U149" s="20" t="n">
        <f aca="false">MROUND(O149*'Fuel &amp; Inputs'!$C$20*'Fuel &amp; Inputs'!$C$22,500)</f>
        <v>230500</v>
      </c>
    </row>
    <row r="150" customFormat="false" ht="15" hidden="false" customHeight="false" outlineLevel="0" collapsed="false">
      <c r="A150" s="23" t="n">
        <v>140</v>
      </c>
      <c r="B150" s="34" t="s">
        <v>78</v>
      </c>
      <c r="C150" s="34" t="s">
        <v>235</v>
      </c>
      <c r="D150" s="34" t="s">
        <v>424</v>
      </c>
      <c r="E150" s="23" t="s">
        <v>217</v>
      </c>
      <c r="F150" s="23" t="s">
        <v>425</v>
      </c>
      <c r="G150" s="23" t="s">
        <v>217</v>
      </c>
      <c r="H150" s="23" t="s">
        <v>148</v>
      </c>
      <c r="I150" s="25" t="n">
        <v>10</v>
      </c>
      <c r="J150" s="35" t="n">
        <v>1</v>
      </c>
      <c r="K150" s="26" t="n">
        <f aca="false">IF(I150=0,0,IF(L150="Rs./km",MROUND(IF(H150="Petrol",'Fuel &amp; Inputs'!$C$5,'Fuel &amp; Inputs'!$C$4)/I150*J150,1),MROUND(I150*J150*IF(H150="Petrol",'Fuel &amp; Inputs'!$C$5,'Fuel &amp; Inputs'!$C$4),10)))</f>
        <v>3820</v>
      </c>
      <c r="L150" s="23" t="s">
        <v>149</v>
      </c>
      <c r="M150" s="27" t="n">
        <v>1130</v>
      </c>
      <c r="N150" s="26" t="n">
        <f aca="false">MROUND(M150+'Fuel &amp; Inputs'!$C$13,50)</f>
        <v>1950</v>
      </c>
      <c r="O150" s="27" t="n">
        <v>2260</v>
      </c>
      <c r="P150" s="26" t="n">
        <f aca="false">MROUND(M150*'Fuel &amp; Inputs'!$C$19*'Fuel &amp; Inputs'!$C$21,100)</f>
        <v>4300</v>
      </c>
      <c r="Q150" s="26" t="n">
        <f aca="false">MROUND(N150*'Fuel &amp; Inputs'!$C$19*'Fuel &amp; Inputs'!$C$21,100)</f>
        <v>7400</v>
      </c>
      <c r="R150" s="26" t="n">
        <f aca="false">MROUND(O150*'Fuel &amp; Inputs'!$C$19*'Fuel &amp; Inputs'!$C$21,100)</f>
        <v>8600</v>
      </c>
      <c r="S150" s="26" t="n">
        <f aca="false">MROUND(M150*'Fuel &amp; Inputs'!$C$20*'Fuel &amp; Inputs'!$C$22,500)</f>
        <v>115500</v>
      </c>
      <c r="T150" s="26" t="n">
        <f aca="false">MROUND(N150*'Fuel &amp; Inputs'!$C$20*'Fuel &amp; Inputs'!$C$22,500)</f>
        <v>199000</v>
      </c>
      <c r="U150" s="26" t="n">
        <f aca="false">MROUND(O150*'Fuel &amp; Inputs'!$C$20*'Fuel &amp; Inputs'!$C$22,500)</f>
        <v>230500</v>
      </c>
    </row>
    <row r="151" customFormat="false" ht="15" hidden="false" customHeight="false" outlineLevel="0" collapsed="false">
      <c r="A151" s="17" t="n">
        <v>141</v>
      </c>
      <c r="B151" s="32" t="s">
        <v>78</v>
      </c>
      <c r="C151" s="32" t="s">
        <v>321</v>
      </c>
      <c r="D151" s="32" t="s">
        <v>376</v>
      </c>
      <c r="E151" s="17" t="s">
        <v>217</v>
      </c>
      <c r="F151" s="17" t="s">
        <v>217</v>
      </c>
      <c r="G151" s="17" t="s">
        <v>217</v>
      </c>
      <c r="H151" s="17" t="s">
        <v>148</v>
      </c>
      <c r="I151" s="19" t="n">
        <v>7</v>
      </c>
      <c r="J151" s="33" t="n">
        <v>1</v>
      </c>
      <c r="K151" s="20" t="n">
        <f aca="false">IF(I151=0,0,IF(L151="Rs./km",MROUND(IF(H151="Petrol",'Fuel &amp; Inputs'!$C$5,'Fuel &amp; Inputs'!$C$4)/I151*J151,1),MROUND(I151*J151*IF(H151="Petrol",'Fuel &amp; Inputs'!$C$5,'Fuel &amp; Inputs'!$C$4),10)))</f>
        <v>2670</v>
      </c>
      <c r="L151" s="17" t="s">
        <v>149</v>
      </c>
      <c r="M151" s="21" t="n">
        <v>1130</v>
      </c>
      <c r="N151" s="20" t="n">
        <f aca="false">MROUND(M151+'Fuel &amp; Inputs'!$C$13,50)</f>
        <v>1950</v>
      </c>
      <c r="O151" s="21" t="n">
        <v>2260</v>
      </c>
      <c r="P151" s="20" t="n">
        <f aca="false">MROUND(M151*'Fuel &amp; Inputs'!$C$19*'Fuel &amp; Inputs'!$C$21,100)</f>
        <v>4300</v>
      </c>
      <c r="Q151" s="20" t="n">
        <f aca="false">MROUND(N151*'Fuel &amp; Inputs'!$C$19*'Fuel &amp; Inputs'!$C$21,100)</f>
        <v>7400</v>
      </c>
      <c r="R151" s="20" t="n">
        <f aca="false">MROUND(O151*'Fuel &amp; Inputs'!$C$19*'Fuel &amp; Inputs'!$C$21,100)</f>
        <v>8600</v>
      </c>
      <c r="S151" s="20" t="n">
        <f aca="false">MROUND(M151*'Fuel &amp; Inputs'!$C$20*'Fuel &amp; Inputs'!$C$22,500)</f>
        <v>115500</v>
      </c>
      <c r="T151" s="20" t="n">
        <f aca="false">MROUND(N151*'Fuel &amp; Inputs'!$C$20*'Fuel &amp; Inputs'!$C$22,500)</f>
        <v>199000</v>
      </c>
      <c r="U151" s="20" t="n">
        <f aca="false">MROUND(O151*'Fuel &amp; Inputs'!$C$20*'Fuel &amp; Inputs'!$C$22,500)</f>
        <v>230500</v>
      </c>
    </row>
    <row r="152" customFormat="false" ht="15" hidden="false" customHeight="false" outlineLevel="0" collapsed="false">
      <c r="A152" s="23" t="n">
        <v>142</v>
      </c>
      <c r="B152" s="34" t="s">
        <v>78</v>
      </c>
      <c r="C152" s="34" t="s">
        <v>321</v>
      </c>
      <c r="D152" s="34" t="s">
        <v>217</v>
      </c>
      <c r="E152" s="23" t="s">
        <v>217</v>
      </c>
      <c r="F152" s="23" t="s">
        <v>426</v>
      </c>
      <c r="G152" s="23" t="s">
        <v>217</v>
      </c>
      <c r="H152" s="23" t="s">
        <v>148</v>
      </c>
      <c r="I152" s="25" t="n">
        <v>10</v>
      </c>
      <c r="J152" s="35" t="n">
        <v>1</v>
      </c>
      <c r="K152" s="26" t="n">
        <f aca="false">IF(I152=0,0,IF(L152="Rs./km",MROUND(IF(H152="Petrol",'Fuel &amp; Inputs'!$C$5,'Fuel &amp; Inputs'!$C$4)/I152*J152,1),MROUND(I152*J152*IF(H152="Petrol",'Fuel &amp; Inputs'!$C$5,'Fuel &amp; Inputs'!$C$4),10)))</f>
        <v>3820</v>
      </c>
      <c r="L152" s="23" t="s">
        <v>149</v>
      </c>
      <c r="M152" s="27" t="n">
        <v>1130</v>
      </c>
      <c r="N152" s="26" t="n">
        <f aca="false">MROUND(M152+'Fuel &amp; Inputs'!$C$13,50)</f>
        <v>1950</v>
      </c>
      <c r="O152" s="27" t="n">
        <v>2260</v>
      </c>
      <c r="P152" s="26" t="n">
        <f aca="false">MROUND(M152*'Fuel &amp; Inputs'!$C$19*'Fuel &amp; Inputs'!$C$21,100)</f>
        <v>4300</v>
      </c>
      <c r="Q152" s="26" t="n">
        <f aca="false">MROUND(N152*'Fuel &amp; Inputs'!$C$19*'Fuel &amp; Inputs'!$C$21,100)</f>
        <v>7400</v>
      </c>
      <c r="R152" s="26" t="n">
        <f aca="false">MROUND(O152*'Fuel &amp; Inputs'!$C$19*'Fuel &amp; Inputs'!$C$21,100)</f>
        <v>8600</v>
      </c>
      <c r="S152" s="26" t="n">
        <f aca="false">MROUND(M152*'Fuel &amp; Inputs'!$C$20*'Fuel &amp; Inputs'!$C$22,500)</f>
        <v>115500</v>
      </c>
      <c r="T152" s="26" t="n">
        <f aca="false">MROUND(N152*'Fuel &amp; Inputs'!$C$20*'Fuel &amp; Inputs'!$C$22,500)</f>
        <v>199000</v>
      </c>
      <c r="U152" s="26" t="n">
        <f aca="false">MROUND(O152*'Fuel &amp; Inputs'!$C$20*'Fuel &amp; Inputs'!$C$22,500)</f>
        <v>230500</v>
      </c>
    </row>
    <row r="153" customFormat="false" ht="15" hidden="false" customHeight="false" outlineLevel="0" collapsed="false">
      <c r="A153" s="17" t="n">
        <v>143</v>
      </c>
      <c r="B153" s="32" t="s">
        <v>78</v>
      </c>
      <c r="C153" s="32" t="s">
        <v>321</v>
      </c>
      <c r="D153" s="32" t="s">
        <v>427</v>
      </c>
      <c r="E153" s="17" t="s">
        <v>217</v>
      </c>
      <c r="F153" s="17" t="s">
        <v>428</v>
      </c>
      <c r="G153" s="17" t="s">
        <v>217</v>
      </c>
      <c r="H153" s="17" t="s">
        <v>148</v>
      </c>
      <c r="I153" s="19" t="n">
        <v>10</v>
      </c>
      <c r="J153" s="33" t="n">
        <v>1</v>
      </c>
      <c r="K153" s="20" t="n">
        <f aca="false">IF(I153=0,0,IF(L153="Rs./km",MROUND(IF(H153="Petrol",'Fuel &amp; Inputs'!$C$5,'Fuel &amp; Inputs'!$C$4)/I153*J153,1),MROUND(I153*J153*IF(H153="Petrol",'Fuel &amp; Inputs'!$C$5,'Fuel &amp; Inputs'!$C$4),10)))</f>
        <v>3820</v>
      </c>
      <c r="L153" s="17" t="s">
        <v>149</v>
      </c>
      <c r="M153" s="21" t="n">
        <v>1130</v>
      </c>
      <c r="N153" s="20" t="n">
        <f aca="false">MROUND(M153+'Fuel &amp; Inputs'!$C$13,50)</f>
        <v>1950</v>
      </c>
      <c r="O153" s="21" t="n">
        <v>2260</v>
      </c>
      <c r="P153" s="20" t="n">
        <f aca="false">MROUND(M153*'Fuel &amp; Inputs'!$C$19*'Fuel &amp; Inputs'!$C$21,100)</f>
        <v>4300</v>
      </c>
      <c r="Q153" s="20" t="n">
        <f aca="false">MROUND(N153*'Fuel &amp; Inputs'!$C$19*'Fuel &amp; Inputs'!$C$21,100)</f>
        <v>7400</v>
      </c>
      <c r="R153" s="20" t="n">
        <f aca="false">MROUND(O153*'Fuel &amp; Inputs'!$C$19*'Fuel &amp; Inputs'!$C$21,100)</f>
        <v>8600</v>
      </c>
      <c r="S153" s="20" t="n">
        <f aca="false">MROUND(M153*'Fuel &amp; Inputs'!$C$20*'Fuel &amp; Inputs'!$C$22,500)</f>
        <v>115500</v>
      </c>
      <c r="T153" s="20" t="n">
        <f aca="false">MROUND(N153*'Fuel &amp; Inputs'!$C$20*'Fuel &amp; Inputs'!$C$22,500)</f>
        <v>199000</v>
      </c>
      <c r="U153" s="20" t="n">
        <f aca="false">MROUND(O153*'Fuel &amp; Inputs'!$C$20*'Fuel &amp; Inputs'!$C$22,500)</f>
        <v>230500</v>
      </c>
    </row>
    <row r="154" customFormat="false" ht="15" hidden="false" customHeight="true" outlineLevel="0" collapsed="false">
      <c r="A154" s="31" t="s">
        <v>429</v>
      </c>
      <c r="B154" s="31"/>
      <c r="C154" s="31"/>
      <c r="D154" s="31"/>
      <c r="E154" s="31"/>
      <c r="F154" s="31"/>
      <c r="G154" s="31"/>
      <c r="H154" s="31"/>
      <c r="I154" s="31"/>
      <c r="J154" s="31"/>
      <c r="K154" s="31"/>
      <c r="L154" s="31"/>
      <c r="M154" s="31"/>
      <c r="N154" s="31"/>
      <c r="O154" s="31"/>
      <c r="P154" s="31"/>
      <c r="Q154" s="31"/>
      <c r="R154" s="31"/>
      <c r="S154" s="31"/>
      <c r="T154" s="31"/>
      <c r="U154" s="31"/>
    </row>
    <row r="155" customFormat="false" ht="15" hidden="false" customHeight="false" outlineLevel="0" collapsed="false">
      <c r="A155" s="23" t="n">
        <v>144</v>
      </c>
      <c r="B155" s="34" t="s">
        <v>80</v>
      </c>
      <c r="C155" s="34" t="s">
        <v>324</v>
      </c>
      <c r="D155" s="34" t="s">
        <v>217</v>
      </c>
      <c r="E155" s="23" t="s">
        <v>160</v>
      </c>
      <c r="F155" s="23" t="s">
        <v>430</v>
      </c>
      <c r="G155" s="23" t="s">
        <v>217</v>
      </c>
      <c r="H155" s="23" t="s">
        <v>148</v>
      </c>
      <c r="I155" s="25" t="n">
        <v>9</v>
      </c>
      <c r="J155" s="35" t="n">
        <v>1.098</v>
      </c>
      <c r="K155" s="26" t="n">
        <f aca="false">IF(I155=0,0,IF(L155="Rs./km",MROUND(IF(H155="Petrol",'Fuel &amp; Inputs'!$C$5,'Fuel &amp; Inputs'!$C$4)/I155*J155,1),MROUND(I155*J155*IF(H155="Petrol",'Fuel &amp; Inputs'!$C$5,'Fuel &amp; Inputs'!$C$4),10)))</f>
        <v>3770</v>
      </c>
      <c r="L155" s="23" t="s">
        <v>149</v>
      </c>
      <c r="M155" s="27" t="n">
        <v>1640</v>
      </c>
      <c r="N155" s="26" t="n">
        <f aca="false">MROUND(M155+'Fuel &amp; Inputs'!$C$13,50)</f>
        <v>2450</v>
      </c>
      <c r="O155" s="27" t="n">
        <v>3240</v>
      </c>
      <c r="P155" s="26" t="n">
        <f aca="false">MROUND(M155*'Fuel &amp; Inputs'!$C$19*'Fuel &amp; Inputs'!$C$21,100)</f>
        <v>6200</v>
      </c>
      <c r="Q155" s="26" t="n">
        <f aca="false">MROUND(N155*'Fuel &amp; Inputs'!$C$19*'Fuel &amp; Inputs'!$C$21,100)</f>
        <v>9300</v>
      </c>
      <c r="R155" s="26" t="n">
        <f aca="false">MROUND(O155*'Fuel &amp; Inputs'!$C$19*'Fuel &amp; Inputs'!$C$21,100)</f>
        <v>12300</v>
      </c>
      <c r="S155" s="26" t="n">
        <f aca="false">MROUND(M155*'Fuel &amp; Inputs'!$C$20*'Fuel &amp; Inputs'!$C$22,500)</f>
        <v>167500</v>
      </c>
      <c r="T155" s="26" t="n">
        <f aca="false">MROUND(N155*'Fuel &amp; Inputs'!$C$20*'Fuel &amp; Inputs'!$C$22,500)</f>
        <v>250000</v>
      </c>
      <c r="U155" s="26" t="n">
        <f aca="false">MROUND(O155*'Fuel &amp; Inputs'!$C$20*'Fuel &amp; Inputs'!$C$22,500)</f>
        <v>330500</v>
      </c>
    </row>
    <row r="156" customFormat="false" ht="15" hidden="false" customHeight="false" outlineLevel="0" collapsed="false">
      <c r="A156" s="17" t="n">
        <v>145</v>
      </c>
      <c r="B156" s="32" t="s">
        <v>80</v>
      </c>
      <c r="C156" s="32" t="s">
        <v>306</v>
      </c>
      <c r="D156" s="32" t="s">
        <v>431</v>
      </c>
      <c r="E156" s="17" t="s">
        <v>160</v>
      </c>
      <c r="F156" s="17" t="s">
        <v>432</v>
      </c>
      <c r="G156" s="17" t="s">
        <v>217</v>
      </c>
      <c r="H156" s="17" t="s">
        <v>148</v>
      </c>
      <c r="I156" s="19" t="n">
        <v>9</v>
      </c>
      <c r="J156" s="33" t="n">
        <v>1.098</v>
      </c>
      <c r="K156" s="20" t="n">
        <f aca="false">IF(I156=0,0,IF(L156="Rs./km",MROUND(IF(H156="Petrol",'Fuel &amp; Inputs'!$C$5,'Fuel &amp; Inputs'!$C$4)/I156*J156,1),MROUND(I156*J156*IF(H156="Petrol",'Fuel &amp; Inputs'!$C$5,'Fuel &amp; Inputs'!$C$4),10)))</f>
        <v>3770</v>
      </c>
      <c r="L156" s="17" t="s">
        <v>149</v>
      </c>
      <c r="M156" s="21" t="n">
        <v>1640</v>
      </c>
      <c r="N156" s="20" t="n">
        <f aca="false">MROUND(M156+'Fuel &amp; Inputs'!$C$13,50)</f>
        <v>2450</v>
      </c>
      <c r="O156" s="21" t="n">
        <v>3240</v>
      </c>
      <c r="P156" s="20" t="n">
        <f aca="false">MROUND(M156*'Fuel &amp; Inputs'!$C$19*'Fuel &amp; Inputs'!$C$21,100)</f>
        <v>6200</v>
      </c>
      <c r="Q156" s="20" t="n">
        <f aca="false">MROUND(N156*'Fuel &amp; Inputs'!$C$19*'Fuel &amp; Inputs'!$C$21,100)</f>
        <v>9300</v>
      </c>
      <c r="R156" s="20" t="n">
        <f aca="false">MROUND(O156*'Fuel &amp; Inputs'!$C$19*'Fuel &amp; Inputs'!$C$21,100)</f>
        <v>12300</v>
      </c>
      <c r="S156" s="20" t="n">
        <f aca="false">MROUND(M156*'Fuel &amp; Inputs'!$C$20*'Fuel &amp; Inputs'!$C$22,500)</f>
        <v>167500</v>
      </c>
      <c r="T156" s="20" t="n">
        <f aca="false">MROUND(N156*'Fuel &amp; Inputs'!$C$20*'Fuel &amp; Inputs'!$C$22,500)</f>
        <v>250000</v>
      </c>
      <c r="U156" s="20" t="n">
        <f aca="false">MROUND(O156*'Fuel &amp; Inputs'!$C$20*'Fuel &amp; Inputs'!$C$22,500)</f>
        <v>330500</v>
      </c>
    </row>
    <row r="157" customFormat="false" ht="15" hidden="false" customHeight="false" outlineLevel="0" collapsed="false">
      <c r="A157" s="23" t="n">
        <v>146</v>
      </c>
      <c r="B157" s="34" t="s">
        <v>80</v>
      </c>
      <c r="C157" s="34" t="s">
        <v>306</v>
      </c>
      <c r="D157" s="34" t="s">
        <v>431</v>
      </c>
      <c r="E157" s="23" t="s">
        <v>160</v>
      </c>
      <c r="F157" s="23" t="s">
        <v>433</v>
      </c>
      <c r="G157" s="23" t="s">
        <v>217</v>
      </c>
      <c r="H157" s="23" t="s">
        <v>148</v>
      </c>
      <c r="I157" s="25" t="n">
        <v>9</v>
      </c>
      <c r="J157" s="35" t="n">
        <v>1.098</v>
      </c>
      <c r="K157" s="26" t="n">
        <f aca="false">IF(I157=0,0,IF(L157="Rs./km",MROUND(IF(H157="Petrol",'Fuel &amp; Inputs'!$C$5,'Fuel &amp; Inputs'!$C$4)/I157*J157,1),MROUND(I157*J157*IF(H157="Petrol",'Fuel &amp; Inputs'!$C$5,'Fuel &amp; Inputs'!$C$4),10)))</f>
        <v>3770</v>
      </c>
      <c r="L157" s="23" t="s">
        <v>149</v>
      </c>
      <c r="M157" s="27" t="n">
        <v>1640</v>
      </c>
      <c r="N157" s="26" t="n">
        <f aca="false">MROUND(M157+'Fuel &amp; Inputs'!$C$13,50)</f>
        <v>2450</v>
      </c>
      <c r="O157" s="27" t="n">
        <v>3240</v>
      </c>
      <c r="P157" s="26" t="n">
        <f aca="false">MROUND(M157*'Fuel &amp; Inputs'!$C$19*'Fuel &amp; Inputs'!$C$21,100)</f>
        <v>6200</v>
      </c>
      <c r="Q157" s="26" t="n">
        <f aca="false">MROUND(N157*'Fuel &amp; Inputs'!$C$19*'Fuel &amp; Inputs'!$C$21,100)</f>
        <v>9300</v>
      </c>
      <c r="R157" s="26" t="n">
        <f aca="false">MROUND(O157*'Fuel &amp; Inputs'!$C$19*'Fuel &amp; Inputs'!$C$21,100)</f>
        <v>12300</v>
      </c>
      <c r="S157" s="26" t="n">
        <f aca="false">MROUND(M157*'Fuel &amp; Inputs'!$C$20*'Fuel &amp; Inputs'!$C$22,500)</f>
        <v>167500</v>
      </c>
      <c r="T157" s="26" t="n">
        <f aca="false">MROUND(N157*'Fuel &amp; Inputs'!$C$20*'Fuel &amp; Inputs'!$C$22,500)</f>
        <v>250000</v>
      </c>
      <c r="U157" s="26" t="n">
        <f aca="false">MROUND(O157*'Fuel &amp; Inputs'!$C$20*'Fuel &amp; Inputs'!$C$22,500)</f>
        <v>330500</v>
      </c>
    </row>
    <row r="158" customFormat="false" ht="15" hidden="false" customHeight="false" outlineLevel="0" collapsed="false">
      <c r="A158" s="17" t="n">
        <v>147</v>
      </c>
      <c r="B158" s="32" t="s">
        <v>80</v>
      </c>
      <c r="C158" s="32" t="s">
        <v>434</v>
      </c>
      <c r="D158" s="32" t="s">
        <v>435</v>
      </c>
      <c r="E158" s="17" t="s">
        <v>160</v>
      </c>
      <c r="F158" s="17" t="s">
        <v>436</v>
      </c>
      <c r="G158" s="17" t="s">
        <v>217</v>
      </c>
      <c r="H158" s="17" t="s">
        <v>148</v>
      </c>
      <c r="I158" s="19" t="n">
        <v>9</v>
      </c>
      <c r="J158" s="33" t="n">
        <v>1.098</v>
      </c>
      <c r="K158" s="20" t="n">
        <f aca="false">IF(I158=0,0,IF(L158="Rs./km",MROUND(IF(H158="Petrol",'Fuel &amp; Inputs'!$C$5,'Fuel &amp; Inputs'!$C$4)/I158*J158,1),MROUND(I158*J158*IF(H158="Petrol",'Fuel &amp; Inputs'!$C$5,'Fuel &amp; Inputs'!$C$4),10)))</f>
        <v>3770</v>
      </c>
      <c r="L158" s="17" t="s">
        <v>149</v>
      </c>
      <c r="M158" s="21" t="n">
        <v>1640</v>
      </c>
      <c r="N158" s="20" t="n">
        <f aca="false">MROUND(M158+'Fuel &amp; Inputs'!$C$13,50)</f>
        <v>2450</v>
      </c>
      <c r="O158" s="21" t="n">
        <v>3240</v>
      </c>
      <c r="P158" s="20" t="n">
        <f aca="false">MROUND(M158*'Fuel &amp; Inputs'!$C$19*'Fuel &amp; Inputs'!$C$21,100)</f>
        <v>6200</v>
      </c>
      <c r="Q158" s="20" t="n">
        <f aca="false">MROUND(N158*'Fuel &amp; Inputs'!$C$19*'Fuel &amp; Inputs'!$C$21,100)</f>
        <v>9300</v>
      </c>
      <c r="R158" s="20" t="n">
        <f aca="false">MROUND(O158*'Fuel &amp; Inputs'!$C$19*'Fuel &amp; Inputs'!$C$21,100)</f>
        <v>12300</v>
      </c>
      <c r="S158" s="20" t="n">
        <f aca="false">MROUND(M158*'Fuel &amp; Inputs'!$C$20*'Fuel &amp; Inputs'!$C$22,500)</f>
        <v>167500</v>
      </c>
      <c r="T158" s="20" t="n">
        <f aca="false">MROUND(N158*'Fuel &amp; Inputs'!$C$20*'Fuel &amp; Inputs'!$C$22,500)</f>
        <v>250000</v>
      </c>
      <c r="U158" s="20" t="n">
        <f aca="false">MROUND(O158*'Fuel &amp; Inputs'!$C$20*'Fuel &amp; Inputs'!$C$22,500)</f>
        <v>330500</v>
      </c>
    </row>
    <row r="159" customFormat="false" ht="15" hidden="false" customHeight="false" outlineLevel="0" collapsed="false">
      <c r="A159" s="23" t="n">
        <v>148</v>
      </c>
      <c r="B159" s="34" t="s">
        <v>80</v>
      </c>
      <c r="C159" s="34" t="s">
        <v>437</v>
      </c>
      <c r="D159" s="34" t="s">
        <v>438</v>
      </c>
      <c r="E159" s="23" t="s">
        <v>160</v>
      </c>
      <c r="F159" s="23" t="s">
        <v>439</v>
      </c>
      <c r="G159" s="23" t="s">
        <v>217</v>
      </c>
      <c r="H159" s="23" t="s">
        <v>148</v>
      </c>
      <c r="I159" s="25" t="n">
        <v>9</v>
      </c>
      <c r="J159" s="35" t="n">
        <v>1.098</v>
      </c>
      <c r="K159" s="26" t="n">
        <f aca="false">IF(I159=0,0,IF(L159="Rs./km",MROUND(IF(H159="Petrol",'Fuel &amp; Inputs'!$C$5,'Fuel &amp; Inputs'!$C$4)/I159*J159,1),MROUND(I159*J159*IF(H159="Petrol",'Fuel &amp; Inputs'!$C$5,'Fuel &amp; Inputs'!$C$4),10)))</f>
        <v>3770</v>
      </c>
      <c r="L159" s="23" t="s">
        <v>149</v>
      </c>
      <c r="M159" s="27" t="n">
        <v>1640</v>
      </c>
      <c r="N159" s="26" t="n">
        <f aca="false">MROUND(M159+'Fuel &amp; Inputs'!$C$13,50)</f>
        <v>2450</v>
      </c>
      <c r="O159" s="27" t="n">
        <v>3240</v>
      </c>
      <c r="P159" s="26" t="n">
        <f aca="false">MROUND(M159*'Fuel &amp; Inputs'!$C$19*'Fuel &amp; Inputs'!$C$21,100)</f>
        <v>6200</v>
      </c>
      <c r="Q159" s="26" t="n">
        <f aca="false">MROUND(N159*'Fuel &amp; Inputs'!$C$19*'Fuel &amp; Inputs'!$C$21,100)</f>
        <v>9300</v>
      </c>
      <c r="R159" s="26" t="n">
        <f aca="false">MROUND(O159*'Fuel &amp; Inputs'!$C$19*'Fuel &amp; Inputs'!$C$21,100)</f>
        <v>12300</v>
      </c>
      <c r="S159" s="26" t="n">
        <f aca="false">MROUND(M159*'Fuel &amp; Inputs'!$C$20*'Fuel &amp; Inputs'!$C$22,500)</f>
        <v>167500</v>
      </c>
      <c r="T159" s="26" t="n">
        <f aca="false">MROUND(N159*'Fuel &amp; Inputs'!$C$20*'Fuel &amp; Inputs'!$C$22,500)</f>
        <v>250000</v>
      </c>
      <c r="U159" s="26" t="n">
        <f aca="false">MROUND(O159*'Fuel &amp; Inputs'!$C$20*'Fuel &amp; Inputs'!$C$22,500)</f>
        <v>330500</v>
      </c>
    </row>
    <row r="160" customFormat="false" ht="15" hidden="false" customHeight="false" outlineLevel="0" collapsed="false">
      <c r="A160" s="17" t="n">
        <v>149</v>
      </c>
      <c r="B160" s="32" t="s">
        <v>80</v>
      </c>
      <c r="C160" s="32" t="s">
        <v>440</v>
      </c>
      <c r="D160" s="32" t="s">
        <v>441</v>
      </c>
      <c r="E160" s="17" t="s">
        <v>160</v>
      </c>
      <c r="F160" s="17" t="s">
        <v>442</v>
      </c>
      <c r="G160" s="17" t="s">
        <v>217</v>
      </c>
      <c r="H160" s="17" t="s">
        <v>148</v>
      </c>
      <c r="I160" s="19" t="n">
        <v>9</v>
      </c>
      <c r="J160" s="33" t="n">
        <v>1.098</v>
      </c>
      <c r="K160" s="20" t="n">
        <f aca="false">IF(I160=0,0,IF(L160="Rs./km",MROUND(IF(H160="Petrol",'Fuel &amp; Inputs'!$C$5,'Fuel &amp; Inputs'!$C$4)/I160*J160,1),MROUND(I160*J160*IF(H160="Petrol",'Fuel &amp; Inputs'!$C$5,'Fuel &amp; Inputs'!$C$4),10)))</f>
        <v>3770</v>
      </c>
      <c r="L160" s="17" t="s">
        <v>149</v>
      </c>
      <c r="M160" s="21" t="n">
        <v>1640</v>
      </c>
      <c r="N160" s="20" t="n">
        <f aca="false">MROUND(M160+'Fuel &amp; Inputs'!$C$13,50)</f>
        <v>2450</v>
      </c>
      <c r="O160" s="21" t="n">
        <v>3240</v>
      </c>
      <c r="P160" s="20" t="n">
        <f aca="false">MROUND(M160*'Fuel &amp; Inputs'!$C$19*'Fuel &amp; Inputs'!$C$21,100)</f>
        <v>6200</v>
      </c>
      <c r="Q160" s="20" t="n">
        <f aca="false">MROUND(N160*'Fuel &amp; Inputs'!$C$19*'Fuel &amp; Inputs'!$C$21,100)</f>
        <v>9300</v>
      </c>
      <c r="R160" s="20" t="n">
        <f aca="false">MROUND(O160*'Fuel &amp; Inputs'!$C$19*'Fuel &amp; Inputs'!$C$21,100)</f>
        <v>12300</v>
      </c>
      <c r="S160" s="20" t="n">
        <f aca="false">MROUND(M160*'Fuel &amp; Inputs'!$C$20*'Fuel &amp; Inputs'!$C$22,500)</f>
        <v>167500</v>
      </c>
      <c r="T160" s="20" t="n">
        <f aca="false">MROUND(N160*'Fuel &amp; Inputs'!$C$20*'Fuel &amp; Inputs'!$C$22,500)</f>
        <v>250000</v>
      </c>
      <c r="U160" s="20" t="n">
        <f aca="false">MROUND(O160*'Fuel &amp; Inputs'!$C$20*'Fuel &amp; Inputs'!$C$22,500)</f>
        <v>330500</v>
      </c>
    </row>
    <row r="161" customFormat="false" ht="15" hidden="false" customHeight="false" outlineLevel="0" collapsed="false">
      <c r="A161" s="23" t="n">
        <v>150</v>
      </c>
      <c r="B161" s="34" t="s">
        <v>80</v>
      </c>
      <c r="C161" s="34" t="s">
        <v>321</v>
      </c>
      <c r="D161" s="34" t="s">
        <v>443</v>
      </c>
      <c r="E161" s="23" t="s">
        <v>160</v>
      </c>
      <c r="F161" s="23" t="s">
        <v>444</v>
      </c>
      <c r="G161" s="23" t="s">
        <v>217</v>
      </c>
      <c r="H161" s="23" t="s">
        <v>148</v>
      </c>
      <c r="I161" s="25" t="n">
        <v>9</v>
      </c>
      <c r="J161" s="35" t="n">
        <v>1.098</v>
      </c>
      <c r="K161" s="26" t="n">
        <f aca="false">IF(I161=0,0,IF(L161="Rs./km",MROUND(IF(H161="Petrol",'Fuel &amp; Inputs'!$C$5,'Fuel &amp; Inputs'!$C$4)/I161*J161,1),MROUND(I161*J161*IF(H161="Petrol",'Fuel &amp; Inputs'!$C$5,'Fuel &amp; Inputs'!$C$4),10)))</f>
        <v>3770</v>
      </c>
      <c r="L161" s="23" t="s">
        <v>149</v>
      </c>
      <c r="M161" s="27" t="n">
        <v>1640</v>
      </c>
      <c r="N161" s="26" t="n">
        <f aca="false">MROUND(M161+'Fuel &amp; Inputs'!$C$13,50)</f>
        <v>2450</v>
      </c>
      <c r="O161" s="27" t="n">
        <v>3240</v>
      </c>
      <c r="P161" s="26" t="n">
        <f aca="false">MROUND(M161*'Fuel &amp; Inputs'!$C$19*'Fuel &amp; Inputs'!$C$21,100)</f>
        <v>6200</v>
      </c>
      <c r="Q161" s="26" t="n">
        <f aca="false">MROUND(N161*'Fuel &amp; Inputs'!$C$19*'Fuel &amp; Inputs'!$C$21,100)</f>
        <v>9300</v>
      </c>
      <c r="R161" s="26" t="n">
        <f aca="false">MROUND(O161*'Fuel &amp; Inputs'!$C$19*'Fuel &amp; Inputs'!$C$21,100)</f>
        <v>12300</v>
      </c>
      <c r="S161" s="26" t="n">
        <f aca="false">MROUND(M161*'Fuel &amp; Inputs'!$C$20*'Fuel &amp; Inputs'!$C$22,500)</f>
        <v>167500</v>
      </c>
      <c r="T161" s="26" t="n">
        <f aca="false">MROUND(N161*'Fuel &amp; Inputs'!$C$20*'Fuel &amp; Inputs'!$C$22,500)</f>
        <v>250000</v>
      </c>
      <c r="U161" s="26" t="n">
        <f aca="false">MROUND(O161*'Fuel &amp; Inputs'!$C$20*'Fuel &amp; Inputs'!$C$22,500)</f>
        <v>330500</v>
      </c>
    </row>
    <row r="162" customFormat="false" ht="15" hidden="false" customHeight="false" outlineLevel="0" collapsed="false">
      <c r="A162" s="17" t="n">
        <v>151</v>
      </c>
      <c r="B162" s="32" t="s">
        <v>80</v>
      </c>
      <c r="C162" s="32" t="s">
        <v>321</v>
      </c>
      <c r="D162" s="32" t="s">
        <v>445</v>
      </c>
      <c r="E162" s="17" t="s">
        <v>276</v>
      </c>
      <c r="F162" s="17" t="s">
        <v>446</v>
      </c>
      <c r="G162" s="17" t="s">
        <v>217</v>
      </c>
      <c r="H162" s="17" t="s">
        <v>148</v>
      </c>
      <c r="I162" s="19" t="n">
        <v>9</v>
      </c>
      <c r="J162" s="33" t="n">
        <v>1.175</v>
      </c>
      <c r="K162" s="20" t="n">
        <f aca="false">IF(I162=0,0,IF(L162="Rs./km",MROUND(IF(H162="Petrol",'Fuel &amp; Inputs'!$C$5,'Fuel &amp; Inputs'!$C$4)/I162*J162,1),MROUND(I162*J162*IF(H162="Petrol",'Fuel &amp; Inputs'!$C$5,'Fuel &amp; Inputs'!$C$4),10)))</f>
        <v>4040</v>
      </c>
      <c r="L162" s="17" t="s">
        <v>149</v>
      </c>
      <c r="M162" s="21" t="n">
        <v>1300</v>
      </c>
      <c r="N162" s="20" t="n">
        <f aca="false">MROUND(M162+'Fuel &amp; Inputs'!$C$13,50)</f>
        <v>2100</v>
      </c>
      <c r="O162" s="21" t="n">
        <v>2570</v>
      </c>
      <c r="P162" s="20" t="n">
        <f aca="false">MROUND(M162*'Fuel &amp; Inputs'!$C$19*'Fuel &amp; Inputs'!$C$21,100)</f>
        <v>4900</v>
      </c>
      <c r="Q162" s="20" t="n">
        <f aca="false">MROUND(N162*'Fuel &amp; Inputs'!$C$19*'Fuel &amp; Inputs'!$C$21,100)</f>
        <v>8000</v>
      </c>
      <c r="R162" s="20" t="n">
        <f aca="false">MROUND(O162*'Fuel &amp; Inputs'!$C$19*'Fuel &amp; Inputs'!$C$21,100)</f>
        <v>9800</v>
      </c>
      <c r="S162" s="20" t="n">
        <f aca="false">MROUND(M162*'Fuel &amp; Inputs'!$C$20*'Fuel &amp; Inputs'!$C$22,500)</f>
        <v>132500</v>
      </c>
      <c r="T162" s="20" t="n">
        <f aca="false">MROUND(N162*'Fuel &amp; Inputs'!$C$20*'Fuel &amp; Inputs'!$C$22,500)</f>
        <v>214000</v>
      </c>
      <c r="U162" s="20" t="n">
        <f aca="false">MROUND(O162*'Fuel &amp; Inputs'!$C$20*'Fuel &amp; Inputs'!$C$22,500)</f>
        <v>262000</v>
      </c>
    </row>
    <row r="163" customFormat="false" ht="15" hidden="false" customHeight="false" outlineLevel="0" collapsed="false">
      <c r="A163" s="23" t="n">
        <v>152</v>
      </c>
      <c r="B163" s="34" t="s">
        <v>80</v>
      </c>
      <c r="C163" s="34" t="s">
        <v>321</v>
      </c>
      <c r="D163" s="34" t="s">
        <v>447</v>
      </c>
      <c r="E163" s="23" t="s">
        <v>448</v>
      </c>
      <c r="F163" s="23" t="s">
        <v>449</v>
      </c>
      <c r="G163" s="23" t="s">
        <v>217</v>
      </c>
      <c r="H163" s="23" t="s">
        <v>148</v>
      </c>
      <c r="I163" s="25" t="n">
        <v>9</v>
      </c>
      <c r="J163" s="35" t="n">
        <v>1.175</v>
      </c>
      <c r="K163" s="26" t="n">
        <f aca="false">IF(I163=0,0,IF(L163="Rs./km",MROUND(IF(H163="Petrol",'Fuel &amp; Inputs'!$C$5,'Fuel &amp; Inputs'!$C$4)/I163*J163,1),MROUND(I163*J163*IF(H163="Petrol",'Fuel &amp; Inputs'!$C$5,'Fuel &amp; Inputs'!$C$4),10)))</f>
        <v>4040</v>
      </c>
      <c r="L163" s="23" t="s">
        <v>149</v>
      </c>
      <c r="M163" s="27" t="n">
        <v>1160</v>
      </c>
      <c r="N163" s="26" t="n">
        <f aca="false">MROUND(M163+'Fuel &amp; Inputs'!$C$13,50)</f>
        <v>1950</v>
      </c>
      <c r="O163" s="27" t="n">
        <v>2290</v>
      </c>
      <c r="P163" s="26" t="n">
        <f aca="false">MROUND(M163*'Fuel &amp; Inputs'!$C$19*'Fuel &amp; Inputs'!$C$21,100)</f>
        <v>4400</v>
      </c>
      <c r="Q163" s="26" t="n">
        <f aca="false">MROUND(N163*'Fuel &amp; Inputs'!$C$19*'Fuel &amp; Inputs'!$C$21,100)</f>
        <v>7400</v>
      </c>
      <c r="R163" s="26" t="n">
        <f aca="false">MROUND(O163*'Fuel &amp; Inputs'!$C$19*'Fuel &amp; Inputs'!$C$21,100)</f>
        <v>8700</v>
      </c>
      <c r="S163" s="26" t="n">
        <f aca="false">MROUND(M163*'Fuel &amp; Inputs'!$C$20*'Fuel &amp; Inputs'!$C$22,500)</f>
        <v>118500</v>
      </c>
      <c r="T163" s="26" t="n">
        <f aca="false">MROUND(N163*'Fuel &amp; Inputs'!$C$20*'Fuel &amp; Inputs'!$C$22,500)</f>
        <v>199000</v>
      </c>
      <c r="U163" s="26" t="n">
        <f aca="false">MROUND(O163*'Fuel &amp; Inputs'!$C$20*'Fuel &amp; Inputs'!$C$22,500)</f>
        <v>233500</v>
      </c>
    </row>
    <row r="164" customFormat="false" ht="15" hidden="false" customHeight="false" outlineLevel="0" collapsed="false">
      <c r="A164" s="17" t="n">
        <v>153</v>
      </c>
      <c r="B164" s="32" t="s">
        <v>80</v>
      </c>
      <c r="C164" s="32" t="s">
        <v>218</v>
      </c>
      <c r="D164" s="32" t="s">
        <v>450</v>
      </c>
      <c r="E164" s="17" t="s">
        <v>217</v>
      </c>
      <c r="F164" s="17" t="s">
        <v>451</v>
      </c>
      <c r="G164" s="17" t="s">
        <v>217</v>
      </c>
      <c r="H164" s="17" t="s">
        <v>148</v>
      </c>
      <c r="I164" s="19" t="n">
        <v>9</v>
      </c>
      <c r="J164" s="33" t="n">
        <v>1</v>
      </c>
      <c r="K164" s="20" t="n">
        <f aca="false">IF(I164=0,0,IF(L164="Rs./km",MROUND(IF(H164="Petrol",'Fuel &amp; Inputs'!$C$5,'Fuel &amp; Inputs'!$C$4)/I164*J164,1),MROUND(I164*J164*IF(H164="Petrol",'Fuel &amp; Inputs'!$C$5,'Fuel &amp; Inputs'!$C$4),10)))</f>
        <v>3440</v>
      </c>
      <c r="L164" s="17" t="s">
        <v>149</v>
      </c>
      <c r="M164" s="21" t="n">
        <v>1160</v>
      </c>
      <c r="N164" s="20" t="n">
        <f aca="false">MROUND(M164+'Fuel &amp; Inputs'!$C$13,50)</f>
        <v>1950</v>
      </c>
      <c r="O164" s="21" t="n">
        <v>2290</v>
      </c>
      <c r="P164" s="20" t="n">
        <f aca="false">MROUND(M164*'Fuel &amp; Inputs'!$C$19*'Fuel &amp; Inputs'!$C$21,100)</f>
        <v>4400</v>
      </c>
      <c r="Q164" s="20" t="n">
        <f aca="false">MROUND(N164*'Fuel &amp; Inputs'!$C$19*'Fuel &amp; Inputs'!$C$21,100)</f>
        <v>7400</v>
      </c>
      <c r="R164" s="20" t="n">
        <f aca="false">MROUND(O164*'Fuel &amp; Inputs'!$C$19*'Fuel &amp; Inputs'!$C$21,100)</f>
        <v>8700</v>
      </c>
      <c r="S164" s="20" t="n">
        <f aca="false">MROUND(M164*'Fuel &amp; Inputs'!$C$20*'Fuel &amp; Inputs'!$C$22,500)</f>
        <v>118500</v>
      </c>
      <c r="T164" s="20" t="n">
        <f aca="false">MROUND(N164*'Fuel &amp; Inputs'!$C$20*'Fuel &amp; Inputs'!$C$22,500)</f>
        <v>199000</v>
      </c>
      <c r="U164" s="20" t="n">
        <f aca="false">MROUND(O164*'Fuel &amp; Inputs'!$C$20*'Fuel &amp; Inputs'!$C$22,500)</f>
        <v>233500</v>
      </c>
    </row>
    <row r="165" customFormat="false" ht="15" hidden="false" customHeight="true" outlineLevel="0" collapsed="false">
      <c r="A165" s="31" t="s">
        <v>452</v>
      </c>
      <c r="B165" s="31"/>
      <c r="C165" s="31"/>
      <c r="D165" s="31"/>
      <c r="E165" s="31"/>
      <c r="F165" s="31"/>
      <c r="G165" s="31"/>
      <c r="H165" s="31"/>
      <c r="I165" s="31"/>
      <c r="J165" s="31"/>
      <c r="K165" s="31"/>
      <c r="L165" s="31"/>
      <c r="M165" s="31"/>
      <c r="N165" s="31"/>
      <c r="O165" s="31"/>
      <c r="P165" s="31"/>
      <c r="Q165" s="31"/>
      <c r="R165" s="31"/>
      <c r="S165" s="31"/>
      <c r="T165" s="31"/>
      <c r="U165" s="31"/>
    </row>
    <row r="166" customFormat="false" ht="15" hidden="false" customHeight="false" outlineLevel="0" collapsed="false">
      <c r="A166" s="23" t="n">
        <v>154</v>
      </c>
      <c r="B166" s="34" t="s">
        <v>82</v>
      </c>
      <c r="C166" s="34" t="s">
        <v>453</v>
      </c>
      <c r="D166" s="34" t="s">
        <v>454</v>
      </c>
      <c r="E166" s="23" t="s">
        <v>145</v>
      </c>
      <c r="F166" s="23" t="s">
        <v>455</v>
      </c>
      <c r="G166" s="23" t="s">
        <v>456</v>
      </c>
      <c r="H166" s="23" t="s">
        <v>148</v>
      </c>
      <c r="I166" s="25" t="n">
        <v>18</v>
      </c>
      <c r="J166" s="35" t="n">
        <v>1.035</v>
      </c>
      <c r="K166" s="26" t="n">
        <f aca="false">IF(I166=0,0,IF(L166="Rs./km",MROUND(IF(H166="Petrol",'Fuel &amp; Inputs'!$C$5,'Fuel &amp; Inputs'!$C$4)/I166*J166,1),MROUND(I166*J166*IF(H166="Petrol",'Fuel &amp; Inputs'!$C$5,'Fuel &amp; Inputs'!$C$4),10)))</f>
        <v>7120</v>
      </c>
      <c r="L166" s="23" t="s">
        <v>149</v>
      </c>
      <c r="M166" s="27" t="n">
        <v>4350</v>
      </c>
      <c r="N166" s="26" t="n">
        <f aca="false">MROUND(M166+'Fuel &amp; Inputs'!$C$13,50)</f>
        <v>5150</v>
      </c>
      <c r="O166" s="27" t="n">
        <v>9650</v>
      </c>
      <c r="P166" s="26" t="n">
        <f aca="false">MROUND(M166*'Fuel &amp; Inputs'!$C$19*'Fuel &amp; Inputs'!$C$21,100)</f>
        <v>16500</v>
      </c>
      <c r="Q166" s="26" t="n">
        <f aca="false">MROUND(N166*'Fuel &amp; Inputs'!$C$19*'Fuel &amp; Inputs'!$C$21,100)</f>
        <v>19600</v>
      </c>
      <c r="R166" s="26" t="n">
        <f aca="false">MROUND(O166*'Fuel &amp; Inputs'!$C$19*'Fuel &amp; Inputs'!$C$21,100)</f>
        <v>36700</v>
      </c>
      <c r="S166" s="26" t="n">
        <f aca="false">MROUND(M166*'Fuel &amp; Inputs'!$C$20*'Fuel &amp; Inputs'!$C$22,500)</f>
        <v>443500</v>
      </c>
      <c r="T166" s="26" t="n">
        <f aca="false">MROUND(N166*'Fuel &amp; Inputs'!$C$20*'Fuel &amp; Inputs'!$C$22,500)</f>
        <v>525500</v>
      </c>
      <c r="U166" s="26" t="n">
        <f aca="false">MROUND(O166*'Fuel &amp; Inputs'!$C$20*'Fuel &amp; Inputs'!$C$22,500)</f>
        <v>984500</v>
      </c>
    </row>
    <row r="167" customFormat="false" ht="15" hidden="false" customHeight="false" outlineLevel="0" collapsed="false">
      <c r="A167" s="17" t="n">
        <v>155</v>
      </c>
      <c r="B167" s="32" t="s">
        <v>82</v>
      </c>
      <c r="C167" s="32" t="s">
        <v>453</v>
      </c>
      <c r="D167" s="32" t="s">
        <v>457</v>
      </c>
      <c r="E167" s="17" t="s">
        <v>145</v>
      </c>
      <c r="F167" s="17" t="s">
        <v>458</v>
      </c>
      <c r="G167" s="17" t="s">
        <v>459</v>
      </c>
      <c r="H167" s="17" t="s">
        <v>148</v>
      </c>
      <c r="I167" s="19" t="n">
        <v>18</v>
      </c>
      <c r="J167" s="33" t="n">
        <v>1.035</v>
      </c>
      <c r="K167" s="20" t="n">
        <f aca="false">IF(I167=0,0,IF(L167="Rs./km",MROUND(IF(H167="Petrol",'Fuel &amp; Inputs'!$C$5,'Fuel &amp; Inputs'!$C$4)/I167*J167,1),MROUND(I167*J167*IF(H167="Petrol",'Fuel &amp; Inputs'!$C$5,'Fuel &amp; Inputs'!$C$4),10)))</f>
        <v>7120</v>
      </c>
      <c r="L167" s="17" t="s">
        <v>149</v>
      </c>
      <c r="M167" s="21" t="n">
        <v>4350</v>
      </c>
      <c r="N167" s="20" t="n">
        <f aca="false">MROUND(M167+'Fuel &amp; Inputs'!$C$13,50)</f>
        <v>5150</v>
      </c>
      <c r="O167" s="21" t="n">
        <v>9650</v>
      </c>
      <c r="P167" s="20" t="n">
        <f aca="false">MROUND(M167*'Fuel &amp; Inputs'!$C$19*'Fuel &amp; Inputs'!$C$21,100)</f>
        <v>16500</v>
      </c>
      <c r="Q167" s="20" t="n">
        <f aca="false">MROUND(N167*'Fuel &amp; Inputs'!$C$19*'Fuel &amp; Inputs'!$C$21,100)</f>
        <v>19600</v>
      </c>
      <c r="R167" s="20" t="n">
        <f aca="false">MROUND(O167*'Fuel &amp; Inputs'!$C$19*'Fuel &amp; Inputs'!$C$21,100)</f>
        <v>36700</v>
      </c>
      <c r="S167" s="20" t="n">
        <f aca="false">MROUND(M167*'Fuel &amp; Inputs'!$C$20*'Fuel &amp; Inputs'!$C$22,500)</f>
        <v>443500</v>
      </c>
      <c r="T167" s="20" t="n">
        <f aca="false">MROUND(N167*'Fuel &amp; Inputs'!$C$20*'Fuel &amp; Inputs'!$C$22,500)</f>
        <v>525500</v>
      </c>
      <c r="U167" s="20" t="n">
        <f aca="false">MROUND(O167*'Fuel &amp; Inputs'!$C$20*'Fuel &amp; Inputs'!$C$22,500)</f>
        <v>984500</v>
      </c>
    </row>
    <row r="168" customFormat="false" ht="15" hidden="false" customHeight="false" outlineLevel="0" collapsed="false">
      <c r="A168" s="23" t="n">
        <v>156</v>
      </c>
      <c r="B168" s="34" t="s">
        <v>82</v>
      </c>
      <c r="C168" s="34" t="s">
        <v>453</v>
      </c>
      <c r="D168" s="34" t="s">
        <v>454</v>
      </c>
      <c r="E168" s="23" t="s">
        <v>156</v>
      </c>
      <c r="F168" s="23" t="s">
        <v>460</v>
      </c>
      <c r="G168" s="23" t="s">
        <v>461</v>
      </c>
      <c r="H168" s="23" t="s">
        <v>148</v>
      </c>
      <c r="I168" s="25" t="n">
        <v>18</v>
      </c>
      <c r="J168" s="35" t="n">
        <v>1.042</v>
      </c>
      <c r="K168" s="26" t="n">
        <f aca="false">IF(I168=0,0,IF(L168="Rs./km",MROUND(IF(H168="Petrol",'Fuel &amp; Inputs'!$C$5,'Fuel &amp; Inputs'!$C$4)/I168*J168,1),MROUND(I168*J168*IF(H168="Petrol",'Fuel &amp; Inputs'!$C$5,'Fuel &amp; Inputs'!$C$4),10)))</f>
        <v>7160</v>
      </c>
      <c r="L168" s="23" t="s">
        <v>149</v>
      </c>
      <c r="M168" s="27" t="n">
        <v>4350</v>
      </c>
      <c r="N168" s="26" t="n">
        <f aca="false">MROUND(M168+'Fuel &amp; Inputs'!$C$13,50)</f>
        <v>5150</v>
      </c>
      <c r="O168" s="27" t="n">
        <v>9650</v>
      </c>
      <c r="P168" s="26" t="n">
        <f aca="false">MROUND(M168*'Fuel &amp; Inputs'!$C$19*'Fuel &amp; Inputs'!$C$21,100)</f>
        <v>16500</v>
      </c>
      <c r="Q168" s="26" t="n">
        <f aca="false">MROUND(N168*'Fuel &amp; Inputs'!$C$19*'Fuel &amp; Inputs'!$C$21,100)</f>
        <v>19600</v>
      </c>
      <c r="R168" s="26" t="n">
        <f aca="false">MROUND(O168*'Fuel &amp; Inputs'!$C$19*'Fuel &amp; Inputs'!$C$21,100)</f>
        <v>36700</v>
      </c>
      <c r="S168" s="26" t="n">
        <f aca="false">MROUND(M168*'Fuel &amp; Inputs'!$C$20*'Fuel &amp; Inputs'!$C$22,500)</f>
        <v>443500</v>
      </c>
      <c r="T168" s="26" t="n">
        <f aca="false">MROUND(N168*'Fuel &amp; Inputs'!$C$20*'Fuel &amp; Inputs'!$C$22,500)</f>
        <v>525500</v>
      </c>
      <c r="U168" s="26" t="n">
        <f aca="false">MROUND(O168*'Fuel &amp; Inputs'!$C$20*'Fuel &amp; Inputs'!$C$22,500)</f>
        <v>984500</v>
      </c>
    </row>
    <row r="169" customFormat="false" ht="15" hidden="false" customHeight="false" outlineLevel="0" collapsed="false">
      <c r="A169" s="17" t="n">
        <v>157</v>
      </c>
      <c r="B169" s="32" t="s">
        <v>82</v>
      </c>
      <c r="C169" s="32" t="s">
        <v>453</v>
      </c>
      <c r="D169" s="32" t="s">
        <v>454</v>
      </c>
      <c r="E169" s="17" t="s">
        <v>156</v>
      </c>
      <c r="F169" s="17" t="s">
        <v>462</v>
      </c>
      <c r="G169" s="17" t="s">
        <v>463</v>
      </c>
      <c r="H169" s="17" t="s">
        <v>148</v>
      </c>
      <c r="I169" s="19" t="n">
        <v>18</v>
      </c>
      <c r="J169" s="33" t="n">
        <v>1.042</v>
      </c>
      <c r="K169" s="20" t="n">
        <f aca="false">IF(I169=0,0,IF(L169="Rs./km",MROUND(IF(H169="Petrol",'Fuel &amp; Inputs'!$C$5,'Fuel &amp; Inputs'!$C$4)/I169*J169,1),MROUND(I169*J169*IF(H169="Petrol",'Fuel &amp; Inputs'!$C$5,'Fuel &amp; Inputs'!$C$4),10)))</f>
        <v>7160</v>
      </c>
      <c r="L169" s="17" t="s">
        <v>149</v>
      </c>
      <c r="M169" s="21" t="n">
        <v>4350</v>
      </c>
      <c r="N169" s="20" t="n">
        <f aca="false">MROUND(M169+'Fuel &amp; Inputs'!$C$13,50)</f>
        <v>5150</v>
      </c>
      <c r="O169" s="21" t="n">
        <v>9650</v>
      </c>
      <c r="P169" s="20" t="n">
        <f aca="false">MROUND(M169*'Fuel &amp; Inputs'!$C$19*'Fuel &amp; Inputs'!$C$21,100)</f>
        <v>16500</v>
      </c>
      <c r="Q169" s="20" t="n">
        <f aca="false">MROUND(N169*'Fuel &amp; Inputs'!$C$19*'Fuel &amp; Inputs'!$C$21,100)</f>
        <v>19600</v>
      </c>
      <c r="R169" s="20" t="n">
        <f aca="false">MROUND(O169*'Fuel &amp; Inputs'!$C$19*'Fuel &amp; Inputs'!$C$21,100)</f>
        <v>36700</v>
      </c>
      <c r="S169" s="20" t="n">
        <f aca="false">MROUND(M169*'Fuel &amp; Inputs'!$C$20*'Fuel &amp; Inputs'!$C$22,500)</f>
        <v>443500</v>
      </c>
      <c r="T169" s="20" t="n">
        <f aca="false">MROUND(N169*'Fuel &amp; Inputs'!$C$20*'Fuel &amp; Inputs'!$C$22,500)</f>
        <v>525500</v>
      </c>
      <c r="U169" s="20" t="n">
        <f aca="false">MROUND(O169*'Fuel &amp; Inputs'!$C$20*'Fuel &amp; Inputs'!$C$22,500)</f>
        <v>984500</v>
      </c>
    </row>
    <row r="170" customFormat="false" ht="15" hidden="false" customHeight="false" outlineLevel="0" collapsed="false">
      <c r="A170" s="23" t="n">
        <v>158</v>
      </c>
      <c r="B170" s="34" t="s">
        <v>82</v>
      </c>
      <c r="C170" s="34" t="s">
        <v>453</v>
      </c>
      <c r="D170" s="34" t="s">
        <v>454</v>
      </c>
      <c r="E170" s="23" t="s">
        <v>156</v>
      </c>
      <c r="F170" s="23" t="s">
        <v>464</v>
      </c>
      <c r="G170" s="23" t="s">
        <v>465</v>
      </c>
      <c r="H170" s="23" t="s">
        <v>148</v>
      </c>
      <c r="I170" s="25" t="n">
        <v>18</v>
      </c>
      <c r="J170" s="35" t="n">
        <v>1.042</v>
      </c>
      <c r="K170" s="26" t="n">
        <f aca="false">IF(I170=0,0,IF(L170="Rs./km",MROUND(IF(H170="Petrol",'Fuel &amp; Inputs'!$C$5,'Fuel &amp; Inputs'!$C$4)/I170*J170,1),MROUND(I170*J170*IF(H170="Petrol",'Fuel &amp; Inputs'!$C$5,'Fuel &amp; Inputs'!$C$4),10)))</f>
        <v>7160</v>
      </c>
      <c r="L170" s="23" t="s">
        <v>149</v>
      </c>
      <c r="M170" s="27" t="n">
        <v>4350</v>
      </c>
      <c r="N170" s="26" t="n">
        <f aca="false">MROUND(M170+'Fuel &amp; Inputs'!$C$13,50)</f>
        <v>5150</v>
      </c>
      <c r="O170" s="27" t="n">
        <v>9650</v>
      </c>
      <c r="P170" s="26" t="n">
        <f aca="false">MROUND(M170*'Fuel &amp; Inputs'!$C$19*'Fuel &amp; Inputs'!$C$21,100)</f>
        <v>16500</v>
      </c>
      <c r="Q170" s="26" t="n">
        <f aca="false">MROUND(N170*'Fuel &amp; Inputs'!$C$19*'Fuel &amp; Inputs'!$C$21,100)</f>
        <v>19600</v>
      </c>
      <c r="R170" s="26" t="n">
        <f aca="false">MROUND(O170*'Fuel &amp; Inputs'!$C$19*'Fuel &amp; Inputs'!$C$21,100)</f>
        <v>36700</v>
      </c>
      <c r="S170" s="26" t="n">
        <f aca="false">MROUND(M170*'Fuel &amp; Inputs'!$C$20*'Fuel &amp; Inputs'!$C$22,500)</f>
        <v>443500</v>
      </c>
      <c r="T170" s="26" t="n">
        <f aca="false">MROUND(N170*'Fuel &amp; Inputs'!$C$20*'Fuel &amp; Inputs'!$C$22,500)</f>
        <v>525500</v>
      </c>
      <c r="U170" s="26" t="n">
        <f aca="false">MROUND(O170*'Fuel &amp; Inputs'!$C$20*'Fuel &amp; Inputs'!$C$22,500)</f>
        <v>984500</v>
      </c>
    </row>
    <row r="171" customFormat="false" ht="15" hidden="false" customHeight="false" outlineLevel="0" collapsed="false">
      <c r="A171" s="17" t="n">
        <v>159</v>
      </c>
      <c r="B171" s="32" t="s">
        <v>82</v>
      </c>
      <c r="C171" s="32" t="s">
        <v>269</v>
      </c>
      <c r="D171" s="32" t="s">
        <v>466</v>
      </c>
      <c r="E171" s="17" t="s">
        <v>222</v>
      </c>
      <c r="F171" s="17" t="s">
        <v>467</v>
      </c>
      <c r="G171" s="17" t="s">
        <v>217</v>
      </c>
      <c r="H171" s="17" t="s">
        <v>148</v>
      </c>
      <c r="I171" s="19" t="n">
        <v>18</v>
      </c>
      <c r="J171" s="33" t="n">
        <v>1.084</v>
      </c>
      <c r="K171" s="20" t="n">
        <f aca="false">IF(I171=0,0,IF(L171="Rs./km",MROUND(IF(H171="Petrol",'Fuel &amp; Inputs'!$C$5,'Fuel &amp; Inputs'!$C$4)/I171*J171,1),MROUND(I171*J171*IF(H171="Petrol",'Fuel &amp; Inputs'!$C$5,'Fuel &amp; Inputs'!$C$4),10)))</f>
        <v>7450</v>
      </c>
      <c r="L171" s="17" t="s">
        <v>149</v>
      </c>
      <c r="M171" s="21" t="n">
        <v>3570</v>
      </c>
      <c r="N171" s="20" t="n">
        <f aca="false">MROUND(M171+'Fuel &amp; Inputs'!$C$13,50)</f>
        <v>4350</v>
      </c>
      <c r="O171" s="21" t="n">
        <v>7910</v>
      </c>
      <c r="P171" s="20" t="n">
        <f aca="false">MROUND(M171*'Fuel &amp; Inputs'!$C$19*'Fuel &amp; Inputs'!$C$21,100)</f>
        <v>13600</v>
      </c>
      <c r="Q171" s="20" t="n">
        <f aca="false">MROUND(N171*'Fuel &amp; Inputs'!$C$19*'Fuel &amp; Inputs'!$C$21,100)</f>
        <v>16500</v>
      </c>
      <c r="R171" s="20" t="n">
        <f aca="false">MROUND(O171*'Fuel &amp; Inputs'!$C$19*'Fuel &amp; Inputs'!$C$21,100)</f>
        <v>30100</v>
      </c>
      <c r="S171" s="20" t="n">
        <f aca="false">MROUND(M171*'Fuel &amp; Inputs'!$C$20*'Fuel &amp; Inputs'!$C$22,500)</f>
        <v>364000</v>
      </c>
      <c r="T171" s="20" t="n">
        <f aca="false">MROUND(N171*'Fuel &amp; Inputs'!$C$20*'Fuel &amp; Inputs'!$C$22,500)</f>
        <v>443500</v>
      </c>
      <c r="U171" s="20" t="n">
        <f aca="false">MROUND(O171*'Fuel &amp; Inputs'!$C$20*'Fuel &amp; Inputs'!$C$22,500)</f>
        <v>807000</v>
      </c>
    </row>
    <row r="172" customFormat="false" ht="15" hidden="false" customHeight="false" outlineLevel="0" collapsed="false">
      <c r="A172" s="23" t="n">
        <v>160</v>
      </c>
      <c r="B172" s="34" t="s">
        <v>82</v>
      </c>
      <c r="C172" s="34" t="s">
        <v>269</v>
      </c>
      <c r="D172" s="34" t="s">
        <v>468</v>
      </c>
      <c r="E172" s="23" t="s">
        <v>469</v>
      </c>
      <c r="F172" s="23" t="s">
        <v>470</v>
      </c>
      <c r="G172" s="23" t="s">
        <v>217</v>
      </c>
      <c r="H172" s="23" t="s">
        <v>148</v>
      </c>
      <c r="I172" s="25" t="n">
        <v>18</v>
      </c>
      <c r="J172" s="35" t="n">
        <v>1.126</v>
      </c>
      <c r="K172" s="26" t="n">
        <f aca="false">IF(I172=0,0,IF(L172="Rs./km",MROUND(IF(H172="Petrol",'Fuel &amp; Inputs'!$C$5,'Fuel &amp; Inputs'!$C$4)/I172*J172,1),MROUND(I172*J172*IF(H172="Petrol",'Fuel &amp; Inputs'!$C$5,'Fuel &amp; Inputs'!$C$4),10)))</f>
        <v>7740</v>
      </c>
      <c r="L172" s="23" t="s">
        <v>149</v>
      </c>
      <c r="M172" s="27" t="n">
        <v>3130</v>
      </c>
      <c r="N172" s="26" t="n">
        <f aca="false">MROUND(M172+'Fuel &amp; Inputs'!$C$13,50)</f>
        <v>3950</v>
      </c>
      <c r="O172" s="27" t="n">
        <v>6950</v>
      </c>
      <c r="P172" s="26" t="n">
        <f aca="false">MROUND(M172*'Fuel &amp; Inputs'!$C$19*'Fuel &amp; Inputs'!$C$21,100)</f>
        <v>11900</v>
      </c>
      <c r="Q172" s="26" t="n">
        <f aca="false">MROUND(N172*'Fuel &amp; Inputs'!$C$19*'Fuel &amp; Inputs'!$C$21,100)</f>
        <v>15000</v>
      </c>
      <c r="R172" s="26" t="n">
        <f aca="false">MROUND(O172*'Fuel &amp; Inputs'!$C$19*'Fuel &amp; Inputs'!$C$21,100)</f>
        <v>26400</v>
      </c>
      <c r="S172" s="26" t="n">
        <f aca="false">MROUND(M172*'Fuel &amp; Inputs'!$C$20*'Fuel &amp; Inputs'!$C$22,500)</f>
        <v>319500</v>
      </c>
      <c r="T172" s="26" t="n">
        <f aca="false">MROUND(N172*'Fuel &amp; Inputs'!$C$20*'Fuel &amp; Inputs'!$C$22,500)</f>
        <v>403000</v>
      </c>
      <c r="U172" s="26" t="n">
        <f aca="false">MROUND(O172*'Fuel &amp; Inputs'!$C$20*'Fuel &amp; Inputs'!$C$22,500)</f>
        <v>709000</v>
      </c>
    </row>
    <row r="173" customFormat="false" ht="15" hidden="false" customHeight="false" outlineLevel="0" collapsed="false">
      <c r="A173" s="17" t="n">
        <v>161</v>
      </c>
      <c r="B173" s="32" t="s">
        <v>82</v>
      </c>
      <c r="C173" s="32" t="s">
        <v>218</v>
      </c>
      <c r="D173" s="32" t="s">
        <v>217</v>
      </c>
      <c r="E173" s="17" t="s">
        <v>217</v>
      </c>
      <c r="F173" s="17" t="s">
        <v>471</v>
      </c>
      <c r="G173" s="17" t="s">
        <v>217</v>
      </c>
      <c r="H173" s="17" t="s">
        <v>148</v>
      </c>
      <c r="I173" s="19" t="n">
        <v>18</v>
      </c>
      <c r="J173" s="33" t="n">
        <v>1</v>
      </c>
      <c r="K173" s="20" t="n">
        <f aca="false">IF(I173=0,0,IF(L173="Rs./km",MROUND(IF(H173="Petrol",'Fuel &amp; Inputs'!$C$5,'Fuel &amp; Inputs'!$C$4)/I173*J173,1),MROUND(I173*J173*IF(H173="Petrol",'Fuel &amp; Inputs'!$C$5,'Fuel &amp; Inputs'!$C$4),10)))</f>
        <v>6880</v>
      </c>
      <c r="L173" s="17" t="s">
        <v>149</v>
      </c>
      <c r="M173" s="21" t="n">
        <v>2520</v>
      </c>
      <c r="N173" s="20" t="n">
        <f aca="false">MROUND(M173+'Fuel &amp; Inputs'!$C$13,50)</f>
        <v>3300</v>
      </c>
      <c r="O173" s="21" t="n">
        <v>5600</v>
      </c>
      <c r="P173" s="20" t="n">
        <f aca="false">MROUND(M173*'Fuel &amp; Inputs'!$C$19*'Fuel &amp; Inputs'!$C$21,100)</f>
        <v>9600</v>
      </c>
      <c r="Q173" s="20" t="n">
        <f aca="false">MROUND(N173*'Fuel &amp; Inputs'!$C$19*'Fuel &amp; Inputs'!$C$21,100)</f>
        <v>12500</v>
      </c>
      <c r="R173" s="20" t="n">
        <f aca="false">MROUND(O173*'Fuel &amp; Inputs'!$C$19*'Fuel &amp; Inputs'!$C$21,100)</f>
        <v>21300</v>
      </c>
      <c r="S173" s="20" t="n">
        <f aca="false">MROUND(M173*'Fuel &amp; Inputs'!$C$20*'Fuel &amp; Inputs'!$C$22,500)</f>
        <v>257000</v>
      </c>
      <c r="T173" s="20" t="n">
        <f aca="false">MROUND(N173*'Fuel &amp; Inputs'!$C$20*'Fuel &amp; Inputs'!$C$22,500)</f>
        <v>336500</v>
      </c>
      <c r="U173" s="20" t="n">
        <f aca="false">MROUND(O173*'Fuel &amp; Inputs'!$C$20*'Fuel &amp; Inputs'!$C$22,500)</f>
        <v>571000</v>
      </c>
    </row>
    <row r="174" customFormat="false" ht="15" hidden="false" customHeight="false" outlineLevel="0" collapsed="false">
      <c r="A174" s="23" t="n">
        <v>162</v>
      </c>
      <c r="B174" s="34" t="s">
        <v>82</v>
      </c>
      <c r="C174" s="34" t="s">
        <v>324</v>
      </c>
      <c r="D174" s="34" t="s">
        <v>217</v>
      </c>
      <c r="E174" s="23" t="s">
        <v>217</v>
      </c>
      <c r="F174" s="23" t="s">
        <v>472</v>
      </c>
      <c r="G174" s="23" t="s">
        <v>217</v>
      </c>
      <c r="H174" s="23" t="s">
        <v>148</v>
      </c>
      <c r="I174" s="25" t="n">
        <v>18</v>
      </c>
      <c r="J174" s="35" t="n">
        <v>1</v>
      </c>
      <c r="K174" s="26" t="n">
        <f aca="false">IF(I174=0,0,IF(L174="Rs./km",MROUND(IF(H174="Petrol",'Fuel &amp; Inputs'!$C$5,'Fuel &amp; Inputs'!$C$4)/I174*J174,1),MROUND(I174*J174*IF(H174="Petrol",'Fuel &amp; Inputs'!$C$5,'Fuel &amp; Inputs'!$C$4),10)))</f>
        <v>6880</v>
      </c>
      <c r="L174" s="23" t="s">
        <v>149</v>
      </c>
      <c r="M174" s="27" t="n">
        <v>2520</v>
      </c>
      <c r="N174" s="26" t="n">
        <f aca="false">MROUND(M174+'Fuel &amp; Inputs'!$C$13,50)</f>
        <v>3300</v>
      </c>
      <c r="O174" s="27" t="n">
        <v>5600</v>
      </c>
      <c r="P174" s="26" t="n">
        <f aca="false">MROUND(M174*'Fuel &amp; Inputs'!$C$19*'Fuel &amp; Inputs'!$C$21,100)</f>
        <v>9600</v>
      </c>
      <c r="Q174" s="26" t="n">
        <f aca="false">MROUND(N174*'Fuel &amp; Inputs'!$C$19*'Fuel &amp; Inputs'!$C$21,100)</f>
        <v>12500</v>
      </c>
      <c r="R174" s="26" t="n">
        <f aca="false">MROUND(O174*'Fuel &amp; Inputs'!$C$19*'Fuel &amp; Inputs'!$C$21,100)</f>
        <v>21300</v>
      </c>
      <c r="S174" s="26" t="n">
        <f aca="false">MROUND(M174*'Fuel &amp; Inputs'!$C$20*'Fuel &amp; Inputs'!$C$22,500)</f>
        <v>257000</v>
      </c>
      <c r="T174" s="26" t="n">
        <f aca="false">MROUND(N174*'Fuel &amp; Inputs'!$C$20*'Fuel &amp; Inputs'!$C$22,500)</f>
        <v>336500</v>
      </c>
      <c r="U174" s="26" t="n">
        <f aca="false">MROUND(O174*'Fuel &amp; Inputs'!$C$20*'Fuel &amp; Inputs'!$C$22,500)</f>
        <v>571000</v>
      </c>
    </row>
    <row r="175" customFormat="false" ht="23.85" hidden="false" customHeight="false" outlineLevel="0" collapsed="false">
      <c r="A175" s="17" t="n">
        <v>163</v>
      </c>
      <c r="B175" s="32" t="s">
        <v>82</v>
      </c>
      <c r="C175" s="32" t="s">
        <v>473</v>
      </c>
      <c r="D175" s="32" t="s">
        <v>474</v>
      </c>
      <c r="E175" s="17" t="s">
        <v>217</v>
      </c>
      <c r="F175" s="17" t="s">
        <v>475</v>
      </c>
      <c r="G175" s="17" t="s">
        <v>217</v>
      </c>
      <c r="H175" s="17" t="s">
        <v>148</v>
      </c>
      <c r="I175" s="19" t="n">
        <v>18</v>
      </c>
      <c r="J175" s="33" t="n">
        <v>1</v>
      </c>
      <c r="K175" s="20" t="n">
        <f aca="false">IF(I175=0,0,IF(L175="Rs./km",MROUND(IF(H175="Petrol",'Fuel &amp; Inputs'!$C$5,'Fuel &amp; Inputs'!$C$4)/I175*J175,1),MROUND(I175*J175*IF(H175="Petrol",'Fuel &amp; Inputs'!$C$5,'Fuel &amp; Inputs'!$C$4),10)))</f>
        <v>6880</v>
      </c>
      <c r="L175" s="17" t="s">
        <v>149</v>
      </c>
      <c r="M175" s="21" t="n">
        <v>2520</v>
      </c>
      <c r="N175" s="20" t="n">
        <f aca="false">MROUND(M175+'Fuel &amp; Inputs'!$C$13,50)</f>
        <v>3300</v>
      </c>
      <c r="O175" s="21" t="n">
        <v>5600</v>
      </c>
      <c r="P175" s="20" t="n">
        <f aca="false">MROUND(M175*'Fuel &amp; Inputs'!$C$19*'Fuel &amp; Inputs'!$C$21,100)</f>
        <v>9600</v>
      </c>
      <c r="Q175" s="20" t="n">
        <f aca="false">MROUND(N175*'Fuel &amp; Inputs'!$C$19*'Fuel &amp; Inputs'!$C$21,100)</f>
        <v>12500</v>
      </c>
      <c r="R175" s="20" t="n">
        <f aca="false">MROUND(O175*'Fuel &amp; Inputs'!$C$19*'Fuel &amp; Inputs'!$C$21,100)</f>
        <v>21300</v>
      </c>
      <c r="S175" s="20" t="n">
        <f aca="false">MROUND(M175*'Fuel &amp; Inputs'!$C$20*'Fuel &amp; Inputs'!$C$22,500)</f>
        <v>257000</v>
      </c>
      <c r="T175" s="20" t="n">
        <f aca="false">MROUND(N175*'Fuel &amp; Inputs'!$C$20*'Fuel &amp; Inputs'!$C$22,500)</f>
        <v>336500</v>
      </c>
      <c r="U175" s="20" t="n">
        <f aca="false">MROUND(O175*'Fuel &amp; Inputs'!$C$20*'Fuel &amp; Inputs'!$C$22,500)</f>
        <v>571000</v>
      </c>
    </row>
    <row r="176" customFormat="false" ht="15" hidden="false" customHeight="false" outlineLevel="0" collapsed="false">
      <c r="A176" s="23" t="n">
        <v>164</v>
      </c>
      <c r="B176" s="34" t="s">
        <v>82</v>
      </c>
      <c r="C176" s="34" t="s">
        <v>218</v>
      </c>
      <c r="D176" s="34" t="s">
        <v>217</v>
      </c>
      <c r="E176" s="23" t="s">
        <v>217</v>
      </c>
      <c r="F176" s="23" t="s">
        <v>476</v>
      </c>
      <c r="G176" s="23" t="s">
        <v>217</v>
      </c>
      <c r="H176" s="23" t="s">
        <v>148</v>
      </c>
      <c r="I176" s="25" t="n">
        <v>18</v>
      </c>
      <c r="J176" s="35" t="n">
        <v>1</v>
      </c>
      <c r="K176" s="26" t="n">
        <f aca="false">IF(I176=0,0,IF(L176="Rs./km",MROUND(IF(H176="Petrol",'Fuel &amp; Inputs'!$C$5,'Fuel &amp; Inputs'!$C$4)/I176*J176,1),MROUND(I176*J176*IF(H176="Petrol",'Fuel &amp; Inputs'!$C$5,'Fuel &amp; Inputs'!$C$4),10)))</f>
        <v>6880</v>
      </c>
      <c r="L176" s="23" t="s">
        <v>149</v>
      </c>
      <c r="M176" s="27" t="n">
        <v>2520</v>
      </c>
      <c r="N176" s="26" t="n">
        <f aca="false">MROUND(M176+'Fuel &amp; Inputs'!$C$13,50)</f>
        <v>3300</v>
      </c>
      <c r="O176" s="27" t="n">
        <v>5600</v>
      </c>
      <c r="P176" s="26" t="n">
        <f aca="false">MROUND(M176*'Fuel &amp; Inputs'!$C$19*'Fuel &amp; Inputs'!$C$21,100)</f>
        <v>9600</v>
      </c>
      <c r="Q176" s="26" t="n">
        <f aca="false">MROUND(N176*'Fuel &amp; Inputs'!$C$19*'Fuel &amp; Inputs'!$C$21,100)</f>
        <v>12500</v>
      </c>
      <c r="R176" s="26" t="n">
        <f aca="false">MROUND(O176*'Fuel &amp; Inputs'!$C$19*'Fuel &amp; Inputs'!$C$21,100)</f>
        <v>21300</v>
      </c>
      <c r="S176" s="26" t="n">
        <f aca="false">MROUND(M176*'Fuel &amp; Inputs'!$C$20*'Fuel &amp; Inputs'!$C$22,500)</f>
        <v>257000</v>
      </c>
      <c r="T176" s="26" t="n">
        <f aca="false">MROUND(N176*'Fuel &amp; Inputs'!$C$20*'Fuel &amp; Inputs'!$C$22,500)</f>
        <v>336500</v>
      </c>
      <c r="U176" s="26" t="n">
        <f aca="false">MROUND(O176*'Fuel &amp; Inputs'!$C$20*'Fuel &amp; Inputs'!$C$22,500)</f>
        <v>571000</v>
      </c>
    </row>
    <row r="177" customFormat="false" ht="15" hidden="false" customHeight="false" outlineLevel="0" collapsed="false">
      <c r="A177" s="17" t="n">
        <v>165</v>
      </c>
      <c r="B177" s="32" t="s">
        <v>82</v>
      </c>
      <c r="C177" s="32" t="s">
        <v>218</v>
      </c>
      <c r="D177" s="32" t="s">
        <v>477</v>
      </c>
      <c r="E177" s="17" t="s">
        <v>217</v>
      </c>
      <c r="F177" s="17" t="s">
        <v>478</v>
      </c>
      <c r="G177" s="17" t="s">
        <v>217</v>
      </c>
      <c r="H177" s="17" t="s">
        <v>148</v>
      </c>
      <c r="I177" s="19" t="n">
        <v>18</v>
      </c>
      <c r="J177" s="33" t="n">
        <v>1</v>
      </c>
      <c r="K177" s="20" t="n">
        <f aca="false">IF(I177=0,0,IF(L177="Rs./km",MROUND(IF(H177="Petrol",'Fuel &amp; Inputs'!$C$5,'Fuel &amp; Inputs'!$C$4)/I177*J177,1),MROUND(I177*J177*IF(H177="Petrol",'Fuel &amp; Inputs'!$C$5,'Fuel &amp; Inputs'!$C$4),10)))</f>
        <v>6880</v>
      </c>
      <c r="L177" s="17" t="s">
        <v>149</v>
      </c>
      <c r="M177" s="21" t="n">
        <v>2520</v>
      </c>
      <c r="N177" s="20" t="n">
        <f aca="false">MROUND(M177+'Fuel &amp; Inputs'!$C$13,50)</f>
        <v>3300</v>
      </c>
      <c r="O177" s="21" t="n">
        <v>5600</v>
      </c>
      <c r="P177" s="20" t="n">
        <f aca="false">MROUND(M177*'Fuel &amp; Inputs'!$C$19*'Fuel &amp; Inputs'!$C$21,100)</f>
        <v>9600</v>
      </c>
      <c r="Q177" s="20" t="n">
        <f aca="false">MROUND(N177*'Fuel &amp; Inputs'!$C$19*'Fuel &amp; Inputs'!$C$21,100)</f>
        <v>12500</v>
      </c>
      <c r="R177" s="20" t="n">
        <f aca="false">MROUND(O177*'Fuel &amp; Inputs'!$C$19*'Fuel &amp; Inputs'!$C$21,100)</f>
        <v>21300</v>
      </c>
      <c r="S177" s="20" t="n">
        <f aca="false">MROUND(M177*'Fuel &amp; Inputs'!$C$20*'Fuel &amp; Inputs'!$C$22,500)</f>
        <v>257000</v>
      </c>
      <c r="T177" s="20" t="n">
        <f aca="false">MROUND(N177*'Fuel &amp; Inputs'!$C$20*'Fuel &amp; Inputs'!$C$22,500)</f>
        <v>336500</v>
      </c>
      <c r="U177" s="20" t="n">
        <f aca="false">MROUND(O177*'Fuel &amp; Inputs'!$C$20*'Fuel &amp; Inputs'!$C$22,500)</f>
        <v>571000</v>
      </c>
    </row>
    <row r="178" customFormat="false" ht="15" hidden="false" customHeight="false" outlineLevel="0" collapsed="false">
      <c r="A178" s="23" t="n">
        <v>166</v>
      </c>
      <c r="B178" s="34" t="s">
        <v>82</v>
      </c>
      <c r="C178" s="34" t="s">
        <v>218</v>
      </c>
      <c r="D178" s="34" t="s">
        <v>217</v>
      </c>
      <c r="E178" s="23" t="s">
        <v>217</v>
      </c>
      <c r="F178" s="23" t="s">
        <v>479</v>
      </c>
      <c r="G178" s="23" t="s">
        <v>480</v>
      </c>
      <c r="H178" s="23" t="s">
        <v>148</v>
      </c>
      <c r="I178" s="25" t="n">
        <v>18</v>
      </c>
      <c r="J178" s="35" t="n">
        <v>1</v>
      </c>
      <c r="K178" s="26" t="n">
        <f aca="false">IF(I178=0,0,IF(L178="Rs./km",MROUND(IF(H178="Petrol",'Fuel &amp; Inputs'!$C$5,'Fuel &amp; Inputs'!$C$4)/I178*J178,1),MROUND(I178*J178*IF(H178="Petrol",'Fuel &amp; Inputs'!$C$5,'Fuel &amp; Inputs'!$C$4),10)))</f>
        <v>6880</v>
      </c>
      <c r="L178" s="23" t="s">
        <v>149</v>
      </c>
      <c r="M178" s="27" t="n">
        <v>2520</v>
      </c>
      <c r="N178" s="26" t="n">
        <f aca="false">MROUND(M178+'Fuel &amp; Inputs'!$C$13,50)</f>
        <v>3300</v>
      </c>
      <c r="O178" s="27" t="n">
        <v>5600</v>
      </c>
      <c r="P178" s="26" t="n">
        <f aca="false">MROUND(M178*'Fuel &amp; Inputs'!$C$19*'Fuel &amp; Inputs'!$C$21,100)</f>
        <v>9600</v>
      </c>
      <c r="Q178" s="26" t="n">
        <f aca="false">MROUND(N178*'Fuel &amp; Inputs'!$C$19*'Fuel &amp; Inputs'!$C$21,100)</f>
        <v>12500</v>
      </c>
      <c r="R178" s="26" t="n">
        <f aca="false">MROUND(O178*'Fuel &amp; Inputs'!$C$19*'Fuel &amp; Inputs'!$C$21,100)</f>
        <v>21300</v>
      </c>
      <c r="S178" s="26" t="n">
        <f aca="false">MROUND(M178*'Fuel &amp; Inputs'!$C$20*'Fuel &amp; Inputs'!$C$22,500)</f>
        <v>257000</v>
      </c>
      <c r="T178" s="26" t="n">
        <f aca="false">MROUND(N178*'Fuel &amp; Inputs'!$C$20*'Fuel &amp; Inputs'!$C$22,500)</f>
        <v>336500</v>
      </c>
      <c r="U178" s="26" t="n">
        <f aca="false">MROUND(O178*'Fuel &amp; Inputs'!$C$20*'Fuel &amp; Inputs'!$C$22,500)</f>
        <v>571000</v>
      </c>
    </row>
    <row r="179" customFormat="false" ht="23.85" hidden="false" customHeight="false" outlineLevel="0" collapsed="false">
      <c r="A179" s="17" t="n">
        <v>167</v>
      </c>
      <c r="B179" s="32" t="s">
        <v>82</v>
      </c>
      <c r="C179" s="32" t="s">
        <v>481</v>
      </c>
      <c r="D179" s="32" t="s">
        <v>482</v>
      </c>
      <c r="E179" s="17" t="s">
        <v>217</v>
      </c>
      <c r="F179" s="17" t="s">
        <v>483</v>
      </c>
      <c r="G179" s="17" t="s">
        <v>217</v>
      </c>
      <c r="H179" s="17" t="s">
        <v>148</v>
      </c>
      <c r="I179" s="19" t="n">
        <v>18</v>
      </c>
      <c r="J179" s="33" t="n">
        <v>1</v>
      </c>
      <c r="K179" s="20" t="n">
        <f aca="false">IF(I179=0,0,IF(L179="Rs./km",MROUND(IF(H179="Petrol",'Fuel &amp; Inputs'!$C$5,'Fuel &amp; Inputs'!$C$4)/I179*J179,1),MROUND(I179*J179*IF(H179="Petrol",'Fuel &amp; Inputs'!$C$5,'Fuel &amp; Inputs'!$C$4),10)))</f>
        <v>6880</v>
      </c>
      <c r="L179" s="17" t="s">
        <v>149</v>
      </c>
      <c r="M179" s="21" t="n">
        <v>2520</v>
      </c>
      <c r="N179" s="20" t="n">
        <f aca="false">MROUND(M179+'Fuel &amp; Inputs'!$C$13,50)</f>
        <v>3300</v>
      </c>
      <c r="O179" s="21" t="n">
        <v>5600</v>
      </c>
      <c r="P179" s="20" t="n">
        <f aca="false">MROUND(M179*'Fuel &amp; Inputs'!$C$19*'Fuel &amp; Inputs'!$C$21,100)</f>
        <v>9600</v>
      </c>
      <c r="Q179" s="20" t="n">
        <f aca="false">MROUND(N179*'Fuel &amp; Inputs'!$C$19*'Fuel &amp; Inputs'!$C$21,100)</f>
        <v>12500</v>
      </c>
      <c r="R179" s="20" t="n">
        <f aca="false">MROUND(O179*'Fuel &amp; Inputs'!$C$19*'Fuel &amp; Inputs'!$C$21,100)</f>
        <v>21300</v>
      </c>
      <c r="S179" s="20" t="n">
        <f aca="false">MROUND(M179*'Fuel &amp; Inputs'!$C$20*'Fuel &amp; Inputs'!$C$22,500)</f>
        <v>257000</v>
      </c>
      <c r="T179" s="20" t="n">
        <f aca="false">MROUND(N179*'Fuel &amp; Inputs'!$C$20*'Fuel &amp; Inputs'!$C$22,500)</f>
        <v>336500</v>
      </c>
      <c r="U179" s="20" t="n">
        <f aca="false">MROUND(O179*'Fuel &amp; Inputs'!$C$20*'Fuel &amp; Inputs'!$C$22,500)</f>
        <v>571000</v>
      </c>
    </row>
    <row r="180" customFormat="false" ht="15" hidden="false" customHeight="false" outlineLevel="0" collapsed="false">
      <c r="A180" s="23" t="n">
        <v>168</v>
      </c>
      <c r="B180" s="34" t="s">
        <v>82</v>
      </c>
      <c r="C180" s="34" t="s">
        <v>269</v>
      </c>
      <c r="D180" s="34" t="s">
        <v>484</v>
      </c>
      <c r="E180" s="23" t="s">
        <v>217</v>
      </c>
      <c r="F180" s="23" t="s">
        <v>485</v>
      </c>
      <c r="G180" s="23" t="s">
        <v>217</v>
      </c>
      <c r="H180" s="23" t="s">
        <v>148</v>
      </c>
      <c r="I180" s="25" t="n">
        <v>18</v>
      </c>
      <c r="J180" s="35" t="n">
        <v>1</v>
      </c>
      <c r="K180" s="26" t="n">
        <f aca="false">IF(I180=0,0,IF(L180="Rs./km",MROUND(IF(H180="Petrol",'Fuel &amp; Inputs'!$C$5,'Fuel &amp; Inputs'!$C$4)/I180*J180,1),MROUND(I180*J180*IF(H180="Petrol",'Fuel &amp; Inputs'!$C$5,'Fuel &amp; Inputs'!$C$4),10)))</f>
        <v>6880</v>
      </c>
      <c r="L180" s="23" t="s">
        <v>149</v>
      </c>
      <c r="M180" s="27" t="n">
        <v>2520</v>
      </c>
      <c r="N180" s="26" t="n">
        <f aca="false">MROUND(M180+'Fuel &amp; Inputs'!$C$13,50)</f>
        <v>3300</v>
      </c>
      <c r="O180" s="27" t="n">
        <v>5600</v>
      </c>
      <c r="P180" s="26" t="n">
        <f aca="false">MROUND(M180*'Fuel &amp; Inputs'!$C$19*'Fuel &amp; Inputs'!$C$21,100)</f>
        <v>9600</v>
      </c>
      <c r="Q180" s="26" t="n">
        <f aca="false">MROUND(N180*'Fuel &amp; Inputs'!$C$19*'Fuel &amp; Inputs'!$C$21,100)</f>
        <v>12500</v>
      </c>
      <c r="R180" s="26" t="n">
        <f aca="false">MROUND(O180*'Fuel &amp; Inputs'!$C$19*'Fuel &amp; Inputs'!$C$21,100)</f>
        <v>21300</v>
      </c>
      <c r="S180" s="26" t="n">
        <f aca="false">MROUND(M180*'Fuel &amp; Inputs'!$C$20*'Fuel &amp; Inputs'!$C$22,500)</f>
        <v>257000</v>
      </c>
      <c r="T180" s="26" t="n">
        <f aca="false">MROUND(N180*'Fuel &amp; Inputs'!$C$20*'Fuel &amp; Inputs'!$C$22,500)</f>
        <v>336500</v>
      </c>
      <c r="U180" s="26" t="n">
        <f aca="false">MROUND(O180*'Fuel &amp; Inputs'!$C$20*'Fuel &amp; Inputs'!$C$22,500)</f>
        <v>571000</v>
      </c>
    </row>
    <row r="181" customFormat="false" ht="15" hidden="false" customHeight="false" outlineLevel="0" collapsed="false">
      <c r="A181" s="17" t="n">
        <v>169</v>
      </c>
      <c r="B181" s="32" t="s">
        <v>82</v>
      </c>
      <c r="C181" s="32" t="s">
        <v>269</v>
      </c>
      <c r="D181" s="32" t="s">
        <v>486</v>
      </c>
      <c r="E181" s="17" t="s">
        <v>217</v>
      </c>
      <c r="F181" s="17" t="s">
        <v>487</v>
      </c>
      <c r="G181" s="17" t="s">
        <v>217</v>
      </c>
      <c r="H181" s="17" t="s">
        <v>148</v>
      </c>
      <c r="I181" s="19" t="n">
        <v>18</v>
      </c>
      <c r="J181" s="33" t="n">
        <v>1</v>
      </c>
      <c r="K181" s="20" t="n">
        <f aca="false">IF(I181=0,0,IF(L181="Rs./km",MROUND(IF(H181="Petrol",'Fuel &amp; Inputs'!$C$5,'Fuel &amp; Inputs'!$C$4)/I181*J181,1),MROUND(I181*J181*IF(H181="Petrol",'Fuel &amp; Inputs'!$C$5,'Fuel &amp; Inputs'!$C$4),10)))</f>
        <v>6880</v>
      </c>
      <c r="L181" s="17" t="s">
        <v>149</v>
      </c>
      <c r="M181" s="21" t="n">
        <v>2520</v>
      </c>
      <c r="N181" s="20" t="n">
        <f aca="false">MROUND(M181+'Fuel &amp; Inputs'!$C$13,50)</f>
        <v>3300</v>
      </c>
      <c r="O181" s="21" t="n">
        <v>5600</v>
      </c>
      <c r="P181" s="20" t="n">
        <f aca="false">MROUND(M181*'Fuel &amp; Inputs'!$C$19*'Fuel &amp; Inputs'!$C$21,100)</f>
        <v>9600</v>
      </c>
      <c r="Q181" s="20" t="n">
        <f aca="false">MROUND(N181*'Fuel &amp; Inputs'!$C$19*'Fuel &amp; Inputs'!$C$21,100)</f>
        <v>12500</v>
      </c>
      <c r="R181" s="20" t="n">
        <f aca="false">MROUND(O181*'Fuel &amp; Inputs'!$C$19*'Fuel &amp; Inputs'!$C$21,100)</f>
        <v>21300</v>
      </c>
      <c r="S181" s="20" t="n">
        <f aca="false">MROUND(M181*'Fuel &amp; Inputs'!$C$20*'Fuel &amp; Inputs'!$C$22,500)</f>
        <v>257000</v>
      </c>
      <c r="T181" s="20" t="n">
        <f aca="false">MROUND(N181*'Fuel &amp; Inputs'!$C$20*'Fuel &amp; Inputs'!$C$22,500)</f>
        <v>336500</v>
      </c>
      <c r="U181" s="20" t="n">
        <f aca="false">MROUND(O181*'Fuel &amp; Inputs'!$C$20*'Fuel &amp; Inputs'!$C$22,500)</f>
        <v>571000</v>
      </c>
    </row>
    <row r="182" customFormat="false" ht="15" hidden="false" customHeight="true" outlineLevel="0" collapsed="false">
      <c r="A182" s="31" t="s">
        <v>488</v>
      </c>
      <c r="B182" s="31"/>
      <c r="C182" s="31"/>
      <c r="D182" s="31"/>
      <c r="E182" s="31"/>
      <c r="F182" s="31"/>
      <c r="G182" s="31"/>
      <c r="H182" s="31"/>
      <c r="I182" s="31"/>
      <c r="J182" s="31"/>
      <c r="K182" s="31"/>
      <c r="L182" s="31"/>
      <c r="M182" s="31"/>
      <c r="N182" s="31"/>
      <c r="O182" s="31"/>
      <c r="P182" s="31"/>
      <c r="Q182" s="31"/>
      <c r="R182" s="31"/>
      <c r="S182" s="31"/>
      <c r="T182" s="31"/>
      <c r="U182" s="31"/>
    </row>
    <row r="183" customFormat="false" ht="15" hidden="false" customHeight="false" outlineLevel="0" collapsed="false">
      <c r="A183" s="23" t="n">
        <v>170</v>
      </c>
      <c r="B183" s="34" t="s">
        <v>84</v>
      </c>
      <c r="C183" s="34" t="s">
        <v>143</v>
      </c>
      <c r="D183" s="34" t="s">
        <v>489</v>
      </c>
      <c r="E183" s="23" t="s">
        <v>145</v>
      </c>
      <c r="F183" s="23" t="s">
        <v>490</v>
      </c>
      <c r="G183" s="23" t="s">
        <v>217</v>
      </c>
      <c r="H183" s="23" t="s">
        <v>148</v>
      </c>
      <c r="I183" s="25" t="n">
        <v>5</v>
      </c>
      <c r="J183" s="35" t="n">
        <v>1.035</v>
      </c>
      <c r="K183" s="26" t="n">
        <f aca="false">IF(I183=0,0,IF(L183="Rs./km",MROUND(IF(H183="Petrol",'Fuel &amp; Inputs'!$C$5,'Fuel &amp; Inputs'!$C$4)/I183*J183,1),MROUND(I183*J183*IF(H183="Petrol",'Fuel &amp; Inputs'!$C$5,'Fuel &amp; Inputs'!$C$4),10)))</f>
        <v>1980</v>
      </c>
      <c r="L183" s="23" t="s">
        <v>149</v>
      </c>
      <c r="M183" s="27" t="n">
        <v>1350</v>
      </c>
      <c r="N183" s="26" t="n">
        <f aca="false">MROUND(M183+'Fuel &amp; Inputs'!$C$13,50)</f>
        <v>2150</v>
      </c>
      <c r="O183" s="27" t="n">
        <v>2700</v>
      </c>
      <c r="P183" s="26" t="n">
        <f aca="false">MROUND(M183*'Fuel &amp; Inputs'!$C$19*'Fuel &amp; Inputs'!$C$21,100)</f>
        <v>5100</v>
      </c>
      <c r="Q183" s="26" t="n">
        <f aca="false">MROUND(N183*'Fuel &amp; Inputs'!$C$19*'Fuel &amp; Inputs'!$C$21,100)</f>
        <v>8200</v>
      </c>
      <c r="R183" s="26" t="n">
        <f aca="false">MROUND(O183*'Fuel &amp; Inputs'!$C$19*'Fuel &amp; Inputs'!$C$21,100)</f>
        <v>10300</v>
      </c>
      <c r="S183" s="26" t="n">
        <f aca="false">MROUND(M183*'Fuel &amp; Inputs'!$C$20*'Fuel &amp; Inputs'!$C$22,500)</f>
        <v>137500</v>
      </c>
      <c r="T183" s="26" t="n">
        <f aca="false">MROUND(N183*'Fuel &amp; Inputs'!$C$20*'Fuel &amp; Inputs'!$C$22,500)</f>
        <v>219500</v>
      </c>
      <c r="U183" s="26" t="n">
        <f aca="false">MROUND(O183*'Fuel &amp; Inputs'!$C$20*'Fuel &amp; Inputs'!$C$22,500)</f>
        <v>275500</v>
      </c>
    </row>
    <row r="184" customFormat="false" ht="23.85" hidden="false" customHeight="false" outlineLevel="0" collapsed="false">
      <c r="A184" s="17" t="n">
        <v>171</v>
      </c>
      <c r="B184" s="32" t="s">
        <v>84</v>
      </c>
      <c r="C184" s="32" t="s">
        <v>491</v>
      </c>
      <c r="D184" s="32" t="s">
        <v>489</v>
      </c>
      <c r="E184" s="17" t="s">
        <v>245</v>
      </c>
      <c r="F184" s="17" t="s">
        <v>492</v>
      </c>
      <c r="G184" s="17" t="s">
        <v>217</v>
      </c>
      <c r="H184" s="17" t="s">
        <v>148</v>
      </c>
      <c r="I184" s="19" t="n">
        <v>5</v>
      </c>
      <c r="J184" s="33" t="n">
        <v>1.063</v>
      </c>
      <c r="K184" s="20" t="n">
        <f aca="false">IF(I184=0,0,IF(L184="Rs./km",MROUND(IF(H184="Petrol",'Fuel &amp; Inputs'!$C$5,'Fuel &amp; Inputs'!$C$4)/I184*J184,1),MROUND(I184*J184*IF(H184="Petrol",'Fuel &amp; Inputs'!$C$5,'Fuel &amp; Inputs'!$C$4),10)))</f>
        <v>2030</v>
      </c>
      <c r="L184" s="17" t="s">
        <v>149</v>
      </c>
      <c r="M184" s="21" t="n">
        <v>1350</v>
      </c>
      <c r="N184" s="20" t="n">
        <f aca="false">MROUND(M184+'Fuel &amp; Inputs'!$C$13,50)</f>
        <v>2150</v>
      </c>
      <c r="O184" s="21" t="n">
        <v>2700</v>
      </c>
      <c r="P184" s="20" t="n">
        <f aca="false">MROUND(M184*'Fuel &amp; Inputs'!$C$19*'Fuel &amp; Inputs'!$C$21,100)</f>
        <v>5100</v>
      </c>
      <c r="Q184" s="20" t="n">
        <f aca="false">MROUND(N184*'Fuel &amp; Inputs'!$C$19*'Fuel &amp; Inputs'!$C$21,100)</f>
        <v>8200</v>
      </c>
      <c r="R184" s="20" t="n">
        <f aca="false">MROUND(O184*'Fuel &amp; Inputs'!$C$19*'Fuel &amp; Inputs'!$C$21,100)</f>
        <v>10300</v>
      </c>
      <c r="S184" s="20" t="n">
        <f aca="false">MROUND(M184*'Fuel &amp; Inputs'!$C$20*'Fuel &amp; Inputs'!$C$22,500)</f>
        <v>137500</v>
      </c>
      <c r="T184" s="20" t="n">
        <f aca="false">MROUND(N184*'Fuel &amp; Inputs'!$C$20*'Fuel &amp; Inputs'!$C$22,500)</f>
        <v>219500</v>
      </c>
      <c r="U184" s="20" t="n">
        <f aca="false">MROUND(O184*'Fuel &amp; Inputs'!$C$20*'Fuel &amp; Inputs'!$C$22,500)</f>
        <v>275500</v>
      </c>
    </row>
    <row r="185" customFormat="false" ht="15" hidden="false" customHeight="false" outlineLevel="0" collapsed="false">
      <c r="A185" s="23" t="n">
        <v>172</v>
      </c>
      <c r="B185" s="34" t="s">
        <v>84</v>
      </c>
      <c r="C185" s="34" t="s">
        <v>143</v>
      </c>
      <c r="D185" s="34" t="s">
        <v>489</v>
      </c>
      <c r="E185" s="23" t="s">
        <v>168</v>
      </c>
      <c r="F185" s="23" t="s">
        <v>493</v>
      </c>
      <c r="G185" s="23" t="s">
        <v>217</v>
      </c>
      <c r="H185" s="23" t="s">
        <v>148</v>
      </c>
      <c r="I185" s="25" t="n">
        <v>5</v>
      </c>
      <c r="J185" s="35" t="n">
        <v>1.07</v>
      </c>
      <c r="K185" s="26" t="n">
        <f aca="false">IF(I185=0,0,IF(L185="Rs./km",MROUND(IF(H185="Petrol",'Fuel &amp; Inputs'!$C$5,'Fuel &amp; Inputs'!$C$4)/I185*J185,1),MROUND(I185*J185*IF(H185="Petrol",'Fuel &amp; Inputs'!$C$5,'Fuel &amp; Inputs'!$C$4),10)))</f>
        <v>2040</v>
      </c>
      <c r="L185" s="23" t="s">
        <v>149</v>
      </c>
      <c r="M185" s="27" t="n">
        <v>1350</v>
      </c>
      <c r="N185" s="26" t="n">
        <f aca="false">MROUND(M185+'Fuel &amp; Inputs'!$C$13,50)</f>
        <v>2150</v>
      </c>
      <c r="O185" s="27" t="n">
        <v>2700</v>
      </c>
      <c r="P185" s="26" t="n">
        <f aca="false">MROUND(M185*'Fuel &amp; Inputs'!$C$19*'Fuel &amp; Inputs'!$C$21,100)</f>
        <v>5100</v>
      </c>
      <c r="Q185" s="26" t="n">
        <f aca="false">MROUND(N185*'Fuel &amp; Inputs'!$C$19*'Fuel &amp; Inputs'!$C$21,100)</f>
        <v>8200</v>
      </c>
      <c r="R185" s="26" t="n">
        <f aca="false">MROUND(O185*'Fuel &amp; Inputs'!$C$19*'Fuel &amp; Inputs'!$C$21,100)</f>
        <v>10300</v>
      </c>
      <c r="S185" s="26" t="n">
        <f aca="false">MROUND(M185*'Fuel &amp; Inputs'!$C$20*'Fuel &amp; Inputs'!$C$22,500)</f>
        <v>137500</v>
      </c>
      <c r="T185" s="26" t="n">
        <f aca="false">MROUND(N185*'Fuel &amp; Inputs'!$C$20*'Fuel &amp; Inputs'!$C$22,500)</f>
        <v>219500</v>
      </c>
      <c r="U185" s="26" t="n">
        <f aca="false">MROUND(O185*'Fuel &amp; Inputs'!$C$20*'Fuel &amp; Inputs'!$C$22,500)</f>
        <v>275500</v>
      </c>
    </row>
    <row r="186" customFormat="false" ht="15" hidden="false" customHeight="false" outlineLevel="0" collapsed="false">
      <c r="A186" s="17" t="n">
        <v>173</v>
      </c>
      <c r="B186" s="32" t="s">
        <v>84</v>
      </c>
      <c r="C186" s="32" t="s">
        <v>143</v>
      </c>
      <c r="D186" s="32" t="s">
        <v>494</v>
      </c>
      <c r="E186" s="17" t="s">
        <v>145</v>
      </c>
      <c r="F186" s="17" t="s">
        <v>495</v>
      </c>
      <c r="G186" s="17" t="s">
        <v>217</v>
      </c>
      <c r="H186" s="17" t="s">
        <v>148</v>
      </c>
      <c r="I186" s="19" t="n">
        <v>4.5</v>
      </c>
      <c r="J186" s="33" t="n">
        <v>1.035</v>
      </c>
      <c r="K186" s="20" t="n">
        <f aca="false">IF(I186=0,0,IF(L186="Rs./km",MROUND(IF(H186="Petrol",'Fuel &amp; Inputs'!$C$5,'Fuel &amp; Inputs'!$C$4)/I186*J186,1),MROUND(I186*J186*IF(H186="Petrol",'Fuel &amp; Inputs'!$C$5,'Fuel &amp; Inputs'!$C$4),10)))</f>
        <v>1780</v>
      </c>
      <c r="L186" s="17" t="s">
        <v>149</v>
      </c>
      <c r="M186" s="21" t="n">
        <v>1350</v>
      </c>
      <c r="N186" s="20" t="n">
        <f aca="false">MROUND(M186+'Fuel &amp; Inputs'!$C$13,50)</f>
        <v>2150</v>
      </c>
      <c r="O186" s="21" t="n">
        <v>2700</v>
      </c>
      <c r="P186" s="20" t="n">
        <f aca="false">MROUND(M186*'Fuel &amp; Inputs'!$C$19*'Fuel &amp; Inputs'!$C$21,100)</f>
        <v>5100</v>
      </c>
      <c r="Q186" s="20" t="n">
        <f aca="false">MROUND(N186*'Fuel &amp; Inputs'!$C$19*'Fuel &amp; Inputs'!$C$21,100)</f>
        <v>8200</v>
      </c>
      <c r="R186" s="20" t="n">
        <f aca="false">MROUND(O186*'Fuel &amp; Inputs'!$C$19*'Fuel &amp; Inputs'!$C$21,100)</f>
        <v>10300</v>
      </c>
      <c r="S186" s="20" t="n">
        <f aca="false">MROUND(M186*'Fuel &amp; Inputs'!$C$20*'Fuel &amp; Inputs'!$C$22,500)</f>
        <v>137500</v>
      </c>
      <c r="T186" s="20" t="n">
        <f aca="false">MROUND(N186*'Fuel &amp; Inputs'!$C$20*'Fuel &amp; Inputs'!$C$22,500)</f>
        <v>219500</v>
      </c>
      <c r="U186" s="20" t="n">
        <f aca="false">MROUND(O186*'Fuel &amp; Inputs'!$C$20*'Fuel &amp; Inputs'!$C$22,500)</f>
        <v>275500</v>
      </c>
    </row>
    <row r="187" customFormat="false" ht="15" hidden="false" customHeight="false" outlineLevel="0" collapsed="false">
      <c r="A187" s="23" t="n">
        <v>174</v>
      </c>
      <c r="B187" s="34" t="s">
        <v>84</v>
      </c>
      <c r="C187" s="34" t="s">
        <v>143</v>
      </c>
      <c r="D187" s="34" t="s">
        <v>494</v>
      </c>
      <c r="E187" s="23" t="s">
        <v>168</v>
      </c>
      <c r="F187" s="23" t="s">
        <v>496</v>
      </c>
      <c r="G187" s="23" t="s">
        <v>217</v>
      </c>
      <c r="H187" s="23" t="s">
        <v>148</v>
      </c>
      <c r="I187" s="25" t="n">
        <v>4.5</v>
      </c>
      <c r="J187" s="35" t="n">
        <v>1.07</v>
      </c>
      <c r="K187" s="26" t="n">
        <f aca="false">IF(I187=0,0,IF(L187="Rs./km",MROUND(IF(H187="Petrol",'Fuel &amp; Inputs'!$C$5,'Fuel &amp; Inputs'!$C$4)/I187*J187,1),MROUND(I187*J187*IF(H187="Petrol",'Fuel &amp; Inputs'!$C$5,'Fuel &amp; Inputs'!$C$4),10)))</f>
        <v>1840</v>
      </c>
      <c r="L187" s="23" t="s">
        <v>149</v>
      </c>
      <c r="M187" s="27" t="n">
        <v>1350</v>
      </c>
      <c r="N187" s="26" t="n">
        <f aca="false">MROUND(M187+'Fuel &amp; Inputs'!$C$13,50)</f>
        <v>2150</v>
      </c>
      <c r="O187" s="27" t="n">
        <v>2700</v>
      </c>
      <c r="P187" s="26" t="n">
        <f aca="false">MROUND(M187*'Fuel &amp; Inputs'!$C$19*'Fuel &amp; Inputs'!$C$21,100)</f>
        <v>5100</v>
      </c>
      <c r="Q187" s="26" t="n">
        <f aca="false">MROUND(N187*'Fuel &amp; Inputs'!$C$19*'Fuel &amp; Inputs'!$C$21,100)</f>
        <v>8200</v>
      </c>
      <c r="R187" s="26" t="n">
        <f aca="false">MROUND(O187*'Fuel &amp; Inputs'!$C$19*'Fuel &amp; Inputs'!$C$21,100)</f>
        <v>10300</v>
      </c>
      <c r="S187" s="26" t="n">
        <f aca="false">MROUND(M187*'Fuel &amp; Inputs'!$C$20*'Fuel &amp; Inputs'!$C$22,500)</f>
        <v>137500</v>
      </c>
      <c r="T187" s="26" t="n">
        <f aca="false">MROUND(N187*'Fuel &amp; Inputs'!$C$20*'Fuel &amp; Inputs'!$C$22,500)</f>
        <v>219500</v>
      </c>
      <c r="U187" s="26" t="n">
        <f aca="false">MROUND(O187*'Fuel &amp; Inputs'!$C$20*'Fuel &amp; Inputs'!$C$22,500)</f>
        <v>275500</v>
      </c>
    </row>
    <row r="188" customFormat="false" ht="15" hidden="false" customHeight="false" outlineLevel="0" collapsed="false">
      <c r="A188" s="17" t="n">
        <v>175</v>
      </c>
      <c r="B188" s="32" t="s">
        <v>84</v>
      </c>
      <c r="C188" s="32" t="s">
        <v>143</v>
      </c>
      <c r="D188" s="32" t="s">
        <v>489</v>
      </c>
      <c r="E188" s="17" t="s">
        <v>156</v>
      </c>
      <c r="F188" s="17" t="s">
        <v>497</v>
      </c>
      <c r="G188" s="17" t="s">
        <v>217</v>
      </c>
      <c r="H188" s="17" t="s">
        <v>148</v>
      </c>
      <c r="I188" s="19" t="n">
        <v>5</v>
      </c>
      <c r="J188" s="33" t="n">
        <v>1.042</v>
      </c>
      <c r="K188" s="20" t="n">
        <f aca="false">IF(I188=0,0,IF(L188="Rs./km",MROUND(IF(H188="Petrol",'Fuel &amp; Inputs'!$C$5,'Fuel &amp; Inputs'!$C$4)/I188*J188,1),MROUND(I188*J188*IF(H188="Petrol",'Fuel &amp; Inputs'!$C$5,'Fuel &amp; Inputs'!$C$4),10)))</f>
        <v>1990</v>
      </c>
      <c r="L188" s="17" t="s">
        <v>149</v>
      </c>
      <c r="M188" s="21" t="n">
        <v>1350</v>
      </c>
      <c r="N188" s="20" t="n">
        <f aca="false">MROUND(M188+'Fuel &amp; Inputs'!$C$13,50)</f>
        <v>2150</v>
      </c>
      <c r="O188" s="21" t="n">
        <v>2700</v>
      </c>
      <c r="P188" s="20" t="n">
        <f aca="false">MROUND(M188*'Fuel &amp; Inputs'!$C$19*'Fuel &amp; Inputs'!$C$21,100)</f>
        <v>5100</v>
      </c>
      <c r="Q188" s="20" t="n">
        <f aca="false">MROUND(N188*'Fuel &amp; Inputs'!$C$19*'Fuel &amp; Inputs'!$C$21,100)</f>
        <v>8200</v>
      </c>
      <c r="R188" s="20" t="n">
        <f aca="false">MROUND(O188*'Fuel &amp; Inputs'!$C$19*'Fuel &amp; Inputs'!$C$21,100)</f>
        <v>10300</v>
      </c>
      <c r="S188" s="20" t="n">
        <f aca="false">MROUND(M188*'Fuel &amp; Inputs'!$C$20*'Fuel &amp; Inputs'!$C$22,500)</f>
        <v>137500</v>
      </c>
      <c r="T188" s="20" t="n">
        <f aca="false">MROUND(N188*'Fuel &amp; Inputs'!$C$20*'Fuel &amp; Inputs'!$C$22,500)</f>
        <v>219500</v>
      </c>
      <c r="U188" s="20" t="n">
        <f aca="false">MROUND(O188*'Fuel &amp; Inputs'!$C$20*'Fuel &amp; Inputs'!$C$22,500)</f>
        <v>275500</v>
      </c>
    </row>
    <row r="189" customFormat="false" ht="15" hidden="false" customHeight="false" outlineLevel="0" collapsed="false">
      <c r="A189" s="23" t="n">
        <v>176</v>
      </c>
      <c r="B189" s="34" t="s">
        <v>84</v>
      </c>
      <c r="C189" s="34" t="s">
        <v>143</v>
      </c>
      <c r="D189" s="34" t="s">
        <v>217</v>
      </c>
      <c r="E189" s="23" t="s">
        <v>222</v>
      </c>
      <c r="F189" s="23" t="s">
        <v>498</v>
      </c>
      <c r="G189" s="23" t="s">
        <v>217</v>
      </c>
      <c r="H189" s="23" t="s">
        <v>148</v>
      </c>
      <c r="I189" s="25" t="n">
        <v>5</v>
      </c>
      <c r="J189" s="35" t="n">
        <v>1.084</v>
      </c>
      <c r="K189" s="26" t="n">
        <f aca="false">IF(I189=0,0,IF(L189="Rs./km",MROUND(IF(H189="Petrol",'Fuel &amp; Inputs'!$C$5,'Fuel &amp; Inputs'!$C$4)/I189*J189,1),MROUND(I189*J189*IF(H189="Petrol",'Fuel &amp; Inputs'!$C$5,'Fuel &amp; Inputs'!$C$4),10)))</f>
        <v>2070</v>
      </c>
      <c r="L189" s="23" t="s">
        <v>149</v>
      </c>
      <c r="M189" s="27" t="n">
        <v>1240</v>
      </c>
      <c r="N189" s="26" t="n">
        <f aca="false">MROUND(M189+'Fuel &amp; Inputs'!$C$13,50)</f>
        <v>2050</v>
      </c>
      <c r="O189" s="27" t="n">
        <v>2480</v>
      </c>
      <c r="P189" s="26" t="n">
        <f aca="false">MROUND(M189*'Fuel &amp; Inputs'!$C$19*'Fuel &amp; Inputs'!$C$21,100)</f>
        <v>4700</v>
      </c>
      <c r="Q189" s="26" t="n">
        <f aca="false">MROUND(N189*'Fuel &amp; Inputs'!$C$19*'Fuel &amp; Inputs'!$C$21,100)</f>
        <v>7800</v>
      </c>
      <c r="R189" s="26" t="n">
        <f aca="false">MROUND(O189*'Fuel &amp; Inputs'!$C$19*'Fuel &amp; Inputs'!$C$21,100)</f>
        <v>9400</v>
      </c>
      <c r="S189" s="26" t="n">
        <f aca="false">MROUND(M189*'Fuel &amp; Inputs'!$C$20*'Fuel &amp; Inputs'!$C$22,500)</f>
        <v>126500</v>
      </c>
      <c r="T189" s="26" t="n">
        <f aca="false">MROUND(N189*'Fuel &amp; Inputs'!$C$20*'Fuel &amp; Inputs'!$C$22,500)</f>
        <v>209000</v>
      </c>
      <c r="U189" s="26" t="n">
        <f aca="false">MROUND(O189*'Fuel &amp; Inputs'!$C$20*'Fuel &amp; Inputs'!$C$22,500)</f>
        <v>253000</v>
      </c>
    </row>
    <row r="190" customFormat="false" ht="15" hidden="false" customHeight="false" outlineLevel="0" collapsed="false">
      <c r="A190" s="17" t="n">
        <v>177</v>
      </c>
      <c r="B190" s="32" t="s">
        <v>84</v>
      </c>
      <c r="C190" s="32" t="s">
        <v>143</v>
      </c>
      <c r="D190" s="32" t="s">
        <v>217</v>
      </c>
      <c r="E190" s="17" t="s">
        <v>222</v>
      </c>
      <c r="F190" s="17" t="s">
        <v>499</v>
      </c>
      <c r="G190" s="17" t="s">
        <v>217</v>
      </c>
      <c r="H190" s="17" t="s">
        <v>148</v>
      </c>
      <c r="I190" s="19" t="n">
        <v>5</v>
      </c>
      <c r="J190" s="33" t="n">
        <v>1.084</v>
      </c>
      <c r="K190" s="20" t="n">
        <f aca="false">IF(I190=0,0,IF(L190="Rs./km",MROUND(IF(H190="Petrol",'Fuel &amp; Inputs'!$C$5,'Fuel &amp; Inputs'!$C$4)/I190*J190,1),MROUND(I190*J190*IF(H190="Petrol",'Fuel &amp; Inputs'!$C$5,'Fuel &amp; Inputs'!$C$4),10)))</f>
        <v>2070</v>
      </c>
      <c r="L190" s="17" t="s">
        <v>149</v>
      </c>
      <c r="M190" s="21" t="n">
        <v>1240</v>
      </c>
      <c r="N190" s="20" t="n">
        <f aca="false">MROUND(M190+'Fuel &amp; Inputs'!$C$13,50)</f>
        <v>2050</v>
      </c>
      <c r="O190" s="21" t="n">
        <v>2480</v>
      </c>
      <c r="P190" s="20" t="n">
        <f aca="false">MROUND(M190*'Fuel &amp; Inputs'!$C$19*'Fuel &amp; Inputs'!$C$21,100)</f>
        <v>4700</v>
      </c>
      <c r="Q190" s="20" t="n">
        <f aca="false">MROUND(N190*'Fuel &amp; Inputs'!$C$19*'Fuel &amp; Inputs'!$C$21,100)</f>
        <v>7800</v>
      </c>
      <c r="R190" s="20" t="n">
        <f aca="false">MROUND(O190*'Fuel &amp; Inputs'!$C$19*'Fuel &amp; Inputs'!$C$21,100)</f>
        <v>9400</v>
      </c>
      <c r="S190" s="20" t="n">
        <f aca="false">MROUND(M190*'Fuel &amp; Inputs'!$C$20*'Fuel &amp; Inputs'!$C$22,500)</f>
        <v>126500</v>
      </c>
      <c r="T190" s="20" t="n">
        <f aca="false">MROUND(N190*'Fuel &amp; Inputs'!$C$20*'Fuel &amp; Inputs'!$C$22,500)</f>
        <v>209000</v>
      </c>
      <c r="U190" s="20" t="n">
        <f aca="false">MROUND(O190*'Fuel &amp; Inputs'!$C$20*'Fuel &amp; Inputs'!$C$22,500)</f>
        <v>253000</v>
      </c>
    </row>
    <row r="191" customFormat="false" ht="15" hidden="false" customHeight="false" outlineLevel="0" collapsed="false">
      <c r="A191" s="23" t="n">
        <v>178</v>
      </c>
      <c r="B191" s="34" t="s">
        <v>84</v>
      </c>
      <c r="C191" s="34" t="s">
        <v>143</v>
      </c>
      <c r="D191" s="34" t="s">
        <v>217</v>
      </c>
      <c r="E191" s="23" t="s">
        <v>222</v>
      </c>
      <c r="F191" s="23" t="s">
        <v>500</v>
      </c>
      <c r="G191" s="23" t="s">
        <v>217</v>
      </c>
      <c r="H191" s="23" t="s">
        <v>148</v>
      </c>
      <c r="I191" s="25" t="n">
        <v>5</v>
      </c>
      <c r="J191" s="35" t="n">
        <v>1.084</v>
      </c>
      <c r="K191" s="26" t="n">
        <f aca="false">IF(I191=0,0,IF(L191="Rs./km",MROUND(IF(H191="Petrol",'Fuel &amp; Inputs'!$C$5,'Fuel &amp; Inputs'!$C$4)/I191*J191,1),MROUND(I191*J191*IF(H191="Petrol",'Fuel &amp; Inputs'!$C$5,'Fuel &amp; Inputs'!$C$4),10)))</f>
        <v>2070</v>
      </c>
      <c r="L191" s="23" t="s">
        <v>149</v>
      </c>
      <c r="M191" s="27" t="n">
        <v>1240</v>
      </c>
      <c r="N191" s="26" t="n">
        <f aca="false">MROUND(M191+'Fuel &amp; Inputs'!$C$13,50)</f>
        <v>2050</v>
      </c>
      <c r="O191" s="27" t="n">
        <v>2480</v>
      </c>
      <c r="P191" s="26" t="n">
        <f aca="false">MROUND(M191*'Fuel &amp; Inputs'!$C$19*'Fuel &amp; Inputs'!$C$21,100)</f>
        <v>4700</v>
      </c>
      <c r="Q191" s="26" t="n">
        <f aca="false">MROUND(N191*'Fuel &amp; Inputs'!$C$19*'Fuel &amp; Inputs'!$C$21,100)</f>
        <v>7800</v>
      </c>
      <c r="R191" s="26" t="n">
        <f aca="false">MROUND(O191*'Fuel &amp; Inputs'!$C$19*'Fuel &amp; Inputs'!$C$21,100)</f>
        <v>9400</v>
      </c>
      <c r="S191" s="26" t="n">
        <f aca="false">MROUND(M191*'Fuel &amp; Inputs'!$C$20*'Fuel &amp; Inputs'!$C$22,500)</f>
        <v>126500</v>
      </c>
      <c r="T191" s="26" t="n">
        <f aca="false">MROUND(N191*'Fuel &amp; Inputs'!$C$20*'Fuel &amp; Inputs'!$C$22,500)</f>
        <v>209000</v>
      </c>
      <c r="U191" s="26" t="n">
        <f aca="false">MROUND(O191*'Fuel &amp; Inputs'!$C$20*'Fuel &amp; Inputs'!$C$22,500)</f>
        <v>253000</v>
      </c>
    </row>
    <row r="192" customFormat="false" ht="15" hidden="false" customHeight="false" outlineLevel="0" collapsed="false">
      <c r="A192" s="17" t="n">
        <v>179</v>
      </c>
      <c r="B192" s="32" t="s">
        <v>84</v>
      </c>
      <c r="C192" s="32" t="s">
        <v>143</v>
      </c>
      <c r="D192" s="32" t="s">
        <v>217</v>
      </c>
      <c r="E192" s="17" t="s">
        <v>245</v>
      </c>
      <c r="F192" s="17" t="s">
        <v>501</v>
      </c>
      <c r="G192" s="17" t="s">
        <v>217</v>
      </c>
      <c r="H192" s="17" t="s">
        <v>148</v>
      </c>
      <c r="I192" s="19" t="n">
        <v>5</v>
      </c>
      <c r="J192" s="33" t="n">
        <v>1.063</v>
      </c>
      <c r="K192" s="20" t="n">
        <f aca="false">IF(I192=0,0,IF(L192="Rs./km",MROUND(IF(H192="Petrol",'Fuel &amp; Inputs'!$C$5,'Fuel &amp; Inputs'!$C$4)/I192*J192,1),MROUND(I192*J192*IF(H192="Petrol",'Fuel &amp; Inputs'!$C$5,'Fuel &amp; Inputs'!$C$4),10)))</f>
        <v>2030</v>
      </c>
      <c r="L192" s="17" t="s">
        <v>149</v>
      </c>
      <c r="M192" s="21" t="n">
        <v>1240</v>
      </c>
      <c r="N192" s="20" t="n">
        <f aca="false">MROUND(M192+'Fuel &amp; Inputs'!$C$13,50)</f>
        <v>2050</v>
      </c>
      <c r="O192" s="21" t="n">
        <v>2480</v>
      </c>
      <c r="P192" s="20" t="n">
        <f aca="false">MROUND(M192*'Fuel &amp; Inputs'!$C$19*'Fuel &amp; Inputs'!$C$21,100)</f>
        <v>4700</v>
      </c>
      <c r="Q192" s="20" t="n">
        <f aca="false">MROUND(N192*'Fuel &amp; Inputs'!$C$19*'Fuel &amp; Inputs'!$C$21,100)</f>
        <v>7800</v>
      </c>
      <c r="R192" s="20" t="n">
        <f aca="false">MROUND(O192*'Fuel &amp; Inputs'!$C$19*'Fuel &amp; Inputs'!$C$21,100)</f>
        <v>9400</v>
      </c>
      <c r="S192" s="20" t="n">
        <f aca="false">MROUND(M192*'Fuel &amp; Inputs'!$C$20*'Fuel &amp; Inputs'!$C$22,500)</f>
        <v>126500</v>
      </c>
      <c r="T192" s="20" t="n">
        <f aca="false">MROUND(N192*'Fuel &amp; Inputs'!$C$20*'Fuel &amp; Inputs'!$C$22,500)</f>
        <v>209000</v>
      </c>
      <c r="U192" s="20" t="n">
        <f aca="false">MROUND(O192*'Fuel &amp; Inputs'!$C$20*'Fuel &amp; Inputs'!$C$22,500)</f>
        <v>253000</v>
      </c>
    </row>
    <row r="193" customFormat="false" ht="15" hidden="false" customHeight="false" outlineLevel="0" collapsed="false">
      <c r="A193" s="23" t="n">
        <v>180</v>
      </c>
      <c r="B193" s="34" t="s">
        <v>84</v>
      </c>
      <c r="C193" s="34" t="s">
        <v>143</v>
      </c>
      <c r="D193" s="34" t="s">
        <v>489</v>
      </c>
      <c r="E193" s="23" t="s">
        <v>245</v>
      </c>
      <c r="F193" s="23" t="s">
        <v>502</v>
      </c>
      <c r="G193" s="23" t="s">
        <v>217</v>
      </c>
      <c r="H193" s="23" t="s">
        <v>148</v>
      </c>
      <c r="I193" s="25" t="n">
        <v>5</v>
      </c>
      <c r="J193" s="35" t="n">
        <v>1.063</v>
      </c>
      <c r="K193" s="26" t="n">
        <f aca="false">IF(I193=0,0,IF(L193="Rs./km",MROUND(IF(H193="Petrol",'Fuel &amp; Inputs'!$C$5,'Fuel &amp; Inputs'!$C$4)/I193*J193,1),MROUND(I193*J193*IF(H193="Petrol",'Fuel &amp; Inputs'!$C$5,'Fuel &amp; Inputs'!$C$4),10)))</f>
        <v>2030</v>
      </c>
      <c r="L193" s="23" t="s">
        <v>149</v>
      </c>
      <c r="M193" s="27" t="n">
        <v>1240</v>
      </c>
      <c r="N193" s="26" t="n">
        <f aca="false">MROUND(M193+'Fuel &amp; Inputs'!$C$13,50)</f>
        <v>2050</v>
      </c>
      <c r="O193" s="27" t="n">
        <v>2480</v>
      </c>
      <c r="P193" s="26" t="n">
        <f aca="false">MROUND(M193*'Fuel &amp; Inputs'!$C$19*'Fuel &amp; Inputs'!$C$21,100)</f>
        <v>4700</v>
      </c>
      <c r="Q193" s="26" t="n">
        <f aca="false">MROUND(N193*'Fuel &amp; Inputs'!$C$19*'Fuel &amp; Inputs'!$C$21,100)</f>
        <v>7800</v>
      </c>
      <c r="R193" s="26" t="n">
        <f aca="false">MROUND(O193*'Fuel &amp; Inputs'!$C$19*'Fuel &amp; Inputs'!$C$21,100)</f>
        <v>9400</v>
      </c>
      <c r="S193" s="26" t="n">
        <f aca="false">MROUND(M193*'Fuel &amp; Inputs'!$C$20*'Fuel &amp; Inputs'!$C$22,500)</f>
        <v>126500</v>
      </c>
      <c r="T193" s="26" t="n">
        <f aca="false">MROUND(N193*'Fuel &amp; Inputs'!$C$20*'Fuel &amp; Inputs'!$C$22,500)</f>
        <v>209000</v>
      </c>
      <c r="U193" s="26" t="n">
        <f aca="false">MROUND(O193*'Fuel &amp; Inputs'!$C$20*'Fuel &amp; Inputs'!$C$22,500)</f>
        <v>253000</v>
      </c>
    </row>
    <row r="194" customFormat="false" ht="15" hidden="false" customHeight="false" outlineLevel="0" collapsed="false">
      <c r="A194" s="17" t="n">
        <v>181</v>
      </c>
      <c r="B194" s="32" t="s">
        <v>84</v>
      </c>
      <c r="C194" s="32" t="s">
        <v>143</v>
      </c>
      <c r="D194" s="32" t="s">
        <v>489</v>
      </c>
      <c r="E194" s="17" t="s">
        <v>168</v>
      </c>
      <c r="F194" s="17" t="s">
        <v>503</v>
      </c>
      <c r="G194" s="17" t="s">
        <v>217</v>
      </c>
      <c r="H194" s="17" t="s">
        <v>148</v>
      </c>
      <c r="I194" s="19" t="n">
        <v>5</v>
      </c>
      <c r="J194" s="33" t="n">
        <v>1.07</v>
      </c>
      <c r="K194" s="20" t="n">
        <f aca="false">IF(I194=0,0,IF(L194="Rs./km",MROUND(IF(H194="Petrol",'Fuel &amp; Inputs'!$C$5,'Fuel &amp; Inputs'!$C$4)/I194*J194,1),MROUND(I194*J194*IF(H194="Petrol",'Fuel &amp; Inputs'!$C$5,'Fuel &amp; Inputs'!$C$4),10)))</f>
        <v>2040</v>
      </c>
      <c r="L194" s="17" t="s">
        <v>149</v>
      </c>
      <c r="M194" s="21" t="n">
        <v>1240</v>
      </c>
      <c r="N194" s="20" t="n">
        <f aca="false">MROUND(M194+'Fuel &amp; Inputs'!$C$13,50)</f>
        <v>2050</v>
      </c>
      <c r="O194" s="21" t="n">
        <v>2480</v>
      </c>
      <c r="P194" s="20" t="n">
        <f aca="false">MROUND(M194*'Fuel &amp; Inputs'!$C$19*'Fuel &amp; Inputs'!$C$21,100)</f>
        <v>4700</v>
      </c>
      <c r="Q194" s="20" t="n">
        <f aca="false">MROUND(N194*'Fuel &amp; Inputs'!$C$19*'Fuel &amp; Inputs'!$C$21,100)</f>
        <v>7800</v>
      </c>
      <c r="R194" s="20" t="n">
        <f aca="false">MROUND(O194*'Fuel &amp; Inputs'!$C$19*'Fuel &amp; Inputs'!$C$21,100)</f>
        <v>9400</v>
      </c>
      <c r="S194" s="20" t="n">
        <f aca="false">MROUND(M194*'Fuel &amp; Inputs'!$C$20*'Fuel &amp; Inputs'!$C$22,500)</f>
        <v>126500</v>
      </c>
      <c r="T194" s="20" t="n">
        <f aca="false">MROUND(N194*'Fuel &amp; Inputs'!$C$20*'Fuel &amp; Inputs'!$C$22,500)</f>
        <v>209000</v>
      </c>
      <c r="U194" s="20" t="n">
        <f aca="false">MROUND(O194*'Fuel &amp; Inputs'!$C$20*'Fuel &amp; Inputs'!$C$22,500)</f>
        <v>253000</v>
      </c>
    </row>
    <row r="195" customFormat="false" ht="15" hidden="false" customHeight="false" outlineLevel="0" collapsed="false">
      <c r="A195" s="23" t="n">
        <v>182</v>
      </c>
      <c r="B195" s="34" t="s">
        <v>84</v>
      </c>
      <c r="C195" s="34" t="s">
        <v>143</v>
      </c>
      <c r="D195" s="34" t="s">
        <v>489</v>
      </c>
      <c r="E195" s="23" t="s">
        <v>245</v>
      </c>
      <c r="F195" s="23" t="s">
        <v>504</v>
      </c>
      <c r="G195" s="23" t="s">
        <v>217</v>
      </c>
      <c r="H195" s="23" t="s">
        <v>148</v>
      </c>
      <c r="I195" s="25" t="n">
        <v>5</v>
      </c>
      <c r="J195" s="35" t="n">
        <v>1.063</v>
      </c>
      <c r="K195" s="26" t="n">
        <f aca="false">IF(I195=0,0,IF(L195="Rs./km",MROUND(IF(H195="Petrol",'Fuel &amp; Inputs'!$C$5,'Fuel &amp; Inputs'!$C$4)/I195*J195,1),MROUND(I195*J195*IF(H195="Petrol",'Fuel &amp; Inputs'!$C$5,'Fuel &amp; Inputs'!$C$4),10)))</f>
        <v>2030</v>
      </c>
      <c r="L195" s="23" t="s">
        <v>149</v>
      </c>
      <c r="M195" s="27" t="n">
        <v>1240</v>
      </c>
      <c r="N195" s="26" t="n">
        <f aca="false">MROUND(M195+'Fuel &amp; Inputs'!$C$13,50)</f>
        <v>2050</v>
      </c>
      <c r="O195" s="27" t="n">
        <v>2480</v>
      </c>
      <c r="P195" s="26" t="n">
        <f aca="false">MROUND(M195*'Fuel &amp; Inputs'!$C$19*'Fuel &amp; Inputs'!$C$21,100)</f>
        <v>4700</v>
      </c>
      <c r="Q195" s="26" t="n">
        <f aca="false">MROUND(N195*'Fuel &amp; Inputs'!$C$19*'Fuel &amp; Inputs'!$C$21,100)</f>
        <v>7800</v>
      </c>
      <c r="R195" s="26" t="n">
        <f aca="false">MROUND(O195*'Fuel &amp; Inputs'!$C$19*'Fuel &amp; Inputs'!$C$21,100)</f>
        <v>9400</v>
      </c>
      <c r="S195" s="26" t="n">
        <f aca="false">MROUND(M195*'Fuel &amp; Inputs'!$C$20*'Fuel &amp; Inputs'!$C$22,500)</f>
        <v>126500</v>
      </c>
      <c r="T195" s="26" t="n">
        <f aca="false">MROUND(N195*'Fuel &amp; Inputs'!$C$20*'Fuel &amp; Inputs'!$C$22,500)</f>
        <v>209000</v>
      </c>
      <c r="U195" s="26" t="n">
        <f aca="false">MROUND(O195*'Fuel &amp; Inputs'!$C$20*'Fuel &amp; Inputs'!$C$22,500)</f>
        <v>253000</v>
      </c>
    </row>
    <row r="196" customFormat="false" ht="15" hidden="false" customHeight="false" outlineLevel="0" collapsed="false">
      <c r="A196" s="17" t="n">
        <v>183</v>
      </c>
      <c r="B196" s="32" t="s">
        <v>84</v>
      </c>
      <c r="C196" s="32" t="s">
        <v>143</v>
      </c>
      <c r="D196" s="32" t="s">
        <v>489</v>
      </c>
      <c r="E196" s="17" t="s">
        <v>245</v>
      </c>
      <c r="F196" s="17" t="s">
        <v>505</v>
      </c>
      <c r="G196" s="17" t="s">
        <v>217</v>
      </c>
      <c r="H196" s="17" t="s">
        <v>148</v>
      </c>
      <c r="I196" s="19" t="n">
        <v>5</v>
      </c>
      <c r="J196" s="33" t="n">
        <v>1.063</v>
      </c>
      <c r="K196" s="20" t="n">
        <f aca="false">IF(I196=0,0,IF(L196="Rs./km",MROUND(IF(H196="Petrol",'Fuel &amp; Inputs'!$C$5,'Fuel &amp; Inputs'!$C$4)/I196*J196,1),MROUND(I196*J196*IF(H196="Petrol",'Fuel &amp; Inputs'!$C$5,'Fuel &amp; Inputs'!$C$4),10)))</f>
        <v>2030</v>
      </c>
      <c r="L196" s="17" t="s">
        <v>149</v>
      </c>
      <c r="M196" s="21" t="n">
        <v>1240</v>
      </c>
      <c r="N196" s="20" t="n">
        <f aca="false">MROUND(M196+'Fuel &amp; Inputs'!$C$13,50)</f>
        <v>2050</v>
      </c>
      <c r="O196" s="21" t="n">
        <v>2480</v>
      </c>
      <c r="P196" s="20" t="n">
        <f aca="false">MROUND(M196*'Fuel &amp; Inputs'!$C$19*'Fuel &amp; Inputs'!$C$21,100)</f>
        <v>4700</v>
      </c>
      <c r="Q196" s="20" t="n">
        <f aca="false">MROUND(N196*'Fuel &amp; Inputs'!$C$19*'Fuel &amp; Inputs'!$C$21,100)</f>
        <v>7800</v>
      </c>
      <c r="R196" s="20" t="n">
        <f aca="false">MROUND(O196*'Fuel &amp; Inputs'!$C$19*'Fuel &amp; Inputs'!$C$21,100)</f>
        <v>9400</v>
      </c>
      <c r="S196" s="20" t="n">
        <f aca="false">MROUND(M196*'Fuel &amp; Inputs'!$C$20*'Fuel &amp; Inputs'!$C$22,500)</f>
        <v>126500</v>
      </c>
      <c r="T196" s="20" t="n">
        <f aca="false">MROUND(N196*'Fuel &amp; Inputs'!$C$20*'Fuel &amp; Inputs'!$C$22,500)</f>
        <v>209000</v>
      </c>
      <c r="U196" s="20" t="n">
        <f aca="false">MROUND(O196*'Fuel &amp; Inputs'!$C$20*'Fuel &amp; Inputs'!$C$22,500)</f>
        <v>253000</v>
      </c>
    </row>
    <row r="197" customFormat="false" ht="15" hidden="false" customHeight="false" outlineLevel="0" collapsed="false">
      <c r="A197" s="23" t="n">
        <v>184</v>
      </c>
      <c r="B197" s="34" t="s">
        <v>84</v>
      </c>
      <c r="C197" s="34" t="s">
        <v>143</v>
      </c>
      <c r="D197" s="34" t="s">
        <v>217</v>
      </c>
      <c r="E197" s="23" t="s">
        <v>245</v>
      </c>
      <c r="F197" s="23" t="s">
        <v>506</v>
      </c>
      <c r="G197" s="23" t="s">
        <v>217</v>
      </c>
      <c r="H197" s="23" t="s">
        <v>148</v>
      </c>
      <c r="I197" s="25" t="n">
        <v>5</v>
      </c>
      <c r="J197" s="35" t="n">
        <v>1.063</v>
      </c>
      <c r="K197" s="26" t="n">
        <f aca="false">IF(I197=0,0,IF(L197="Rs./km",MROUND(IF(H197="Petrol",'Fuel &amp; Inputs'!$C$5,'Fuel &amp; Inputs'!$C$4)/I197*J197,1),MROUND(I197*J197*IF(H197="Petrol",'Fuel &amp; Inputs'!$C$5,'Fuel &amp; Inputs'!$C$4),10)))</f>
        <v>2030</v>
      </c>
      <c r="L197" s="23" t="s">
        <v>149</v>
      </c>
      <c r="M197" s="27" t="n">
        <v>1240</v>
      </c>
      <c r="N197" s="26" t="n">
        <f aca="false">MROUND(M197+'Fuel &amp; Inputs'!$C$13,50)</f>
        <v>2050</v>
      </c>
      <c r="O197" s="27" t="n">
        <v>2480</v>
      </c>
      <c r="P197" s="26" t="n">
        <f aca="false">MROUND(M197*'Fuel &amp; Inputs'!$C$19*'Fuel &amp; Inputs'!$C$21,100)</f>
        <v>4700</v>
      </c>
      <c r="Q197" s="26" t="n">
        <f aca="false">MROUND(N197*'Fuel &amp; Inputs'!$C$19*'Fuel &amp; Inputs'!$C$21,100)</f>
        <v>7800</v>
      </c>
      <c r="R197" s="26" t="n">
        <f aca="false">MROUND(O197*'Fuel &amp; Inputs'!$C$19*'Fuel &amp; Inputs'!$C$21,100)</f>
        <v>9400</v>
      </c>
      <c r="S197" s="26" t="n">
        <f aca="false">MROUND(M197*'Fuel &amp; Inputs'!$C$20*'Fuel &amp; Inputs'!$C$22,500)</f>
        <v>126500</v>
      </c>
      <c r="T197" s="26" t="n">
        <f aca="false">MROUND(N197*'Fuel &amp; Inputs'!$C$20*'Fuel &amp; Inputs'!$C$22,500)</f>
        <v>209000</v>
      </c>
      <c r="U197" s="26" t="n">
        <f aca="false">MROUND(O197*'Fuel &amp; Inputs'!$C$20*'Fuel &amp; Inputs'!$C$22,500)</f>
        <v>253000</v>
      </c>
    </row>
    <row r="198" customFormat="false" ht="15" hidden="false" customHeight="false" outlineLevel="0" collapsed="false">
      <c r="A198" s="17" t="n">
        <v>185</v>
      </c>
      <c r="B198" s="32" t="s">
        <v>84</v>
      </c>
      <c r="C198" s="32" t="s">
        <v>235</v>
      </c>
      <c r="D198" s="32" t="s">
        <v>507</v>
      </c>
      <c r="E198" s="17" t="s">
        <v>245</v>
      </c>
      <c r="F198" s="17" t="s">
        <v>508</v>
      </c>
      <c r="G198" s="17" t="s">
        <v>217</v>
      </c>
      <c r="H198" s="17" t="s">
        <v>148</v>
      </c>
      <c r="I198" s="19" t="n">
        <v>5</v>
      </c>
      <c r="J198" s="33" t="n">
        <v>1.063</v>
      </c>
      <c r="K198" s="20" t="n">
        <f aca="false">IF(I198=0,0,IF(L198="Rs./km",MROUND(IF(H198="Petrol",'Fuel &amp; Inputs'!$C$5,'Fuel &amp; Inputs'!$C$4)/I198*J198,1),MROUND(I198*J198*IF(H198="Petrol",'Fuel &amp; Inputs'!$C$5,'Fuel &amp; Inputs'!$C$4),10)))</f>
        <v>2030</v>
      </c>
      <c r="L198" s="17" t="s">
        <v>149</v>
      </c>
      <c r="M198" s="21" t="n">
        <v>1240</v>
      </c>
      <c r="N198" s="20" t="n">
        <f aca="false">MROUND(M198+'Fuel &amp; Inputs'!$C$13,50)</f>
        <v>2050</v>
      </c>
      <c r="O198" s="21" t="n">
        <v>2480</v>
      </c>
      <c r="P198" s="20" t="n">
        <f aca="false">MROUND(M198*'Fuel &amp; Inputs'!$C$19*'Fuel &amp; Inputs'!$C$21,100)</f>
        <v>4700</v>
      </c>
      <c r="Q198" s="20" t="n">
        <f aca="false">MROUND(N198*'Fuel &amp; Inputs'!$C$19*'Fuel &amp; Inputs'!$C$21,100)</f>
        <v>7800</v>
      </c>
      <c r="R198" s="20" t="n">
        <f aca="false">MROUND(O198*'Fuel &amp; Inputs'!$C$19*'Fuel &amp; Inputs'!$C$21,100)</f>
        <v>9400</v>
      </c>
      <c r="S198" s="20" t="n">
        <f aca="false">MROUND(M198*'Fuel &amp; Inputs'!$C$20*'Fuel &amp; Inputs'!$C$22,500)</f>
        <v>126500</v>
      </c>
      <c r="T198" s="20" t="n">
        <f aca="false">MROUND(N198*'Fuel &amp; Inputs'!$C$20*'Fuel &amp; Inputs'!$C$22,500)</f>
        <v>209000</v>
      </c>
      <c r="U198" s="20" t="n">
        <f aca="false">MROUND(O198*'Fuel &amp; Inputs'!$C$20*'Fuel &amp; Inputs'!$C$22,500)</f>
        <v>253000</v>
      </c>
    </row>
    <row r="199" customFormat="false" ht="15" hidden="false" customHeight="false" outlineLevel="0" collapsed="false">
      <c r="A199" s="23" t="n">
        <v>186</v>
      </c>
      <c r="B199" s="34" t="s">
        <v>84</v>
      </c>
      <c r="C199" s="34" t="s">
        <v>143</v>
      </c>
      <c r="D199" s="34" t="s">
        <v>489</v>
      </c>
      <c r="E199" s="23" t="s">
        <v>168</v>
      </c>
      <c r="F199" s="23" t="s">
        <v>509</v>
      </c>
      <c r="G199" s="23" t="s">
        <v>217</v>
      </c>
      <c r="H199" s="23" t="s">
        <v>148</v>
      </c>
      <c r="I199" s="25" t="n">
        <v>5</v>
      </c>
      <c r="J199" s="35" t="n">
        <v>1.07</v>
      </c>
      <c r="K199" s="26" t="n">
        <f aca="false">IF(I199=0,0,IF(L199="Rs./km",MROUND(IF(H199="Petrol",'Fuel &amp; Inputs'!$C$5,'Fuel &amp; Inputs'!$C$4)/I199*J199,1),MROUND(I199*J199*IF(H199="Petrol",'Fuel &amp; Inputs'!$C$5,'Fuel &amp; Inputs'!$C$4),10)))</f>
        <v>2040</v>
      </c>
      <c r="L199" s="23" t="s">
        <v>149</v>
      </c>
      <c r="M199" s="27" t="n">
        <v>1240</v>
      </c>
      <c r="N199" s="26" t="n">
        <f aca="false">MROUND(M199+'Fuel &amp; Inputs'!$C$13,50)</f>
        <v>2050</v>
      </c>
      <c r="O199" s="27" t="n">
        <v>2480</v>
      </c>
      <c r="P199" s="26" t="n">
        <f aca="false">MROUND(M199*'Fuel &amp; Inputs'!$C$19*'Fuel &amp; Inputs'!$C$21,100)</f>
        <v>4700</v>
      </c>
      <c r="Q199" s="26" t="n">
        <f aca="false">MROUND(N199*'Fuel &amp; Inputs'!$C$19*'Fuel &amp; Inputs'!$C$21,100)</f>
        <v>7800</v>
      </c>
      <c r="R199" s="26" t="n">
        <f aca="false">MROUND(O199*'Fuel &amp; Inputs'!$C$19*'Fuel &amp; Inputs'!$C$21,100)</f>
        <v>9400</v>
      </c>
      <c r="S199" s="26" t="n">
        <f aca="false">MROUND(M199*'Fuel &amp; Inputs'!$C$20*'Fuel &amp; Inputs'!$C$22,500)</f>
        <v>126500</v>
      </c>
      <c r="T199" s="26" t="n">
        <f aca="false">MROUND(N199*'Fuel &amp; Inputs'!$C$20*'Fuel &amp; Inputs'!$C$22,500)</f>
        <v>209000</v>
      </c>
      <c r="U199" s="26" t="n">
        <f aca="false">MROUND(O199*'Fuel &amp; Inputs'!$C$20*'Fuel &amp; Inputs'!$C$22,500)</f>
        <v>253000</v>
      </c>
    </row>
    <row r="200" customFormat="false" ht="15" hidden="false" customHeight="false" outlineLevel="0" collapsed="false">
      <c r="A200" s="17" t="n">
        <v>187</v>
      </c>
      <c r="B200" s="32" t="s">
        <v>84</v>
      </c>
      <c r="C200" s="32" t="s">
        <v>143</v>
      </c>
      <c r="D200" s="32" t="s">
        <v>489</v>
      </c>
      <c r="E200" s="17" t="s">
        <v>245</v>
      </c>
      <c r="F200" s="17" t="s">
        <v>510</v>
      </c>
      <c r="G200" s="17" t="s">
        <v>217</v>
      </c>
      <c r="H200" s="17" t="s">
        <v>148</v>
      </c>
      <c r="I200" s="19" t="n">
        <v>5</v>
      </c>
      <c r="J200" s="33" t="n">
        <v>1.063</v>
      </c>
      <c r="K200" s="20" t="n">
        <f aca="false">IF(I200=0,0,IF(L200="Rs./km",MROUND(IF(H200="Petrol",'Fuel &amp; Inputs'!$C$5,'Fuel &amp; Inputs'!$C$4)/I200*J200,1),MROUND(I200*J200*IF(H200="Petrol",'Fuel &amp; Inputs'!$C$5,'Fuel &amp; Inputs'!$C$4),10)))</f>
        <v>2030</v>
      </c>
      <c r="L200" s="17" t="s">
        <v>149</v>
      </c>
      <c r="M200" s="21" t="n">
        <v>1240</v>
      </c>
      <c r="N200" s="20" t="n">
        <f aca="false">MROUND(M200+'Fuel &amp; Inputs'!$C$13,50)</f>
        <v>2050</v>
      </c>
      <c r="O200" s="21" t="n">
        <v>2480</v>
      </c>
      <c r="P200" s="20" t="n">
        <f aca="false">MROUND(M200*'Fuel &amp; Inputs'!$C$19*'Fuel &amp; Inputs'!$C$21,100)</f>
        <v>4700</v>
      </c>
      <c r="Q200" s="20" t="n">
        <f aca="false">MROUND(N200*'Fuel &amp; Inputs'!$C$19*'Fuel &amp; Inputs'!$C$21,100)</f>
        <v>7800</v>
      </c>
      <c r="R200" s="20" t="n">
        <f aca="false">MROUND(O200*'Fuel &amp; Inputs'!$C$19*'Fuel &amp; Inputs'!$C$21,100)</f>
        <v>9400</v>
      </c>
      <c r="S200" s="20" t="n">
        <f aca="false">MROUND(M200*'Fuel &amp; Inputs'!$C$20*'Fuel &amp; Inputs'!$C$22,500)</f>
        <v>126500</v>
      </c>
      <c r="T200" s="20" t="n">
        <f aca="false">MROUND(N200*'Fuel &amp; Inputs'!$C$20*'Fuel &amp; Inputs'!$C$22,500)</f>
        <v>209000</v>
      </c>
      <c r="U200" s="20" t="n">
        <f aca="false">MROUND(O200*'Fuel &amp; Inputs'!$C$20*'Fuel &amp; Inputs'!$C$22,500)</f>
        <v>253000</v>
      </c>
    </row>
    <row r="201" customFormat="false" ht="15" hidden="false" customHeight="false" outlineLevel="0" collapsed="false">
      <c r="A201" s="23" t="n">
        <v>188</v>
      </c>
      <c r="B201" s="34" t="s">
        <v>84</v>
      </c>
      <c r="C201" s="34" t="s">
        <v>143</v>
      </c>
      <c r="D201" s="34" t="s">
        <v>489</v>
      </c>
      <c r="E201" s="23" t="s">
        <v>145</v>
      </c>
      <c r="F201" s="23" t="s">
        <v>511</v>
      </c>
      <c r="G201" s="23" t="s">
        <v>217</v>
      </c>
      <c r="H201" s="23" t="s">
        <v>148</v>
      </c>
      <c r="I201" s="25" t="n">
        <v>5</v>
      </c>
      <c r="J201" s="35" t="n">
        <v>1.035</v>
      </c>
      <c r="K201" s="26" t="n">
        <f aca="false">IF(I201=0,0,IF(L201="Rs./km",MROUND(IF(H201="Petrol",'Fuel &amp; Inputs'!$C$5,'Fuel &amp; Inputs'!$C$4)/I201*J201,1),MROUND(I201*J201*IF(H201="Petrol",'Fuel &amp; Inputs'!$C$5,'Fuel &amp; Inputs'!$C$4),10)))</f>
        <v>1980</v>
      </c>
      <c r="L201" s="23" t="s">
        <v>149</v>
      </c>
      <c r="M201" s="27" t="n">
        <v>1240</v>
      </c>
      <c r="N201" s="26" t="n">
        <f aca="false">MROUND(M201+'Fuel &amp; Inputs'!$C$13,50)</f>
        <v>2050</v>
      </c>
      <c r="O201" s="27" t="n">
        <v>2480</v>
      </c>
      <c r="P201" s="26" t="n">
        <f aca="false">MROUND(M201*'Fuel &amp; Inputs'!$C$19*'Fuel &amp; Inputs'!$C$21,100)</f>
        <v>4700</v>
      </c>
      <c r="Q201" s="26" t="n">
        <f aca="false">MROUND(N201*'Fuel &amp; Inputs'!$C$19*'Fuel &amp; Inputs'!$C$21,100)</f>
        <v>7800</v>
      </c>
      <c r="R201" s="26" t="n">
        <f aca="false">MROUND(O201*'Fuel &amp; Inputs'!$C$19*'Fuel &amp; Inputs'!$C$21,100)</f>
        <v>9400</v>
      </c>
      <c r="S201" s="26" t="n">
        <f aca="false">MROUND(M201*'Fuel &amp; Inputs'!$C$20*'Fuel &amp; Inputs'!$C$22,500)</f>
        <v>126500</v>
      </c>
      <c r="T201" s="26" t="n">
        <f aca="false">MROUND(N201*'Fuel &amp; Inputs'!$C$20*'Fuel &amp; Inputs'!$C$22,500)</f>
        <v>209000</v>
      </c>
      <c r="U201" s="26" t="n">
        <f aca="false">MROUND(O201*'Fuel &amp; Inputs'!$C$20*'Fuel &amp; Inputs'!$C$22,500)</f>
        <v>253000</v>
      </c>
    </row>
    <row r="202" customFormat="false" ht="15" hidden="false" customHeight="false" outlineLevel="0" collapsed="false">
      <c r="A202" s="17" t="n">
        <v>189</v>
      </c>
      <c r="B202" s="32" t="s">
        <v>84</v>
      </c>
      <c r="C202" s="32" t="s">
        <v>143</v>
      </c>
      <c r="D202" s="32" t="s">
        <v>489</v>
      </c>
      <c r="E202" s="17" t="s">
        <v>145</v>
      </c>
      <c r="F202" s="17" t="s">
        <v>512</v>
      </c>
      <c r="G202" s="17" t="s">
        <v>217</v>
      </c>
      <c r="H202" s="17" t="s">
        <v>148</v>
      </c>
      <c r="I202" s="19" t="n">
        <v>5</v>
      </c>
      <c r="J202" s="33" t="n">
        <v>1.035</v>
      </c>
      <c r="K202" s="20" t="n">
        <f aca="false">IF(I202=0,0,IF(L202="Rs./km",MROUND(IF(H202="Petrol",'Fuel &amp; Inputs'!$C$5,'Fuel &amp; Inputs'!$C$4)/I202*J202,1),MROUND(I202*J202*IF(H202="Petrol",'Fuel &amp; Inputs'!$C$5,'Fuel &amp; Inputs'!$C$4),10)))</f>
        <v>1980</v>
      </c>
      <c r="L202" s="17" t="s">
        <v>149</v>
      </c>
      <c r="M202" s="21" t="n">
        <v>1240</v>
      </c>
      <c r="N202" s="20" t="n">
        <f aca="false">MROUND(M202+'Fuel &amp; Inputs'!$C$13,50)</f>
        <v>2050</v>
      </c>
      <c r="O202" s="21" t="n">
        <v>2480</v>
      </c>
      <c r="P202" s="20" t="n">
        <f aca="false">MROUND(M202*'Fuel &amp; Inputs'!$C$19*'Fuel &amp; Inputs'!$C$21,100)</f>
        <v>4700</v>
      </c>
      <c r="Q202" s="20" t="n">
        <f aca="false">MROUND(N202*'Fuel &amp; Inputs'!$C$19*'Fuel &amp; Inputs'!$C$21,100)</f>
        <v>7800</v>
      </c>
      <c r="R202" s="20" t="n">
        <f aca="false">MROUND(O202*'Fuel &amp; Inputs'!$C$19*'Fuel &amp; Inputs'!$C$21,100)</f>
        <v>9400</v>
      </c>
      <c r="S202" s="20" t="n">
        <f aca="false">MROUND(M202*'Fuel &amp; Inputs'!$C$20*'Fuel &amp; Inputs'!$C$22,500)</f>
        <v>126500</v>
      </c>
      <c r="T202" s="20" t="n">
        <f aca="false">MROUND(N202*'Fuel &amp; Inputs'!$C$20*'Fuel &amp; Inputs'!$C$22,500)</f>
        <v>209000</v>
      </c>
      <c r="U202" s="20" t="n">
        <f aca="false">MROUND(O202*'Fuel &amp; Inputs'!$C$20*'Fuel &amp; Inputs'!$C$22,500)</f>
        <v>253000</v>
      </c>
    </row>
    <row r="203" customFormat="false" ht="15" hidden="false" customHeight="false" outlineLevel="0" collapsed="false">
      <c r="A203" s="23" t="n">
        <v>190</v>
      </c>
      <c r="B203" s="34" t="s">
        <v>84</v>
      </c>
      <c r="C203" s="34" t="s">
        <v>143</v>
      </c>
      <c r="D203" s="34" t="s">
        <v>513</v>
      </c>
      <c r="E203" s="23" t="s">
        <v>168</v>
      </c>
      <c r="F203" s="23" t="s">
        <v>514</v>
      </c>
      <c r="G203" s="23" t="s">
        <v>217</v>
      </c>
      <c r="H203" s="23" t="s">
        <v>148</v>
      </c>
      <c r="I203" s="25" t="n">
        <v>7</v>
      </c>
      <c r="J203" s="35" t="n">
        <v>1.07</v>
      </c>
      <c r="K203" s="26" t="n">
        <f aca="false">IF(I203=0,0,IF(L203="Rs./km",MROUND(IF(H203="Petrol",'Fuel &amp; Inputs'!$C$5,'Fuel &amp; Inputs'!$C$4)/I203*J203,1),MROUND(I203*J203*IF(H203="Petrol",'Fuel &amp; Inputs'!$C$5,'Fuel &amp; Inputs'!$C$4),10)))</f>
        <v>2860</v>
      </c>
      <c r="L203" s="23" t="s">
        <v>149</v>
      </c>
      <c r="M203" s="27" t="n">
        <v>1240</v>
      </c>
      <c r="N203" s="26" t="n">
        <f aca="false">MROUND(M203+'Fuel &amp; Inputs'!$C$13,50)</f>
        <v>2050</v>
      </c>
      <c r="O203" s="27" t="n">
        <v>2480</v>
      </c>
      <c r="P203" s="26" t="n">
        <f aca="false">MROUND(M203*'Fuel &amp; Inputs'!$C$19*'Fuel &amp; Inputs'!$C$21,100)</f>
        <v>4700</v>
      </c>
      <c r="Q203" s="26" t="n">
        <f aca="false">MROUND(N203*'Fuel &amp; Inputs'!$C$19*'Fuel &amp; Inputs'!$C$21,100)</f>
        <v>7800</v>
      </c>
      <c r="R203" s="26" t="n">
        <f aca="false">MROUND(O203*'Fuel &amp; Inputs'!$C$19*'Fuel &amp; Inputs'!$C$21,100)</f>
        <v>9400</v>
      </c>
      <c r="S203" s="26" t="n">
        <f aca="false">MROUND(M203*'Fuel &amp; Inputs'!$C$20*'Fuel &amp; Inputs'!$C$22,500)</f>
        <v>126500</v>
      </c>
      <c r="T203" s="26" t="n">
        <f aca="false">MROUND(N203*'Fuel &amp; Inputs'!$C$20*'Fuel &amp; Inputs'!$C$22,500)</f>
        <v>209000</v>
      </c>
      <c r="U203" s="26" t="n">
        <f aca="false">MROUND(O203*'Fuel &amp; Inputs'!$C$20*'Fuel &amp; Inputs'!$C$22,500)</f>
        <v>253000</v>
      </c>
    </row>
    <row r="204" customFormat="false" ht="15" hidden="false" customHeight="false" outlineLevel="0" collapsed="false">
      <c r="A204" s="17" t="n">
        <v>191</v>
      </c>
      <c r="B204" s="32" t="s">
        <v>84</v>
      </c>
      <c r="C204" s="32" t="s">
        <v>143</v>
      </c>
      <c r="D204" s="32" t="s">
        <v>217</v>
      </c>
      <c r="E204" s="17" t="s">
        <v>245</v>
      </c>
      <c r="F204" s="17" t="s">
        <v>515</v>
      </c>
      <c r="G204" s="17" t="s">
        <v>217</v>
      </c>
      <c r="H204" s="17" t="s">
        <v>148</v>
      </c>
      <c r="I204" s="19" t="n">
        <v>5</v>
      </c>
      <c r="J204" s="33" t="n">
        <v>1.063</v>
      </c>
      <c r="K204" s="20" t="n">
        <f aca="false">IF(I204=0,0,IF(L204="Rs./km",MROUND(IF(H204="Petrol",'Fuel &amp; Inputs'!$C$5,'Fuel &amp; Inputs'!$C$4)/I204*J204,1),MROUND(I204*J204*IF(H204="Petrol",'Fuel &amp; Inputs'!$C$5,'Fuel &amp; Inputs'!$C$4),10)))</f>
        <v>2030</v>
      </c>
      <c r="L204" s="17" t="s">
        <v>149</v>
      </c>
      <c r="M204" s="21" t="n">
        <v>1110</v>
      </c>
      <c r="N204" s="20" t="n">
        <f aca="false">MROUND(M204+'Fuel &amp; Inputs'!$C$13,50)</f>
        <v>1900</v>
      </c>
      <c r="O204" s="21" t="n">
        <v>2210</v>
      </c>
      <c r="P204" s="20" t="n">
        <f aca="false">MROUND(M204*'Fuel &amp; Inputs'!$C$19*'Fuel &amp; Inputs'!$C$21,100)</f>
        <v>4200</v>
      </c>
      <c r="Q204" s="20" t="n">
        <f aca="false">MROUND(N204*'Fuel &amp; Inputs'!$C$19*'Fuel &amp; Inputs'!$C$21,100)</f>
        <v>7200</v>
      </c>
      <c r="R204" s="20" t="n">
        <f aca="false">MROUND(O204*'Fuel &amp; Inputs'!$C$19*'Fuel &amp; Inputs'!$C$21,100)</f>
        <v>8400</v>
      </c>
      <c r="S204" s="20" t="n">
        <f aca="false">MROUND(M204*'Fuel &amp; Inputs'!$C$20*'Fuel &amp; Inputs'!$C$22,500)</f>
        <v>113000</v>
      </c>
      <c r="T204" s="20" t="n">
        <f aca="false">MROUND(N204*'Fuel &amp; Inputs'!$C$20*'Fuel &amp; Inputs'!$C$22,500)</f>
        <v>194000</v>
      </c>
      <c r="U204" s="20" t="n">
        <f aca="false">MROUND(O204*'Fuel &amp; Inputs'!$C$20*'Fuel &amp; Inputs'!$C$22,500)</f>
        <v>225500</v>
      </c>
    </row>
    <row r="205" customFormat="false" ht="15" hidden="false" customHeight="false" outlineLevel="0" collapsed="false">
      <c r="A205" s="23" t="n">
        <v>192</v>
      </c>
      <c r="B205" s="34" t="s">
        <v>84</v>
      </c>
      <c r="C205" s="34" t="s">
        <v>143</v>
      </c>
      <c r="D205" s="34" t="s">
        <v>516</v>
      </c>
      <c r="E205" s="23" t="s">
        <v>222</v>
      </c>
      <c r="F205" s="23" t="s">
        <v>517</v>
      </c>
      <c r="G205" s="23" t="s">
        <v>217</v>
      </c>
      <c r="H205" s="23" t="s">
        <v>148</v>
      </c>
      <c r="I205" s="25" t="n">
        <v>4.5</v>
      </c>
      <c r="J205" s="35" t="n">
        <v>1.084</v>
      </c>
      <c r="K205" s="26" t="n">
        <f aca="false">IF(I205=0,0,IF(L205="Rs./km",MROUND(IF(H205="Petrol",'Fuel &amp; Inputs'!$C$5,'Fuel &amp; Inputs'!$C$4)/I205*J205,1),MROUND(I205*J205*IF(H205="Petrol",'Fuel &amp; Inputs'!$C$5,'Fuel &amp; Inputs'!$C$4),10)))</f>
        <v>1860</v>
      </c>
      <c r="L205" s="23" t="s">
        <v>149</v>
      </c>
      <c r="M205" s="27" t="n">
        <v>1110</v>
      </c>
      <c r="N205" s="26" t="n">
        <f aca="false">MROUND(M205+'Fuel &amp; Inputs'!$C$13,50)</f>
        <v>1900</v>
      </c>
      <c r="O205" s="27" t="n">
        <v>2210</v>
      </c>
      <c r="P205" s="26" t="n">
        <f aca="false">MROUND(M205*'Fuel &amp; Inputs'!$C$19*'Fuel &amp; Inputs'!$C$21,100)</f>
        <v>4200</v>
      </c>
      <c r="Q205" s="26" t="n">
        <f aca="false">MROUND(N205*'Fuel &amp; Inputs'!$C$19*'Fuel &amp; Inputs'!$C$21,100)</f>
        <v>7200</v>
      </c>
      <c r="R205" s="26" t="n">
        <f aca="false">MROUND(O205*'Fuel &amp; Inputs'!$C$19*'Fuel &amp; Inputs'!$C$21,100)</f>
        <v>8400</v>
      </c>
      <c r="S205" s="26" t="n">
        <f aca="false">MROUND(M205*'Fuel &amp; Inputs'!$C$20*'Fuel &amp; Inputs'!$C$22,500)</f>
        <v>113000</v>
      </c>
      <c r="T205" s="26" t="n">
        <f aca="false">MROUND(N205*'Fuel &amp; Inputs'!$C$20*'Fuel &amp; Inputs'!$C$22,500)</f>
        <v>194000</v>
      </c>
      <c r="U205" s="26" t="n">
        <f aca="false">MROUND(O205*'Fuel &amp; Inputs'!$C$20*'Fuel &amp; Inputs'!$C$22,500)</f>
        <v>225500</v>
      </c>
    </row>
    <row r="206" customFormat="false" ht="15" hidden="false" customHeight="false" outlineLevel="0" collapsed="false">
      <c r="A206" s="17" t="n">
        <v>193</v>
      </c>
      <c r="B206" s="32" t="s">
        <v>84</v>
      </c>
      <c r="C206" s="32" t="s">
        <v>143</v>
      </c>
      <c r="D206" s="32" t="s">
        <v>516</v>
      </c>
      <c r="E206" s="17" t="s">
        <v>145</v>
      </c>
      <c r="F206" s="17" t="s">
        <v>518</v>
      </c>
      <c r="G206" s="17" t="s">
        <v>217</v>
      </c>
      <c r="H206" s="17" t="s">
        <v>148</v>
      </c>
      <c r="I206" s="19" t="n">
        <v>4.5</v>
      </c>
      <c r="J206" s="33" t="n">
        <v>1.035</v>
      </c>
      <c r="K206" s="20" t="n">
        <f aca="false">IF(I206=0,0,IF(L206="Rs./km",MROUND(IF(H206="Petrol",'Fuel &amp; Inputs'!$C$5,'Fuel &amp; Inputs'!$C$4)/I206*J206,1),MROUND(I206*J206*IF(H206="Petrol",'Fuel &amp; Inputs'!$C$5,'Fuel &amp; Inputs'!$C$4),10)))</f>
        <v>1780</v>
      </c>
      <c r="L206" s="17" t="s">
        <v>149</v>
      </c>
      <c r="M206" s="21" t="n">
        <v>1110</v>
      </c>
      <c r="N206" s="20" t="n">
        <f aca="false">MROUND(M206+'Fuel &amp; Inputs'!$C$13,50)</f>
        <v>1900</v>
      </c>
      <c r="O206" s="21" t="n">
        <v>2210</v>
      </c>
      <c r="P206" s="20" t="n">
        <f aca="false">MROUND(M206*'Fuel &amp; Inputs'!$C$19*'Fuel &amp; Inputs'!$C$21,100)</f>
        <v>4200</v>
      </c>
      <c r="Q206" s="20" t="n">
        <f aca="false">MROUND(N206*'Fuel &amp; Inputs'!$C$19*'Fuel &amp; Inputs'!$C$21,100)</f>
        <v>7200</v>
      </c>
      <c r="R206" s="20" t="n">
        <f aca="false">MROUND(O206*'Fuel &amp; Inputs'!$C$19*'Fuel &amp; Inputs'!$C$21,100)</f>
        <v>8400</v>
      </c>
      <c r="S206" s="20" t="n">
        <f aca="false">MROUND(M206*'Fuel &amp; Inputs'!$C$20*'Fuel &amp; Inputs'!$C$22,500)</f>
        <v>113000</v>
      </c>
      <c r="T206" s="20" t="n">
        <f aca="false">MROUND(N206*'Fuel &amp; Inputs'!$C$20*'Fuel &amp; Inputs'!$C$22,500)</f>
        <v>194000</v>
      </c>
      <c r="U206" s="20" t="n">
        <f aca="false">MROUND(O206*'Fuel &amp; Inputs'!$C$20*'Fuel &amp; Inputs'!$C$22,500)</f>
        <v>225500</v>
      </c>
    </row>
    <row r="207" customFormat="false" ht="15" hidden="false" customHeight="false" outlineLevel="0" collapsed="false">
      <c r="A207" s="23" t="n">
        <v>194</v>
      </c>
      <c r="B207" s="34" t="s">
        <v>84</v>
      </c>
      <c r="C207" s="34" t="s">
        <v>143</v>
      </c>
      <c r="D207" s="34" t="s">
        <v>217</v>
      </c>
      <c r="E207" s="23" t="s">
        <v>245</v>
      </c>
      <c r="F207" s="23" t="s">
        <v>519</v>
      </c>
      <c r="G207" s="23" t="s">
        <v>217</v>
      </c>
      <c r="H207" s="23" t="s">
        <v>148</v>
      </c>
      <c r="I207" s="25" t="n">
        <v>5</v>
      </c>
      <c r="J207" s="35" t="n">
        <v>1.063</v>
      </c>
      <c r="K207" s="26" t="n">
        <f aca="false">IF(I207=0,0,IF(L207="Rs./km",MROUND(IF(H207="Petrol",'Fuel &amp; Inputs'!$C$5,'Fuel &amp; Inputs'!$C$4)/I207*J207,1),MROUND(I207*J207*IF(H207="Petrol",'Fuel &amp; Inputs'!$C$5,'Fuel &amp; Inputs'!$C$4),10)))</f>
        <v>2030</v>
      </c>
      <c r="L207" s="23" t="s">
        <v>149</v>
      </c>
      <c r="M207" s="27" t="n">
        <v>1110</v>
      </c>
      <c r="N207" s="26" t="n">
        <f aca="false">MROUND(M207+'Fuel &amp; Inputs'!$C$13,50)</f>
        <v>1900</v>
      </c>
      <c r="O207" s="27" t="n">
        <v>2210</v>
      </c>
      <c r="P207" s="26" t="n">
        <f aca="false">MROUND(M207*'Fuel &amp; Inputs'!$C$19*'Fuel &amp; Inputs'!$C$21,100)</f>
        <v>4200</v>
      </c>
      <c r="Q207" s="26" t="n">
        <f aca="false">MROUND(N207*'Fuel &amp; Inputs'!$C$19*'Fuel &amp; Inputs'!$C$21,100)</f>
        <v>7200</v>
      </c>
      <c r="R207" s="26" t="n">
        <f aca="false">MROUND(O207*'Fuel &amp; Inputs'!$C$19*'Fuel &amp; Inputs'!$C$21,100)</f>
        <v>8400</v>
      </c>
      <c r="S207" s="26" t="n">
        <f aca="false">MROUND(M207*'Fuel &amp; Inputs'!$C$20*'Fuel &amp; Inputs'!$C$22,500)</f>
        <v>113000</v>
      </c>
      <c r="T207" s="26" t="n">
        <f aca="false">MROUND(N207*'Fuel &amp; Inputs'!$C$20*'Fuel &amp; Inputs'!$C$22,500)</f>
        <v>194000</v>
      </c>
      <c r="U207" s="26" t="n">
        <f aca="false">MROUND(O207*'Fuel &amp; Inputs'!$C$20*'Fuel &amp; Inputs'!$C$22,500)</f>
        <v>225500</v>
      </c>
    </row>
    <row r="208" customFormat="false" ht="15" hidden="false" customHeight="true" outlineLevel="0" collapsed="false">
      <c r="A208" s="31" t="s">
        <v>520</v>
      </c>
      <c r="B208" s="31"/>
      <c r="C208" s="31"/>
      <c r="D208" s="31"/>
      <c r="E208" s="31"/>
      <c r="F208" s="31"/>
      <c r="G208" s="31"/>
      <c r="H208" s="31"/>
      <c r="I208" s="31"/>
      <c r="J208" s="31"/>
      <c r="K208" s="31"/>
      <c r="L208" s="31"/>
      <c r="M208" s="31"/>
      <c r="N208" s="31"/>
      <c r="O208" s="31"/>
      <c r="P208" s="31"/>
      <c r="Q208" s="31"/>
      <c r="R208" s="31"/>
      <c r="S208" s="31"/>
      <c r="T208" s="31"/>
      <c r="U208" s="31"/>
    </row>
    <row r="209" customFormat="false" ht="15" hidden="false" customHeight="false" outlineLevel="0" collapsed="false">
      <c r="A209" s="17" t="n">
        <v>195</v>
      </c>
      <c r="B209" s="32" t="s">
        <v>86</v>
      </c>
      <c r="C209" s="32" t="s">
        <v>306</v>
      </c>
      <c r="D209" s="32" t="s">
        <v>521</v>
      </c>
      <c r="E209" s="17" t="s">
        <v>156</v>
      </c>
      <c r="F209" s="17" t="s">
        <v>522</v>
      </c>
      <c r="G209" s="17" t="s">
        <v>217</v>
      </c>
      <c r="H209" s="17" t="s">
        <v>148</v>
      </c>
      <c r="I209" s="19" t="n">
        <v>14</v>
      </c>
      <c r="J209" s="33" t="n">
        <v>1.042</v>
      </c>
      <c r="K209" s="20" t="n">
        <f aca="false">IF(I209=0,0,IF(L209="Rs./km",MROUND(IF(H209="Petrol",'Fuel &amp; Inputs'!$C$5,'Fuel &amp; Inputs'!$C$4)/I209*J209,1),MROUND(I209*J209*IF(H209="Petrol",'Fuel &amp; Inputs'!$C$5,'Fuel &amp; Inputs'!$C$4),10)))</f>
        <v>5570</v>
      </c>
      <c r="L209" s="17" t="s">
        <v>149</v>
      </c>
      <c r="M209" s="21" t="n">
        <v>3600</v>
      </c>
      <c r="N209" s="20" t="n">
        <f aca="false">MROUND(M209+'Fuel &amp; Inputs'!$C$13,50)</f>
        <v>4400</v>
      </c>
      <c r="O209" s="21" t="n">
        <v>8050</v>
      </c>
      <c r="P209" s="20" t="n">
        <f aca="false">MROUND(M209*'Fuel &amp; Inputs'!$C$19*'Fuel &amp; Inputs'!$C$21,100)</f>
        <v>13700</v>
      </c>
      <c r="Q209" s="20" t="n">
        <f aca="false">MROUND(N209*'Fuel &amp; Inputs'!$C$19*'Fuel &amp; Inputs'!$C$21,100)</f>
        <v>16700</v>
      </c>
      <c r="R209" s="20" t="n">
        <f aca="false">MROUND(O209*'Fuel &amp; Inputs'!$C$19*'Fuel &amp; Inputs'!$C$21,100)</f>
        <v>30600</v>
      </c>
      <c r="S209" s="20" t="n">
        <f aca="false">MROUND(M209*'Fuel &amp; Inputs'!$C$20*'Fuel &amp; Inputs'!$C$22,500)</f>
        <v>367000</v>
      </c>
      <c r="T209" s="20" t="n">
        <f aca="false">MROUND(N209*'Fuel &amp; Inputs'!$C$20*'Fuel &amp; Inputs'!$C$22,500)</f>
        <v>449000</v>
      </c>
      <c r="U209" s="20" t="n">
        <f aca="false">MROUND(O209*'Fuel &amp; Inputs'!$C$20*'Fuel &amp; Inputs'!$C$22,500)</f>
        <v>821000</v>
      </c>
    </row>
    <row r="210" customFormat="false" ht="15" hidden="false" customHeight="false" outlineLevel="0" collapsed="false">
      <c r="A210" s="23" t="n">
        <v>196</v>
      </c>
      <c r="B210" s="34" t="s">
        <v>86</v>
      </c>
      <c r="C210" s="34" t="s">
        <v>523</v>
      </c>
      <c r="D210" s="34" t="s">
        <v>524</v>
      </c>
      <c r="E210" s="23" t="s">
        <v>174</v>
      </c>
      <c r="F210" s="23" t="s">
        <v>525</v>
      </c>
      <c r="G210" s="23" t="s">
        <v>217</v>
      </c>
      <c r="H210" s="23" t="s">
        <v>148</v>
      </c>
      <c r="I210" s="25" t="n">
        <v>14</v>
      </c>
      <c r="J210" s="35" t="n">
        <v>1.049</v>
      </c>
      <c r="K210" s="26" t="n">
        <f aca="false">IF(I210=0,0,IF(L210="Rs./km",MROUND(IF(H210="Petrol",'Fuel &amp; Inputs'!$C$5,'Fuel &amp; Inputs'!$C$4)/I210*J210,1),MROUND(I210*J210*IF(H210="Petrol",'Fuel &amp; Inputs'!$C$5,'Fuel &amp; Inputs'!$C$4),10)))</f>
        <v>5610</v>
      </c>
      <c r="L210" s="23" t="s">
        <v>149</v>
      </c>
      <c r="M210" s="27" t="n">
        <v>3310</v>
      </c>
      <c r="N210" s="26" t="n">
        <f aca="false">MROUND(M210+'Fuel &amp; Inputs'!$C$13,50)</f>
        <v>4100</v>
      </c>
      <c r="O210" s="27" t="n">
        <v>7410</v>
      </c>
      <c r="P210" s="26" t="n">
        <f aca="false">MROUND(M210*'Fuel &amp; Inputs'!$C$19*'Fuel &amp; Inputs'!$C$21,100)</f>
        <v>12600</v>
      </c>
      <c r="Q210" s="26" t="n">
        <f aca="false">MROUND(N210*'Fuel &amp; Inputs'!$C$19*'Fuel &amp; Inputs'!$C$21,100)</f>
        <v>15600</v>
      </c>
      <c r="R210" s="26" t="n">
        <f aca="false">MROUND(O210*'Fuel &amp; Inputs'!$C$19*'Fuel &amp; Inputs'!$C$21,100)</f>
        <v>28200</v>
      </c>
      <c r="S210" s="26" t="n">
        <f aca="false">MROUND(M210*'Fuel &amp; Inputs'!$C$20*'Fuel &amp; Inputs'!$C$22,500)</f>
        <v>337500</v>
      </c>
      <c r="T210" s="26" t="n">
        <f aca="false">MROUND(N210*'Fuel &amp; Inputs'!$C$20*'Fuel &amp; Inputs'!$C$22,500)</f>
        <v>418000</v>
      </c>
      <c r="U210" s="26" t="n">
        <f aca="false">MROUND(O210*'Fuel &amp; Inputs'!$C$20*'Fuel &amp; Inputs'!$C$22,500)</f>
        <v>756000</v>
      </c>
    </row>
    <row r="211" customFormat="false" ht="15" hidden="false" customHeight="false" outlineLevel="0" collapsed="false">
      <c r="A211" s="17" t="n">
        <v>197</v>
      </c>
      <c r="B211" s="32" t="s">
        <v>86</v>
      </c>
      <c r="C211" s="32" t="s">
        <v>269</v>
      </c>
      <c r="D211" s="32" t="s">
        <v>526</v>
      </c>
      <c r="E211" s="17" t="s">
        <v>222</v>
      </c>
      <c r="F211" s="17" t="s">
        <v>527</v>
      </c>
      <c r="G211" s="17" t="s">
        <v>217</v>
      </c>
      <c r="H211" s="17" t="s">
        <v>148</v>
      </c>
      <c r="I211" s="19" t="n">
        <v>14</v>
      </c>
      <c r="J211" s="33" t="n">
        <v>1.084</v>
      </c>
      <c r="K211" s="20" t="n">
        <f aca="false">IF(I211=0,0,IF(L211="Rs./km",MROUND(IF(H211="Petrol",'Fuel &amp; Inputs'!$C$5,'Fuel &amp; Inputs'!$C$4)/I211*J211,1),MROUND(I211*J211*IF(H211="Petrol",'Fuel &amp; Inputs'!$C$5,'Fuel &amp; Inputs'!$C$4),10)))</f>
        <v>5800</v>
      </c>
      <c r="L211" s="17" t="s">
        <v>149</v>
      </c>
      <c r="M211" s="21" t="n">
        <v>2950</v>
      </c>
      <c r="N211" s="20" t="n">
        <f aca="false">MROUND(M211+'Fuel &amp; Inputs'!$C$13,50)</f>
        <v>3750</v>
      </c>
      <c r="O211" s="21" t="n">
        <v>6600</v>
      </c>
      <c r="P211" s="20" t="n">
        <f aca="false">MROUND(M211*'Fuel &amp; Inputs'!$C$19*'Fuel &amp; Inputs'!$C$21,100)</f>
        <v>11200</v>
      </c>
      <c r="Q211" s="20" t="n">
        <f aca="false">MROUND(N211*'Fuel &amp; Inputs'!$C$19*'Fuel &amp; Inputs'!$C$21,100)</f>
        <v>14300</v>
      </c>
      <c r="R211" s="20" t="n">
        <f aca="false">MROUND(O211*'Fuel &amp; Inputs'!$C$19*'Fuel &amp; Inputs'!$C$21,100)</f>
        <v>25100</v>
      </c>
      <c r="S211" s="20" t="n">
        <f aca="false">MROUND(M211*'Fuel &amp; Inputs'!$C$20*'Fuel &amp; Inputs'!$C$22,500)</f>
        <v>301000</v>
      </c>
      <c r="T211" s="20" t="n">
        <f aca="false">MROUND(N211*'Fuel &amp; Inputs'!$C$20*'Fuel &amp; Inputs'!$C$22,500)</f>
        <v>382500</v>
      </c>
      <c r="U211" s="20" t="n">
        <f aca="false">MROUND(O211*'Fuel &amp; Inputs'!$C$20*'Fuel &amp; Inputs'!$C$22,500)</f>
        <v>673000</v>
      </c>
    </row>
    <row r="212" customFormat="false" ht="15" hidden="false" customHeight="false" outlineLevel="0" collapsed="false">
      <c r="A212" s="23" t="n">
        <v>198</v>
      </c>
      <c r="B212" s="34" t="s">
        <v>86</v>
      </c>
      <c r="C212" s="34" t="s">
        <v>269</v>
      </c>
      <c r="D212" s="34" t="s">
        <v>528</v>
      </c>
      <c r="E212" s="23" t="s">
        <v>222</v>
      </c>
      <c r="F212" s="23" t="s">
        <v>529</v>
      </c>
      <c r="G212" s="23" t="s">
        <v>217</v>
      </c>
      <c r="H212" s="23" t="s">
        <v>148</v>
      </c>
      <c r="I212" s="25" t="n">
        <v>14</v>
      </c>
      <c r="J212" s="35" t="n">
        <v>1.084</v>
      </c>
      <c r="K212" s="26" t="n">
        <f aca="false">IF(I212=0,0,IF(L212="Rs./km",MROUND(IF(H212="Petrol",'Fuel &amp; Inputs'!$C$5,'Fuel &amp; Inputs'!$C$4)/I212*J212,1),MROUND(I212*J212*IF(H212="Petrol",'Fuel &amp; Inputs'!$C$5,'Fuel &amp; Inputs'!$C$4),10)))</f>
        <v>5800</v>
      </c>
      <c r="L212" s="23" t="s">
        <v>149</v>
      </c>
      <c r="M212" s="27" t="n">
        <v>2950</v>
      </c>
      <c r="N212" s="26" t="n">
        <f aca="false">MROUND(M212+'Fuel &amp; Inputs'!$C$13,50)</f>
        <v>3750</v>
      </c>
      <c r="O212" s="27" t="n">
        <v>6600</v>
      </c>
      <c r="P212" s="26" t="n">
        <f aca="false">MROUND(M212*'Fuel &amp; Inputs'!$C$19*'Fuel &amp; Inputs'!$C$21,100)</f>
        <v>11200</v>
      </c>
      <c r="Q212" s="26" t="n">
        <f aca="false">MROUND(N212*'Fuel &amp; Inputs'!$C$19*'Fuel &amp; Inputs'!$C$21,100)</f>
        <v>14300</v>
      </c>
      <c r="R212" s="26" t="n">
        <f aca="false">MROUND(O212*'Fuel &amp; Inputs'!$C$19*'Fuel &amp; Inputs'!$C$21,100)</f>
        <v>25100</v>
      </c>
      <c r="S212" s="26" t="n">
        <f aca="false">MROUND(M212*'Fuel &amp; Inputs'!$C$20*'Fuel &amp; Inputs'!$C$22,500)</f>
        <v>301000</v>
      </c>
      <c r="T212" s="26" t="n">
        <f aca="false">MROUND(N212*'Fuel &amp; Inputs'!$C$20*'Fuel &amp; Inputs'!$C$22,500)</f>
        <v>382500</v>
      </c>
      <c r="U212" s="26" t="n">
        <f aca="false">MROUND(O212*'Fuel &amp; Inputs'!$C$20*'Fuel &amp; Inputs'!$C$22,500)</f>
        <v>673000</v>
      </c>
    </row>
    <row r="213" customFormat="false" ht="15" hidden="false" customHeight="false" outlineLevel="0" collapsed="false">
      <c r="A213" s="17" t="n">
        <v>199</v>
      </c>
      <c r="B213" s="32" t="s">
        <v>86</v>
      </c>
      <c r="C213" s="32" t="s">
        <v>269</v>
      </c>
      <c r="D213" s="32" t="s">
        <v>530</v>
      </c>
      <c r="E213" s="17" t="s">
        <v>228</v>
      </c>
      <c r="F213" s="17" t="s">
        <v>531</v>
      </c>
      <c r="G213" s="17" t="s">
        <v>217</v>
      </c>
      <c r="H213" s="17" t="s">
        <v>148</v>
      </c>
      <c r="I213" s="19" t="n">
        <v>14</v>
      </c>
      <c r="J213" s="33" t="n">
        <v>1.091</v>
      </c>
      <c r="K213" s="20" t="n">
        <f aca="false">IF(I213=0,0,IF(L213="Rs./km",MROUND(IF(H213="Petrol",'Fuel &amp; Inputs'!$C$5,'Fuel &amp; Inputs'!$C$4)/I213*J213,1),MROUND(I213*J213*IF(H213="Petrol",'Fuel &amp; Inputs'!$C$5,'Fuel &amp; Inputs'!$C$4),10)))</f>
        <v>5830</v>
      </c>
      <c r="L213" s="17" t="s">
        <v>149</v>
      </c>
      <c r="M213" s="21" t="n">
        <v>2950</v>
      </c>
      <c r="N213" s="20" t="n">
        <f aca="false">MROUND(M213+'Fuel &amp; Inputs'!$C$13,50)</f>
        <v>3750</v>
      </c>
      <c r="O213" s="21" t="n">
        <v>6600</v>
      </c>
      <c r="P213" s="20" t="n">
        <f aca="false">MROUND(M213*'Fuel &amp; Inputs'!$C$19*'Fuel &amp; Inputs'!$C$21,100)</f>
        <v>11200</v>
      </c>
      <c r="Q213" s="20" t="n">
        <f aca="false">MROUND(N213*'Fuel &amp; Inputs'!$C$19*'Fuel &amp; Inputs'!$C$21,100)</f>
        <v>14300</v>
      </c>
      <c r="R213" s="20" t="n">
        <f aca="false">MROUND(O213*'Fuel &amp; Inputs'!$C$19*'Fuel &amp; Inputs'!$C$21,100)</f>
        <v>25100</v>
      </c>
      <c r="S213" s="20" t="n">
        <f aca="false">MROUND(M213*'Fuel &amp; Inputs'!$C$20*'Fuel &amp; Inputs'!$C$22,500)</f>
        <v>301000</v>
      </c>
      <c r="T213" s="20" t="n">
        <f aca="false">MROUND(N213*'Fuel &amp; Inputs'!$C$20*'Fuel &amp; Inputs'!$C$22,500)</f>
        <v>382500</v>
      </c>
      <c r="U213" s="20" t="n">
        <f aca="false">MROUND(O213*'Fuel &amp; Inputs'!$C$20*'Fuel &amp; Inputs'!$C$22,500)</f>
        <v>673000</v>
      </c>
    </row>
    <row r="214" customFormat="false" ht="15" hidden="false" customHeight="false" outlineLevel="0" collapsed="false">
      <c r="A214" s="23" t="n">
        <v>200</v>
      </c>
      <c r="B214" s="34" t="s">
        <v>86</v>
      </c>
      <c r="C214" s="34" t="s">
        <v>532</v>
      </c>
      <c r="D214" s="34" t="s">
        <v>217</v>
      </c>
      <c r="E214" s="23" t="s">
        <v>160</v>
      </c>
      <c r="F214" s="23" t="s">
        <v>533</v>
      </c>
      <c r="G214" s="23" t="s">
        <v>217</v>
      </c>
      <c r="H214" s="23" t="s">
        <v>148</v>
      </c>
      <c r="I214" s="25" t="n">
        <v>14</v>
      </c>
      <c r="J214" s="35" t="n">
        <v>1.098</v>
      </c>
      <c r="K214" s="26" t="n">
        <f aca="false">IF(I214=0,0,IF(L214="Rs./km",MROUND(IF(H214="Petrol",'Fuel &amp; Inputs'!$C$5,'Fuel &amp; Inputs'!$C$4)/I214*J214,1),MROUND(I214*J214*IF(H214="Petrol",'Fuel &amp; Inputs'!$C$5,'Fuel &amp; Inputs'!$C$4),10)))</f>
        <v>5870</v>
      </c>
      <c r="L214" s="23" t="s">
        <v>149</v>
      </c>
      <c r="M214" s="27" t="n">
        <v>2950</v>
      </c>
      <c r="N214" s="26" t="n">
        <f aca="false">MROUND(M214+'Fuel &amp; Inputs'!$C$13,50)</f>
        <v>3750</v>
      </c>
      <c r="O214" s="27" t="n">
        <v>6600</v>
      </c>
      <c r="P214" s="26" t="n">
        <f aca="false">MROUND(M214*'Fuel &amp; Inputs'!$C$19*'Fuel &amp; Inputs'!$C$21,100)</f>
        <v>11200</v>
      </c>
      <c r="Q214" s="26" t="n">
        <f aca="false">MROUND(N214*'Fuel &amp; Inputs'!$C$19*'Fuel &amp; Inputs'!$C$21,100)</f>
        <v>14300</v>
      </c>
      <c r="R214" s="26" t="n">
        <f aca="false">MROUND(O214*'Fuel &amp; Inputs'!$C$19*'Fuel &amp; Inputs'!$C$21,100)</f>
        <v>25100</v>
      </c>
      <c r="S214" s="26" t="n">
        <f aca="false">MROUND(M214*'Fuel &amp; Inputs'!$C$20*'Fuel &amp; Inputs'!$C$22,500)</f>
        <v>301000</v>
      </c>
      <c r="T214" s="26" t="n">
        <f aca="false">MROUND(N214*'Fuel &amp; Inputs'!$C$20*'Fuel &amp; Inputs'!$C$22,500)</f>
        <v>382500</v>
      </c>
      <c r="U214" s="26" t="n">
        <f aca="false">MROUND(O214*'Fuel &amp; Inputs'!$C$20*'Fuel &amp; Inputs'!$C$22,500)</f>
        <v>673000</v>
      </c>
    </row>
    <row r="215" customFormat="false" ht="15" hidden="false" customHeight="false" outlineLevel="0" collapsed="false">
      <c r="A215" s="17" t="n">
        <v>201</v>
      </c>
      <c r="B215" s="32" t="s">
        <v>86</v>
      </c>
      <c r="C215" s="32" t="s">
        <v>534</v>
      </c>
      <c r="D215" s="32" t="s">
        <v>535</v>
      </c>
      <c r="E215" s="17" t="s">
        <v>160</v>
      </c>
      <c r="F215" s="17" t="s">
        <v>536</v>
      </c>
      <c r="G215" s="17" t="s">
        <v>217</v>
      </c>
      <c r="H215" s="17" t="s">
        <v>148</v>
      </c>
      <c r="I215" s="19" t="n">
        <v>14</v>
      </c>
      <c r="J215" s="33" t="n">
        <v>1.098</v>
      </c>
      <c r="K215" s="20" t="n">
        <f aca="false">IF(I215=0,0,IF(L215="Rs./km",MROUND(IF(H215="Petrol",'Fuel &amp; Inputs'!$C$5,'Fuel &amp; Inputs'!$C$4)/I215*J215,1),MROUND(I215*J215*IF(H215="Petrol",'Fuel &amp; Inputs'!$C$5,'Fuel &amp; Inputs'!$C$4),10)))</f>
        <v>5870</v>
      </c>
      <c r="L215" s="17" t="s">
        <v>149</v>
      </c>
      <c r="M215" s="21" t="n">
        <v>2950</v>
      </c>
      <c r="N215" s="20" t="n">
        <f aca="false">MROUND(M215+'Fuel &amp; Inputs'!$C$13,50)</f>
        <v>3750</v>
      </c>
      <c r="O215" s="21" t="n">
        <v>6600</v>
      </c>
      <c r="P215" s="20" t="n">
        <f aca="false">MROUND(M215*'Fuel &amp; Inputs'!$C$19*'Fuel &amp; Inputs'!$C$21,100)</f>
        <v>11200</v>
      </c>
      <c r="Q215" s="20" t="n">
        <f aca="false">MROUND(N215*'Fuel &amp; Inputs'!$C$19*'Fuel &amp; Inputs'!$C$21,100)</f>
        <v>14300</v>
      </c>
      <c r="R215" s="20" t="n">
        <f aca="false">MROUND(O215*'Fuel &amp; Inputs'!$C$19*'Fuel &amp; Inputs'!$C$21,100)</f>
        <v>25100</v>
      </c>
      <c r="S215" s="20" t="n">
        <f aca="false">MROUND(M215*'Fuel &amp; Inputs'!$C$20*'Fuel &amp; Inputs'!$C$22,500)</f>
        <v>301000</v>
      </c>
      <c r="T215" s="20" t="n">
        <f aca="false">MROUND(N215*'Fuel &amp; Inputs'!$C$20*'Fuel &amp; Inputs'!$C$22,500)</f>
        <v>382500</v>
      </c>
      <c r="U215" s="20" t="n">
        <f aca="false">MROUND(O215*'Fuel &amp; Inputs'!$C$20*'Fuel &amp; Inputs'!$C$22,500)</f>
        <v>673000</v>
      </c>
    </row>
    <row r="216" customFormat="false" ht="15" hidden="false" customHeight="false" outlineLevel="0" collapsed="false">
      <c r="A216" s="23" t="n">
        <v>202</v>
      </c>
      <c r="B216" s="34" t="s">
        <v>86</v>
      </c>
      <c r="C216" s="34" t="s">
        <v>534</v>
      </c>
      <c r="D216" s="34" t="s">
        <v>537</v>
      </c>
      <c r="E216" s="23" t="s">
        <v>160</v>
      </c>
      <c r="F216" s="23" t="s">
        <v>538</v>
      </c>
      <c r="G216" s="23" t="s">
        <v>217</v>
      </c>
      <c r="H216" s="23" t="s">
        <v>148</v>
      </c>
      <c r="I216" s="25" t="n">
        <v>14</v>
      </c>
      <c r="J216" s="35" t="n">
        <v>1.098</v>
      </c>
      <c r="K216" s="26" t="n">
        <f aca="false">IF(I216=0,0,IF(L216="Rs./km",MROUND(IF(H216="Petrol",'Fuel &amp; Inputs'!$C$5,'Fuel &amp; Inputs'!$C$4)/I216*J216,1),MROUND(I216*J216*IF(H216="Petrol",'Fuel &amp; Inputs'!$C$5,'Fuel &amp; Inputs'!$C$4),10)))</f>
        <v>5870</v>
      </c>
      <c r="L216" s="23" t="s">
        <v>149</v>
      </c>
      <c r="M216" s="27" t="n">
        <v>2950</v>
      </c>
      <c r="N216" s="26" t="n">
        <f aca="false">MROUND(M216+'Fuel &amp; Inputs'!$C$13,50)</f>
        <v>3750</v>
      </c>
      <c r="O216" s="27" t="n">
        <v>6600</v>
      </c>
      <c r="P216" s="26" t="n">
        <f aca="false">MROUND(M216*'Fuel &amp; Inputs'!$C$19*'Fuel &amp; Inputs'!$C$21,100)</f>
        <v>11200</v>
      </c>
      <c r="Q216" s="26" t="n">
        <f aca="false">MROUND(N216*'Fuel &amp; Inputs'!$C$19*'Fuel &amp; Inputs'!$C$21,100)</f>
        <v>14300</v>
      </c>
      <c r="R216" s="26" t="n">
        <f aca="false">MROUND(O216*'Fuel &amp; Inputs'!$C$19*'Fuel &amp; Inputs'!$C$21,100)</f>
        <v>25100</v>
      </c>
      <c r="S216" s="26" t="n">
        <f aca="false">MROUND(M216*'Fuel &amp; Inputs'!$C$20*'Fuel &amp; Inputs'!$C$22,500)</f>
        <v>301000</v>
      </c>
      <c r="T216" s="26" t="n">
        <f aca="false">MROUND(N216*'Fuel &amp; Inputs'!$C$20*'Fuel &amp; Inputs'!$C$22,500)</f>
        <v>382500</v>
      </c>
      <c r="U216" s="26" t="n">
        <f aca="false">MROUND(O216*'Fuel &amp; Inputs'!$C$20*'Fuel &amp; Inputs'!$C$22,500)</f>
        <v>673000</v>
      </c>
    </row>
    <row r="217" customFormat="false" ht="15" hidden="false" customHeight="false" outlineLevel="0" collapsed="false">
      <c r="A217" s="17" t="n">
        <v>203</v>
      </c>
      <c r="B217" s="32" t="s">
        <v>86</v>
      </c>
      <c r="C217" s="32" t="s">
        <v>534</v>
      </c>
      <c r="D217" s="32" t="s">
        <v>539</v>
      </c>
      <c r="E217" s="17" t="s">
        <v>198</v>
      </c>
      <c r="F217" s="17" t="s">
        <v>540</v>
      </c>
      <c r="G217" s="17" t="s">
        <v>217</v>
      </c>
      <c r="H217" s="17" t="s">
        <v>148</v>
      </c>
      <c r="I217" s="19" t="n">
        <v>14</v>
      </c>
      <c r="J217" s="33" t="n">
        <v>1.14</v>
      </c>
      <c r="K217" s="20" t="n">
        <f aca="false">IF(I217=0,0,IF(L217="Rs./km",MROUND(IF(H217="Petrol",'Fuel &amp; Inputs'!$C$5,'Fuel &amp; Inputs'!$C$4)/I217*J217,1),MROUND(I217*J217*IF(H217="Petrol",'Fuel &amp; Inputs'!$C$5,'Fuel &amp; Inputs'!$C$4),10)))</f>
        <v>6100</v>
      </c>
      <c r="L217" s="17" t="s">
        <v>149</v>
      </c>
      <c r="M217" s="21" t="n">
        <v>2590</v>
      </c>
      <c r="N217" s="20" t="n">
        <f aca="false">MROUND(M217+'Fuel &amp; Inputs'!$C$13,50)</f>
        <v>3400</v>
      </c>
      <c r="O217" s="21" t="n">
        <v>5800</v>
      </c>
      <c r="P217" s="20" t="n">
        <f aca="false">MROUND(M217*'Fuel &amp; Inputs'!$C$19*'Fuel &amp; Inputs'!$C$21,100)</f>
        <v>9800</v>
      </c>
      <c r="Q217" s="20" t="n">
        <f aca="false">MROUND(N217*'Fuel &amp; Inputs'!$C$19*'Fuel &amp; Inputs'!$C$21,100)</f>
        <v>12900</v>
      </c>
      <c r="R217" s="20" t="n">
        <f aca="false">MROUND(O217*'Fuel &amp; Inputs'!$C$19*'Fuel &amp; Inputs'!$C$21,100)</f>
        <v>22000</v>
      </c>
      <c r="S217" s="20" t="n">
        <f aca="false">MROUND(M217*'Fuel &amp; Inputs'!$C$20*'Fuel &amp; Inputs'!$C$22,500)</f>
        <v>264000</v>
      </c>
      <c r="T217" s="20" t="n">
        <f aca="false">MROUND(N217*'Fuel &amp; Inputs'!$C$20*'Fuel &amp; Inputs'!$C$22,500)</f>
        <v>347000</v>
      </c>
      <c r="U217" s="20" t="n">
        <f aca="false">MROUND(O217*'Fuel &amp; Inputs'!$C$20*'Fuel &amp; Inputs'!$C$22,500)</f>
        <v>591500</v>
      </c>
    </row>
    <row r="218" customFormat="false" ht="15" hidden="false" customHeight="false" outlineLevel="0" collapsed="false">
      <c r="A218" s="23" t="n">
        <v>204</v>
      </c>
      <c r="B218" s="34" t="s">
        <v>86</v>
      </c>
      <c r="C218" s="34" t="s">
        <v>324</v>
      </c>
      <c r="D218" s="34" t="s">
        <v>217</v>
      </c>
      <c r="E218" s="23" t="s">
        <v>217</v>
      </c>
      <c r="F218" s="23" t="s">
        <v>541</v>
      </c>
      <c r="G218" s="23" t="s">
        <v>217</v>
      </c>
      <c r="H218" s="23" t="s">
        <v>148</v>
      </c>
      <c r="I218" s="25" t="n">
        <v>14</v>
      </c>
      <c r="J218" s="35" t="n">
        <v>1</v>
      </c>
      <c r="K218" s="26" t="n">
        <f aca="false">IF(I218=0,0,IF(L218="Rs./km",MROUND(IF(H218="Petrol",'Fuel &amp; Inputs'!$C$5,'Fuel &amp; Inputs'!$C$4)/I218*J218,1),MROUND(I218*J218*IF(H218="Petrol",'Fuel &amp; Inputs'!$C$5,'Fuel &amp; Inputs'!$C$4),10)))</f>
        <v>5350</v>
      </c>
      <c r="L218" s="23" t="s">
        <v>149</v>
      </c>
      <c r="M218" s="27" t="n">
        <v>2090</v>
      </c>
      <c r="N218" s="26" t="n">
        <f aca="false">MROUND(M218+'Fuel &amp; Inputs'!$C$13,50)</f>
        <v>2900</v>
      </c>
      <c r="O218" s="27" t="n">
        <v>4670</v>
      </c>
      <c r="P218" s="26" t="n">
        <f aca="false">MROUND(M218*'Fuel &amp; Inputs'!$C$19*'Fuel &amp; Inputs'!$C$21,100)</f>
        <v>7900</v>
      </c>
      <c r="Q218" s="26" t="n">
        <f aca="false">MROUND(N218*'Fuel &amp; Inputs'!$C$19*'Fuel &amp; Inputs'!$C$21,100)</f>
        <v>11000</v>
      </c>
      <c r="R218" s="26" t="n">
        <f aca="false">MROUND(O218*'Fuel &amp; Inputs'!$C$19*'Fuel &amp; Inputs'!$C$21,100)</f>
        <v>17700</v>
      </c>
      <c r="S218" s="26" t="n">
        <f aca="false">MROUND(M218*'Fuel &amp; Inputs'!$C$20*'Fuel &amp; Inputs'!$C$22,500)</f>
        <v>213000</v>
      </c>
      <c r="T218" s="26" t="n">
        <f aca="false">MROUND(N218*'Fuel &amp; Inputs'!$C$20*'Fuel &amp; Inputs'!$C$22,500)</f>
        <v>296000</v>
      </c>
      <c r="U218" s="26" t="n">
        <f aca="false">MROUND(O218*'Fuel &amp; Inputs'!$C$20*'Fuel &amp; Inputs'!$C$22,500)</f>
        <v>476500</v>
      </c>
    </row>
    <row r="219" customFormat="false" ht="15" hidden="false" customHeight="false" outlineLevel="0" collapsed="false">
      <c r="A219" s="17" t="n">
        <v>205</v>
      </c>
      <c r="B219" s="32" t="s">
        <v>86</v>
      </c>
      <c r="C219" s="32" t="s">
        <v>324</v>
      </c>
      <c r="D219" s="32" t="s">
        <v>217</v>
      </c>
      <c r="E219" s="17" t="s">
        <v>217</v>
      </c>
      <c r="F219" s="17" t="s">
        <v>542</v>
      </c>
      <c r="G219" s="17" t="s">
        <v>217</v>
      </c>
      <c r="H219" s="17" t="s">
        <v>148</v>
      </c>
      <c r="I219" s="19" t="n">
        <v>14</v>
      </c>
      <c r="J219" s="33" t="n">
        <v>1</v>
      </c>
      <c r="K219" s="20" t="n">
        <f aca="false">IF(I219=0,0,IF(L219="Rs./km",MROUND(IF(H219="Petrol",'Fuel &amp; Inputs'!$C$5,'Fuel &amp; Inputs'!$C$4)/I219*J219,1),MROUND(I219*J219*IF(H219="Petrol",'Fuel &amp; Inputs'!$C$5,'Fuel &amp; Inputs'!$C$4),10)))</f>
        <v>5350</v>
      </c>
      <c r="L219" s="17" t="s">
        <v>149</v>
      </c>
      <c r="M219" s="21" t="n">
        <v>2090</v>
      </c>
      <c r="N219" s="20" t="n">
        <f aca="false">MROUND(M219+'Fuel &amp; Inputs'!$C$13,50)</f>
        <v>2900</v>
      </c>
      <c r="O219" s="21" t="n">
        <v>4670</v>
      </c>
      <c r="P219" s="20" t="n">
        <f aca="false">MROUND(M219*'Fuel &amp; Inputs'!$C$19*'Fuel &amp; Inputs'!$C$21,100)</f>
        <v>7900</v>
      </c>
      <c r="Q219" s="20" t="n">
        <f aca="false">MROUND(N219*'Fuel &amp; Inputs'!$C$19*'Fuel &amp; Inputs'!$C$21,100)</f>
        <v>11000</v>
      </c>
      <c r="R219" s="20" t="n">
        <f aca="false">MROUND(O219*'Fuel &amp; Inputs'!$C$19*'Fuel &amp; Inputs'!$C$21,100)</f>
        <v>17700</v>
      </c>
      <c r="S219" s="20" t="n">
        <f aca="false">MROUND(M219*'Fuel &amp; Inputs'!$C$20*'Fuel &amp; Inputs'!$C$22,500)</f>
        <v>213000</v>
      </c>
      <c r="T219" s="20" t="n">
        <f aca="false">MROUND(N219*'Fuel &amp; Inputs'!$C$20*'Fuel &amp; Inputs'!$C$22,500)</f>
        <v>296000</v>
      </c>
      <c r="U219" s="20" t="n">
        <f aca="false">MROUND(O219*'Fuel &amp; Inputs'!$C$20*'Fuel &amp; Inputs'!$C$22,500)</f>
        <v>476500</v>
      </c>
    </row>
    <row r="220" customFormat="false" ht="15" hidden="false" customHeight="true" outlineLevel="0" collapsed="false">
      <c r="A220" s="31" t="s">
        <v>543</v>
      </c>
      <c r="B220" s="31"/>
      <c r="C220" s="31"/>
      <c r="D220" s="31"/>
      <c r="E220" s="31"/>
      <c r="F220" s="31"/>
      <c r="G220" s="31"/>
      <c r="H220" s="31"/>
      <c r="I220" s="31"/>
      <c r="J220" s="31"/>
      <c r="K220" s="31"/>
      <c r="L220" s="31"/>
      <c r="M220" s="31"/>
      <c r="N220" s="31"/>
      <c r="O220" s="31"/>
      <c r="P220" s="31"/>
      <c r="Q220" s="31"/>
      <c r="R220" s="31"/>
      <c r="S220" s="31"/>
      <c r="T220" s="31"/>
      <c r="U220" s="31"/>
    </row>
    <row r="221" customFormat="false" ht="15" hidden="false" customHeight="false" outlineLevel="0" collapsed="false">
      <c r="A221" s="23" t="n">
        <v>206</v>
      </c>
      <c r="B221" s="34" t="s">
        <v>88</v>
      </c>
      <c r="C221" s="34" t="s">
        <v>544</v>
      </c>
      <c r="D221" s="34" t="s">
        <v>545</v>
      </c>
      <c r="E221" s="23" t="s">
        <v>174</v>
      </c>
      <c r="F221" s="23" t="s">
        <v>546</v>
      </c>
      <c r="G221" s="23" t="s">
        <v>547</v>
      </c>
      <c r="H221" s="23" t="s">
        <v>148</v>
      </c>
      <c r="I221" s="25" t="n">
        <v>9</v>
      </c>
      <c r="J221" s="35" t="n">
        <v>1.049</v>
      </c>
      <c r="K221" s="26" t="n">
        <f aca="false">IF(I221=0,0,IF(L221="Rs./km",MROUND(IF(H221="Petrol",'Fuel &amp; Inputs'!$C$5,'Fuel &amp; Inputs'!$C$4)/I221*J221,1),MROUND(I221*J221*IF(H221="Petrol",'Fuel &amp; Inputs'!$C$5,'Fuel &amp; Inputs'!$C$4),10)))</f>
        <v>3610</v>
      </c>
      <c r="L221" s="23" t="s">
        <v>149</v>
      </c>
      <c r="M221" s="27" t="n">
        <v>1610</v>
      </c>
      <c r="N221" s="26" t="n">
        <f aca="false">MROUND(M221+'Fuel &amp; Inputs'!$C$13,50)</f>
        <v>2400</v>
      </c>
      <c r="O221" s="27" t="n">
        <v>3220</v>
      </c>
      <c r="P221" s="26" t="n">
        <f aca="false">MROUND(M221*'Fuel &amp; Inputs'!$C$19*'Fuel &amp; Inputs'!$C$21,100)</f>
        <v>6100</v>
      </c>
      <c r="Q221" s="26" t="n">
        <f aca="false">MROUND(N221*'Fuel &amp; Inputs'!$C$19*'Fuel &amp; Inputs'!$C$21,100)</f>
        <v>9100</v>
      </c>
      <c r="R221" s="26" t="n">
        <f aca="false">MROUND(O221*'Fuel &amp; Inputs'!$C$19*'Fuel &amp; Inputs'!$C$21,100)</f>
        <v>12200</v>
      </c>
      <c r="S221" s="26" t="n">
        <f aca="false">MROUND(M221*'Fuel &amp; Inputs'!$C$20*'Fuel &amp; Inputs'!$C$22,500)</f>
        <v>164000</v>
      </c>
      <c r="T221" s="26" t="n">
        <f aca="false">MROUND(N221*'Fuel &amp; Inputs'!$C$20*'Fuel &amp; Inputs'!$C$22,500)</f>
        <v>245000</v>
      </c>
      <c r="U221" s="26" t="n">
        <f aca="false">MROUND(O221*'Fuel &amp; Inputs'!$C$20*'Fuel &amp; Inputs'!$C$22,500)</f>
        <v>328500</v>
      </c>
    </row>
    <row r="222" customFormat="false" ht="15" hidden="false" customHeight="false" outlineLevel="0" collapsed="false">
      <c r="A222" s="17" t="n">
        <v>207</v>
      </c>
      <c r="B222" s="32" t="s">
        <v>88</v>
      </c>
      <c r="C222" s="32" t="s">
        <v>243</v>
      </c>
      <c r="D222" s="32" t="s">
        <v>548</v>
      </c>
      <c r="E222" s="17" t="s">
        <v>228</v>
      </c>
      <c r="F222" s="17" t="s">
        <v>549</v>
      </c>
      <c r="G222" s="17" t="s">
        <v>550</v>
      </c>
      <c r="H222" s="17" t="s">
        <v>148</v>
      </c>
      <c r="I222" s="19" t="n">
        <v>9</v>
      </c>
      <c r="J222" s="33" t="n">
        <v>1.091</v>
      </c>
      <c r="K222" s="20" t="n">
        <f aca="false">IF(I222=0,0,IF(L222="Rs./km",MROUND(IF(H222="Petrol",'Fuel &amp; Inputs'!$C$5,'Fuel &amp; Inputs'!$C$4)/I222*J222,1),MROUND(I222*J222*IF(H222="Petrol",'Fuel &amp; Inputs'!$C$5,'Fuel &amp; Inputs'!$C$4),10)))</f>
        <v>3750</v>
      </c>
      <c r="L222" s="17" t="s">
        <v>149</v>
      </c>
      <c r="M222" s="21" t="n">
        <v>1440</v>
      </c>
      <c r="N222" s="20" t="n">
        <f aca="false">MROUND(M222+'Fuel &amp; Inputs'!$C$13,50)</f>
        <v>2250</v>
      </c>
      <c r="O222" s="21" t="n">
        <v>2870</v>
      </c>
      <c r="P222" s="20" t="n">
        <f aca="false">MROUND(M222*'Fuel &amp; Inputs'!$C$19*'Fuel &amp; Inputs'!$C$21,100)</f>
        <v>5500</v>
      </c>
      <c r="Q222" s="20" t="n">
        <f aca="false">MROUND(N222*'Fuel &amp; Inputs'!$C$19*'Fuel &amp; Inputs'!$C$21,100)</f>
        <v>8600</v>
      </c>
      <c r="R222" s="20" t="n">
        <f aca="false">MROUND(O222*'Fuel &amp; Inputs'!$C$19*'Fuel &amp; Inputs'!$C$21,100)</f>
        <v>10900</v>
      </c>
      <c r="S222" s="20" t="n">
        <f aca="false">MROUND(M222*'Fuel &amp; Inputs'!$C$20*'Fuel &amp; Inputs'!$C$22,500)</f>
        <v>147000</v>
      </c>
      <c r="T222" s="20" t="n">
        <f aca="false">MROUND(N222*'Fuel &amp; Inputs'!$C$20*'Fuel &amp; Inputs'!$C$22,500)</f>
        <v>229500</v>
      </c>
      <c r="U222" s="20" t="n">
        <f aca="false">MROUND(O222*'Fuel &amp; Inputs'!$C$20*'Fuel &amp; Inputs'!$C$22,500)</f>
        <v>292500</v>
      </c>
    </row>
    <row r="223" customFormat="false" ht="15" hidden="false" customHeight="false" outlineLevel="0" collapsed="false">
      <c r="A223" s="23" t="n">
        <v>208</v>
      </c>
      <c r="B223" s="34" t="s">
        <v>88</v>
      </c>
      <c r="C223" s="34" t="s">
        <v>551</v>
      </c>
      <c r="D223" s="34" t="s">
        <v>552</v>
      </c>
      <c r="E223" s="23" t="s">
        <v>160</v>
      </c>
      <c r="F223" s="23" t="s">
        <v>553</v>
      </c>
      <c r="G223" s="23" t="s">
        <v>554</v>
      </c>
      <c r="H223" s="23" t="s">
        <v>148</v>
      </c>
      <c r="I223" s="25" t="n">
        <v>9</v>
      </c>
      <c r="J223" s="35" t="n">
        <v>1.098</v>
      </c>
      <c r="K223" s="26" t="n">
        <f aca="false">IF(I223=0,0,IF(L223="Rs./km",MROUND(IF(H223="Petrol",'Fuel &amp; Inputs'!$C$5,'Fuel &amp; Inputs'!$C$4)/I223*J223,1),MROUND(I223*J223*IF(H223="Petrol",'Fuel &amp; Inputs'!$C$5,'Fuel &amp; Inputs'!$C$4),10)))</f>
        <v>3770</v>
      </c>
      <c r="L223" s="23" t="s">
        <v>149</v>
      </c>
      <c r="M223" s="27" t="n">
        <v>1440</v>
      </c>
      <c r="N223" s="26" t="n">
        <f aca="false">MROUND(M223+'Fuel &amp; Inputs'!$C$13,50)</f>
        <v>2250</v>
      </c>
      <c r="O223" s="27" t="n">
        <v>2870</v>
      </c>
      <c r="P223" s="26" t="n">
        <f aca="false">MROUND(M223*'Fuel &amp; Inputs'!$C$19*'Fuel &amp; Inputs'!$C$21,100)</f>
        <v>5500</v>
      </c>
      <c r="Q223" s="26" t="n">
        <f aca="false">MROUND(N223*'Fuel &amp; Inputs'!$C$19*'Fuel &amp; Inputs'!$C$21,100)</f>
        <v>8600</v>
      </c>
      <c r="R223" s="26" t="n">
        <f aca="false">MROUND(O223*'Fuel &amp; Inputs'!$C$19*'Fuel &amp; Inputs'!$C$21,100)</f>
        <v>10900</v>
      </c>
      <c r="S223" s="26" t="n">
        <f aca="false">MROUND(M223*'Fuel &amp; Inputs'!$C$20*'Fuel &amp; Inputs'!$C$22,500)</f>
        <v>147000</v>
      </c>
      <c r="T223" s="26" t="n">
        <f aca="false">MROUND(N223*'Fuel &amp; Inputs'!$C$20*'Fuel &amp; Inputs'!$C$22,500)</f>
        <v>229500</v>
      </c>
      <c r="U223" s="26" t="n">
        <f aca="false">MROUND(O223*'Fuel &amp; Inputs'!$C$20*'Fuel &amp; Inputs'!$C$22,500)</f>
        <v>292500</v>
      </c>
    </row>
    <row r="224" customFormat="false" ht="23.85" hidden="false" customHeight="false" outlineLevel="0" collapsed="false">
      <c r="A224" s="17" t="n">
        <v>209</v>
      </c>
      <c r="B224" s="32" t="s">
        <v>88</v>
      </c>
      <c r="C224" s="32" t="s">
        <v>265</v>
      </c>
      <c r="D224" s="32" t="s">
        <v>555</v>
      </c>
      <c r="E224" s="17" t="s">
        <v>556</v>
      </c>
      <c r="F224" s="17" t="s">
        <v>557</v>
      </c>
      <c r="G224" s="17" t="s">
        <v>558</v>
      </c>
      <c r="H224" s="17" t="s">
        <v>148</v>
      </c>
      <c r="I224" s="19" t="n">
        <v>9</v>
      </c>
      <c r="J224" s="33" t="n">
        <v>1.175</v>
      </c>
      <c r="K224" s="20" t="n">
        <f aca="false">IF(I224=0,0,IF(L224="Rs./km",MROUND(IF(H224="Petrol",'Fuel &amp; Inputs'!$C$5,'Fuel &amp; Inputs'!$C$4)/I224*J224,1),MROUND(I224*J224*IF(H224="Petrol",'Fuel &amp; Inputs'!$C$5,'Fuel &amp; Inputs'!$C$4),10)))</f>
        <v>4040</v>
      </c>
      <c r="L224" s="17" t="s">
        <v>149</v>
      </c>
      <c r="M224" s="21" t="n">
        <v>1010</v>
      </c>
      <c r="N224" s="20" t="n">
        <f aca="false">MROUND(M224+'Fuel &amp; Inputs'!$C$13,50)</f>
        <v>1800</v>
      </c>
      <c r="O224" s="21" t="n">
        <v>2030</v>
      </c>
      <c r="P224" s="20" t="n">
        <f aca="false">MROUND(M224*'Fuel &amp; Inputs'!$C$19*'Fuel &amp; Inputs'!$C$21,100)</f>
        <v>3800</v>
      </c>
      <c r="Q224" s="20" t="n">
        <f aca="false">MROUND(N224*'Fuel &amp; Inputs'!$C$19*'Fuel &amp; Inputs'!$C$21,100)</f>
        <v>6800</v>
      </c>
      <c r="R224" s="20" t="n">
        <f aca="false">MROUND(O224*'Fuel &amp; Inputs'!$C$19*'Fuel &amp; Inputs'!$C$21,100)</f>
        <v>7700</v>
      </c>
      <c r="S224" s="20" t="n">
        <f aca="false">MROUND(M224*'Fuel &amp; Inputs'!$C$20*'Fuel &amp; Inputs'!$C$22,500)</f>
        <v>103000</v>
      </c>
      <c r="T224" s="20" t="n">
        <f aca="false">MROUND(N224*'Fuel &amp; Inputs'!$C$20*'Fuel &amp; Inputs'!$C$22,500)</f>
        <v>183500</v>
      </c>
      <c r="U224" s="20" t="n">
        <f aca="false">MROUND(O224*'Fuel &amp; Inputs'!$C$20*'Fuel &amp; Inputs'!$C$22,500)</f>
        <v>207000</v>
      </c>
    </row>
    <row r="225" customFormat="false" ht="15" hidden="false" customHeight="true" outlineLevel="0" collapsed="false">
      <c r="A225" s="31" t="s">
        <v>559</v>
      </c>
      <c r="B225" s="31"/>
      <c r="C225" s="31"/>
      <c r="D225" s="31"/>
      <c r="E225" s="31"/>
      <c r="F225" s="31"/>
      <c r="G225" s="31"/>
      <c r="H225" s="31"/>
      <c r="I225" s="31"/>
      <c r="J225" s="31"/>
      <c r="K225" s="31"/>
      <c r="L225" s="31"/>
      <c r="M225" s="31"/>
      <c r="N225" s="31"/>
      <c r="O225" s="31"/>
      <c r="P225" s="31"/>
      <c r="Q225" s="31"/>
      <c r="R225" s="31"/>
      <c r="S225" s="31"/>
      <c r="T225" s="31"/>
      <c r="U225" s="31"/>
    </row>
    <row r="226" customFormat="false" ht="15" hidden="false" customHeight="false" outlineLevel="0" collapsed="false">
      <c r="A226" s="23" t="n">
        <v>210</v>
      </c>
      <c r="B226" s="34" t="s">
        <v>90</v>
      </c>
      <c r="C226" s="34" t="s">
        <v>560</v>
      </c>
      <c r="D226" s="34" t="s">
        <v>561</v>
      </c>
      <c r="E226" s="23" t="s">
        <v>562</v>
      </c>
      <c r="F226" s="23" t="s">
        <v>563</v>
      </c>
      <c r="G226" s="23" t="s">
        <v>564</v>
      </c>
      <c r="H226" s="23" t="s">
        <v>148</v>
      </c>
      <c r="I226" s="25" t="n">
        <v>15</v>
      </c>
      <c r="J226" s="35" t="n">
        <v>1.175</v>
      </c>
      <c r="K226" s="26" t="n">
        <f aca="false">IF(I226=0,0,IF(L226="Rs./km",MROUND(IF(H226="Petrol",'Fuel &amp; Inputs'!$C$5,'Fuel &amp; Inputs'!$C$4)/I226*J226,1),MROUND(I226*J226*IF(H226="Petrol",'Fuel &amp; Inputs'!$C$5,'Fuel &amp; Inputs'!$C$4),10)))</f>
        <v>6730</v>
      </c>
      <c r="L226" s="23" t="s">
        <v>149</v>
      </c>
      <c r="M226" s="27" t="n">
        <v>2550</v>
      </c>
      <c r="N226" s="26" t="n">
        <f aca="false">MROUND(M226+'Fuel &amp; Inputs'!$C$13,50)</f>
        <v>3350</v>
      </c>
      <c r="O226" s="27" t="n">
        <v>5100</v>
      </c>
      <c r="P226" s="26" t="n">
        <f aca="false">MROUND(M226*'Fuel &amp; Inputs'!$C$19*'Fuel &amp; Inputs'!$C$21,100)</f>
        <v>9700</v>
      </c>
      <c r="Q226" s="26" t="n">
        <f aca="false">MROUND(N226*'Fuel &amp; Inputs'!$C$19*'Fuel &amp; Inputs'!$C$21,100)</f>
        <v>12700</v>
      </c>
      <c r="R226" s="26" t="n">
        <f aca="false">MROUND(O226*'Fuel &amp; Inputs'!$C$19*'Fuel &amp; Inputs'!$C$21,100)</f>
        <v>19400</v>
      </c>
      <c r="S226" s="26" t="n">
        <f aca="false">MROUND(M226*'Fuel &amp; Inputs'!$C$20*'Fuel &amp; Inputs'!$C$22,500)</f>
        <v>260000</v>
      </c>
      <c r="T226" s="26" t="n">
        <f aca="false">MROUND(N226*'Fuel &amp; Inputs'!$C$20*'Fuel &amp; Inputs'!$C$22,500)</f>
        <v>341500</v>
      </c>
      <c r="U226" s="26" t="n">
        <f aca="false">MROUND(O226*'Fuel &amp; Inputs'!$C$20*'Fuel &amp; Inputs'!$C$22,500)</f>
        <v>520000</v>
      </c>
    </row>
    <row r="227" customFormat="false" ht="15" hidden="false" customHeight="false" outlineLevel="0" collapsed="false">
      <c r="A227" s="17" t="n">
        <v>211</v>
      </c>
      <c r="B227" s="32" t="s">
        <v>90</v>
      </c>
      <c r="C227" s="32" t="s">
        <v>565</v>
      </c>
      <c r="D227" s="32" t="s">
        <v>566</v>
      </c>
      <c r="E227" s="17" t="s">
        <v>567</v>
      </c>
      <c r="F227" s="17" t="s">
        <v>568</v>
      </c>
      <c r="G227" s="17" t="s">
        <v>569</v>
      </c>
      <c r="H227" s="17" t="s">
        <v>148</v>
      </c>
      <c r="I227" s="19" t="n">
        <v>12</v>
      </c>
      <c r="J227" s="33" t="n">
        <v>1.175</v>
      </c>
      <c r="K227" s="20" t="n">
        <f aca="false">IF(I227=0,0,IF(L227="Rs./km",MROUND(IF(H227="Petrol",'Fuel &amp; Inputs'!$C$5,'Fuel &amp; Inputs'!$C$4)/I227*J227,1),MROUND(I227*J227*IF(H227="Petrol",'Fuel &amp; Inputs'!$C$5,'Fuel &amp; Inputs'!$C$4),10)))</f>
        <v>5390</v>
      </c>
      <c r="L227" s="17" t="s">
        <v>149</v>
      </c>
      <c r="M227" s="21" t="n">
        <v>2550</v>
      </c>
      <c r="N227" s="20" t="n">
        <f aca="false">MROUND(M227+'Fuel &amp; Inputs'!$C$13,50)</f>
        <v>3350</v>
      </c>
      <c r="O227" s="21" t="n">
        <v>5100</v>
      </c>
      <c r="P227" s="20" t="n">
        <f aca="false">MROUND(M227*'Fuel &amp; Inputs'!$C$19*'Fuel &amp; Inputs'!$C$21,100)</f>
        <v>9700</v>
      </c>
      <c r="Q227" s="20" t="n">
        <f aca="false">MROUND(N227*'Fuel &amp; Inputs'!$C$19*'Fuel &amp; Inputs'!$C$21,100)</f>
        <v>12700</v>
      </c>
      <c r="R227" s="20" t="n">
        <f aca="false">MROUND(O227*'Fuel &amp; Inputs'!$C$19*'Fuel &amp; Inputs'!$C$21,100)</f>
        <v>19400</v>
      </c>
      <c r="S227" s="20" t="n">
        <f aca="false">MROUND(M227*'Fuel &amp; Inputs'!$C$20*'Fuel &amp; Inputs'!$C$22,500)</f>
        <v>260000</v>
      </c>
      <c r="T227" s="20" t="n">
        <f aca="false">MROUND(N227*'Fuel &amp; Inputs'!$C$20*'Fuel &amp; Inputs'!$C$22,500)</f>
        <v>341500</v>
      </c>
      <c r="U227" s="20" t="n">
        <f aca="false">MROUND(O227*'Fuel &amp; Inputs'!$C$20*'Fuel &amp; Inputs'!$C$22,500)</f>
        <v>520000</v>
      </c>
    </row>
    <row r="228" customFormat="false" ht="15" hidden="false" customHeight="true" outlineLevel="0" collapsed="false">
      <c r="A228" s="31" t="s">
        <v>570</v>
      </c>
      <c r="B228" s="31"/>
      <c r="C228" s="31"/>
      <c r="D228" s="31"/>
      <c r="E228" s="31"/>
      <c r="F228" s="31"/>
      <c r="G228" s="31"/>
      <c r="H228" s="31"/>
      <c r="I228" s="31"/>
      <c r="J228" s="31"/>
      <c r="K228" s="31"/>
      <c r="L228" s="31"/>
      <c r="M228" s="31"/>
      <c r="N228" s="31"/>
      <c r="O228" s="31"/>
      <c r="P228" s="31"/>
      <c r="Q228" s="31"/>
      <c r="R228" s="31"/>
      <c r="S228" s="31"/>
      <c r="T228" s="31"/>
      <c r="U228" s="31"/>
    </row>
    <row r="229" customFormat="false" ht="15" hidden="false" customHeight="false" outlineLevel="0" collapsed="false">
      <c r="A229" s="23" t="n">
        <v>212</v>
      </c>
      <c r="B229" s="34" t="s">
        <v>92</v>
      </c>
      <c r="C229" s="34" t="s">
        <v>243</v>
      </c>
      <c r="D229" s="34" t="s">
        <v>571</v>
      </c>
      <c r="E229" s="23" t="s">
        <v>198</v>
      </c>
      <c r="F229" s="23" t="s">
        <v>572</v>
      </c>
      <c r="G229" s="23" t="s">
        <v>573</v>
      </c>
      <c r="H229" s="23" t="s">
        <v>148</v>
      </c>
      <c r="I229" s="25" t="n">
        <v>9</v>
      </c>
      <c r="J229" s="35" t="n">
        <v>1.14</v>
      </c>
      <c r="K229" s="26" t="n">
        <f aca="false">IF(I229=0,0,IF(L229="Rs./km",MROUND(IF(H229="Petrol",'Fuel &amp; Inputs'!$C$5,'Fuel &amp; Inputs'!$C$4)/I229*J229,1),MROUND(I229*J229*IF(H229="Petrol",'Fuel &amp; Inputs'!$C$5,'Fuel &amp; Inputs'!$C$4),10)))</f>
        <v>3920</v>
      </c>
      <c r="L229" s="23" t="s">
        <v>149</v>
      </c>
      <c r="M229" s="27" t="n">
        <v>1800</v>
      </c>
      <c r="N229" s="26" t="n">
        <f aca="false">MROUND(M229+'Fuel &amp; Inputs'!$C$13,50)</f>
        <v>2600</v>
      </c>
      <c r="O229" s="27" t="n">
        <v>3600</v>
      </c>
      <c r="P229" s="26" t="n">
        <f aca="false">MROUND(M229*'Fuel &amp; Inputs'!$C$19*'Fuel &amp; Inputs'!$C$21,100)</f>
        <v>6800</v>
      </c>
      <c r="Q229" s="26" t="n">
        <f aca="false">MROUND(N229*'Fuel &amp; Inputs'!$C$19*'Fuel &amp; Inputs'!$C$21,100)</f>
        <v>9900</v>
      </c>
      <c r="R229" s="26" t="n">
        <f aca="false">MROUND(O229*'Fuel &amp; Inputs'!$C$19*'Fuel &amp; Inputs'!$C$21,100)</f>
        <v>13700</v>
      </c>
      <c r="S229" s="26" t="n">
        <f aca="false">MROUND(M229*'Fuel &amp; Inputs'!$C$20*'Fuel &amp; Inputs'!$C$22,500)</f>
        <v>183500</v>
      </c>
      <c r="T229" s="26" t="n">
        <f aca="false">MROUND(N229*'Fuel &amp; Inputs'!$C$20*'Fuel &amp; Inputs'!$C$22,500)</f>
        <v>265000</v>
      </c>
      <c r="U229" s="26" t="n">
        <f aca="false">MROUND(O229*'Fuel &amp; Inputs'!$C$20*'Fuel &amp; Inputs'!$C$22,500)</f>
        <v>367000</v>
      </c>
    </row>
    <row r="230" customFormat="false" ht="15" hidden="false" customHeight="false" outlineLevel="0" collapsed="false">
      <c r="A230" s="17" t="n">
        <v>213</v>
      </c>
      <c r="B230" s="32" t="s">
        <v>92</v>
      </c>
      <c r="C230" s="32" t="s">
        <v>274</v>
      </c>
      <c r="D230" s="32" t="s">
        <v>574</v>
      </c>
      <c r="E230" s="17" t="s">
        <v>575</v>
      </c>
      <c r="F230" s="17" t="s">
        <v>576</v>
      </c>
      <c r="G230" s="17" t="s">
        <v>577</v>
      </c>
      <c r="H230" s="17" t="s">
        <v>148</v>
      </c>
      <c r="I230" s="19" t="n">
        <v>10</v>
      </c>
      <c r="J230" s="33" t="n">
        <v>1.147</v>
      </c>
      <c r="K230" s="20" t="n">
        <f aca="false">IF(I230=0,0,IF(L230="Rs./km",MROUND(IF(H230="Petrol",'Fuel &amp; Inputs'!$C$5,'Fuel &amp; Inputs'!$C$4)/I230*J230,1),MROUND(I230*J230*IF(H230="Petrol",'Fuel &amp; Inputs'!$C$5,'Fuel &amp; Inputs'!$C$4),10)))</f>
        <v>4380</v>
      </c>
      <c r="L230" s="17" t="s">
        <v>149</v>
      </c>
      <c r="M230" s="21" t="n">
        <v>1800</v>
      </c>
      <c r="N230" s="20" t="n">
        <f aca="false">MROUND(M230+'Fuel &amp; Inputs'!$C$13,50)</f>
        <v>2600</v>
      </c>
      <c r="O230" s="21" t="n">
        <v>3600</v>
      </c>
      <c r="P230" s="20" t="n">
        <f aca="false">MROUND(M230*'Fuel &amp; Inputs'!$C$19*'Fuel &amp; Inputs'!$C$21,100)</f>
        <v>6800</v>
      </c>
      <c r="Q230" s="20" t="n">
        <f aca="false">MROUND(N230*'Fuel &amp; Inputs'!$C$19*'Fuel &amp; Inputs'!$C$21,100)</f>
        <v>9900</v>
      </c>
      <c r="R230" s="20" t="n">
        <f aca="false">MROUND(O230*'Fuel &amp; Inputs'!$C$19*'Fuel &amp; Inputs'!$C$21,100)</f>
        <v>13700</v>
      </c>
      <c r="S230" s="20" t="n">
        <f aca="false">MROUND(M230*'Fuel &amp; Inputs'!$C$20*'Fuel &amp; Inputs'!$C$22,500)</f>
        <v>183500</v>
      </c>
      <c r="T230" s="20" t="n">
        <f aca="false">MROUND(N230*'Fuel &amp; Inputs'!$C$20*'Fuel &amp; Inputs'!$C$22,500)</f>
        <v>265000</v>
      </c>
      <c r="U230" s="20" t="n">
        <f aca="false">MROUND(O230*'Fuel &amp; Inputs'!$C$20*'Fuel &amp; Inputs'!$C$22,500)</f>
        <v>367000</v>
      </c>
    </row>
    <row r="231" customFormat="false" ht="23.85" hidden="false" customHeight="false" outlineLevel="0" collapsed="false">
      <c r="A231" s="23" t="n">
        <v>214</v>
      </c>
      <c r="B231" s="34" t="s">
        <v>92</v>
      </c>
      <c r="C231" s="34" t="s">
        <v>274</v>
      </c>
      <c r="D231" s="34" t="s">
        <v>578</v>
      </c>
      <c r="E231" s="23" t="s">
        <v>271</v>
      </c>
      <c r="F231" s="23" t="s">
        <v>579</v>
      </c>
      <c r="G231" s="23" t="s">
        <v>580</v>
      </c>
      <c r="H231" s="23" t="s">
        <v>148</v>
      </c>
      <c r="I231" s="25" t="n">
        <v>8</v>
      </c>
      <c r="J231" s="35" t="n">
        <v>1.161</v>
      </c>
      <c r="K231" s="26" t="n">
        <f aca="false">IF(I231=0,0,IF(L231="Rs./km",MROUND(IF(H231="Petrol",'Fuel &amp; Inputs'!$C$5,'Fuel &amp; Inputs'!$C$4)/I231*J231,1),MROUND(I231*J231*IF(H231="Petrol",'Fuel &amp; Inputs'!$C$5,'Fuel &amp; Inputs'!$C$4),10)))</f>
        <v>3550</v>
      </c>
      <c r="L231" s="23" t="s">
        <v>149</v>
      </c>
      <c r="M231" s="27" t="n">
        <v>1630</v>
      </c>
      <c r="N231" s="26" t="n">
        <f aca="false">MROUND(M231+'Fuel &amp; Inputs'!$C$13,50)</f>
        <v>2450</v>
      </c>
      <c r="O231" s="27" t="n">
        <v>3250</v>
      </c>
      <c r="P231" s="26" t="n">
        <f aca="false">MROUND(M231*'Fuel &amp; Inputs'!$C$19*'Fuel &amp; Inputs'!$C$21,100)</f>
        <v>6200</v>
      </c>
      <c r="Q231" s="26" t="n">
        <f aca="false">MROUND(N231*'Fuel &amp; Inputs'!$C$19*'Fuel &amp; Inputs'!$C$21,100)</f>
        <v>9300</v>
      </c>
      <c r="R231" s="26" t="n">
        <f aca="false">MROUND(O231*'Fuel &amp; Inputs'!$C$19*'Fuel &amp; Inputs'!$C$21,100)</f>
        <v>12400</v>
      </c>
      <c r="S231" s="26" t="n">
        <f aca="false">MROUND(M231*'Fuel &amp; Inputs'!$C$20*'Fuel &amp; Inputs'!$C$22,500)</f>
        <v>166500</v>
      </c>
      <c r="T231" s="26" t="n">
        <f aca="false">MROUND(N231*'Fuel &amp; Inputs'!$C$20*'Fuel &amp; Inputs'!$C$22,500)</f>
        <v>250000</v>
      </c>
      <c r="U231" s="26" t="n">
        <f aca="false">MROUND(O231*'Fuel &amp; Inputs'!$C$20*'Fuel &amp; Inputs'!$C$22,500)</f>
        <v>331500</v>
      </c>
    </row>
    <row r="232" customFormat="false" ht="23.85" hidden="false" customHeight="false" outlineLevel="0" collapsed="false">
      <c r="A232" s="17" t="n">
        <v>215</v>
      </c>
      <c r="B232" s="32" t="s">
        <v>92</v>
      </c>
      <c r="C232" s="32" t="s">
        <v>581</v>
      </c>
      <c r="D232" s="32" t="s">
        <v>217</v>
      </c>
      <c r="E232" s="17" t="s">
        <v>280</v>
      </c>
      <c r="F232" s="17" t="s">
        <v>582</v>
      </c>
      <c r="G232" s="17" t="s">
        <v>583</v>
      </c>
      <c r="H232" s="17" t="s">
        <v>148</v>
      </c>
      <c r="I232" s="19" t="n">
        <v>8</v>
      </c>
      <c r="J232" s="33" t="n">
        <v>1.175</v>
      </c>
      <c r="K232" s="20" t="n">
        <f aca="false">IF(I232=0,0,IF(L232="Rs./km",MROUND(IF(H232="Petrol",'Fuel &amp; Inputs'!$C$5,'Fuel &amp; Inputs'!$C$4)/I232*J232,1),MROUND(I232*J232*IF(H232="Petrol",'Fuel &amp; Inputs'!$C$5,'Fuel &amp; Inputs'!$C$4),10)))</f>
        <v>3590</v>
      </c>
      <c r="L232" s="17" t="s">
        <v>149</v>
      </c>
      <c r="M232" s="21" t="n">
        <v>1450</v>
      </c>
      <c r="N232" s="20" t="n">
        <f aca="false">MROUND(M232+'Fuel &amp; Inputs'!$C$13,50)</f>
        <v>2250</v>
      </c>
      <c r="O232" s="21" t="n">
        <v>2900</v>
      </c>
      <c r="P232" s="20" t="n">
        <f aca="false">MROUND(M232*'Fuel &amp; Inputs'!$C$19*'Fuel &amp; Inputs'!$C$21,100)</f>
        <v>5500</v>
      </c>
      <c r="Q232" s="20" t="n">
        <f aca="false">MROUND(N232*'Fuel &amp; Inputs'!$C$19*'Fuel &amp; Inputs'!$C$21,100)</f>
        <v>8600</v>
      </c>
      <c r="R232" s="20" t="n">
        <f aca="false">MROUND(O232*'Fuel &amp; Inputs'!$C$19*'Fuel &amp; Inputs'!$C$21,100)</f>
        <v>11000</v>
      </c>
      <c r="S232" s="20" t="n">
        <f aca="false">MROUND(M232*'Fuel &amp; Inputs'!$C$20*'Fuel &amp; Inputs'!$C$22,500)</f>
        <v>148000</v>
      </c>
      <c r="T232" s="20" t="n">
        <f aca="false">MROUND(N232*'Fuel &amp; Inputs'!$C$20*'Fuel &amp; Inputs'!$C$22,500)</f>
        <v>229500</v>
      </c>
      <c r="U232" s="20" t="n">
        <f aca="false">MROUND(O232*'Fuel &amp; Inputs'!$C$20*'Fuel &amp; Inputs'!$C$22,500)</f>
        <v>296000</v>
      </c>
    </row>
    <row r="233" customFormat="false" ht="15" hidden="false" customHeight="true" outlineLevel="0" collapsed="false">
      <c r="A233" s="31" t="s">
        <v>584</v>
      </c>
      <c r="B233" s="31"/>
      <c r="C233" s="31"/>
      <c r="D233" s="31"/>
      <c r="E233" s="31"/>
      <c r="F233" s="31"/>
      <c r="G233" s="31"/>
      <c r="H233" s="31"/>
      <c r="I233" s="31"/>
      <c r="J233" s="31"/>
      <c r="K233" s="31"/>
      <c r="L233" s="31"/>
      <c r="M233" s="31"/>
      <c r="N233" s="31"/>
      <c r="O233" s="31"/>
      <c r="P233" s="31"/>
      <c r="Q233" s="31"/>
      <c r="R233" s="31"/>
      <c r="S233" s="31"/>
      <c r="T233" s="31"/>
      <c r="U233" s="31"/>
    </row>
    <row r="234" customFormat="false" ht="23.85" hidden="false" customHeight="false" outlineLevel="0" collapsed="false">
      <c r="A234" s="23" t="n">
        <v>216</v>
      </c>
      <c r="B234" s="34" t="s">
        <v>585</v>
      </c>
      <c r="C234" s="34" t="s">
        <v>586</v>
      </c>
      <c r="D234" s="34" t="s">
        <v>587</v>
      </c>
      <c r="E234" s="23" t="s">
        <v>168</v>
      </c>
      <c r="F234" s="23" t="s">
        <v>588</v>
      </c>
      <c r="G234" s="23" t="s">
        <v>589</v>
      </c>
      <c r="H234" s="23" t="s">
        <v>148</v>
      </c>
      <c r="I234" s="25" t="n">
        <v>2.5</v>
      </c>
      <c r="J234" s="35" t="n">
        <v>1.07</v>
      </c>
      <c r="K234" s="26" t="n">
        <f aca="false">IF(I234=0,0,IF(L234="Rs./km",MROUND(IF(H234="Petrol",'Fuel &amp; Inputs'!$C$5,'Fuel &amp; Inputs'!$C$4)/I234*J234,1),MROUND(I234*J234*IF(H234="Petrol",'Fuel &amp; Inputs'!$C$5,'Fuel &amp; Inputs'!$C$4),10)))</f>
        <v>163</v>
      </c>
      <c r="L234" s="23" t="s">
        <v>590</v>
      </c>
      <c r="M234" s="27" t="n">
        <v>2250</v>
      </c>
      <c r="N234" s="26" t="n">
        <f aca="false">MROUND(M234+'Fuel &amp; Inputs'!$C$13,50)</f>
        <v>3050</v>
      </c>
      <c r="O234" s="27" t="n">
        <v>4460</v>
      </c>
      <c r="P234" s="26" t="n">
        <f aca="false">MROUND(M234*'Fuel &amp; Inputs'!$C$19*'Fuel &amp; Inputs'!$C$21,100)</f>
        <v>8600</v>
      </c>
      <c r="Q234" s="26" t="n">
        <f aca="false">MROUND(N234*'Fuel &amp; Inputs'!$C$19*'Fuel &amp; Inputs'!$C$21,100)</f>
        <v>11600</v>
      </c>
      <c r="R234" s="26" t="n">
        <f aca="false">MROUND(O234*'Fuel &amp; Inputs'!$C$19*'Fuel &amp; Inputs'!$C$21,100)</f>
        <v>16900</v>
      </c>
      <c r="S234" s="26" t="n">
        <f aca="false">MROUND(M234*'Fuel &amp; Inputs'!$C$20*'Fuel &amp; Inputs'!$C$22,500)</f>
        <v>229500</v>
      </c>
      <c r="T234" s="26" t="n">
        <f aca="false">MROUND(N234*'Fuel &amp; Inputs'!$C$20*'Fuel &amp; Inputs'!$C$22,500)</f>
        <v>311000</v>
      </c>
      <c r="U234" s="26" t="n">
        <f aca="false">MROUND(O234*'Fuel &amp; Inputs'!$C$20*'Fuel &amp; Inputs'!$C$22,500)</f>
        <v>455000</v>
      </c>
    </row>
    <row r="235" customFormat="false" ht="15" hidden="false" customHeight="false" outlineLevel="0" collapsed="false">
      <c r="A235" s="17" t="n">
        <v>217</v>
      </c>
      <c r="B235" s="32" t="s">
        <v>585</v>
      </c>
      <c r="C235" s="32" t="s">
        <v>591</v>
      </c>
      <c r="D235" s="32" t="s">
        <v>592</v>
      </c>
      <c r="E235" s="17" t="s">
        <v>160</v>
      </c>
      <c r="F235" s="17" t="s">
        <v>593</v>
      </c>
      <c r="G235" s="17" t="s">
        <v>594</v>
      </c>
      <c r="H235" s="17" t="s">
        <v>148</v>
      </c>
      <c r="I235" s="19" t="n">
        <v>2.6</v>
      </c>
      <c r="J235" s="33" t="n">
        <v>1.098</v>
      </c>
      <c r="K235" s="20" t="n">
        <f aca="false">IF(I235=0,0,IF(L235="Rs./km",MROUND(IF(H235="Petrol",'Fuel &amp; Inputs'!$C$5,'Fuel &amp; Inputs'!$C$4)/I235*J235,1),MROUND(I235*J235*IF(H235="Petrol",'Fuel &amp; Inputs'!$C$5,'Fuel &amp; Inputs'!$C$4),10)))</f>
        <v>161</v>
      </c>
      <c r="L235" s="17" t="s">
        <v>590</v>
      </c>
      <c r="M235" s="21" t="n">
        <v>2010</v>
      </c>
      <c r="N235" s="20" t="n">
        <f aca="false">MROUND(M235+'Fuel &amp; Inputs'!$C$13,50)</f>
        <v>2800</v>
      </c>
      <c r="O235" s="21" t="n">
        <v>3980</v>
      </c>
      <c r="P235" s="20" t="n">
        <f aca="false">MROUND(M235*'Fuel &amp; Inputs'!$C$19*'Fuel &amp; Inputs'!$C$21,100)</f>
        <v>7600</v>
      </c>
      <c r="Q235" s="20" t="n">
        <f aca="false">MROUND(N235*'Fuel &amp; Inputs'!$C$19*'Fuel &amp; Inputs'!$C$21,100)</f>
        <v>10600</v>
      </c>
      <c r="R235" s="20" t="n">
        <f aca="false">MROUND(O235*'Fuel &amp; Inputs'!$C$19*'Fuel &amp; Inputs'!$C$21,100)</f>
        <v>15100</v>
      </c>
      <c r="S235" s="20" t="n">
        <f aca="false">MROUND(M235*'Fuel &amp; Inputs'!$C$20*'Fuel &amp; Inputs'!$C$22,500)</f>
        <v>205000</v>
      </c>
      <c r="T235" s="20" t="n">
        <f aca="false">MROUND(N235*'Fuel &amp; Inputs'!$C$20*'Fuel &amp; Inputs'!$C$22,500)</f>
        <v>285500</v>
      </c>
      <c r="U235" s="20" t="n">
        <f aca="false">MROUND(O235*'Fuel &amp; Inputs'!$C$20*'Fuel &amp; Inputs'!$C$22,500)</f>
        <v>406000</v>
      </c>
    </row>
    <row r="236" customFormat="false" ht="15" hidden="false" customHeight="false" outlineLevel="0" collapsed="false">
      <c r="A236" s="23" t="n">
        <v>218</v>
      </c>
      <c r="B236" s="34" t="s">
        <v>585</v>
      </c>
      <c r="C236" s="34" t="s">
        <v>243</v>
      </c>
      <c r="D236" s="34" t="s">
        <v>595</v>
      </c>
      <c r="E236" s="23" t="s">
        <v>596</v>
      </c>
      <c r="F236" s="23" t="s">
        <v>597</v>
      </c>
      <c r="G236" s="23" t="s">
        <v>598</v>
      </c>
      <c r="H236" s="23" t="s">
        <v>148</v>
      </c>
      <c r="I236" s="25" t="n">
        <v>2.2</v>
      </c>
      <c r="J236" s="35" t="n">
        <v>1.105</v>
      </c>
      <c r="K236" s="26" t="n">
        <f aca="false">IF(I236=0,0,IF(L236="Rs./km",MROUND(IF(H236="Petrol",'Fuel &amp; Inputs'!$C$5,'Fuel &amp; Inputs'!$C$4)/I236*J236,1),MROUND(I236*J236*IF(H236="Petrol",'Fuel &amp; Inputs'!$C$5,'Fuel &amp; Inputs'!$C$4),10)))</f>
        <v>192</v>
      </c>
      <c r="L236" s="23" t="s">
        <v>590</v>
      </c>
      <c r="M236" s="27" t="n">
        <v>2010</v>
      </c>
      <c r="N236" s="26" t="n">
        <f aca="false">MROUND(M236+'Fuel &amp; Inputs'!$C$13,50)</f>
        <v>2800</v>
      </c>
      <c r="O236" s="27" t="n">
        <v>3980</v>
      </c>
      <c r="P236" s="26" t="n">
        <f aca="false">MROUND(M236*'Fuel &amp; Inputs'!$C$19*'Fuel &amp; Inputs'!$C$21,100)</f>
        <v>7600</v>
      </c>
      <c r="Q236" s="26" t="n">
        <f aca="false">MROUND(N236*'Fuel &amp; Inputs'!$C$19*'Fuel &amp; Inputs'!$C$21,100)</f>
        <v>10600</v>
      </c>
      <c r="R236" s="26" t="n">
        <f aca="false">MROUND(O236*'Fuel &amp; Inputs'!$C$19*'Fuel &amp; Inputs'!$C$21,100)</f>
        <v>15100</v>
      </c>
      <c r="S236" s="26" t="n">
        <f aca="false">MROUND(M236*'Fuel &amp; Inputs'!$C$20*'Fuel &amp; Inputs'!$C$22,500)</f>
        <v>205000</v>
      </c>
      <c r="T236" s="26" t="n">
        <f aca="false">MROUND(N236*'Fuel &amp; Inputs'!$C$20*'Fuel &amp; Inputs'!$C$22,500)</f>
        <v>285500</v>
      </c>
      <c r="U236" s="26" t="n">
        <f aca="false">MROUND(O236*'Fuel &amp; Inputs'!$C$20*'Fuel &amp; Inputs'!$C$22,500)</f>
        <v>406000</v>
      </c>
    </row>
    <row r="237" customFormat="false" ht="15" hidden="false" customHeight="false" outlineLevel="0" collapsed="false">
      <c r="A237" s="17" t="n">
        <v>219</v>
      </c>
      <c r="B237" s="32" t="s">
        <v>585</v>
      </c>
      <c r="C237" s="32" t="s">
        <v>243</v>
      </c>
      <c r="D237" s="32" t="s">
        <v>599</v>
      </c>
      <c r="E237" s="17" t="s">
        <v>237</v>
      </c>
      <c r="F237" s="17" t="s">
        <v>600</v>
      </c>
      <c r="G237" s="17" t="s">
        <v>601</v>
      </c>
      <c r="H237" s="17" t="s">
        <v>148</v>
      </c>
      <c r="I237" s="19" t="n">
        <v>2.5</v>
      </c>
      <c r="J237" s="33" t="n">
        <v>1.112</v>
      </c>
      <c r="K237" s="20" t="n">
        <f aca="false">IF(I237=0,0,IF(L237="Rs./km",MROUND(IF(H237="Petrol",'Fuel &amp; Inputs'!$C$5,'Fuel &amp; Inputs'!$C$4)/I237*J237,1),MROUND(I237*J237*IF(H237="Petrol",'Fuel &amp; Inputs'!$C$5,'Fuel &amp; Inputs'!$C$4),10)))</f>
        <v>170</v>
      </c>
      <c r="L237" s="17" t="s">
        <v>590</v>
      </c>
      <c r="M237" s="21" t="n">
        <v>2010</v>
      </c>
      <c r="N237" s="20" t="n">
        <f aca="false">MROUND(M237+'Fuel &amp; Inputs'!$C$13,50)</f>
        <v>2800</v>
      </c>
      <c r="O237" s="21" t="n">
        <v>3980</v>
      </c>
      <c r="P237" s="20" t="n">
        <f aca="false">MROUND(M237*'Fuel &amp; Inputs'!$C$19*'Fuel &amp; Inputs'!$C$21,100)</f>
        <v>7600</v>
      </c>
      <c r="Q237" s="20" t="n">
        <f aca="false">MROUND(N237*'Fuel &amp; Inputs'!$C$19*'Fuel &amp; Inputs'!$C$21,100)</f>
        <v>10600</v>
      </c>
      <c r="R237" s="20" t="n">
        <f aca="false">MROUND(O237*'Fuel &amp; Inputs'!$C$19*'Fuel &amp; Inputs'!$C$21,100)</f>
        <v>15100</v>
      </c>
      <c r="S237" s="20" t="n">
        <f aca="false">MROUND(M237*'Fuel &amp; Inputs'!$C$20*'Fuel &amp; Inputs'!$C$22,500)</f>
        <v>205000</v>
      </c>
      <c r="T237" s="20" t="n">
        <f aca="false">MROUND(N237*'Fuel &amp; Inputs'!$C$20*'Fuel &amp; Inputs'!$C$22,500)</f>
        <v>285500</v>
      </c>
      <c r="U237" s="20" t="n">
        <f aca="false">MROUND(O237*'Fuel &amp; Inputs'!$C$20*'Fuel &amp; Inputs'!$C$22,500)</f>
        <v>406000</v>
      </c>
    </row>
    <row r="238" customFormat="false" ht="15" hidden="false" customHeight="false" outlineLevel="0" collapsed="false">
      <c r="A238" s="23" t="n">
        <v>220</v>
      </c>
      <c r="B238" s="34" t="s">
        <v>585</v>
      </c>
      <c r="C238" s="34" t="s">
        <v>602</v>
      </c>
      <c r="D238" s="34" t="s">
        <v>603</v>
      </c>
      <c r="E238" s="23" t="s">
        <v>469</v>
      </c>
      <c r="F238" s="23" t="s">
        <v>604</v>
      </c>
      <c r="G238" s="23" t="s">
        <v>605</v>
      </c>
      <c r="H238" s="23" t="s">
        <v>148</v>
      </c>
      <c r="I238" s="25" t="n">
        <v>2.6</v>
      </c>
      <c r="J238" s="35" t="n">
        <v>1.126</v>
      </c>
      <c r="K238" s="26" t="n">
        <f aca="false">IF(I238=0,0,IF(L238="Rs./km",MROUND(IF(H238="Petrol",'Fuel &amp; Inputs'!$C$5,'Fuel &amp; Inputs'!$C$4)/I238*J238,1),MROUND(I238*J238*IF(H238="Petrol",'Fuel &amp; Inputs'!$C$5,'Fuel &amp; Inputs'!$C$4),10)))</f>
        <v>165</v>
      </c>
      <c r="L238" s="23" t="s">
        <v>590</v>
      </c>
      <c r="M238" s="27" t="n">
        <v>1760</v>
      </c>
      <c r="N238" s="26" t="n">
        <f aca="false">MROUND(M238+'Fuel &amp; Inputs'!$C$13,50)</f>
        <v>2550</v>
      </c>
      <c r="O238" s="27" t="n">
        <v>3490</v>
      </c>
      <c r="P238" s="26" t="n">
        <f aca="false">MROUND(M238*'Fuel &amp; Inputs'!$C$19*'Fuel &amp; Inputs'!$C$21,100)</f>
        <v>6700</v>
      </c>
      <c r="Q238" s="26" t="n">
        <f aca="false">MROUND(N238*'Fuel &amp; Inputs'!$C$19*'Fuel &amp; Inputs'!$C$21,100)</f>
        <v>9700</v>
      </c>
      <c r="R238" s="26" t="n">
        <f aca="false">MROUND(O238*'Fuel &amp; Inputs'!$C$19*'Fuel &amp; Inputs'!$C$21,100)</f>
        <v>13300</v>
      </c>
      <c r="S238" s="26" t="n">
        <f aca="false">MROUND(M238*'Fuel &amp; Inputs'!$C$20*'Fuel &amp; Inputs'!$C$22,500)</f>
        <v>179500</v>
      </c>
      <c r="T238" s="26" t="n">
        <f aca="false">MROUND(N238*'Fuel &amp; Inputs'!$C$20*'Fuel &amp; Inputs'!$C$22,500)</f>
        <v>260000</v>
      </c>
      <c r="U238" s="26" t="n">
        <f aca="false">MROUND(O238*'Fuel &amp; Inputs'!$C$20*'Fuel &amp; Inputs'!$C$22,500)</f>
        <v>356000</v>
      </c>
    </row>
    <row r="239" customFormat="false" ht="23.85" hidden="false" customHeight="false" outlineLevel="0" collapsed="false">
      <c r="A239" s="17" t="n">
        <v>221</v>
      </c>
      <c r="B239" s="32" t="s">
        <v>585</v>
      </c>
      <c r="C239" s="32" t="s">
        <v>586</v>
      </c>
      <c r="D239" s="32" t="s">
        <v>606</v>
      </c>
      <c r="E239" s="17" t="s">
        <v>562</v>
      </c>
      <c r="F239" s="17" t="s">
        <v>607</v>
      </c>
      <c r="G239" s="17" t="s">
        <v>608</v>
      </c>
      <c r="H239" s="17" t="s">
        <v>148</v>
      </c>
      <c r="I239" s="19" t="n">
        <v>3.5</v>
      </c>
      <c r="J239" s="33" t="n">
        <v>1.175</v>
      </c>
      <c r="K239" s="20" t="n">
        <f aca="false">IF(I239=0,0,IF(L239="Rs./km",MROUND(IF(H239="Petrol",'Fuel &amp; Inputs'!$C$5,'Fuel &amp; Inputs'!$C$4)/I239*J239,1),MROUND(I239*J239*IF(H239="Petrol",'Fuel &amp; Inputs'!$C$5,'Fuel &amp; Inputs'!$C$4),10)))</f>
        <v>128</v>
      </c>
      <c r="L239" s="17" t="s">
        <v>590</v>
      </c>
      <c r="M239" s="21" t="n">
        <v>1420</v>
      </c>
      <c r="N239" s="20" t="n">
        <f aca="false">MROUND(M239+'Fuel &amp; Inputs'!$C$13,50)</f>
        <v>2200</v>
      </c>
      <c r="O239" s="21" t="n">
        <v>2810</v>
      </c>
      <c r="P239" s="20" t="n">
        <f aca="false">MROUND(M239*'Fuel &amp; Inputs'!$C$19*'Fuel &amp; Inputs'!$C$21,100)</f>
        <v>5400</v>
      </c>
      <c r="Q239" s="20" t="n">
        <f aca="false">MROUND(N239*'Fuel &amp; Inputs'!$C$19*'Fuel &amp; Inputs'!$C$21,100)</f>
        <v>8400</v>
      </c>
      <c r="R239" s="20" t="n">
        <f aca="false">MROUND(O239*'Fuel &amp; Inputs'!$C$19*'Fuel &amp; Inputs'!$C$21,100)</f>
        <v>10700</v>
      </c>
      <c r="S239" s="20" t="n">
        <f aca="false">MROUND(M239*'Fuel &amp; Inputs'!$C$20*'Fuel &amp; Inputs'!$C$22,500)</f>
        <v>145000</v>
      </c>
      <c r="T239" s="20" t="n">
        <f aca="false">MROUND(N239*'Fuel &amp; Inputs'!$C$20*'Fuel &amp; Inputs'!$C$22,500)</f>
        <v>224500</v>
      </c>
      <c r="U239" s="20" t="n">
        <f aca="false">MROUND(O239*'Fuel &amp; Inputs'!$C$20*'Fuel &amp; Inputs'!$C$22,500)</f>
        <v>286500</v>
      </c>
    </row>
    <row r="240" customFormat="false" ht="15" hidden="false" customHeight="false" outlineLevel="0" collapsed="false">
      <c r="A240" s="23" t="n">
        <v>222</v>
      </c>
      <c r="B240" s="34" t="s">
        <v>585</v>
      </c>
      <c r="C240" s="34" t="s">
        <v>591</v>
      </c>
      <c r="D240" s="34" t="s">
        <v>217</v>
      </c>
      <c r="E240" s="23" t="s">
        <v>280</v>
      </c>
      <c r="F240" s="23" t="s">
        <v>609</v>
      </c>
      <c r="G240" s="23" t="s">
        <v>610</v>
      </c>
      <c r="H240" s="23" t="s">
        <v>148</v>
      </c>
      <c r="I240" s="25" t="n">
        <v>2.6</v>
      </c>
      <c r="J240" s="35" t="n">
        <v>1.175</v>
      </c>
      <c r="K240" s="26" t="n">
        <f aca="false">IF(I240=0,0,IF(L240="Rs./km",MROUND(IF(H240="Petrol",'Fuel &amp; Inputs'!$C$5,'Fuel &amp; Inputs'!$C$4)/I240*J240,1),MROUND(I240*J240*IF(H240="Petrol",'Fuel &amp; Inputs'!$C$5,'Fuel &amp; Inputs'!$C$4),10)))</f>
        <v>173</v>
      </c>
      <c r="L240" s="23" t="s">
        <v>590</v>
      </c>
      <c r="M240" s="27" t="n">
        <v>1420</v>
      </c>
      <c r="N240" s="26" t="n">
        <f aca="false">MROUND(M240+'Fuel &amp; Inputs'!$C$13,50)</f>
        <v>2200</v>
      </c>
      <c r="O240" s="27" t="n">
        <v>2810</v>
      </c>
      <c r="P240" s="26" t="n">
        <f aca="false">MROUND(M240*'Fuel &amp; Inputs'!$C$19*'Fuel &amp; Inputs'!$C$21,100)</f>
        <v>5400</v>
      </c>
      <c r="Q240" s="26" t="n">
        <f aca="false">MROUND(N240*'Fuel &amp; Inputs'!$C$19*'Fuel &amp; Inputs'!$C$21,100)</f>
        <v>8400</v>
      </c>
      <c r="R240" s="26" t="n">
        <f aca="false">MROUND(O240*'Fuel &amp; Inputs'!$C$19*'Fuel &amp; Inputs'!$C$21,100)</f>
        <v>10700</v>
      </c>
      <c r="S240" s="26" t="n">
        <f aca="false">MROUND(M240*'Fuel &amp; Inputs'!$C$20*'Fuel &amp; Inputs'!$C$22,500)</f>
        <v>145000</v>
      </c>
      <c r="T240" s="26" t="n">
        <f aca="false">MROUND(N240*'Fuel &amp; Inputs'!$C$20*'Fuel &amp; Inputs'!$C$22,500)</f>
        <v>224500</v>
      </c>
      <c r="U240" s="26" t="n">
        <f aca="false">MROUND(O240*'Fuel &amp; Inputs'!$C$20*'Fuel &amp; Inputs'!$C$22,500)</f>
        <v>286500</v>
      </c>
    </row>
    <row r="241" customFormat="false" ht="15" hidden="false" customHeight="false" outlineLevel="0" collapsed="false">
      <c r="A241" s="17" t="n">
        <v>223</v>
      </c>
      <c r="B241" s="32" t="s">
        <v>585</v>
      </c>
      <c r="C241" s="32" t="s">
        <v>274</v>
      </c>
      <c r="D241" s="32" t="s">
        <v>611</v>
      </c>
      <c r="E241" s="17" t="s">
        <v>567</v>
      </c>
      <c r="F241" s="17" t="s">
        <v>612</v>
      </c>
      <c r="G241" s="17" t="s">
        <v>613</v>
      </c>
      <c r="H241" s="17" t="s">
        <v>148</v>
      </c>
      <c r="I241" s="19" t="n">
        <v>2.3</v>
      </c>
      <c r="J241" s="33" t="n">
        <v>1.175</v>
      </c>
      <c r="K241" s="20" t="n">
        <f aca="false">IF(I241=0,0,IF(L241="Rs./km",MROUND(IF(H241="Petrol",'Fuel &amp; Inputs'!$C$5,'Fuel &amp; Inputs'!$C$4)/I241*J241,1),MROUND(I241*J241*IF(H241="Petrol",'Fuel &amp; Inputs'!$C$5,'Fuel &amp; Inputs'!$C$4),10)))</f>
        <v>195</v>
      </c>
      <c r="L241" s="17" t="s">
        <v>590</v>
      </c>
      <c r="M241" s="21" t="n">
        <v>1420</v>
      </c>
      <c r="N241" s="20" t="n">
        <f aca="false">MROUND(M241+'Fuel &amp; Inputs'!$C$13,50)</f>
        <v>2200</v>
      </c>
      <c r="O241" s="21" t="n">
        <v>2810</v>
      </c>
      <c r="P241" s="20" t="n">
        <f aca="false">MROUND(M241*'Fuel &amp; Inputs'!$C$19*'Fuel &amp; Inputs'!$C$21,100)</f>
        <v>5400</v>
      </c>
      <c r="Q241" s="20" t="n">
        <f aca="false">MROUND(N241*'Fuel &amp; Inputs'!$C$19*'Fuel &amp; Inputs'!$C$21,100)</f>
        <v>8400</v>
      </c>
      <c r="R241" s="20" t="n">
        <f aca="false">MROUND(O241*'Fuel &amp; Inputs'!$C$19*'Fuel &amp; Inputs'!$C$21,100)</f>
        <v>10700</v>
      </c>
      <c r="S241" s="20" t="n">
        <f aca="false">MROUND(M241*'Fuel &amp; Inputs'!$C$20*'Fuel &amp; Inputs'!$C$22,500)</f>
        <v>145000</v>
      </c>
      <c r="T241" s="20" t="n">
        <f aca="false">MROUND(N241*'Fuel &amp; Inputs'!$C$20*'Fuel &amp; Inputs'!$C$22,500)</f>
        <v>224500</v>
      </c>
      <c r="U241" s="20" t="n">
        <f aca="false">MROUND(O241*'Fuel &amp; Inputs'!$C$20*'Fuel &amp; Inputs'!$C$22,500)</f>
        <v>286500</v>
      </c>
    </row>
    <row r="242" customFormat="false" ht="15" hidden="false" customHeight="true" outlineLevel="0" collapsed="false">
      <c r="A242" s="31" t="s">
        <v>614</v>
      </c>
      <c r="B242" s="31"/>
      <c r="C242" s="31"/>
      <c r="D242" s="31"/>
      <c r="E242" s="31"/>
      <c r="F242" s="31"/>
      <c r="G242" s="31"/>
      <c r="H242" s="31"/>
      <c r="I242" s="31"/>
      <c r="J242" s="31"/>
      <c r="K242" s="31"/>
      <c r="L242" s="31"/>
      <c r="M242" s="31"/>
      <c r="N242" s="31"/>
      <c r="O242" s="31"/>
      <c r="P242" s="31"/>
      <c r="Q242" s="31"/>
      <c r="R242" s="31"/>
      <c r="S242" s="31"/>
      <c r="T242" s="31"/>
      <c r="U242" s="31"/>
    </row>
    <row r="243" customFormat="false" ht="23.85" hidden="false" customHeight="false" outlineLevel="0" collapsed="false">
      <c r="A243" s="23" t="n">
        <v>224</v>
      </c>
      <c r="B243" s="34" t="s">
        <v>615</v>
      </c>
      <c r="C243" s="34" t="s">
        <v>453</v>
      </c>
      <c r="D243" s="34" t="s">
        <v>616</v>
      </c>
      <c r="E243" s="23" t="s">
        <v>174</v>
      </c>
      <c r="F243" s="23" t="s">
        <v>617</v>
      </c>
      <c r="G243" s="23" t="s">
        <v>618</v>
      </c>
      <c r="H243" s="23" t="s">
        <v>148</v>
      </c>
      <c r="I243" s="25" t="n">
        <v>18</v>
      </c>
      <c r="J243" s="35" t="n">
        <v>1.049</v>
      </c>
      <c r="K243" s="26" t="n">
        <f aca="false">IF(I243=0,0,IF(L243="Rs./km",MROUND(IF(H243="Petrol",'Fuel &amp; Inputs'!$C$5,'Fuel &amp; Inputs'!$C$4)/I243*J243,1),MROUND(I243*J243*IF(H243="Petrol",'Fuel &amp; Inputs'!$C$5,'Fuel &amp; Inputs'!$C$4),10)))</f>
        <v>7210</v>
      </c>
      <c r="L243" s="23" t="s">
        <v>149</v>
      </c>
      <c r="M243" s="27" t="n">
        <v>3860</v>
      </c>
      <c r="N243" s="26" t="n">
        <f aca="false">MROUND(M243+'Fuel &amp; Inputs'!$C$13,50)</f>
        <v>4650</v>
      </c>
      <c r="O243" s="27" t="n">
        <v>8600</v>
      </c>
      <c r="P243" s="26" t="n">
        <f aca="false">MROUND(M243*'Fuel &amp; Inputs'!$C$19*'Fuel &amp; Inputs'!$C$21,100)</f>
        <v>14700</v>
      </c>
      <c r="Q243" s="26" t="n">
        <f aca="false">MROUND(N243*'Fuel &amp; Inputs'!$C$19*'Fuel &amp; Inputs'!$C$21,100)</f>
        <v>17700</v>
      </c>
      <c r="R243" s="26" t="n">
        <f aca="false">MROUND(O243*'Fuel &amp; Inputs'!$C$19*'Fuel &amp; Inputs'!$C$21,100)</f>
        <v>32700</v>
      </c>
      <c r="S243" s="26" t="n">
        <f aca="false">MROUND(M243*'Fuel &amp; Inputs'!$C$20*'Fuel &amp; Inputs'!$C$22,500)</f>
        <v>393500</v>
      </c>
      <c r="T243" s="26" t="n">
        <f aca="false">MROUND(N243*'Fuel &amp; Inputs'!$C$20*'Fuel &amp; Inputs'!$C$22,500)</f>
        <v>474500</v>
      </c>
      <c r="U243" s="26" t="n">
        <f aca="false">MROUND(O243*'Fuel &amp; Inputs'!$C$20*'Fuel &amp; Inputs'!$C$22,500)</f>
        <v>877000</v>
      </c>
    </row>
    <row r="244" customFormat="false" ht="23.85" hidden="false" customHeight="false" outlineLevel="0" collapsed="false">
      <c r="A244" s="17" t="n">
        <v>225</v>
      </c>
      <c r="B244" s="32" t="s">
        <v>615</v>
      </c>
      <c r="C244" s="32" t="s">
        <v>602</v>
      </c>
      <c r="D244" s="32" t="s">
        <v>619</v>
      </c>
      <c r="E244" s="17" t="s">
        <v>469</v>
      </c>
      <c r="F244" s="17" t="s">
        <v>620</v>
      </c>
      <c r="G244" s="17" t="s">
        <v>621</v>
      </c>
      <c r="H244" s="17" t="s">
        <v>148</v>
      </c>
      <c r="I244" s="19" t="n">
        <v>18</v>
      </c>
      <c r="J244" s="33" t="n">
        <v>1.126</v>
      </c>
      <c r="K244" s="20" t="n">
        <f aca="false">IF(I244=0,0,IF(L244="Rs./km",MROUND(IF(H244="Petrol",'Fuel &amp; Inputs'!$C$5,'Fuel &amp; Inputs'!$C$4)/I244*J244,1),MROUND(I244*J244*IF(H244="Petrol",'Fuel &amp; Inputs'!$C$5,'Fuel &amp; Inputs'!$C$4),10)))</f>
        <v>7740</v>
      </c>
      <c r="L244" s="17" t="s">
        <v>149</v>
      </c>
      <c r="M244" s="21" t="n">
        <v>3020</v>
      </c>
      <c r="N244" s="20" t="n">
        <f aca="false">MROUND(M244+'Fuel &amp; Inputs'!$C$13,50)</f>
        <v>3800</v>
      </c>
      <c r="O244" s="21" t="n">
        <v>6730</v>
      </c>
      <c r="P244" s="20" t="n">
        <f aca="false">MROUND(M244*'Fuel &amp; Inputs'!$C$19*'Fuel &amp; Inputs'!$C$21,100)</f>
        <v>11500</v>
      </c>
      <c r="Q244" s="20" t="n">
        <f aca="false">MROUND(N244*'Fuel &amp; Inputs'!$C$19*'Fuel &amp; Inputs'!$C$21,100)</f>
        <v>14400</v>
      </c>
      <c r="R244" s="20" t="n">
        <f aca="false">MROUND(O244*'Fuel &amp; Inputs'!$C$19*'Fuel &amp; Inputs'!$C$21,100)</f>
        <v>25600</v>
      </c>
      <c r="S244" s="20" t="n">
        <f aca="false">MROUND(M244*'Fuel &amp; Inputs'!$C$20*'Fuel &amp; Inputs'!$C$22,500)</f>
        <v>308000</v>
      </c>
      <c r="T244" s="20" t="n">
        <f aca="false">MROUND(N244*'Fuel &amp; Inputs'!$C$20*'Fuel &amp; Inputs'!$C$22,500)</f>
        <v>387500</v>
      </c>
      <c r="U244" s="20" t="n">
        <f aca="false">MROUND(O244*'Fuel &amp; Inputs'!$C$20*'Fuel &amp; Inputs'!$C$22,500)</f>
        <v>686500</v>
      </c>
    </row>
    <row r="245" customFormat="false" ht="15" hidden="false" customHeight="true" outlineLevel="0" collapsed="false">
      <c r="A245" s="31" t="s">
        <v>622</v>
      </c>
      <c r="B245" s="31"/>
      <c r="C245" s="31"/>
      <c r="D245" s="31"/>
      <c r="E245" s="31"/>
      <c r="F245" s="31"/>
      <c r="G245" s="31"/>
      <c r="H245" s="31"/>
      <c r="I245" s="31"/>
      <c r="J245" s="31"/>
      <c r="K245" s="31"/>
      <c r="L245" s="31"/>
      <c r="M245" s="31"/>
      <c r="N245" s="31"/>
      <c r="O245" s="31"/>
      <c r="P245" s="31"/>
      <c r="Q245" s="31"/>
      <c r="R245" s="31"/>
      <c r="S245" s="31"/>
      <c r="T245" s="31"/>
      <c r="U245" s="31"/>
    </row>
    <row r="246" customFormat="false" ht="23.85" hidden="false" customHeight="false" outlineLevel="0" collapsed="false">
      <c r="A246" s="23" t="n">
        <v>226</v>
      </c>
      <c r="B246" s="34" t="s">
        <v>98</v>
      </c>
      <c r="C246" s="34" t="s">
        <v>623</v>
      </c>
      <c r="D246" s="34" t="s">
        <v>624</v>
      </c>
      <c r="E246" s="23" t="s">
        <v>174</v>
      </c>
      <c r="F246" s="23" t="s">
        <v>625</v>
      </c>
      <c r="G246" s="23" t="s">
        <v>626</v>
      </c>
      <c r="H246" s="23" t="s">
        <v>148</v>
      </c>
      <c r="I246" s="25" t="n">
        <v>10</v>
      </c>
      <c r="J246" s="35" t="n">
        <v>1.049</v>
      </c>
      <c r="K246" s="26" t="n">
        <f aca="false">IF(I246=0,0,IF(L246="Rs./km",MROUND(IF(H246="Petrol",'Fuel &amp; Inputs'!$C$5,'Fuel &amp; Inputs'!$C$4)/I246*J246,1),MROUND(I246*J246*IF(H246="Petrol",'Fuel &amp; Inputs'!$C$5,'Fuel &amp; Inputs'!$C$4),10)))</f>
        <v>40</v>
      </c>
      <c r="L246" s="23" t="s">
        <v>590</v>
      </c>
      <c r="M246" s="27" t="n">
        <v>870</v>
      </c>
      <c r="N246" s="26" t="n">
        <f aca="false">MROUND(M246+'Fuel &amp; Inputs'!$C$13,50)</f>
        <v>1650</v>
      </c>
      <c r="O246" s="27" t="n">
        <v>1610</v>
      </c>
      <c r="P246" s="26" t="n">
        <f aca="false">MROUND(M246*'Fuel &amp; Inputs'!$C$19*'Fuel &amp; Inputs'!$C$21,100)</f>
        <v>3300</v>
      </c>
      <c r="Q246" s="26" t="n">
        <f aca="false">MROUND(N246*'Fuel &amp; Inputs'!$C$19*'Fuel &amp; Inputs'!$C$21,100)</f>
        <v>6300</v>
      </c>
      <c r="R246" s="26" t="n">
        <f aca="false">MROUND(O246*'Fuel &amp; Inputs'!$C$19*'Fuel &amp; Inputs'!$C$21,100)</f>
        <v>6100</v>
      </c>
      <c r="S246" s="26" t="n">
        <f aca="false">MROUND(M246*'Fuel &amp; Inputs'!$C$20*'Fuel &amp; Inputs'!$C$22,500)</f>
        <v>88500</v>
      </c>
      <c r="T246" s="26" t="n">
        <f aca="false">MROUND(N246*'Fuel &amp; Inputs'!$C$20*'Fuel &amp; Inputs'!$C$22,500)</f>
        <v>168500</v>
      </c>
      <c r="U246" s="26" t="n">
        <f aca="false">MROUND(O246*'Fuel &amp; Inputs'!$C$20*'Fuel &amp; Inputs'!$C$22,500)</f>
        <v>164000</v>
      </c>
    </row>
    <row r="247" customFormat="false" ht="23.85" hidden="false" customHeight="false" outlineLevel="0" collapsed="false">
      <c r="A247" s="17" t="n">
        <v>227</v>
      </c>
      <c r="B247" s="32" t="s">
        <v>98</v>
      </c>
      <c r="C247" s="32" t="s">
        <v>623</v>
      </c>
      <c r="D247" s="32" t="s">
        <v>624</v>
      </c>
      <c r="E247" s="17" t="s">
        <v>174</v>
      </c>
      <c r="F247" s="17" t="s">
        <v>627</v>
      </c>
      <c r="G247" s="17" t="s">
        <v>628</v>
      </c>
      <c r="H247" s="17" t="s">
        <v>148</v>
      </c>
      <c r="I247" s="19" t="n">
        <v>10</v>
      </c>
      <c r="J247" s="33" t="n">
        <v>1.049</v>
      </c>
      <c r="K247" s="20" t="n">
        <f aca="false">IF(I247=0,0,IF(L247="Rs./km",MROUND(IF(H247="Petrol",'Fuel &amp; Inputs'!$C$5,'Fuel &amp; Inputs'!$C$4)/I247*J247,1),MROUND(I247*J247*IF(H247="Petrol",'Fuel &amp; Inputs'!$C$5,'Fuel &amp; Inputs'!$C$4),10)))</f>
        <v>40</v>
      </c>
      <c r="L247" s="17" t="s">
        <v>590</v>
      </c>
      <c r="M247" s="21" t="n">
        <v>870</v>
      </c>
      <c r="N247" s="20" t="n">
        <f aca="false">MROUND(M247+'Fuel &amp; Inputs'!$C$13,50)</f>
        <v>1650</v>
      </c>
      <c r="O247" s="21" t="n">
        <v>1610</v>
      </c>
      <c r="P247" s="20" t="n">
        <f aca="false">MROUND(M247*'Fuel &amp; Inputs'!$C$19*'Fuel &amp; Inputs'!$C$21,100)</f>
        <v>3300</v>
      </c>
      <c r="Q247" s="20" t="n">
        <f aca="false">MROUND(N247*'Fuel &amp; Inputs'!$C$19*'Fuel &amp; Inputs'!$C$21,100)</f>
        <v>6300</v>
      </c>
      <c r="R247" s="20" t="n">
        <f aca="false">MROUND(O247*'Fuel &amp; Inputs'!$C$19*'Fuel &amp; Inputs'!$C$21,100)</f>
        <v>6100</v>
      </c>
      <c r="S247" s="20" t="n">
        <f aca="false">MROUND(M247*'Fuel &amp; Inputs'!$C$20*'Fuel &amp; Inputs'!$C$22,500)</f>
        <v>88500</v>
      </c>
      <c r="T247" s="20" t="n">
        <f aca="false">MROUND(N247*'Fuel &amp; Inputs'!$C$20*'Fuel &amp; Inputs'!$C$22,500)</f>
        <v>168500</v>
      </c>
      <c r="U247" s="20" t="n">
        <f aca="false">MROUND(O247*'Fuel &amp; Inputs'!$C$20*'Fuel &amp; Inputs'!$C$22,500)</f>
        <v>164000</v>
      </c>
    </row>
    <row r="248" customFormat="false" ht="23.85" hidden="false" customHeight="false" outlineLevel="0" collapsed="false">
      <c r="A248" s="23" t="n">
        <v>228</v>
      </c>
      <c r="B248" s="34" t="s">
        <v>98</v>
      </c>
      <c r="C248" s="34" t="s">
        <v>623</v>
      </c>
      <c r="D248" s="34" t="s">
        <v>624</v>
      </c>
      <c r="E248" s="23" t="s">
        <v>174</v>
      </c>
      <c r="F248" s="23" t="s">
        <v>629</v>
      </c>
      <c r="G248" s="23" t="s">
        <v>630</v>
      </c>
      <c r="H248" s="23" t="s">
        <v>148</v>
      </c>
      <c r="I248" s="25" t="n">
        <v>10</v>
      </c>
      <c r="J248" s="35" t="n">
        <v>1.049</v>
      </c>
      <c r="K248" s="26" t="n">
        <f aca="false">IF(I248=0,0,IF(L248="Rs./km",MROUND(IF(H248="Petrol",'Fuel &amp; Inputs'!$C$5,'Fuel &amp; Inputs'!$C$4)/I248*J248,1),MROUND(I248*J248*IF(H248="Petrol",'Fuel &amp; Inputs'!$C$5,'Fuel &amp; Inputs'!$C$4),10)))</f>
        <v>40</v>
      </c>
      <c r="L248" s="23" t="s">
        <v>590</v>
      </c>
      <c r="M248" s="27" t="n">
        <v>870</v>
      </c>
      <c r="N248" s="26" t="n">
        <f aca="false">MROUND(M248+'Fuel &amp; Inputs'!$C$13,50)</f>
        <v>1650</v>
      </c>
      <c r="O248" s="27" t="n">
        <v>1610</v>
      </c>
      <c r="P248" s="26" t="n">
        <f aca="false">MROUND(M248*'Fuel &amp; Inputs'!$C$19*'Fuel &amp; Inputs'!$C$21,100)</f>
        <v>3300</v>
      </c>
      <c r="Q248" s="26" t="n">
        <f aca="false">MROUND(N248*'Fuel &amp; Inputs'!$C$19*'Fuel &amp; Inputs'!$C$21,100)</f>
        <v>6300</v>
      </c>
      <c r="R248" s="26" t="n">
        <f aca="false">MROUND(O248*'Fuel &amp; Inputs'!$C$19*'Fuel &amp; Inputs'!$C$21,100)</f>
        <v>6100</v>
      </c>
      <c r="S248" s="26" t="n">
        <f aca="false">MROUND(M248*'Fuel &amp; Inputs'!$C$20*'Fuel &amp; Inputs'!$C$22,500)</f>
        <v>88500</v>
      </c>
      <c r="T248" s="26" t="n">
        <f aca="false">MROUND(N248*'Fuel &amp; Inputs'!$C$20*'Fuel &amp; Inputs'!$C$22,500)</f>
        <v>168500</v>
      </c>
      <c r="U248" s="26" t="n">
        <f aca="false">MROUND(O248*'Fuel &amp; Inputs'!$C$20*'Fuel &amp; Inputs'!$C$22,500)</f>
        <v>164000</v>
      </c>
    </row>
    <row r="249" customFormat="false" ht="23.85" hidden="false" customHeight="false" outlineLevel="0" collapsed="false">
      <c r="A249" s="17" t="n">
        <v>229</v>
      </c>
      <c r="B249" s="32" t="s">
        <v>98</v>
      </c>
      <c r="C249" s="32" t="s">
        <v>623</v>
      </c>
      <c r="D249" s="32" t="s">
        <v>624</v>
      </c>
      <c r="E249" s="17" t="s">
        <v>174</v>
      </c>
      <c r="F249" s="17" t="s">
        <v>631</v>
      </c>
      <c r="G249" s="17" t="s">
        <v>632</v>
      </c>
      <c r="H249" s="17" t="s">
        <v>148</v>
      </c>
      <c r="I249" s="19" t="n">
        <v>10</v>
      </c>
      <c r="J249" s="33" t="n">
        <v>1.049</v>
      </c>
      <c r="K249" s="20" t="n">
        <f aca="false">IF(I249=0,0,IF(L249="Rs./km",MROUND(IF(H249="Petrol",'Fuel &amp; Inputs'!$C$5,'Fuel &amp; Inputs'!$C$4)/I249*J249,1),MROUND(I249*J249*IF(H249="Petrol",'Fuel &amp; Inputs'!$C$5,'Fuel &amp; Inputs'!$C$4),10)))</f>
        <v>40</v>
      </c>
      <c r="L249" s="17" t="s">
        <v>590</v>
      </c>
      <c r="M249" s="21" t="n">
        <v>870</v>
      </c>
      <c r="N249" s="20" t="n">
        <f aca="false">MROUND(M249+'Fuel &amp; Inputs'!$C$13,50)</f>
        <v>1650</v>
      </c>
      <c r="O249" s="21" t="n">
        <v>1610</v>
      </c>
      <c r="P249" s="20" t="n">
        <f aca="false">MROUND(M249*'Fuel &amp; Inputs'!$C$19*'Fuel &amp; Inputs'!$C$21,100)</f>
        <v>3300</v>
      </c>
      <c r="Q249" s="20" t="n">
        <f aca="false">MROUND(N249*'Fuel &amp; Inputs'!$C$19*'Fuel &amp; Inputs'!$C$21,100)</f>
        <v>6300</v>
      </c>
      <c r="R249" s="20" t="n">
        <f aca="false">MROUND(O249*'Fuel &amp; Inputs'!$C$19*'Fuel &amp; Inputs'!$C$21,100)</f>
        <v>6100</v>
      </c>
      <c r="S249" s="20" t="n">
        <f aca="false">MROUND(M249*'Fuel &amp; Inputs'!$C$20*'Fuel &amp; Inputs'!$C$22,500)</f>
        <v>88500</v>
      </c>
      <c r="T249" s="20" t="n">
        <f aca="false">MROUND(N249*'Fuel &amp; Inputs'!$C$20*'Fuel &amp; Inputs'!$C$22,500)</f>
        <v>168500</v>
      </c>
      <c r="U249" s="20" t="n">
        <f aca="false">MROUND(O249*'Fuel &amp; Inputs'!$C$20*'Fuel &amp; Inputs'!$C$22,500)</f>
        <v>164000</v>
      </c>
    </row>
    <row r="250" customFormat="false" ht="23.85" hidden="false" customHeight="false" outlineLevel="0" collapsed="false">
      <c r="A250" s="23" t="n">
        <v>230</v>
      </c>
      <c r="B250" s="34" t="s">
        <v>98</v>
      </c>
      <c r="C250" s="34" t="s">
        <v>623</v>
      </c>
      <c r="D250" s="34" t="s">
        <v>624</v>
      </c>
      <c r="E250" s="23" t="s">
        <v>174</v>
      </c>
      <c r="F250" s="23" t="s">
        <v>633</v>
      </c>
      <c r="G250" s="23" t="s">
        <v>634</v>
      </c>
      <c r="H250" s="23" t="s">
        <v>148</v>
      </c>
      <c r="I250" s="25" t="n">
        <v>10</v>
      </c>
      <c r="J250" s="35" t="n">
        <v>1.049</v>
      </c>
      <c r="K250" s="26" t="n">
        <f aca="false">IF(I250=0,0,IF(L250="Rs./km",MROUND(IF(H250="Petrol",'Fuel &amp; Inputs'!$C$5,'Fuel &amp; Inputs'!$C$4)/I250*J250,1),MROUND(I250*J250*IF(H250="Petrol",'Fuel &amp; Inputs'!$C$5,'Fuel &amp; Inputs'!$C$4),10)))</f>
        <v>40</v>
      </c>
      <c r="L250" s="23" t="s">
        <v>590</v>
      </c>
      <c r="M250" s="27" t="n">
        <v>870</v>
      </c>
      <c r="N250" s="26" t="n">
        <f aca="false">MROUND(M250+'Fuel &amp; Inputs'!$C$13,50)</f>
        <v>1650</v>
      </c>
      <c r="O250" s="27" t="n">
        <v>1610</v>
      </c>
      <c r="P250" s="26" t="n">
        <f aca="false">MROUND(M250*'Fuel &amp; Inputs'!$C$19*'Fuel &amp; Inputs'!$C$21,100)</f>
        <v>3300</v>
      </c>
      <c r="Q250" s="26" t="n">
        <f aca="false">MROUND(N250*'Fuel &amp; Inputs'!$C$19*'Fuel &amp; Inputs'!$C$21,100)</f>
        <v>6300</v>
      </c>
      <c r="R250" s="26" t="n">
        <f aca="false">MROUND(O250*'Fuel &amp; Inputs'!$C$19*'Fuel &amp; Inputs'!$C$21,100)</f>
        <v>6100</v>
      </c>
      <c r="S250" s="26" t="n">
        <f aca="false">MROUND(M250*'Fuel &amp; Inputs'!$C$20*'Fuel &amp; Inputs'!$C$22,500)</f>
        <v>88500</v>
      </c>
      <c r="T250" s="26" t="n">
        <f aca="false">MROUND(N250*'Fuel &amp; Inputs'!$C$20*'Fuel &amp; Inputs'!$C$22,500)</f>
        <v>168500</v>
      </c>
      <c r="U250" s="26" t="n">
        <f aca="false">MROUND(O250*'Fuel &amp; Inputs'!$C$20*'Fuel &amp; Inputs'!$C$22,500)</f>
        <v>164000</v>
      </c>
    </row>
    <row r="251" customFormat="false" ht="23.85" hidden="false" customHeight="false" outlineLevel="0" collapsed="false">
      <c r="A251" s="17" t="n">
        <v>231</v>
      </c>
      <c r="B251" s="32" t="s">
        <v>98</v>
      </c>
      <c r="C251" s="32" t="s">
        <v>623</v>
      </c>
      <c r="D251" s="32" t="s">
        <v>624</v>
      </c>
      <c r="E251" s="17" t="s">
        <v>174</v>
      </c>
      <c r="F251" s="17" t="s">
        <v>635</v>
      </c>
      <c r="G251" s="17" t="s">
        <v>636</v>
      </c>
      <c r="H251" s="17" t="s">
        <v>148</v>
      </c>
      <c r="I251" s="19" t="n">
        <v>10</v>
      </c>
      <c r="J251" s="33" t="n">
        <v>1.049</v>
      </c>
      <c r="K251" s="20" t="n">
        <f aca="false">IF(I251=0,0,IF(L251="Rs./km",MROUND(IF(H251="Petrol",'Fuel &amp; Inputs'!$C$5,'Fuel &amp; Inputs'!$C$4)/I251*J251,1),MROUND(I251*J251*IF(H251="Petrol",'Fuel &amp; Inputs'!$C$5,'Fuel &amp; Inputs'!$C$4),10)))</f>
        <v>40</v>
      </c>
      <c r="L251" s="17" t="s">
        <v>590</v>
      </c>
      <c r="M251" s="21" t="n">
        <v>870</v>
      </c>
      <c r="N251" s="20" t="n">
        <f aca="false">MROUND(M251+'Fuel &amp; Inputs'!$C$13,50)</f>
        <v>1650</v>
      </c>
      <c r="O251" s="21" t="n">
        <v>1610</v>
      </c>
      <c r="P251" s="20" t="n">
        <f aca="false">MROUND(M251*'Fuel &amp; Inputs'!$C$19*'Fuel &amp; Inputs'!$C$21,100)</f>
        <v>3300</v>
      </c>
      <c r="Q251" s="20" t="n">
        <f aca="false">MROUND(N251*'Fuel &amp; Inputs'!$C$19*'Fuel &amp; Inputs'!$C$21,100)</f>
        <v>6300</v>
      </c>
      <c r="R251" s="20" t="n">
        <f aca="false">MROUND(O251*'Fuel &amp; Inputs'!$C$19*'Fuel &amp; Inputs'!$C$21,100)</f>
        <v>6100</v>
      </c>
      <c r="S251" s="20" t="n">
        <f aca="false">MROUND(M251*'Fuel &amp; Inputs'!$C$20*'Fuel &amp; Inputs'!$C$22,500)</f>
        <v>88500</v>
      </c>
      <c r="T251" s="20" t="n">
        <f aca="false">MROUND(N251*'Fuel &amp; Inputs'!$C$20*'Fuel &amp; Inputs'!$C$22,500)</f>
        <v>168500</v>
      </c>
      <c r="U251" s="20" t="n">
        <f aca="false">MROUND(O251*'Fuel &amp; Inputs'!$C$20*'Fuel &amp; Inputs'!$C$22,500)</f>
        <v>164000</v>
      </c>
    </row>
    <row r="252" customFormat="false" ht="23.85" hidden="false" customHeight="false" outlineLevel="0" collapsed="false">
      <c r="A252" s="23" t="n">
        <v>232</v>
      </c>
      <c r="B252" s="34" t="s">
        <v>98</v>
      </c>
      <c r="C252" s="34" t="s">
        <v>623</v>
      </c>
      <c r="D252" s="34" t="s">
        <v>637</v>
      </c>
      <c r="E252" s="23" t="s">
        <v>245</v>
      </c>
      <c r="F252" s="23" t="s">
        <v>638</v>
      </c>
      <c r="G252" s="23" t="s">
        <v>639</v>
      </c>
      <c r="H252" s="23" t="s">
        <v>148</v>
      </c>
      <c r="I252" s="25" t="n">
        <v>10</v>
      </c>
      <c r="J252" s="35" t="n">
        <v>1.063</v>
      </c>
      <c r="K252" s="26" t="n">
        <f aca="false">IF(I252=0,0,IF(L252="Rs./km",MROUND(IF(H252="Petrol",'Fuel &amp; Inputs'!$C$5,'Fuel &amp; Inputs'!$C$4)/I252*J252,1),MROUND(I252*J252*IF(H252="Petrol",'Fuel &amp; Inputs'!$C$5,'Fuel &amp; Inputs'!$C$4),10)))</f>
        <v>41</v>
      </c>
      <c r="L252" s="23" t="s">
        <v>590</v>
      </c>
      <c r="M252" s="27" t="n">
        <v>870</v>
      </c>
      <c r="N252" s="26" t="n">
        <f aca="false">MROUND(M252+'Fuel &amp; Inputs'!$C$13,50)</f>
        <v>1650</v>
      </c>
      <c r="O252" s="27" t="n">
        <v>1610</v>
      </c>
      <c r="P252" s="26" t="n">
        <f aca="false">MROUND(M252*'Fuel &amp; Inputs'!$C$19*'Fuel &amp; Inputs'!$C$21,100)</f>
        <v>3300</v>
      </c>
      <c r="Q252" s="26" t="n">
        <f aca="false">MROUND(N252*'Fuel &amp; Inputs'!$C$19*'Fuel &amp; Inputs'!$C$21,100)</f>
        <v>6300</v>
      </c>
      <c r="R252" s="26" t="n">
        <f aca="false">MROUND(O252*'Fuel &amp; Inputs'!$C$19*'Fuel &amp; Inputs'!$C$21,100)</f>
        <v>6100</v>
      </c>
      <c r="S252" s="26" t="n">
        <f aca="false">MROUND(M252*'Fuel &amp; Inputs'!$C$20*'Fuel &amp; Inputs'!$C$22,500)</f>
        <v>88500</v>
      </c>
      <c r="T252" s="26" t="n">
        <f aca="false">MROUND(N252*'Fuel &amp; Inputs'!$C$20*'Fuel &amp; Inputs'!$C$22,500)</f>
        <v>168500</v>
      </c>
      <c r="U252" s="26" t="n">
        <f aca="false">MROUND(O252*'Fuel &amp; Inputs'!$C$20*'Fuel &amp; Inputs'!$C$22,500)</f>
        <v>164000</v>
      </c>
    </row>
    <row r="253" customFormat="false" ht="23.85" hidden="false" customHeight="false" outlineLevel="0" collapsed="false">
      <c r="A253" s="17" t="n">
        <v>233</v>
      </c>
      <c r="B253" s="32" t="s">
        <v>98</v>
      </c>
      <c r="C253" s="32" t="s">
        <v>623</v>
      </c>
      <c r="D253" s="32" t="s">
        <v>624</v>
      </c>
      <c r="E253" s="17" t="s">
        <v>245</v>
      </c>
      <c r="F253" s="17" t="s">
        <v>640</v>
      </c>
      <c r="G253" s="17" t="s">
        <v>641</v>
      </c>
      <c r="H253" s="17" t="s">
        <v>148</v>
      </c>
      <c r="I253" s="19" t="n">
        <v>10</v>
      </c>
      <c r="J253" s="33" t="n">
        <v>1.063</v>
      </c>
      <c r="K253" s="20" t="n">
        <f aca="false">IF(I253=0,0,IF(L253="Rs./km",MROUND(IF(H253="Petrol",'Fuel &amp; Inputs'!$C$5,'Fuel &amp; Inputs'!$C$4)/I253*J253,1),MROUND(I253*J253*IF(H253="Petrol",'Fuel &amp; Inputs'!$C$5,'Fuel &amp; Inputs'!$C$4),10)))</f>
        <v>41</v>
      </c>
      <c r="L253" s="17" t="s">
        <v>590</v>
      </c>
      <c r="M253" s="21" t="n">
        <v>870</v>
      </c>
      <c r="N253" s="20" t="n">
        <f aca="false">MROUND(M253+'Fuel &amp; Inputs'!$C$13,50)</f>
        <v>1650</v>
      </c>
      <c r="O253" s="21" t="n">
        <v>1610</v>
      </c>
      <c r="P253" s="20" t="n">
        <f aca="false">MROUND(M253*'Fuel &amp; Inputs'!$C$19*'Fuel &amp; Inputs'!$C$21,100)</f>
        <v>3300</v>
      </c>
      <c r="Q253" s="20" t="n">
        <f aca="false">MROUND(N253*'Fuel &amp; Inputs'!$C$19*'Fuel &amp; Inputs'!$C$21,100)</f>
        <v>6300</v>
      </c>
      <c r="R253" s="20" t="n">
        <f aca="false">MROUND(O253*'Fuel &amp; Inputs'!$C$19*'Fuel &amp; Inputs'!$C$21,100)</f>
        <v>6100</v>
      </c>
      <c r="S253" s="20" t="n">
        <f aca="false">MROUND(M253*'Fuel &amp; Inputs'!$C$20*'Fuel &amp; Inputs'!$C$22,500)</f>
        <v>88500</v>
      </c>
      <c r="T253" s="20" t="n">
        <f aca="false">MROUND(N253*'Fuel &amp; Inputs'!$C$20*'Fuel &amp; Inputs'!$C$22,500)</f>
        <v>168500</v>
      </c>
      <c r="U253" s="20" t="n">
        <f aca="false">MROUND(O253*'Fuel &amp; Inputs'!$C$20*'Fuel &amp; Inputs'!$C$22,500)</f>
        <v>164000</v>
      </c>
    </row>
    <row r="254" customFormat="false" ht="23.85" hidden="false" customHeight="false" outlineLevel="0" collapsed="false">
      <c r="A254" s="23" t="n">
        <v>234</v>
      </c>
      <c r="B254" s="34" t="s">
        <v>98</v>
      </c>
      <c r="C254" s="34" t="s">
        <v>642</v>
      </c>
      <c r="D254" s="34" t="s">
        <v>643</v>
      </c>
      <c r="E254" s="23" t="s">
        <v>168</v>
      </c>
      <c r="F254" s="23" t="s">
        <v>644</v>
      </c>
      <c r="G254" s="23" t="s">
        <v>645</v>
      </c>
      <c r="H254" s="23" t="s">
        <v>148</v>
      </c>
      <c r="I254" s="25" t="n">
        <v>10</v>
      </c>
      <c r="J254" s="35" t="n">
        <v>1.07</v>
      </c>
      <c r="K254" s="26" t="n">
        <f aca="false">IF(I254=0,0,IF(L254="Rs./km",MROUND(IF(H254="Petrol",'Fuel &amp; Inputs'!$C$5,'Fuel &amp; Inputs'!$C$4)/I254*J254,1),MROUND(I254*J254*IF(H254="Petrol",'Fuel &amp; Inputs'!$C$5,'Fuel &amp; Inputs'!$C$4),10)))</f>
        <v>41</v>
      </c>
      <c r="L254" s="23" t="s">
        <v>590</v>
      </c>
      <c r="M254" s="27" t="n">
        <v>870</v>
      </c>
      <c r="N254" s="26" t="n">
        <f aca="false">MROUND(M254+'Fuel &amp; Inputs'!$C$13,50)</f>
        <v>1650</v>
      </c>
      <c r="O254" s="27" t="n">
        <v>1610</v>
      </c>
      <c r="P254" s="26" t="n">
        <f aca="false">MROUND(M254*'Fuel &amp; Inputs'!$C$19*'Fuel &amp; Inputs'!$C$21,100)</f>
        <v>3300</v>
      </c>
      <c r="Q254" s="26" t="n">
        <f aca="false">MROUND(N254*'Fuel &amp; Inputs'!$C$19*'Fuel &amp; Inputs'!$C$21,100)</f>
        <v>6300</v>
      </c>
      <c r="R254" s="26" t="n">
        <f aca="false">MROUND(O254*'Fuel &amp; Inputs'!$C$19*'Fuel &amp; Inputs'!$C$21,100)</f>
        <v>6100</v>
      </c>
      <c r="S254" s="26" t="n">
        <f aca="false">MROUND(M254*'Fuel &amp; Inputs'!$C$20*'Fuel &amp; Inputs'!$C$22,500)</f>
        <v>88500</v>
      </c>
      <c r="T254" s="26" t="n">
        <f aca="false">MROUND(N254*'Fuel &amp; Inputs'!$C$20*'Fuel &amp; Inputs'!$C$22,500)</f>
        <v>168500</v>
      </c>
      <c r="U254" s="26" t="n">
        <f aca="false">MROUND(O254*'Fuel &amp; Inputs'!$C$20*'Fuel &amp; Inputs'!$C$22,500)</f>
        <v>164000</v>
      </c>
    </row>
    <row r="255" customFormat="false" ht="23.85" hidden="false" customHeight="false" outlineLevel="0" collapsed="false">
      <c r="A255" s="17" t="n">
        <v>235</v>
      </c>
      <c r="B255" s="32" t="s">
        <v>98</v>
      </c>
      <c r="C255" s="32" t="s">
        <v>642</v>
      </c>
      <c r="D255" s="32" t="s">
        <v>646</v>
      </c>
      <c r="E255" s="17" t="s">
        <v>165</v>
      </c>
      <c r="F255" s="17" t="s">
        <v>647</v>
      </c>
      <c r="G255" s="17" t="s">
        <v>648</v>
      </c>
      <c r="H255" s="17" t="s">
        <v>148</v>
      </c>
      <c r="I255" s="19" t="n">
        <v>10</v>
      </c>
      <c r="J255" s="33" t="n">
        <v>1.077</v>
      </c>
      <c r="K255" s="20" t="n">
        <f aca="false">IF(I255=0,0,IF(L255="Rs./km",MROUND(IF(H255="Petrol",'Fuel &amp; Inputs'!$C$5,'Fuel &amp; Inputs'!$C$4)/I255*J255,1),MROUND(I255*J255*IF(H255="Petrol",'Fuel &amp; Inputs'!$C$5,'Fuel &amp; Inputs'!$C$4),10)))</f>
        <v>41</v>
      </c>
      <c r="L255" s="17" t="s">
        <v>590</v>
      </c>
      <c r="M255" s="21" t="n">
        <v>870</v>
      </c>
      <c r="N255" s="20" t="n">
        <f aca="false">MROUND(M255+'Fuel &amp; Inputs'!$C$13,50)</f>
        <v>1650</v>
      </c>
      <c r="O255" s="21" t="n">
        <v>1610</v>
      </c>
      <c r="P255" s="20" t="n">
        <f aca="false">MROUND(M255*'Fuel &amp; Inputs'!$C$19*'Fuel &amp; Inputs'!$C$21,100)</f>
        <v>3300</v>
      </c>
      <c r="Q255" s="20" t="n">
        <f aca="false">MROUND(N255*'Fuel &amp; Inputs'!$C$19*'Fuel &amp; Inputs'!$C$21,100)</f>
        <v>6300</v>
      </c>
      <c r="R255" s="20" t="n">
        <f aca="false">MROUND(O255*'Fuel &amp; Inputs'!$C$19*'Fuel &amp; Inputs'!$C$21,100)</f>
        <v>6100</v>
      </c>
      <c r="S255" s="20" t="n">
        <f aca="false">MROUND(M255*'Fuel &amp; Inputs'!$C$20*'Fuel &amp; Inputs'!$C$22,500)</f>
        <v>88500</v>
      </c>
      <c r="T255" s="20" t="n">
        <f aca="false">MROUND(N255*'Fuel &amp; Inputs'!$C$20*'Fuel &amp; Inputs'!$C$22,500)</f>
        <v>168500</v>
      </c>
      <c r="U255" s="20" t="n">
        <f aca="false">MROUND(O255*'Fuel &amp; Inputs'!$C$20*'Fuel &amp; Inputs'!$C$22,500)</f>
        <v>164000</v>
      </c>
    </row>
    <row r="256" customFormat="false" ht="23.85" hidden="false" customHeight="false" outlineLevel="0" collapsed="false">
      <c r="A256" s="23" t="n">
        <v>236</v>
      </c>
      <c r="B256" s="34" t="s">
        <v>98</v>
      </c>
      <c r="C256" s="34" t="s">
        <v>623</v>
      </c>
      <c r="D256" s="34" t="s">
        <v>624</v>
      </c>
      <c r="E256" s="23" t="s">
        <v>160</v>
      </c>
      <c r="F256" s="23" t="s">
        <v>649</v>
      </c>
      <c r="G256" s="23" t="s">
        <v>650</v>
      </c>
      <c r="H256" s="23" t="s">
        <v>148</v>
      </c>
      <c r="I256" s="25" t="n">
        <v>10</v>
      </c>
      <c r="J256" s="35" t="n">
        <v>1.098</v>
      </c>
      <c r="K256" s="26" t="n">
        <f aca="false">IF(I256=0,0,IF(L256="Rs./km",MROUND(IF(H256="Petrol",'Fuel &amp; Inputs'!$C$5,'Fuel &amp; Inputs'!$C$4)/I256*J256,1),MROUND(I256*J256*IF(H256="Petrol",'Fuel &amp; Inputs'!$C$5,'Fuel &amp; Inputs'!$C$4),10)))</f>
        <v>42</v>
      </c>
      <c r="L256" s="23" t="s">
        <v>590</v>
      </c>
      <c r="M256" s="27" t="n">
        <v>780</v>
      </c>
      <c r="N256" s="26" t="n">
        <f aca="false">MROUND(M256+'Fuel &amp; Inputs'!$C$13,50)</f>
        <v>1600</v>
      </c>
      <c r="O256" s="27" t="n">
        <v>1440</v>
      </c>
      <c r="P256" s="26" t="n">
        <f aca="false">MROUND(M256*'Fuel &amp; Inputs'!$C$19*'Fuel &amp; Inputs'!$C$21,100)</f>
        <v>3000</v>
      </c>
      <c r="Q256" s="26" t="n">
        <f aca="false">MROUND(N256*'Fuel &amp; Inputs'!$C$19*'Fuel &amp; Inputs'!$C$21,100)</f>
        <v>6100</v>
      </c>
      <c r="R256" s="26" t="n">
        <f aca="false">MROUND(O256*'Fuel &amp; Inputs'!$C$19*'Fuel &amp; Inputs'!$C$21,100)</f>
        <v>5500</v>
      </c>
      <c r="S256" s="26" t="n">
        <f aca="false">MROUND(M256*'Fuel &amp; Inputs'!$C$20*'Fuel &amp; Inputs'!$C$22,500)</f>
        <v>79500</v>
      </c>
      <c r="T256" s="26" t="n">
        <f aca="false">MROUND(N256*'Fuel &amp; Inputs'!$C$20*'Fuel &amp; Inputs'!$C$22,500)</f>
        <v>163000</v>
      </c>
      <c r="U256" s="26" t="n">
        <f aca="false">MROUND(O256*'Fuel &amp; Inputs'!$C$20*'Fuel &amp; Inputs'!$C$22,500)</f>
        <v>147000</v>
      </c>
    </row>
    <row r="257" customFormat="false" ht="23.85" hidden="false" customHeight="false" outlineLevel="0" collapsed="false">
      <c r="A257" s="17" t="n">
        <v>237</v>
      </c>
      <c r="B257" s="32" t="s">
        <v>98</v>
      </c>
      <c r="C257" s="32" t="s">
        <v>642</v>
      </c>
      <c r="D257" s="32" t="s">
        <v>646</v>
      </c>
      <c r="E257" s="17" t="s">
        <v>596</v>
      </c>
      <c r="F257" s="17" t="s">
        <v>651</v>
      </c>
      <c r="G257" s="17" t="s">
        <v>652</v>
      </c>
      <c r="H257" s="17" t="s">
        <v>148</v>
      </c>
      <c r="I257" s="19" t="n">
        <v>10</v>
      </c>
      <c r="J257" s="33" t="n">
        <v>1.105</v>
      </c>
      <c r="K257" s="20" t="n">
        <f aca="false">IF(I257=0,0,IF(L257="Rs./km",MROUND(IF(H257="Petrol",'Fuel &amp; Inputs'!$C$5,'Fuel &amp; Inputs'!$C$4)/I257*J257,1),MROUND(I257*J257*IF(H257="Petrol",'Fuel &amp; Inputs'!$C$5,'Fuel &amp; Inputs'!$C$4),10)))</f>
        <v>42</v>
      </c>
      <c r="L257" s="17" t="s">
        <v>590</v>
      </c>
      <c r="M257" s="21" t="n">
        <v>780</v>
      </c>
      <c r="N257" s="20" t="n">
        <f aca="false">MROUND(M257+'Fuel &amp; Inputs'!$C$13,50)</f>
        <v>1600</v>
      </c>
      <c r="O257" s="21" t="n">
        <v>1440</v>
      </c>
      <c r="P257" s="20" t="n">
        <f aca="false">MROUND(M257*'Fuel &amp; Inputs'!$C$19*'Fuel &amp; Inputs'!$C$21,100)</f>
        <v>3000</v>
      </c>
      <c r="Q257" s="20" t="n">
        <f aca="false">MROUND(N257*'Fuel &amp; Inputs'!$C$19*'Fuel &amp; Inputs'!$C$21,100)</f>
        <v>6100</v>
      </c>
      <c r="R257" s="20" t="n">
        <f aca="false">MROUND(O257*'Fuel &amp; Inputs'!$C$19*'Fuel &amp; Inputs'!$C$21,100)</f>
        <v>5500</v>
      </c>
      <c r="S257" s="20" t="n">
        <f aca="false">MROUND(M257*'Fuel &amp; Inputs'!$C$20*'Fuel &amp; Inputs'!$C$22,500)</f>
        <v>79500</v>
      </c>
      <c r="T257" s="20" t="n">
        <f aca="false">MROUND(N257*'Fuel &amp; Inputs'!$C$20*'Fuel &amp; Inputs'!$C$22,500)</f>
        <v>163000</v>
      </c>
      <c r="U257" s="20" t="n">
        <f aca="false">MROUND(O257*'Fuel &amp; Inputs'!$C$20*'Fuel &amp; Inputs'!$C$22,500)</f>
        <v>147000</v>
      </c>
    </row>
    <row r="258" customFormat="false" ht="23.85" hidden="false" customHeight="false" outlineLevel="0" collapsed="false">
      <c r="A258" s="23" t="n">
        <v>238</v>
      </c>
      <c r="B258" s="34" t="s">
        <v>98</v>
      </c>
      <c r="C258" s="34" t="s">
        <v>269</v>
      </c>
      <c r="D258" s="34" t="s">
        <v>653</v>
      </c>
      <c r="E258" s="23" t="s">
        <v>469</v>
      </c>
      <c r="F258" s="23" t="s">
        <v>654</v>
      </c>
      <c r="G258" s="23" t="s">
        <v>655</v>
      </c>
      <c r="H258" s="23" t="s">
        <v>148</v>
      </c>
      <c r="I258" s="25" t="n">
        <v>10</v>
      </c>
      <c r="J258" s="35" t="n">
        <v>1.126</v>
      </c>
      <c r="K258" s="26" t="n">
        <f aca="false">IF(I258=0,0,IF(L258="Rs./km",MROUND(IF(H258="Petrol",'Fuel &amp; Inputs'!$C$5,'Fuel &amp; Inputs'!$C$4)/I258*J258,1),MROUND(I258*J258*IF(H258="Petrol",'Fuel &amp; Inputs'!$C$5,'Fuel &amp; Inputs'!$C$4),10)))</f>
        <v>43</v>
      </c>
      <c r="L258" s="23" t="s">
        <v>590</v>
      </c>
      <c r="M258" s="27" t="n">
        <v>680</v>
      </c>
      <c r="N258" s="26" t="n">
        <f aca="false">MROUND(M258+'Fuel &amp; Inputs'!$C$13,50)</f>
        <v>1500</v>
      </c>
      <c r="O258" s="27" t="n">
        <v>1260</v>
      </c>
      <c r="P258" s="26" t="n">
        <f aca="false">MROUND(M258*'Fuel &amp; Inputs'!$C$19*'Fuel &amp; Inputs'!$C$21,100)</f>
        <v>2600</v>
      </c>
      <c r="Q258" s="26" t="n">
        <f aca="false">MROUND(N258*'Fuel &amp; Inputs'!$C$19*'Fuel &amp; Inputs'!$C$21,100)</f>
        <v>5700</v>
      </c>
      <c r="R258" s="26" t="n">
        <f aca="false">MROUND(O258*'Fuel &amp; Inputs'!$C$19*'Fuel &amp; Inputs'!$C$21,100)</f>
        <v>4800</v>
      </c>
      <c r="S258" s="26" t="n">
        <f aca="false">MROUND(M258*'Fuel &amp; Inputs'!$C$20*'Fuel &amp; Inputs'!$C$22,500)</f>
        <v>69500</v>
      </c>
      <c r="T258" s="26" t="n">
        <f aca="false">MROUND(N258*'Fuel &amp; Inputs'!$C$20*'Fuel &amp; Inputs'!$C$22,500)</f>
        <v>153000</v>
      </c>
      <c r="U258" s="26" t="n">
        <f aca="false">MROUND(O258*'Fuel &amp; Inputs'!$C$20*'Fuel &amp; Inputs'!$C$22,500)</f>
        <v>128500</v>
      </c>
    </row>
    <row r="259" customFormat="false" ht="23.85" hidden="false" customHeight="false" outlineLevel="0" collapsed="false">
      <c r="A259" s="17" t="n">
        <v>239</v>
      </c>
      <c r="B259" s="32" t="s">
        <v>98</v>
      </c>
      <c r="C259" s="32" t="s">
        <v>623</v>
      </c>
      <c r="D259" s="32" t="s">
        <v>656</v>
      </c>
      <c r="E259" s="17" t="s">
        <v>469</v>
      </c>
      <c r="F259" s="17" t="s">
        <v>657</v>
      </c>
      <c r="G259" s="17" t="s">
        <v>658</v>
      </c>
      <c r="H259" s="17" t="s">
        <v>148</v>
      </c>
      <c r="I259" s="19" t="n">
        <v>10</v>
      </c>
      <c r="J259" s="33" t="n">
        <v>1.126</v>
      </c>
      <c r="K259" s="20" t="n">
        <f aca="false">IF(I259=0,0,IF(L259="Rs./km",MROUND(IF(H259="Petrol",'Fuel &amp; Inputs'!$C$5,'Fuel &amp; Inputs'!$C$4)/I259*J259,1),MROUND(I259*J259*IF(H259="Petrol",'Fuel &amp; Inputs'!$C$5,'Fuel &amp; Inputs'!$C$4),10)))</f>
        <v>43</v>
      </c>
      <c r="L259" s="17" t="s">
        <v>590</v>
      </c>
      <c r="M259" s="21" t="n">
        <v>680</v>
      </c>
      <c r="N259" s="20" t="n">
        <f aca="false">MROUND(M259+'Fuel &amp; Inputs'!$C$13,50)</f>
        <v>1500</v>
      </c>
      <c r="O259" s="21" t="n">
        <v>1260</v>
      </c>
      <c r="P259" s="20" t="n">
        <f aca="false">MROUND(M259*'Fuel &amp; Inputs'!$C$19*'Fuel &amp; Inputs'!$C$21,100)</f>
        <v>2600</v>
      </c>
      <c r="Q259" s="20" t="n">
        <f aca="false">MROUND(N259*'Fuel &amp; Inputs'!$C$19*'Fuel &amp; Inputs'!$C$21,100)</f>
        <v>5700</v>
      </c>
      <c r="R259" s="20" t="n">
        <f aca="false">MROUND(O259*'Fuel &amp; Inputs'!$C$19*'Fuel &amp; Inputs'!$C$21,100)</f>
        <v>4800</v>
      </c>
      <c r="S259" s="20" t="n">
        <f aca="false">MROUND(M259*'Fuel &amp; Inputs'!$C$20*'Fuel &amp; Inputs'!$C$22,500)</f>
        <v>69500</v>
      </c>
      <c r="T259" s="20" t="n">
        <f aca="false">MROUND(N259*'Fuel &amp; Inputs'!$C$20*'Fuel &amp; Inputs'!$C$22,500)</f>
        <v>153000</v>
      </c>
      <c r="U259" s="20" t="n">
        <f aca="false">MROUND(O259*'Fuel &amp; Inputs'!$C$20*'Fuel &amp; Inputs'!$C$22,500)</f>
        <v>128500</v>
      </c>
    </row>
    <row r="260" customFormat="false" ht="23.85" hidden="false" customHeight="false" outlineLevel="0" collapsed="false">
      <c r="A260" s="23" t="n">
        <v>240</v>
      </c>
      <c r="B260" s="34" t="s">
        <v>98</v>
      </c>
      <c r="C260" s="34" t="s">
        <v>623</v>
      </c>
      <c r="D260" s="34" t="s">
        <v>656</v>
      </c>
      <c r="E260" s="23" t="s">
        <v>659</v>
      </c>
      <c r="F260" s="23" t="s">
        <v>660</v>
      </c>
      <c r="G260" s="23" t="s">
        <v>661</v>
      </c>
      <c r="H260" s="23" t="s">
        <v>148</v>
      </c>
      <c r="I260" s="25" t="n">
        <v>10</v>
      </c>
      <c r="J260" s="35" t="n">
        <v>1.133</v>
      </c>
      <c r="K260" s="26" t="n">
        <f aca="false">IF(I260=0,0,IF(L260="Rs./km",MROUND(IF(H260="Petrol",'Fuel &amp; Inputs'!$C$5,'Fuel &amp; Inputs'!$C$4)/I260*J260,1),MROUND(I260*J260*IF(H260="Petrol",'Fuel &amp; Inputs'!$C$5,'Fuel &amp; Inputs'!$C$4),10)))</f>
        <v>43</v>
      </c>
      <c r="L260" s="23" t="s">
        <v>590</v>
      </c>
      <c r="M260" s="27" t="n">
        <v>680</v>
      </c>
      <c r="N260" s="26" t="n">
        <f aca="false">MROUND(M260+'Fuel &amp; Inputs'!$C$13,50)</f>
        <v>1500</v>
      </c>
      <c r="O260" s="27" t="n">
        <v>1260</v>
      </c>
      <c r="P260" s="26" t="n">
        <f aca="false">MROUND(M260*'Fuel &amp; Inputs'!$C$19*'Fuel &amp; Inputs'!$C$21,100)</f>
        <v>2600</v>
      </c>
      <c r="Q260" s="26" t="n">
        <f aca="false">MROUND(N260*'Fuel &amp; Inputs'!$C$19*'Fuel &amp; Inputs'!$C$21,100)</f>
        <v>5700</v>
      </c>
      <c r="R260" s="26" t="n">
        <f aca="false">MROUND(O260*'Fuel &amp; Inputs'!$C$19*'Fuel &amp; Inputs'!$C$21,100)</f>
        <v>4800</v>
      </c>
      <c r="S260" s="26" t="n">
        <f aca="false">MROUND(M260*'Fuel &amp; Inputs'!$C$20*'Fuel &amp; Inputs'!$C$22,500)</f>
        <v>69500</v>
      </c>
      <c r="T260" s="26" t="n">
        <f aca="false">MROUND(N260*'Fuel &amp; Inputs'!$C$20*'Fuel &amp; Inputs'!$C$22,500)</f>
        <v>153000</v>
      </c>
      <c r="U260" s="26" t="n">
        <f aca="false">MROUND(O260*'Fuel &amp; Inputs'!$C$20*'Fuel &amp; Inputs'!$C$22,500)</f>
        <v>128500</v>
      </c>
    </row>
    <row r="261" customFormat="false" ht="23.85" hidden="false" customHeight="false" outlineLevel="0" collapsed="false">
      <c r="A261" s="17" t="n">
        <v>241</v>
      </c>
      <c r="B261" s="32" t="s">
        <v>98</v>
      </c>
      <c r="C261" s="32" t="s">
        <v>623</v>
      </c>
      <c r="D261" s="32" t="s">
        <v>624</v>
      </c>
      <c r="E261" s="17" t="s">
        <v>659</v>
      </c>
      <c r="F261" s="17" t="s">
        <v>662</v>
      </c>
      <c r="G261" s="17" t="s">
        <v>663</v>
      </c>
      <c r="H261" s="17" t="s">
        <v>148</v>
      </c>
      <c r="I261" s="19" t="n">
        <v>10</v>
      </c>
      <c r="J261" s="33" t="n">
        <v>1.133</v>
      </c>
      <c r="K261" s="20" t="n">
        <f aca="false">IF(I261=0,0,IF(L261="Rs./km",MROUND(IF(H261="Petrol",'Fuel &amp; Inputs'!$C$5,'Fuel &amp; Inputs'!$C$4)/I261*J261,1),MROUND(I261*J261*IF(H261="Petrol",'Fuel &amp; Inputs'!$C$5,'Fuel &amp; Inputs'!$C$4),10)))</f>
        <v>43</v>
      </c>
      <c r="L261" s="17" t="s">
        <v>590</v>
      </c>
      <c r="M261" s="21" t="n">
        <v>680</v>
      </c>
      <c r="N261" s="20" t="n">
        <f aca="false">MROUND(M261+'Fuel &amp; Inputs'!$C$13,50)</f>
        <v>1500</v>
      </c>
      <c r="O261" s="21" t="n">
        <v>1260</v>
      </c>
      <c r="P261" s="20" t="n">
        <f aca="false">MROUND(M261*'Fuel &amp; Inputs'!$C$19*'Fuel &amp; Inputs'!$C$21,100)</f>
        <v>2600</v>
      </c>
      <c r="Q261" s="20" t="n">
        <f aca="false">MROUND(N261*'Fuel &amp; Inputs'!$C$19*'Fuel &amp; Inputs'!$C$21,100)</f>
        <v>5700</v>
      </c>
      <c r="R261" s="20" t="n">
        <f aca="false">MROUND(O261*'Fuel &amp; Inputs'!$C$19*'Fuel &amp; Inputs'!$C$21,100)</f>
        <v>4800</v>
      </c>
      <c r="S261" s="20" t="n">
        <f aca="false">MROUND(M261*'Fuel &amp; Inputs'!$C$20*'Fuel &amp; Inputs'!$C$22,500)</f>
        <v>69500</v>
      </c>
      <c r="T261" s="20" t="n">
        <f aca="false">MROUND(N261*'Fuel &amp; Inputs'!$C$20*'Fuel &amp; Inputs'!$C$22,500)</f>
        <v>153000</v>
      </c>
      <c r="U261" s="20" t="n">
        <f aca="false">MROUND(O261*'Fuel &amp; Inputs'!$C$20*'Fuel &amp; Inputs'!$C$22,500)</f>
        <v>128500</v>
      </c>
    </row>
    <row r="262" customFormat="false" ht="23.85" hidden="false" customHeight="false" outlineLevel="0" collapsed="false">
      <c r="A262" s="23" t="n">
        <v>242</v>
      </c>
      <c r="B262" s="34" t="s">
        <v>98</v>
      </c>
      <c r="C262" s="34" t="s">
        <v>623</v>
      </c>
      <c r="D262" s="34" t="s">
        <v>664</v>
      </c>
      <c r="E262" s="23" t="s">
        <v>659</v>
      </c>
      <c r="F262" s="23" t="s">
        <v>665</v>
      </c>
      <c r="G262" s="23" t="s">
        <v>666</v>
      </c>
      <c r="H262" s="23" t="s">
        <v>148</v>
      </c>
      <c r="I262" s="25" t="n">
        <v>10</v>
      </c>
      <c r="J262" s="35" t="n">
        <v>1.133</v>
      </c>
      <c r="K262" s="26" t="n">
        <f aca="false">IF(I262=0,0,IF(L262="Rs./km",MROUND(IF(H262="Petrol",'Fuel &amp; Inputs'!$C$5,'Fuel &amp; Inputs'!$C$4)/I262*J262,1),MROUND(I262*J262*IF(H262="Petrol",'Fuel &amp; Inputs'!$C$5,'Fuel &amp; Inputs'!$C$4),10)))</f>
        <v>43</v>
      </c>
      <c r="L262" s="23" t="s">
        <v>590</v>
      </c>
      <c r="M262" s="27" t="n">
        <v>680</v>
      </c>
      <c r="N262" s="26" t="n">
        <f aca="false">MROUND(M262+'Fuel &amp; Inputs'!$C$13,50)</f>
        <v>1500</v>
      </c>
      <c r="O262" s="27" t="n">
        <v>1260</v>
      </c>
      <c r="P262" s="26" t="n">
        <f aca="false">MROUND(M262*'Fuel &amp; Inputs'!$C$19*'Fuel &amp; Inputs'!$C$21,100)</f>
        <v>2600</v>
      </c>
      <c r="Q262" s="26" t="n">
        <f aca="false">MROUND(N262*'Fuel &amp; Inputs'!$C$19*'Fuel &amp; Inputs'!$C$21,100)</f>
        <v>5700</v>
      </c>
      <c r="R262" s="26" t="n">
        <f aca="false">MROUND(O262*'Fuel &amp; Inputs'!$C$19*'Fuel &amp; Inputs'!$C$21,100)</f>
        <v>4800</v>
      </c>
      <c r="S262" s="26" t="n">
        <f aca="false">MROUND(M262*'Fuel &amp; Inputs'!$C$20*'Fuel &amp; Inputs'!$C$22,500)</f>
        <v>69500</v>
      </c>
      <c r="T262" s="26" t="n">
        <f aca="false">MROUND(N262*'Fuel &amp; Inputs'!$C$20*'Fuel &amp; Inputs'!$C$22,500)</f>
        <v>153000</v>
      </c>
      <c r="U262" s="26" t="n">
        <f aca="false">MROUND(O262*'Fuel &amp; Inputs'!$C$20*'Fuel &amp; Inputs'!$C$22,500)</f>
        <v>128500</v>
      </c>
    </row>
    <row r="263" customFormat="false" ht="23.85" hidden="false" customHeight="false" outlineLevel="0" collapsed="false">
      <c r="A263" s="17" t="n">
        <v>243</v>
      </c>
      <c r="B263" s="32" t="s">
        <v>98</v>
      </c>
      <c r="C263" s="32" t="s">
        <v>623</v>
      </c>
      <c r="D263" s="32" t="s">
        <v>624</v>
      </c>
      <c r="E263" s="17" t="s">
        <v>575</v>
      </c>
      <c r="F263" s="17" t="s">
        <v>667</v>
      </c>
      <c r="G263" s="17" t="s">
        <v>668</v>
      </c>
      <c r="H263" s="17" t="s">
        <v>148</v>
      </c>
      <c r="I263" s="19" t="n">
        <v>10</v>
      </c>
      <c r="J263" s="33" t="n">
        <v>1.147</v>
      </c>
      <c r="K263" s="20" t="n">
        <f aca="false">IF(I263=0,0,IF(L263="Rs./km",MROUND(IF(H263="Petrol",'Fuel &amp; Inputs'!$C$5,'Fuel &amp; Inputs'!$C$4)/I263*J263,1),MROUND(I263*J263*IF(H263="Petrol",'Fuel &amp; Inputs'!$C$5,'Fuel &amp; Inputs'!$C$4),10)))</f>
        <v>44</v>
      </c>
      <c r="L263" s="17" t="s">
        <v>590</v>
      </c>
      <c r="M263" s="21" t="n">
        <v>680</v>
      </c>
      <c r="N263" s="20" t="n">
        <f aca="false">MROUND(M263+'Fuel &amp; Inputs'!$C$13,50)</f>
        <v>1500</v>
      </c>
      <c r="O263" s="21" t="n">
        <v>1260</v>
      </c>
      <c r="P263" s="20" t="n">
        <f aca="false">MROUND(M263*'Fuel &amp; Inputs'!$C$19*'Fuel &amp; Inputs'!$C$21,100)</f>
        <v>2600</v>
      </c>
      <c r="Q263" s="20" t="n">
        <f aca="false">MROUND(N263*'Fuel &amp; Inputs'!$C$19*'Fuel &amp; Inputs'!$C$21,100)</f>
        <v>5700</v>
      </c>
      <c r="R263" s="20" t="n">
        <f aca="false">MROUND(O263*'Fuel &amp; Inputs'!$C$19*'Fuel &amp; Inputs'!$C$21,100)</f>
        <v>4800</v>
      </c>
      <c r="S263" s="20" t="n">
        <f aca="false">MROUND(M263*'Fuel &amp; Inputs'!$C$20*'Fuel &amp; Inputs'!$C$22,500)</f>
        <v>69500</v>
      </c>
      <c r="T263" s="20" t="n">
        <f aca="false">MROUND(N263*'Fuel &amp; Inputs'!$C$20*'Fuel &amp; Inputs'!$C$22,500)</f>
        <v>153000</v>
      </c>
      <c r="U263" s="20" t="n">
        <f aca="false">MROUND(O263*'Fuel &amp; Inputs'!$C$20*'Fuel &amp; Inputs'!$C$22,500)</f>
        <v>128500</v>
      </c>
    </row>
    <row r="264" customFormat="false" ht="23.85" hidden="false" customHeight="false" outlineLevel="0" collapsed="false">
      <c r="A264" s="23" t="n">
        <v>244</v>
      </c>
      <c r="B264" s="34" t="s">
        <v>98</v>
      </c>
      <c r="C264" s="34" t="s">
        <v>669</v>
      </c>
      <c r="D264" s="34" t="s">
        <v>670</v>
      </c>
      <c r="E264" s="23" t="s">
        <v>575</v>
      </c>
      <c r="F264" s="23" t="s">
        <v>671</v>
      </c>
      <c r="G264" s="23" t="s">
        <v>672</v>
      </c>
      <c r="H264" s="23" t="s">
        <v>148</v>
      </c>
      <c r="I264" s="25" t="n">
        <v>10</v>
      </c>
      <c r="J264" s="35" t="n">
        <v>1.147</v>
      </c>
      <c r="K264" s="26" t="n">
        <f aca="false">IF(I264=0,0,IF(L264="Rs./km",MROUND(IF(H264="Petrol",'Fuel &amp; Inputs'!$C$5,'Fuel &amp; Inputs'!$C$4)/I264*J264,1),MROUND(I264*J264*IF(H264="Petrol",'Fuel &amp; Inputs'!$C$5,'Fuel &amp; Inputs'!$C$4),10)))</f>
        <v>44</v>
      </c>
      <c r="L264" s="23" t="s">
        <v>590</v>
      </c>
      <c r="M264" s="27" t="n">
        <v>680</v>
      </c>
      <c r="N264" s="26" t="n">
        <f aca="false">MROUND(M264+'Fuel &amp; Inputs'!$C$13,50)</f>
        <v>1500</v>
      </c>
      <c r="O264" s="27" t="n">
        <v>1260</v>
      </c>
      <c r="P264" s="26" t="n">
        <f aca="false">MROUND(M264*'Fuel &amp; Inputs'!$C$19*'Fuel &amp; Inputs'!$C$21,100)</f>
        <v>2600</v>
      </c>
      <c r="Q264" s="26" t="n">
        <f aca="false">MROUND(N264*'Fuel &amp; Inputs'!$C$19*'Fuel &amp; Inputs'!$C$21,100)</f>
        <v>5700</v>
      </c>
      <c r="R264" s="26" t="n">
        <f aca="false">MROUND(O264*'Fuel &amp; Inputs'!$C$19*'Fuel &amp; Inputs'!$C$21,100)</f>
        <v>4800</v>
      </c>
      <c r="S264" s="26" t="n">
        <f aca="false">MROUND(M264*'Fuel &amp; Inputs'!$C$20*'Fuel &amp; Inputs'!$C$22,500)</f>
        <v>69500</v>
      </c>
      <c r="T264" s="26" t="n">
        <f aca="false">MROUND(N264*'Fuel &amp; Inputs'!$C$20*'Fuel &amp; Inputs'!$C$22,500)</f>
        <v>153000</v>
      </c>
      <c r="U264" s="26" t="n">
        <f aca="false">MROUND(O264*'Fuel &amp; Inputs'!$C$20*'Fuel &amp; Inputs'!$C$22,500)</f>
        <v>128500</v>
      </c>
    </row>
    <row r="265" customFormat="false" ht="23.85" hidden="false" customHeight="false" outlineLevel="0" collapsed="false">
      <c r="A265" s="17" t="n">
        <v>245</v>
      </c>
      <c r="B265" s="32" t="s">
        <v>98</v>
      </c>
      <c r="C265" s="32" t="s">
        <v>269</v>
      </c>
      <c r="D265" s="32" t="s">
        <v>653</v>
      </c>
      <c r="E265" s="17" t="s">
        <v>271</v>
      </c>
      <c r="F265" s="17" t="s">
        <v>673</v>
      </c>
      <c r="G265" s="17" t="s">
        <v>674</v>
      </c>
      <c r="H265" s="17" t="s">
        <v>148</v>
      </c>
      <c r="I265" s="19" t="n">
        <v>10</v>
      </c>
      <c r="J265" s="33" t="n">
        <v>1.161</v>
      </c>
      <c r="K265" s="20" t="n">
        <f aca="false">IF(I265=0,0,IF(L265="Rs./km",MROUND(IF(H265="Petrol",'Fuel &amp; Inputs'!$C$5,'Fuel &amp; Inputs'!$C$4)/I265*J265,1),MROUND(I265*J265*IF(H265="Petrol",'Fuel &amp; Inputs'!$C$5,'Fuel &amp; Inputs'!$C$4),10)))</f>
        <v>44</v>
      </c>
      <c r="L265" s="17" t="s">
        <v>590</v>
      </c>
      <c r="M265" s="21" t="n">
        <v>620</v>
      </c>
      <c r="N265" s="20" t="n">
        <f aca="false">MROUND(M265+'Fuel &amp; Inputs'!$C$13,50)</f>
        <v>1400</v>
      </c>
      <c r="O265" s="21" t="n">
        <v>1140</v>
      </c>
      <c r="P265" s="20" t="n">
        <f aca="false">MROUND(M265*'Fuel &amp; Inputs'!$C$19*'Fuel &amp; Inputs'!$C$21,100)</f>
        <v>2400</v>
      </c>
      <c r="Q265" s="20" t="n">
        <f aca="false">MROUND(N265*'Fuel &amp; Inputs'!$C$19*'Fuel &amp; Inputs'!$C$21,100)</f>
        <v>5300</v>
      </c>
      <c r="R265" s="20" t="n">
        <f aca="false">MROUND(O265*'Fuel &amp; Inputs'!$C$19*'Fuel &amp; Inputs'!$C$21,100)</f>
        <v>4300</v>
      </c>
      <c r="S265" s="20" t="n">
        <f aca="false">MROUND(M265*'Fuel &amp; Inputs'!$C$20*'Fuel &amp; Inputs'!$C$22,500)</f>
        <v>63000</v>
      </c>
      <c r="T265" s="20" t="n">
        <f aca="false">MROUND(N265*'Fuel &amp; Inputs'!$C$20*'Fuel &amp; Inputs'!$C$22,500)</f>
        <v>143000</v>
      </c>
      <c r="U265" s="20" t="n">
        <f aca="false">MROUND(O265*'Fuel &amp; Inputs'!$C$20*'Fuel &amp; Inputs'!$C$22,500)</f>
        <v>116500</v>
      </c>
    </row>
    <row r="266" customFormat="false" ht="23.85" hidden="false" customHeight="false" outlineLevel="0" collapsed="false">
      <c r="A266" s="23" t="n">
        <v>246</v>
      </c>
      <c r="B266" s="34" t="s">
        <v>98</v>
      </c>
      <c r="C266" s="34" t="s">
        <v>269</v>
      </c>
      <c r="D266" s="34" t="s">
        <v>675</v>
      </c>
      <c r="E266" s="23" t="s">
        <v>210</v>
      </c>
      <c r="F266" s="23" t="s">
        <v>676</v>
      </c>
      <c r="G266" s="23" t="s">
        <v>677</v>
      </c>
      <c r="H266" s="23" t="s">
        <v>148</v>
      </c>
      <c r="I266" s="25" t="n">
        <v>10</v>
      </c>
      <c r="J266" s="35" t="n">
        <v>1.175</v>
      </c>
      <c r="K266" s="26" t="n">
        <f aca="false">IF(I266=0,0,IF(L266="Rs./km",MROUND(IF(H266="Petrol",'Fuel &amp; Inputs'!$C$5,'Fuel &amp; Inputs'!$C$4)/I266*J266,1),MROUND(I266*J266*IF(H266="Petrol",'Fuel &amp; Inputs'!$C$5,'Fuel &amp; Inputs'!$C$4),10)))</f>
        <v>45</v>
      </c>
      <c r="L266" s="23" t="s">
        <v>590</v>
      </c>
      <c r="M266" s="27" t="n">
        <v>550</v>
      </c>
      <c r="N266" s="26" t="n">
        <f aca="false">MROUND(M266+'Fuel &amp; Inputs'!$C$13,50)</f>
        <v>1350</v>
      </c>
      <c r="O266" s="27" t="n">
        <v>1010</v>
      </c>
      <c r="P266" s="26" t="n">
        <f aca="false">MROUND(M266*'Fuel &amp; Inputs'!$C$19*'Fuel &amp; Inputs'!$C$21,100)</f>
        <v>2100</v>
      </c>
      <c r="Q266" s="26" t="n">
        <f aca="false">MROUND(N266*'Fuel &amp; Inputs'!$C$19*'Fuel &amp; Inputs'!$C$21,100)</f>
        <v>5100</v>
      </c>
      <c r="R266" s="26" t="n">
        <f aca="false">MROUND(O266*'Fuel &amp; Inputs'!$C$19*'Fuel &amp; Inputs'!$C$21,100)</f>
        <v>3800</v>
      </c>
      <c r="S266" s="26" t="n">
        <f aca="false">MROUND(M266*'Fuel &amp; Inputs'!$C$20*'Fuel &amp; Inputs'!$C$22,500)</f>
        <v>56000</v>
      </c>
      <c r="T266" s="26" t="n">
        <f aca="false">MROUND(N266*'Fuel &amp; Inputs'!$C$20*'Fuel &amp; Inputs'!$C$22,500)</f>
        <v>137500</v>
      </c>
      <c r="U266" s="26" t="n">
        <f aca="false">MROUND(O266*'Fuel &amp; Inputs'!$C$20*'Fuel &amp; Inputs'!$C$22,500)</f>
        <v>103000</v>
      </c>
    </row>
    <row r="267" customFormat="false" ht="23.85" hidden="false" customHeight="false" outlineLevel="0" collapsed="false">
      <c r="A267" s="17" t="n">
        <v>247</v>
      </c>
      <c r="B267" s="32" t="s">
        <v>98</v>
      </c>
      <c r="C267" s="32" t="s">
        <v>274</v>
      </c>
      <c r="D267" s="32" t="s">
        <v>675</v>
      </c>
      <c r="E267" s="17" t="s">
        <v>678</v>
      </c>
      <c r="F267" s="17" t="s">
        <v>679</v>
      </c>
      <c r="G267" s="17" t="s">
        <v>680</v>
      </c>
      <c r="H267" s="17" t="s">
        <v>148</v>
      </c>
      <c r="I267" s="19" t="n">
        <v>10</v>
      </c>
      <c r="J267" s="33" t="n">
        <v>1.175</v>
      </c>
      <c r="K267" s="20" t="n">
        <f aca="false">IF(I267=0,0,IF(L267="Rs./km",MROUND(IF(H267="Petrol",'Fuel &amp; Inputs'!$C$5,'Fuel &amp; Inputs'!$C$4)/I267*J267,1),MROUND(I267*J267*IF(H267="Petrol",'Fuel &amp; Inputs'!$C$5,'Fuel &amp; Inputs'!$C$4),10)))</f>
        <v>45</v>
      </c>
      <c r="L267" s="17" t="s">
        <v>590</v>
      </c>
      <c r="M267" s="21" t="n">
        <v>550</v>
      </c>
      <c r="N267" s="20" t="n">
        <f aca="false">MROUND(M267+'Fuel &amp; Inputs'!$C$13,50)</f>
        <v>1350</v>
      </c>
      <c r="O267" s="21" t="n">
        <v>1010</v>
      </c>
      <c r="P267" s="20" t="n">
        <f aca="false">MROUND(M267*'Fuel &amp; Inputs'!$C$19*'Fuel &amp; Inputs'!$C$21,100)</f>
        <v>2100</v>
      </c>
      <c r="Q267" s="20" t="n">
        <f aca="false">MROUND(N267*'Fuel &amp; Inputs'!$C$19*'Fuel &amp; Inputs'!$C$21,100)</f>
        <v>5100</v>
      </c>
      <c r="R267" s="20" t="n">
        <f aca="false">MROUND(O267*'Fuel &amp; Inputs'!$C$19*'Fuel &amp; Inputs'!$C$21,100)</f>
        <v>3800</v>
      </c>
      <c r="S267" s="20" t="n">
        <f aca="false">MROUND(M267*'Fuel &amp; Inputs'!$C$20*'Fuel &amp; Inputs'!$C$22,500)</f>
        <v>56000</v>
      </c>
      <c r="T267" s="20" t="n">
        <f aca="false">MROUND(N267*'Fuel &amp; Inputs'!$C$20*'Fuel &amp; Inputs'!$C$22,500)</f>
        <v>137500</v>
      </c>
      <c r="U267" s="20" t="n">
        <f aca="false">MROUND(O267*'Fuel &amp; Inputs'!$C$20*'Fuel &amp; Inputs'!$C$22,500)</f>
        <v>103000</v>
      </c>
    </row>
    <row r="268" customFormat="false" ht="23.85" hidden="false" customHeight="false" outlineLevel="0" collapsed="false">
      <c r="A268" s="23" t="n">
        <v>248</v>
      </c>
      <c r="B268" s="34" t="s">
        <v>98</v>
      </c>
      <c r="C268" s="34" t="s">
        <v>681</v>
      </c>
      <c r="D268" s="34" t="s">
        <v>675</v>
      </c>
      <c r="E268" s="23" t="s">
        <v>682</v>
      </c>
      <c r="F268" s="23" t="s">
        <v>683</v>
      </c>
      <c r="G268" s="23" t="s">
        <v>684</v>
      </c>
      <c r="H268" s="23" t="s">
        <v>148</v>
      </c>
      <c r="I268" s="25" t="n">
        <v>10</v>
      </c>
      <c r="J268" s="35" t="n">
        <v>1.175</v>
      </c>
      <c r="K268" s="26" t="n">
        <f aca="false">IF(I268=0,0,IF(L268="Rs./km",MROUND(IF(H268="Petrol",'Fuel &amp; Inputs'!$C$5,'Fuel &amp; Inputs'!$C$4)/I268*J268,1),MROUND(I268*J268*IF(H268="Petrol",'Fuel &amp; Inputs'!$C$5,'Fuel &amp; Inputs'!$C$4),10)))</f>
        <v>45</v>
      </c>
      <c r="L268" s="23" t="s">
        <v>590</v>
      </c>
      <c r="M268" s="27" t="n">
        <v>550</v>
      </c>
      <c r="N268" s="26" t="n">
        <f aca="false">MROUND(M268+'Fuel &amp; Inputs'!$C$13,50)</f>
        <v>1350</v>
      </c>
      <c r="O268" s="27" t="n">
        <v>1010</v>
      </c>
      <c r="P268" s="26" t="n">
        <f aca="false">MROUND(M268*'Fuel &amp; Inputs'!$C$19*'Fuel &amp; Inputs'!$C$21,100)</f>
        <v>2100</v>
      </c>
      <c r="Q268" s="26" t="n">
        <f aca="false">MROUND(N268*'Fuel &amp; Inputs'!$C$19*'Fuel &amp; Inputs'!$C$21,100)</f>
        <v>5100</v>
      </c>
      <c r="R268" s="26" t="n">
        <f aca="false">MROUND(O268*'Fuel &amp; Inputs'!$C$19*'Fuel &amp; Inputs'!$C$21,100)</f>
        <v>3800</v>
      </c>
      <c r="S268" s="26" t="n">
        <f aca="false">MROUND(M268*'Fuel &amp; Inputs'!$C$20*'Fuel &amp; Inputs'!$C$22,500)</f>
        <v>56000</v>
      </c>
      <c r="T268" s="26" t="n">
        <f aca="false">MROUND(N268*'Fuel &amp; Inputs'!$C$20*'Fuel &amp; Inputs'!$C$22,500)</f>
        <v>137500</v>
      </c>
      <c r="U268" s="26" t="n">
        <f aca="false">MROUND(O268*'Fuel &amp; Inputs'!$C$20*'Fuel &amp; Inputs'!$C$22,500)</f>
        <v>103000</v>
      </c>
    </row>
    <row r="269" customFormat="false" ht="23.85" hidden="false" customHeight="false" outlineLevel="0" collapsed="false">
      <c r="A269" s="17" t="n">
        <v>249</v>
      </c>
      <c r="B269" s="32" t="s">
        <v>98</v>
      </c>
      <c r="C269" s="32" t="s">
        <v>681</v>
      </c>
      <c r="D269" s="32" t="s">
        <v>675</v>
      </c>
      <c r="E269" s="17" t="s">
        <v>217</v>
      </c>
      <c r="F269" s="17" t="s">
        <v>685</v>
      </c>
      <c r="G269" s="17" t="s">
        <v>686</v>
      </c>
      <c r="H269" s="17" t="s">
        <v>148</v>
      </c>
      <c r="I269" s="19" t="n">
        <v>10</v>
      </c>
      <c r="J269" s="33" t="n">
        <v>1</v>
      </c>
      <c r="K269" s="20" t="n">
        <f aca="false">IF(I269=0,0,IF(L269="Rs./km",MROUND(IF(H269="Petrol",'Fuel &amp; Inputs'!$C$5,'Fuel &amp; Inputs'!$C$4)/I269*J269,1),MROUND(I269*J269*IF(H269="Petrol",'Fuel &amp; Inputs'!$C$5,'Fuel &amp; Inputs'!$C$4),10)))</f>
        <v>38</v>
      </c>
      <c r="L269" s="17" t="s">
        <v>590</v>
      </c>
      <c r="M269" s="21" t="n">
        <v>550</v>
      </c>
      <c r="N269" s="20" t="n">
        <f aca="false">MROUND(M269+'Fuel &amp; Inputs'!$C$13,50)</f>
        <v>1350</v>
      </c>
      <c r="O269" s="21" t="n">
        <v>1010</v>
      </c>
      <c r="P269" s="20" t="n">
        <f aca="false">MROUND(M269*'Fuel &amp; Inputs'!$C$19*'Fuel &amp; Inputs'!$C$21,100)</f>
        <v>2100</v>
      </c>
      <c r="Q269" s="20" t="n">
        <f aca="false">MROUND(N269*'Fuel &amp; Inputs'!$C$19*'Fuel &amp; Inputs'!$C$21,100)</f>
        <v>5100</v>
      </c>
      <c r="R269" s="20" t="n">
        <f aca="false">MROUND(O269*'Fuel &amp; Inputs'!$C$19*'Fuel &amp; Inputs'!$C$21,100)</f>
        <v>3800</v>
      </c>
      <c r="S269" s="20" t="n">
        <f aca="false">MROUND(M269*'Fuel &amp; Inputs'!$C$20*'Fuel &amp; Inputs'!$C$22,500)</f>
        <v>56000</v>
      </c>
      <c r="T269" s="20" t="n">
        <f aca="false">MROUND(N269*'Fuel &amp; Inputs'!$C$20*'Fuel &amp; Inputs'!$C$22,500)</f>
        <v>137500</v>
      </c>
      <c r="U269" s="20" t="n">
        <f aca="false">MROUND(O269*'Fuel &amp; Inputs'!$C$20*'Fuel &amp; Inputs'!$C$22,500)</f>
        <v>103000</v>
      </c>
    </row>
    <row r="270" customFormat="false" ht="23.85" hidden="false" customHeight="false" outlineLevel="0" collapsed="false">
      <c r="A270" s="23" t="n">
        <v>250</v>
      </c>
      <c r="B270" s="34" t="s">
        <v>98</v>
      </c>
      <c r="C270" s="34" t="s">
        <v>623</v>
      </c>
      <c r="D270" s="34" t="s">
        <v>217</v>
      </c>
      <c r="E270" s="23" t="s">
        <v>217</v>
      </c>
      <c r="F270" s="23" t="s">
        <v>217</v>
      </c>
      <c r="G270" s="23" t="s">
        <v>636</v>
      </c>
      <c r="H270" s="23" t="s">
        <v>148</v>
      </c>
      <c r="I270" s="25" t="n">
        <v>10</v>
      </c>
      <c r="J270" s="35" t="n">
        <v>1</v>
      </c>
      <c r="K270" s="26" t="n">
        <f aca="false">IF(I270=0,0,IF(L270="Rs./km",MROUND(IF(H270="Petrol",'Fuel &amp; Inputs'!$C$5,'Fuel &amp; Inputs'!$C$4)/I270*J270,1),MROUND(I270*J270*IF(H270="Petrol",'Fuel &amp; Inputs'!$C$5,'Fuel &amp; Inputs'!$C$4),10)))</f>
        <v>38</v>
      </c>
      <c r="L270" s="23" t="s">
        <v>590</v>
      </c>
      <c r="M270" s="27" t="n">
        <v>550</v>
      </c>
      <c r="N270" s="26" t="n">
        <f aca="false">MROUND(M270+'Fuel &amp; Inputs'!$C$13,50)</f>
        <v>1350</v>
      </c>
      <c r="O270" s="27" t="n">
        <v>1010</v>
      </c>
      <c r="P270" s="26" t="n">
        <f aca="false">MROUND(M270*'Fuel &amp; Inputs'!$C$19*'Fuel &amp; Inputs'!$C$21,100)</f>
        <v>2100</v>
      </c>
      <c r="Q270" s="26" t="n">
        <f aca="false">MROUND(N270*'Fuel &amp; Inputs'!$C$19*'Fuel &amp; Inputs'!$C$21,100)</f>
        <v>5100</v>
      </c>
      <c r="R270" s="26" t="n">
        <f aca="false">MROUND(O270*'Fuel &amp; Inputs'!$C$19*'Fuel &amp; Inputs'!$C$21,100)</f>
        <v>3800</v>
      </c>
      <c r="S270" s="26" t="n">
        <f aca="false">MROUND(M270*'Fuel &amp; Inputs'!$C$20*'Fuel &amp; Inputs'!$C$22,500)</f>
        <v>56000</v>
      </c>
      <c r="T270" s="26" t="n">
        <f aca="false">MROUND(N270*'Fuel &amp; Inputs'!$C$20*'Fuel &amp; Inputs'!$C$22,500)</f>
        <v>137500</v>
      </c>
      <c r="U270" s="26" t="n">
        <f aca="false">MROUND(O270*'Fuel &amp; Inputs'!$C$20*'Fuel &amp; Inputs'!$C$22,500)</f>
        <v>103000</v>
      </c>
    </row>
    <row r="271" customFormat="false" ht="15" hidden="false" customHeight="true" outlineLevel="0" collapsed="false">
      <c r="A271" s="31" t="s">
        <v>687</v>
      </c>
      <c r="B271" s="31"/>
      <c r="C271" s="31"/>
      <c r="D271" s="31"/>
      <c r="E271" s="31"/>
      <c r="F271" s="31"/>
      <c r="G271" s="31"/>
      <c r="H271" s="31"/>
      <c r="I271" s="31"/>
      <c r="J271" s="31"/>
      <c r="K271" s="31"/>
      <c r="L271" s="31"/>
      <c r="M271" s="31"/>
      <c r="N271" s="31"/>
      <c r="O271" s="31"/>
      <c r="P271" s="31"/>
      <c r="Q271" s="31"/>
      <c r="R271" s="31"/>
      <c r="S271" s="31"/>
      <c r="T271" s="31"/>
      <c r="U271" s="31"/>
    </row>
    <row r="272" customFormat="false" ht="15" hidden="false" customHeight="false" outlineLevel="0" collapsed="false">
      <c r="A272" s="17" t="n">
        <v>251</v>
      </c>
      <c r="B272" s="32" t="s">
        <v>100</v>
      </c>
      <c r="C272" s="32" t="s">
        <v>623</v>
      </c>
      <c r="D272" s="32" t="s">
        <v>688</v>
      </c>
      <c r="E272" s="17" t="s">
        <v>198</v>
      </c>
      <c r="F272" s="17" t="s">
        <v>217</v>
      </c>
      <c r="G272" s="17" t="s">
        <v>689</v>
      </c>
      <c r="H272" s="17" t="s">
        <v>148</v>
      </c>
      <c r="I272" s="19" t="n">
        <v>10</v>
      </c>
      <c r="J272" s="33" t="n">
        <v>1.14</v>
      </c>
      <c r="K272" s="20" t="n">
        <f aca="false">IF(I272=0,0,IF(L272="Rs./km",MROUND(IF(H272="Petrol",'Fuel &amp; Inputs'!$C$5,'Fuel &amp; Inputs'!$C$4)/I272*J272,1),MROUND(I272*J272*IF(H272="Petrol",'Fuel &amp; Inputs'!$C$5,'Fuel &amp; Inputs'!$C$4),10)))</f>
        <v>44</v>
      </c>
      <c r="L272" s="17" t="s">
        <v>590</v>
      </c>
      <c r="M272" s="21" t="n">
        <v>650</v>
      </c>
      <c r="N272" s="20" t="n">
        <f aca="false">MROUND(M272+'Fuel &amp; Inputs'!$C$13,50)</f>
        <v>1450</v>
      </c>
      <c r="O272" s="21" t="n">
        <v>1150</v>
      </c>
      <c r="P272" s="20" t="n">
        <f aca="false">MROUND(M272*'Fuel &amp; Inputs'!$C$19*'Fuel &amp; Inputs'!$C$21,100)</f>
        <v>2500</v>
      </c>
      <c r="Q272" s="20" t="n">
        <f aca="false">MROUND(N272*'Fuel &amp; Inputs'!$C$19*'Fuel &amp; Inputs'!$C$21,100)</f>
        <v>5500</v>
      </c>
      <c r="R272" s="20" t="n">
        <f aca="false">MROUND(O272*'Fuel &amp; Inputs'!$C$19*'Fuel &amp; Inputs'!$C$21,100)</f>
        <v>4400</v>
      </c>
      <c r="S272" s="20" t="n">
        <f aca="false">MROUND(M272*'Fuel &amp; Inputs'!$C$20*'Fuel &amp; Inputs'!$C$22,500)</f>
        <v>66500</v>
      </c>
      <c r="T272" s="20" t="n">
        <f aca="false">MROUND(N272*'Fuel &amp; Inputs'!$C$20*'Fuel &amp; Inputs'!$C$22,500)</f>
        <v>148000</v>
      </c>
      <c r="U272" s="20" t="n">
        <f aca="false">MROUND(O272*'Fuel &amp; Inputs'!$C$20*'Fuel &amp; Inputs'!$C$22,500)</f>
        <v>117500</v>
      </c>
    </row>
    <row r="273" customFormat="false" ht="23.85" hidden="false" customHeight="false" outlineLevel="0" collapsed="false">
      <c r="A273" s="23" t="n">
        <v>252</v>
      </c>
      <c r="B273" s="34" t="s">
        <v>100</v>
      </c>
      <c r="C273" s="34" t="s">
        <v>623</v>
      </c>
      <c r="D273" s="34" t="s">
        <v>690</v>
      </c>
      <c r="E273" s="23" t="s">
        <v>691</v>
      </c>
      <c r="F273" s="23" t="s">
        <v>217</v>
      </c>
      <c r="G273" s="23" t="s">
        <v>692</v>
      </c>
      <c r="H273" s="23" t="s">
        <v>148</v>
      </c>
      <c r="I273" s="25" t="n">
        <v>10</v>
      </c>
      <c r="J273" s="35" t="n">
        <v>1.175</v>
      </c>
      <c r="K273" s="26" t="n">
        <f aca="false">IF(I273=0,0,IF(L273="Rs./km",MROUND(IF(H273="Petrol",'Fuel &amp; Inputs'!$C$5,'Fuel &amp; Inputs'!$C$4)/I273*J273,1),MROUND(I273*J273*IF(H273="Petrol",'Fuel &amp; Inputs'!$C$5,'Fuel &amp; Inputs'!$C$4),10)))</f>
        <v>45</v>
      </c>
      <c r="L273" s="23" t="s">
        <v>590</v>
      </c>
      <c r="M273" s="27" t="n">
        <v>520</v>
      </c>
      <c r="N273" s="26" t="n">
        <f aca="false">MROUND(M273+'Fuel &amp; Inputs'!$C$13,50)</f>
        <v>1300</v>
      </c>
      <c r="O273" s="27" t="n">
        <v>930</v>
      </c>
      <c r="P273" s="26" t="n">
        <f aca="false">MROUND(M273*'Fuel &amp; Inputs'!$C$19*'Fuel &amp; Inputs'!$C$21,100)</f>
        <v>2000</v>
      </c>
      <c r="Q273" s="26" t="n">
        <f aca="false">MROUND(N273*'Fuel &amp; Inputs'!$C$19*'Fuel &amp; Inputs'!$C$21,100)</f>
        <v>4900</v>
      </c>
      <c r="R273" s="26" t="n">
        <f aca="false">MROUND(O273*'Fuel &amp; Inputs'!$C$19*'Fuel &amp; Inputs'!$C$21,100)</f>
        <v>3500</v>
      </c>
      <c r="S273" s="26" t="n">
        <f aca="false">MROUND(M273*'Fuel &amp; Inputs'!$C$20*'Fuel &amp; Inputs'!$C$22,500)</f>
        <v>53000</v>
      </c>
      <c r="T273" s="26" t="n">
        <f aca="false">MROUND(N273*'Fuel &amp; Inputs'!$C$20*'Fuel &amp; Inputs'!$C$22,500)</f>
        <v>132500</v>
      </c>
      <c r="U273" s="26" t="n">
        <f aca="false">MROUND(O273*'Fuel &amp; Inputs'!$C$20*'Fuel &amp; Inputs'!$C$22,500)</f>
        <v>95000</v>
      </c>
    </row>
    <row r="274" customFormat="false" ht="15" hidden="false" customHeight="false" outlineLevel="0" collapsed="false">
      <c r="A274" s="17" t="n">
        <v>253</v>
      </c>
      <c r="B274" s="32" t="s">
        <v>100</v>
      </c>
      <c r="C274" s="32" t="s">
        <v>623</v>
      </c>
      <c r="D274" s="32" t="s">
        <v>693</v>
      </c>
      <c r="E274" s="17" t="s">
        <v>694</v>
      </c>
      <c r="F274" s="17" t="s">
        <v>695</v>
      </c>
      <c r="G274" s="17" t="s">
        <v>696</v>
      </c>
      <c r="H274" s="17" t="s">
        <v>148</v>
      </c>
      <c r="I274" s="19" t="n">
        <v>10</v>
      </c>
      <c r="J274" s="33" t="n">
        <v>1.175</v>
      </c>
      <c r="K274" s="20" t="n">
        <f aca="false">IF(I274=0,0,IF(L274="Rs./km",MROUND(IF(H274="Petrol",'Fuel &amp; Inputs'!$C$5,'Fuel &amp; Inputs'!$C$4)/I274*J274,1),MROUND(I274*J274*IF(H274="Petrol",'Fuel &amp; Inputs'!$C$5,'Fuel &amp; Inputs'!$C$4),10)))</f>
        <v>45</v>
      </c>
      <c r="L274" s="17" t="s">
        <v>590</v>
      </c>
      <c r="M274" s="21" t="n">
        <v>520</v>
      </c>
      <c r="N274" s="20" t="n">
        <f aca="false">MROUND(M274+'Fuel &amp; Inputs'!$C$13,50)</f>
        <v>1300</v>
      </c>
      <c r="O274" s="21" t="n">
        <v>930</v>
      </c>
      <c r="P274" s="20" t="n">
        <f aca="false">MROUND(M274*'Fuel &amp; Inputs'!$C$19*'Fuel &amp; Inputs'!$C$21,100)</f>
        <v>2000</v>
      </c>
      <c r="Q274" s="20" t="n">
        <f aca="false">MROUND(N274*'Fuel &amp; Inputs'!$C$19*'Fuel &amp; Inputs'!$C$21,100)</f>
        <v>4900</v>
      </c>
      <c r="R274" s="20" t="n">
        <f aca="false">MROUND(O274*'Fuel &amp; Inputs'!$C$19*'Fuel &amp; Inputs'!$C$21,100)</f>
        <v>3500</v>
      </c>
      <c r="S274" s="20" t="n">
        <f aca="false">MROUND(M274*'Fuel &amp; Inputs'!$C$20*'Fuel &amp; Inputs'!$C$22,500)</f>
        <v>53000</v>
      </c>
      <c r="T274" s="20" t="n">
        <f aca="false">MROUND(N274*'Fuel &amp; Inputs'!$C$20*'Fuel &amp; Inputs'!$C$22,500)</f>
        <v>132500</v>
      </c>
      <c r="U274" s="20" t="n">
        <f aca="false">MROUND(O274*'Fuel &amp; Inputs'!$C$20*'Fuel &amp; Inputs'!$C$22,500)</f>
        <v>95000</v>
      </c>
    </row>
    <row r="275" customFormat="false" ht="15" hidden="false" customHeight="true" outlineLevel="0" collapsed="false">
      <c r="A275" s="31" t="s">
        <v>697</v>
      </c>
      <c r="B275" s="31"/>
      <c r="C275" s="31"/>
      <c r="D275" s="31"/>
      <c r="E275" s="31"/>
      <c r="F275" s="31"/>
      <c r="G275" s="31"/>
      <c r="H275" s="31"/>
      <c r="I275" s="31"/>
      <c r="J275" s="31"/>
      <c r="K275" s="31"/>
      <c r="L275" s="31"/>
      <c r="M275" s="31"/>
      <c r="N275" s="31"/>
      <c r="O275" s="31"/>
      <c r="P275" s="31"/>
      <c r="Q275" s="31"/>
      <c r="R275" s="31"/>
      <c r="S275" s="31"/>
      <c r="T275" s="31"/>
      <c r="U275" s="31"/>
    </row>
    <row r="276" customFormat="false" ht="15" hidden="false" customHeight="false" outlineLevel="0" collapsed="false">
      <c r="A276" s="23" t="n">
        <v>254</v>
      </c>
      <c r="B276" s="34" t="s">
        <v>102</v>
      </c>
      <c r="C276" s="34" t="s">
        <v>698</v>
      </c>
      <c r="D276" s="34" t="s">
        <v>699</v>
      </c>
      <c r="E276" s="23" t="s">
        <v>174</v>
      </c>
      <c r="F276" s="23" t="s">
        <v>700</v>
      </c>
      <c r="G276" s="23" t="s">
        <v>701</v>
      </c>
      <c r="H276" s="23" t="s">
        <v>148</v>
      </c>
      <c r="I276" s="25" t="n">
        <v>10</v>
      </c>
      <c r="J276" s="35" t="n">
        <v>1.049</v>
      </c>
      <c r="K276" s="26" t="n">
        <f aca="false">IF(I276=0,0,IF(L276="Rs./km",MROUND(IF(H276="Petrol",'Fuel &amp; Inputs'!$C$5,'Fuel &amp; Inputs'!$C$4)/I276*J276,1),MROUND(I276*J276*IF(H276="Petrol",'Fuel &amp; Inputs'!$C$5,'Fuel &amp; Inputs'!$C$4),10)))</f>
        <v>40</v>
      </c>
      <c r="L276" s="23" t="s">
        <v>590</v>
      </c>
      <c r="M276" s="27" t="n">
        <v>690</v>
      </c>
      <c r="N276" s="26" t="n">
        <f aca="false">MROUND(M276+'Fuel &amp; Inputs'!$C$13,50)</f>
        <v>1500</v>
      </c>
      <c r="O276" s="27" t="n">
        <v>1290</v>
      </c>
      <c r="P276" s="26" t="n">
        <f aca="false">MROUND(M276*'Fuel &amp; Inputs'!$C$19*'Fuel &amp; Inputs'!$C$21,100)</f>
        <v>2600</v>
      </c>
      <c r="Q276" s="26" t="n">
        <f aca="false">MROUND(N276*'Fuel &amp; Inputs'!$C$19*'Fuel &amp; Inputs'!$C$21,100)</f>
        <v>5700</v>
      </c>
      <c r="R276" s="26" t="n">
        <f aca="false">MROUND(O276*'Fuel &amp; Inputs'!$C$19*'Fuel &amp; Inputs'!$C$21,100)</f>
        <v>4900</v>
      </c>
      <c r="S276" s="26" t="n">
        <f aca="false">MROUND(M276*'Fuel &amp; Inputs'!$C$20*'Fuel &amp; Inputs'!$C$22,500)</f>
        <v>70500</v>
      </c>
      <c r="T276" s="26" t="n">
        <f aca="false">MROUND(N276*'Fuel &amp; Inputs'!$C$20*'Fuel &amp; Inputs'!$C$22,500)</f>
        <v>153000</v>
      </c>
      <c r="U276" s="26" t="n">
        <f aca="false">MROUND(O276*'Fuel &amp; Inputs'!$C$20*'Fuel &amp; Inputs'!$C$22,500)</f>
        <v>131500</v>
      </c>
    </row>
    <row r="277" customFormat="false" ht="15" hidden="false" customHeight="false" outlineLevel="0" collapsed="false">
      <c r="A277" s="17" t="n">
        <v>255</v>
      </c>
      <c r="B277" s="32" t="s">
        <v>102</v>
      </c>
      <c r="C277" s="32" t="s">
        <v>274</v>
      </c>
      <c r="D277" s="32" t="s">
        <v>702</v>
      </c>
      <c r="E277" s="17" t="s">
        <v>298</v>
      </c>
      <c r="F277" s="17" t="s">
        <v>703</v>
      </c>
      <c r="G277" s="17" t="s">
        <v>704</v>
      </c>
      <c r="H277" s="17" t="s">
        <v>148</v>
      </c>
      <c r="I277" s="19" t="n">
        <v>10</v>
      </c>
      <c r="J277" s="33" t="n">
        <v>1.056</v>
      </c>
      <c r="K277" s="20" t="n">
        <f aca="false">IF(I277=0,0,IF(L277="Rs./km",MROUND(IF(H277="Petrol",'Fuel &amp; Inputs'!$C$5,'Fuel &amp; Inputs'!$C$4)/I277*J277,1),MROUND(I277*J277*IF(H277="Petrol",'Fuel &amp; Inputs'!$C$5,'Fuel &amp; Inputs'!$C$4),10)))</f>
        <v>40</v>
      </c>
      <c r="L277" s="17" t="s">
        <v>590</v>
      </c>
      <c r="M277" s="21" t="n">
        <v>690</v>
      </c>
      <c r="N277" s="20" t="n">
        <f aca="false">MROUND(M277+'Fuel &amp; Inputs'!$C$13,50)</f>
        <v>1500</v>
      </c>
      <c r="O277" s="21" t="n">
        <v>1290</v>
      </c>
      <c r="P277" s="20" t="n">
        <f aca="false">MROUND(M277*'Fuel &amp; Inputs'!$C$19*'Fuel &amp; Inputs'!$C$21,100)</f>
        <v>2600</v>
      </c>
      <c r="Q277" s="20" t="n">
        <f aca="false">MROUND(N277*'Fuel &amp; Inputs'!$C$19*'Fuel &amp; Inputs'!$C$21,100)</f>
        <v>5700</v>
      </c>
      <c r="R277" s="20" t="n">
        <f aca="false">MROUND(O277*'Fuel &amp; Inputs'!$C$19*'Fuel &amp; Inputs'!$C$21,100)</f>
        <v>4900</v>
      </c>
      <c r="S277" s="20" t="n">
        <f aca="false">MROUND(M277*'Fuel &amp; Inputs'!$C$20*'Fuel &amp; Inputs'!$C$22,500)</f>
        <v>70500</v>
      </c>
      <c r="T277" s="20" t="n">
        <f aca="false">MROUND(N277*'Fuel &amp; Inputs'!$C$20*'Fuel &amp; Inputs'!$C$22,500)</f>
        <v>153000</v>
      </c>
      <c r="U277" s="20" t="n">
        <f aca="false">MROUND(O277*'Fuel &amp; Inputs'!$C$20*'Fuel &amp; Inputs'!$C$22,500)</f>
        <v>131500</v>
      </c>
    </row>
    <row r="278" customFormat="false" ht="15" hidden="false" customHeight="false" outlineLevel="0" collapsed="false">
      <c r="A278" s="23" t="n">
        <v>256</v>
      </c>
      <c r="B278" s="34" t="s">
        <v>102</v>
      </c>
      <c r="C278" s="34" t="s">
        <v>698</v>
      </c>
      <c r="D278" s="34" t="s">
        <v>705</v>
      </c>
      <c r="E278" s="23" t="s">
        <v>245</v>
      </c>
      <c r="F278" s="23" t="s">
        <v>706</v>
      </c>
      <c r="G278" s="23" t="s">
        <v>707</v>
      </c>
      <c r="H278" s="23" t="s">
        <v>148</v>
      </c>
      <c r="I278" s="25" t="n">
        <v>10</v>
      </c>
      <c r="J278" s="35" t="n">
        <v>1.063</v>
      </c>
      <c r="K278" s="26" t="n">
        <f aca="false">IF(I278=0,0,IF(L278="Rs./km",MROUND(IF(H278="Petrol",'Fuel &amp; Inputs'!$C$5,'Fuel &amp; Inputs'!$C$4)/I278*J278,1),MROUND(I278*J278*IF(H278="Petrol",'Fuel &amp; Inputs'!$C$5,'Fuel &amp; Inputs'!$C$4),10)))</f>
        <v>41</v>
      </c>
      <c r="L278" s="23" t="s">
        <v>590</v>
      </c>
      <c r="M278" s="27" t="n">
        <v>690</v>
      </c>
      <c r="N278" s="26" t="n">
        <f aca="false">MROUND(M278+'Fuel &amp; Inputs'!$C$13,50)</f>
        <v>1500</v>
      </c>
      <c r="O278" s="27" t="n">
        <v>1290</v>
      </c>
      <c r="P278" s="26" t="n">
        <f aca="false">MROUND(M278*'Fuel &amp; Inputs'!$C$19*'Fuel &amp; Inputs'!$C$21,100)</f>
        <v>2600</v>
      </c>
      <c r="Q278" s="26" t="n">
        <f aca="false">MROUND(N278*'Fuel &amp; Inputs'!$C$19*'Fuel &amp; Inputs'!$C$21,100)</f>
        <v>5700</v>
      </c>
      <c r="R278" s="26" t="n">
        <f aca="false">MROUND(O278*'Fuel &amp; Inputs'!$C$19*'Fuel &amp; Inputs'!$C$21,100)</f>
        <v>4900</v>
      </c>
      <c r="S278" s="26" t="n">
        <f aca="false">MROUND(M278*'Fuel &amp; Inputs'!$C$20*'Fuel &amp; Inputs'!$C$22,500)</f>
        <v>70500</v>
      </c>
      <c r="T278" s="26" t="n">
        <f aca="false">MROUND(N278*'Fuel &amp; Inputs'!$C$20*'Fuel &amp; Inputs'!$C$22,500)</f>
        <v>153000</v>
      </c>
      <c r="U278" s="26" t="n">
        <f aca="false">MROUND(O278*'Fuel &amp; Inputs'!$C$20*'Fuel &amp; Inputs'!$C$22,500)</f>
        <v>131500</v>
      </c>
    </row>
    <row r="279" customFormat="false" ht="15" hidden="false" customHeight="false" outlineLevel="0" collapsed="false">
      <c r="A279" s="17" t="n">
        <v>257</v>
      </c>
      <c r="B279" s="32" t="s">
        <v>102</v>
      </c>
      <c r="C279" s="32" t="s">
        <v>698</v>
      </c>
      <c r="D279" s="32" t="s">
        <v>699</v>
      </c>
      <c r="E279" s="17" t="s">
        <v>168</v>
      </c>
      <c r="F279" s="17" t="s">
        <v>708</v>
      </c>
      <c r="G279" s="17" t="s">
        <v>709</v>
      </c>
      <c r="H279" s="17" t="s">
        <v>148</v>
      </c>
      <c r="I279" s="19" t="n">
        <v>10</v>
      </c>
      <c r="J279" s="33" t="n">
        <v>1.07</v>
      </c>
      <c r="K279" s="20" t="n">
        <f aca="false">IF(I279=0,0,IF(L279="Rs./km",MROUND(IF(H279="Petrol",'Fuel &amp; Inputs'!$C$5,'Fuel &amp; Inputs'!$C$4)/I279*J279,1),MROUND(I279*J279*IF(H279="Petrol",'Fuel &amp; Inputs'!$C$5,'Fuel &amp; Inputs'!$C$4),10)))</f>
        <v>41</v>
      </c>
      <c r="L279" s="17" t="s">
        <v>590</v>
      </c>
      <c r="M279" s="21" t="n">
        <v>690</v>
      </c>
      <c r="N279" s="20" t="n">
        <f aca="false">MROUND(M279+'Fuel &amp; Inputs'!$C$13,50)</f>
        <v>1500</v>
      </c>
      <c r="O279" s="21" t="n">
        <v>1290</v>
      </c>
      <c r="P279" s="20" t="n">
        <f aca="false">MROUND(M279*'Fuel &amp; Inputs'!$C$19*'Fuel &amp; Inputs'!$C$21,100)</f>
        <v>2600</v>
      </c>
      <c r="Q279" s="20" t="n">
        <f aca="false">MROUND(N279*'Fuel &amp; Inputs'!$C$19*'Fuel &amp; Inputs'!$C$21,100)</f>
        <v>5700</v>
      </c>
      <c r="R279" s="20" t="n">
        <f aca="false">MROUND(O279*'Fuel &amp; Inputs'!$C$19*'Fuel &amp; Inputs'!$C$21,100)</f>
        <v>4900</v>
      </c>
      <c r="S279" s="20" t="n">
        <f aca="false">MROUND(M279*'Fuel &amp; Inputs'!$C$20*'Fuel &amp; Inputs'!$C$22,500)</f>
        <v>70500</v>
      </c>
      <c r="T279" s="20" t="n">
        <f aca="false">MROUND(N279*'Fuel &amp; Inputs'!$C$20*'Fuel &amp; Inputs'!$C$22,500)</f>
        <v>153000</v>
      </c>
      <c r="U279" s="20" t="n">
        <f aca="false">MROUND(O279*'Fuel &amp; Inputs'!$C$20*'Fuel &amp; Inputs'!$C$22,500)</f>
        <v>131500</v>
      </c>
    </row>
    <row r="280" customFormat="false" ht="15" hidden="false" customHeight="false" outlineLevel="0" collapsed="false">
      <c r="A280" s="23" t="n">
        <v>258</v>
      </c>
      <c r="B280" s="34" t="s">
        <v>102</v>
      </c>
      <c r="C280" s="34" t="s">
        <v>698</v>
      </c>
      <c r="D280" s="34" t="s">
        <v>699</v>
      </c>
      <c r="E280" s="23" t="s">
        <v>168</v>
      </c>
      <c r="F280" s="23" t="s">
        <v>710</v>
      </c>
      <c r="G280" s="23" t="s">
        <v>711</v>
      </c>
      <c r="H280" s="23" t="s">
        <v>148</v>
      </c>
      <c r="I280" s="25" t="n">
        <v>10</v>
      </c>
      <c r="J280" s="35" t="n">
        <v>1.07</v>
      </c>
      <c r="K280" s="26" t="n">
        <f aca="false">IF(I280=0,0,IF(L280="Rs./km",MROUND(IF(H280="Petrol",'Fuel &amp; Inputs'!$C$5,'Fuel &amp; Inputs'!$C$4)/I280*J280,1),MROUND(I280*J280*IF(H280="Petrol",'Fuel &amp; Inputs'!$C$5,'Fuel &amp; Inputs'!$C$4),10)))</f>
        <v>41</v>
      </c>
      <c r="L280" s="23" t="s">
        <v>590</v>
      </c>
      <c r="M280" s="27" t="n">
        <v>690</v>
      </c>
      <c r="N280" s="26" t="n">
        <f aca="false">MROUND(M280+'Fuel &amp; Inputs'!$C$13,50)</f>
        <v>1500</v>
      </c>
      <c r="O280" s="27" t="n">
        <v>1290</v>
      </c>
      <c r="P280" s="26" t="n">
        <f aca="false">MROUND(M280*'Fuel &amp; Inputs'!$C$19*'Fuel &amp; Inputs'!$C$21,100)</f>
        <v>2600</v>
      </c>
      <c r="Q280" s="26" t="n">
        <f aca="false">MROUND(N280*'Fuel &amp; Inputs'!$C$19*'Fuel &amp; Inputs'!$C$21,100)</f>
        <v>5700</v>
      </c>
      <c r="R280" s="26" t="n">
        <f aca="false">MROUND(O280*'Fuel &amp; Inputs'!$C$19*'Fuel &amp; Inputs'!$C$21,100)</f>
        <v>4900</v>
      </c>
      <c r="S280" s="26" t="n">
        <f aca="false">MROUND(M280*'Fuel &amp; Inputs'!$C$20*'Fuel &amp; Inputs'!$C$22,500)</f>
        <v>70500</v>
      </c>
      <c r="T280" s="26" t="n">
        <f aca="false">MROUND(N280*'Fuel &amp; Inputs'!$C$20*'Fuel &amp; Inputs'!$C$22,500)</f>
        <v>153000</v>
      </c>
      <c r="U280" s="26" t="n">
        <f aca="false">MROUND(O280*'Fuel &amp; Inputs'!$C$20*'Fuel &amp; Inputs'!$C$22,500)</f>
        <v>131500</v>
      </c>
    </row>
    <row r="281" customFormat="false" ht="15" hidden="false" customHeight="false" outlineLevel="0" collapsed="false">
      <c r="A281" s="17" t="n">
        <v>259</v>
      </c>
      <c r="B281" s="32" t="s">
        <v>102</v>
      </c>
      <c r="C281" s="32" t="s">
        <v>698</v>
      </c>
      <c r="D281" s="32" t="s">
        <v>699</v>
      </c>
      <c r="E281" s="17" t="s">
        <v>168</v>
      </c>
      <c r="F281" s="17" t="s">
        <v>712</v>
      </c>
      <c r="G281" s="17" t="s">
        <v>713</v>
      </c>
      <c r="H281" s="17" t="s">
        <v>148</v>
      </c>
      <c r="I281" s="19" t="n">
        <v>10</v>
      </c>
      <c r="J281" s="33" t="n">
        <v>1.07</v>
      </c>
      <c r="K281" s="20" t="n">
        <f aca="false">IF(I281=0,0,IF(L281="Rs./km",MROUND(IF(H281="Petrol",'Fuel &amp; Inputs'!$C$5,'Fuel &amp; Inputs'!$C$4)/I281*J281,1),MROUND(I281*J281*IF(H281="Petrol",'Fuel &amp; Inputs'!$C$5,'Fuel &amp; Inputs'!$C$4),10)))</f>
        <v>41</v>
      </c>
      <c r="L281" s="17" t="s">
        <v>590</v>
      </c>
      <c r="M281" s="21" t="n">
        <v>690</v>
      </c>
      <c r="N281" s="20" t="n">
        <f aca="false">MROUND(M281+'Fuel &amp; Inputs'!$C$13,50)</f>
        <v>1500</v>
      </c>
      <c r="O281" s="21" t="n">
        <v>1290</v>
      </c>
      <c r="P281" s="20" t="n">
        <f aca="false">MROUND(M281*'Fuel &amp; Inputs'!$C$19*'Fuel &amp; Inputs'!$C$21,100)</f>
        <v>2600</v>
      </c>
      <c r="Q281" s="20" t="n">
        <f aca="false">MROUND(N281*'Fuel &amp; Inputs'!$C$19*'Fuel &amp; Inputs'!$C$21,100)</f>
        <v>5700</v>
      </c>
      <c r="R281" s="20" t="n">
        <f aca="false">MROUND(O281*'Fuel &amp; Inputs'!$C$19*'Fuel &amp; Inputs'!$C$21,100)</f>
        <v>4900</v>
      </c>
      <c r="S281" s="20" t="n">
        <f aca="false">MROUND(M281*'Fuel &amp; Inputs'!$C$20*'Fuel &amp; Inputs'!$C$22,500)</f>
        <v>70500</v>
      </c>
      <c r="T281" s="20" t="n">
        <f aca="false">MROUND(N281*'Fuel &amp; Inputs'!$C$20*'Fuel &amp; Inputs'!$C$22,500)</f>
        <v>153000</v>
      </c>
      <c r="U281" s="20" t="n">
        <f aca="false">MROUND(O281*'Fuel &amp; Inputs'!$C$20*'Fuel &amp; Inputs'!$C$22,500)</f>
        <v>131500</v>
      </c>
    </row>
    <row r="282" customFormat="false" ht="15" hidden="false" customHeight="false" outlineLevel="0" collapsed="false">
      <c r="A282" s="23" t="n">
        <v>260</v>
      </c>
      <c r="B282" s="34" t="s">
        <v>102</v>
      </c>
      <c r="C282" s="34" t="s">
        <v>623</v>
      </c>
      <c r="D282" s="34" t="s">
        <v>714</v>
      </c>
      <c r="E282" s="23" t="s">
        <v>276</v>
      </c>
      <c r="F282" s="23" t="s">
        <v>715</v>
      </c>
      <c r="G282" s="23" t="s">
        <v>716</v>
      </c>
      <c r="H282" s="23" t="s">
        <v>148</v>
      </c>
      <c r="I282" s="25" t="n">
        <v>10</v>
      </c>
      <c r="J282" s="35" t="n">
        <v>1.175</v>
      </c>
      <c r="K282" s="26" t="n">
        <f aca="false">IF(I282=0,0,IF(L282="Rs./km",MROUND(IF(H282="Petrol",'Fuel &amp; Inputs'!$C$5,'Fuel &amp; Inputs'!$C$4)/I282*J282,1),MROUND(I282*J282*IF(H282="Petrol",'Fuel &amp; Inputs'!$C$5,'Fuel &amp; Inputs'!$C$4),10)))</f>
        <v>45</v>
      </c>
      <c r="L282" s="23" t="s">
        <v>590</v>
      </c>
      <c r="M282" s="27" t="n">
        <v>490</v>
      </c>
      <c r="N282" s="26" t="n">
        <f aca="false">MROUND(M282+'Fuel &amp; Inputs'!$C$13,50)</f>
        <v>1300</v>
      </c>
      <c r="O282" s="27" t="n">
        <v>910</v>
      </c>
      <c r="P282" s="26" t="n">
        <f aca="false">MROUND(M282*'Fuel &amp; Inputs'!$C$19*'Fuel &amp; Inputs'!$C$21,100)</f>
        <v>1900</v>
      </c>
      <c r="Q282" s="26" t="n">
        <f aca="false">MROUND(N282*'Fuel &amp; Inputs'!$C$19*'Fuel &amp; Inputs'!$C$21,100)</f>
        <v>4900</v>
      </c>
      <c r="R282" s="26" t="n">
        <f aca="false">MROUND(O282*'Fuel &amp; Inputs'!$C$19*'Fuel &amp; Inputs'!$C$21,100)</f>
        <v>3500</v>
      </c>
      <c r="S282" s="26" t="n">
        <f aca="false">MROUND(M282*'Fuel &amp; Inputs'!$C$20*'Fuel &amp; Inputs'!$C$22,500)</f>
        <v>50000</v>
      </c>
      <c r="T282" s="26" t="n">
        <f aca="false">MROUND(N282*'Fuel &amp; Inputs'!$C$20*'Fuel &amp; Inputs'!$C$22,500)</f>
        <v>132500</v>
      </c>
      <c r="U282" s="26" t="n">
        <f aca="false">MROUND(O282*'Fuel &amp; Inputs'!$C$20*'Fuel &amp; Inputs'!$C$22,500)</f>
        <v>93000</v>
      </c>
    </row>
    <row r="283" customFormat="false" ht="15" hidden="false" customHeight="false" outlineLevel="0" collapsed="false">
      <c r="A283" s="17" t="n">
        <v>261</v>
      </c>
      <c r="B283" s="32" t="s">
        <v>102</v>
      </c>
      <c r="C283" s="32" t="s">
        <v>623</v>
      </c>
      <c r="D283" s="32" t="s">
        <v>717</v>
      </c>
      <c r="E283" s="17" t="s">
        <v>678</v>
      </c>
      <c r="F283" s="17" t="s">
        <v>718</v>
      </c>
      <c r="G283" s="17" t="s">
        <v>719</v>
      </c>
      <c r="H283" s="17" t="s">
        <v>148</v>
      </c>
      <c r="I283" s="19" t="n">
        <v>10</v>
      </c>
      <c r="J283" s="33" t="n">
        <v>1.175</v>
      </c>
      <c r="K283" s="20" t="n">
        <f aca="false">IF(I283=0,0,IF(L283="Rs./km",MROUND(IF(H283="Petrol",'Fuel &amp; Inputs'!$C$5,'Fuel &amp; Inputs'!$C$4)/I283*J283,1),MROUND(I283*J283*IF(H283="Petrol",'Fuel &amp; Inputs'!$C$5,'Fuel &amp; Inputs'!$C$4),10)))</f>
        <v>45</v>
      </c>
      <c r="L283" s="17" t="s">
        <v>590</v>
      </c>
      <c r="M283" s="21" t="n">
        <v>430</v>
      </c>
      <c r="N283" s="20" t="n">
        <f aca="false">MROUND(M283+'Fuel &amp; Inputs'!$C$13,50)</f>
        <v>1250</v>
      </c>
      <c r="O283" s="21" t="n">
        <v>810</v>
      </c>
      <c r="P283" s="20" t="n">
        <f aca="false">MROUND(M283*'Fuel &amp; Inputs'!$C$19*'Fuel &amp; Inputs'!$C$21,100)</f>
        <v>1600</v>
      </c>
      <c r="Q283" s="20" t="n">
        <f aca="false">MROUND(N283*'Fuel &amp; Inputs'!$C$19*'Fuel &amp; Inputs'!$C$21,100)</f>
        <v>4800</v>
      </c>
      <c r="R283" s="20" t="n">
        <f aca="false">MROUND(O283*'Fuel &amp; Inputs'!$C$19*'Fuel &amp; Inputs'!$C$21,100)</f>
        <v>3100</v>
      </c>
      <c r="S283" s="20" t="n">
        <f aca="false">MROUND(M283*'Fuel &amp; Inputs'!$C$20*'Fuel &amp; Inputs'!$C$22,500)</f>
        <v>44000</v>
      </c>
      <c r="T283" s="20" t="n">
        <f aca="false">MROUND(N283*'Fuel &amp; Inputs'!$C$20*'Fuel &amp; Inputs'!$C$22,500)</f>
        <v>127500</v>
      </c>
      <c r="U283" s="20" t="n">
        <f aca="false">MROUND(O283*'Fuel &amp; Inputs'!$C$20*'Fuel &amp; Inputs'!$C$22,500)</f>
        <v>82500</v>
      </c>
    </row>
    <row r="284" customFormat="false" ht="15" hidden="false" customHeight="false" outlineLevel="0" collapsed="false">
      <c r="A284" s="23" t="n">
        <v>262</v>
      </c>
      <c r="B284" s="34" t="s">
        <v>102</v>
      </c>
      <c r="C284" s="34" t="s">
        <v>623</v>
      </c>
      <c r="D284" s="34" t="s">
        <v>720</v>
      </c>
      <c r="E284" s="23" t="s">
        <v>678</v>
      </c>
      <c r="F284" s="23" t="s">
        <v>721</v>
      </c>
      <c r="G284" s="23" t="s">
        <v>722</v>
      </c>
      <c r="H284" s="23" t="s">
        <v>148</v>
      </c>
      <c r="I284" s="25" t="n">
        <v>10</v>
      </c>
      <c r="J284" s="35" t="n">
        <v>1.175</v>
      </c>
      <c r="K284" s="26" t="n">
        <f aca="false">IF(I284=0,0,IF(L284="Rs./km",MROUND(IF(H284="Petrol",'Fuel &amp; Inputs'!$C$5,'Fuel &amp; Inputs'!$C$4)/I284*J284,1),MROUND(I284*J284*IF(H284="Petrol",'Fuel &amp; Inputs'!$C$5,'Fuel &amp; Inputs'!$C$4),10)))</f>
        <v>45</v>
      </c>
      <c r="L284" s="23" t="s">
        <v>590</v>
      </c>
      <c r="M284" s="27" t="n">
        <v>430</v>
      </c>
      <c r="N284" s="26" t="n">
        <f aca="false">MROUND(M284+'Fuel &amp; Inputs'!$C$13,50)</f>
        <v>1250</v>
      </c>
      <c r="O284" s="27" t="n">
        <v>810</v>
      </c>
      <c r="P284" s="26" t="n">
        <f aca="false">MROUND(M284*'Fuel &amp; Inputs'!$C$19*'Fuel &amp; Inputs'!$C$21,100)</f>
        <v>1600</v>
      </c>
      <c r="Q284" s="26" t="n">
        <f aca="false">MROUND(N284*'Fuel &amp; Inputs'!$C$19*'Fuel &amp; Inputs'!$C$21,100)</f>
        <v>4800</v>
      </c>
      <c r="R284" s="26" t="n">
        <f aca="false">MROUND(O284*'Fuel &amp; Inputs'!$C$19*'Fuel &amp; Inputs'!$C$21,100)</f>
        <v>3100</v>
      </c>
      <c r="S284" s="26" t="n">
        <f aca="false">MROUND(M284*'Fuel &amp; Inputs'!$C$20*'Fuel &amp; Inputs'!$C$22,500)</f>
        <v>44000</v>
      </c>
      <c r="T284" s="26" t="n">
        <f aca="false">MROUND(N284*'Fuel &amp; Inputs'!$C$20*'Fuel &amp; Inputs'!$C$22,500)</f>
        <v>127500</v>
      </c>
      <c r="U284" s="26" t="n">
        <f aca="false">MROUND(O284*'Fuel &amp; Inputs'!$C$20*'Fuel &amp; Inputs'!$C$22,500)</f>
        <v>82500</v>
      </c>
    </row>
    <row r="285" customFormat="false" ht="15" hidden="false" customHeight="false" outlineLevel="0" collapsed="false">
      <c r="A285" s="17" t="n">
        <v>263</v>
      </c>
      <c r="B285" s="32" t="s">
        <v>102</v>
      </c>
      <c r="C285" s="32" t="s">
        <v>723</v>
      </c>
      <c r="D285" s="32" t="s">
        <v>724</v>
      </c>
      <c r="E285" s="17" t="s">
        <v>725</v>
      </c>
      <c r="F285" s="17" t="s">
        <v>726</v>
      </c>
      <c r="G285" s="17" t="s">
        <v>727</v>
      </c>
      <c r="H285" s="17" t="s">
        <v>148</v>
      </c>
      <c r="I285" s="19" t="n">
        <v>10</v>
      </c>
      <c r="J285" s="33" t="n">
        <v>1.175</v>
      </c>
      <c r="K285" s="20" t="n">
        <f aca="false">IF(I285=0,0,IF(L285="Rs./km",MROUND(IF(H285="Petrol",'Fuel &amp; Inputs'!$C$5,'Fuel &amp; Inputs'!$C$4)/I285*J285,1),MROUND(I285*J285*IF(H285="Petrol",'Fuel &amp; Inputs'!$C$5,'Fuel &amp; Inputs'!$C$4),10)))</f>
        <v>45</v>
      </c>
      <c r="L285" s="17" t="s">
        <v>590</v>
      </c>
      <c r="M285" s="21" t="n">
        <v>430</v>
      </c>
      <c r="N285" s="20" t="n">
        <f aca="false">MROUND(M285+'Fuel &amp; Inputs'!$C$13,50)</f>
        <v>1250</v>
      </c>
      <c r="O285" s="21" t="n">
        <v>810</v>
      </c>
      <c r="P285" s="20" t="n">
        <f aca="false">MROUND(M285*'Fuel &amp; Inputs'!$C$19*'Fuel &amp; Inputs'!$C$21,100)</f>
        <v>1600</v>
      </c>
      <c r="Q285" s="20" t="n">
        <f aca="false">MROUND(N285*'Fuel &amp; Inputs'!$C$19*'Fuel &amp; Inputs'!$C$21,100)</f>
        <v>4800</v>
      </c>
      <c r="R285" s="20" t="n">
        <f aca="false">MROUND(O285*'Fuel &amp; Inputs'!$C$19*'Fuel &amp; Inputs'!$C$21,100)</f>
        <v>3100</v>
      </c>
      <c r="S285" s="20" t="n">
        <f aca="false">MROUND(M285*'Fuel &amp; Inputs'!$C$20*'Fuel &amp; Inputs'!$C$22,500)</f>
        <v>44000</v>
      </c>
      <c r="T285" s="20" t="n">
        <f aca="false">MROUND(N285*'Fuel &amp; Inputs'!$C$20*'Fuel &amp; Inputs'!$C$22,500)</f>
        <v>127500</v>
      </c>
      <c r="U285" s="20" t="n">
        <f aca="false">MROUND(O285*'Fuel &amp; Inputs'!$C$20*'Fuel &amp; Inputs'!$C$22,500)</f>
        <v>82500</v>
      </c>
    </row>
    <row r="286" customFormat="false" ht="15" hidden="false" customHeight="false" outlineLevel="0" collapsed="false">
      <c r="A286" s="23" t="n">
        <v>264</v>
      </c>
      <c r="B286" s="34" t="s">
        <v>102</v>
      </c>
      <c r="C286" s="34" t="s">
        <v>623</v>
      </c>
      <c r="D286" s="34" t="s">
        <v>728</v>
      </c>
      <c r="E286" s="23" t="s">
        <v>729</v>
      </c>
      <c r="F286" s="23" t="s">
        <v>730</v>
      </c>
      <c r="G286" s="23" t="s">
        <v>731</v>
      </c>
      <c r="H286" s="23" t="s">
        <v>148</v>
      </c>
      <c r="I286" s="25" t="n">
        <v>10</v>
      </c>
      <c r="J286" s="35" t="n">
        <v>1.175</v>
      </c>
      <c r="K286" s="26" t="n">
        <f aca="false">IF(I286=0,0,IF(L286="Rs./km",MROUND(IF(H286="Petrol",'Fuel &amp; Inputs'!$C$5,'Fuel &amp; Inputs'!$C$4)/I286*J286,1),MROUND(I286*J286*IF(H286="Petrol",'Fuel &amp; Inputs'!$C$5,'Fuel &amp; Inputs'!$C$4),10)))</f>
        <v>45</v>
      </c>
      <c r="L286" s="23" t="s">
        <v>590</v>
      </c>
      <c r="M286" s="27" t="n">
        <v>430</v>
      </c>
      <c r="N286" s="26" t="n">
        <f aca="false">MROUND(M286+'Fuel &amp; Inputs'!$C$13,50)</f>
        <v>1250</v>
      </c>
      <c r="O286" s="27" t="n">
        <v>810</v>
      </c>
      <c r="P286" s="26" t="n">
        <f aca="false">MROUND(M286*'Fuel &amp; Inputs'!$C$19*'Fuel &amp; Inputs'!$C$21,100)</f>
        <v>1600</v>
      </c>
      <c r="Q286" s="26" t="n">
        <f aca="false">MROUND(N286*'Fuel &amp; Inputs'!$C$19*'Fuel &amp; Inputs'!$C$21,100)</f>
        <v>4800</v>
      </c>
      <c r="R286" s="26" t="n">
        <f aca="false">MROUND(O286*'Fuel &amp; Inputs'!$C$19*'Fuel &amp; Inputs'!$C$21,100)</f>
        <v>3100</v>
      </c>
      <c r="S286" s="26" t="n">
        <f aca="false">MROUND(M286*'Fuel &amp; Inputs'!$C$20*'Fuel &amp; Inputs'!$C$22,500)</f>
        <v>44000</v>
      </c>
      <c r="T286" s="26" t="n">
        <f aca="false">MROUND(N286*'Fuel &amp; Inputs'!$C$20*'Fuel &amp; Inputs'!$C$22,500)</f>
        <v>127500</v>
      </c>
      <c r="U286" s="26" t="n">
        <f aca="false">MROUND(O286*'Fuel &amp; Inputs'!$C$20*'Fuel &amp; Inputs'!$C$22,500)</f>
        <v>82500</v>
      </c>
    </row>
    <row r="287" customFormat="false" ht="15" hidden="false" customHeight="true" outlineLevel="0" collapsed="false">
      <c r="A287" s="31" t="s">
        <v>732</v>
      </c>
      <c r="B287" s="31"/>
      <c r="C287" s="31"/>
      <c r="D287" s="31"/>
      <c r="E287" s="31"/>
      <c r="F287" s="31"/>
      <c r="G287" s="31"/>
      <c r="H287" s="31"/>
      <c r="I287" s="31"/>
      <c r="J287" s="31"/>
      <c r="K287" s="31"/>
      <c r="L287" s="31"/>
      <c r="M287" s="31"/>
      <c r="N287" s="31"/>
      <c r="O287" s="31"/>
      <c r="P287" s="31"/>
      <c r="Q287" s="31"/>
      <c r="R287" s="31"/>
      <c r="S287" s="31"/>
      <c r="T287" s="31"/>
      <c r="U287" s="31"/>
    </row>
    <row r="288" customFormat="false" ht="15" hidden="false" customHeight="false" outlineLevel="0" collapsed="false">
      <c r="A288" s="17" t="n">
        <v>265</v>
      </c>
      <c r="B288" s="32" t="s">
        <v>104</v>
      </c>
      <c r="C288" s="32" t="s">
        <v>642</v>
      </c>
      <c r="D288" s="32" t="s">
        <v>733</v>
      </c>
      <c r="E288" s="17" t="s">
        <v>174</v>
      </c>
      <c r="F288" s="17" t="s">
        <v>734</v>
      </c>
      <c r="G288" s="17" t="s">
        <v>735</v>
      </c>
      <c r="H288" s="17" t="s">
        <v>148</v>
      </c>
      <c r="I288" s="19" t="n">
        <v>11</v>
      </c>
      <c r="J288" s="33" t="n">
        <v>1.049</v>
      </c>
      <c r="K288" s="20" t="n">
        <f aca="false">IF(I288=0,0,IF(L288="Rs./km",MROUND(IF(H288="Petrol",'Fuel &amp; Inputs'!$C$5,'Fuel &amp; Inputs'!$C$4)/I288*J288,1),MROUND(I288*J288*IF(H288="Petrol",'Fuel &amp; Inputs'!$C$5,'Fuel &amp; Inputs'!$C$4),10)))</f>
        <v>36</v>
      </c>
      <c r="L288" s="17" t="s">
        <v>590</v>
      </c>
      <c r="M288" s="21" t="n">
        <v>600</v>
      </c>
      <c r="N288" s="20" t="n">
        <f aca="false">MROUND(M288+'Fuel &amp; Inputs'!$C$13,50)</f>
        <v>1400</v>
      </c>
      <c r="O288" s="21" t="n">
        <v>1060</v>
      </c>
      <c r="P288" s="20" t="n">
        <f aca="false">MROUND(M288*'Fuel &amp; Inputs'!$C$19*'Fuel &amp; Inputs'!$C$21,100)</f>
        <v>2300</v>
      </c>
      <c r="Q288" s="20" t="n">
        <f aca="false">MROUND(N288*'Fuel &amp; Inputs'!$C$19*'Fuel &amp; Inputs'!$C$21,100)</f>
        <v>5300</v>
      </c>
      <c r="R288" s="20" t="n">
        <f aca="false">MROUND(O288*'Fuel &amp; Inputs'!$C$19*'Fuel &amp; Inputs'!$C$21,100)</f>
        <v>4000</v>
      </c>
      <c r="S288" s="20" t="n">
        <f aca="false">MROUND(M288*'Fuel &amp; Inputs'!$C$20*'Fuel &amp; Inputs'!$C$22,500)</f>
        <v>61000</v>
      </c>
      <c r="T288" s="20" t="n">
        <f aca="false">MROUND(N288*'Fuel &amp; Inputs'!$C$20*'Fuel &amp; Inputs'!$C$22,500)</f>
        <v>143000</v>
      </c>
      <c r="U288" s="20" t="n">
        <f aca="false">MROUND(O288*'Fuel &amp; Inputs'!$C$20*'Fuel &amp; Inputs'!$C$22,500)</f>
        <v>108000</v>
      </c>
    </row>
    <row r="289" customFormat="false" ht="15" hidden="false" customHeight="false" outlineLevel="0" collapsed="false">
      <c r="A289" s="23" t="n">
        <v>266</v>
      </c>
      <c r="B289" s="34" t="s">
        <v>104</v>
      </c>
      <c r="C289" s="34" t="s">
        <v>642</v>
      </c>
      <c r="D289" s="34" t="s">
        <v>733</v>
      </c>
      <c r="E289" s="23" t="s">
        <v>174</v>
      </c>
      <c r="F289" s="23" t="s">
        <v>736</v>
      </c>
      <c r="G289" s="23" t="s">
        <v>737</v>
      </c>
      <c r="H289" s="23" t="s">
        <v>148</v>
      </c>
      <c r="I289" s="25" t="n">
        <v>11</v>
      </c>
      <c r="J289" s="35" t="n">
        <v>1.049</v>
      </c>
      <c r="K289" s="26" t="n">
        <f aca="false">IF(I289=0,0,IF(L289="Rs./km",MROUND(IF(H289="Petrol",'Fuel &amp; Inputs'!$C$5,'Fuel &amp; Inputs'!$C$4)/I289*J289,1),MROUND(I289*J289*IF(H289="Petrol",'Fuel &amp; Inputs'!$C$5,'Fuel &amp; Inputs'!$C$4),10)))</f>
        <v>36</v>
      </c>
      <c r="L289" s="23" t="s">
        <v>590</v>
      </c>
      <c r="M289" s="27" t="n">
        <v>600</v>
      </c>
      <c r="N289" s="26" t="n">
        <f aca="false">MROUND(M289+'Fuel &amp; Inputs'!$C$13,50)</f>
        <v>1400</v>
      </c>
      <c r="O289" s="27" t="n">
        <v>1060</v>
      </c>
      <c r="P289" s="26" t="n">
        <f aca="false">MROUND(M289*'Fuel &amp; Inputs'!$C$19*'Fuel &amp; Inputs'!$C$21,100)</f>
        <v>2300</v>
      </c>
      <c r="Q289" s="26" t="n">
        <f aca="false">MROUND(N289*'Fuel &amp; Inputs'!$C$19*'Fuel &amp; Inputs'!$C$21,100)</f>
        <v>5300</v>
      </c>
      <c r="R289" s="26" t="n">
        <f aca="false">MROUND(O289*'Fuel &amp; Inputs'!$C$19*'Fuel &amp; Inputs'!$C$21,100)</f>
        <v>4000</v>
      </c>
      <c r="S289" s="26" t="n">
        <f aca="false">MROUND(M289*'Fuel &amp; Inputs'!$C$20*'Fuel &amp; Inputs'!$C$22,500)</f>
        <v>61000</v>
      </c>
      <c r="T289" s="26" t="n">
        <f aca="false">MROUND(N289*'Fuel &amp; Inputs'!$C$20*'Fuel &amp; Inputs'!$C$22,500)</f>
        <v>143000</v>
      </c>
      <c r="U289" s="26" t="n">
        <f aca="false">MROUND(O289*'Fuel &amp; Inputs'!$C$20*'Fuel &amp; Inputs'!$C$22,500)</f>
        <v>108000</v>
      </c>
    </row>
    <row r="290" customFormat="false" ht="15" hidden="false" customHeight="false" outlineLevel="0" collapsed="false">
      <c r="A290" s="17" t="n">
        <v>267</v>
      </c>
      <c r="B290" s="32" t="s">
        <v>104</v>
      </c>
      <c r="C290" s="32" t="s">
        <v>642</v>
      </c>
      <c r="D290" s="32" t="s">
        <v>733</v>
      </c>
      <c r="E290" s="17" t="s">
        <v>174</v>
      </c>
      <c r="F290" s="17" t="s">
        <v>738</v>
      </c>
      <c r="G290" s="17" t="s">
        <v>739</v>
      </c>
      <c r="H290" s="17" t="s">
        <v>148</v>
      </c>
      <c r="I290" s="19" t="n">
        <v>11</v>
      </c>
      <c r="J290" s="33" t="n">
        <v>1.049</v>
      </c>
      <c r="K290" s="20" t="n">
        <f aca="false">IF(I290=0,0,IF(L290="Rs./km",MROUND(IF(H290="Petrol",'Fuel &amp; Inputs'!$C$5,'Fuel &amp; Inputs'!$C$4)/I290*J290,1),MROUND(I290*J290*IF(H290="Petrol",'Fuel &amp; Inputs'!$C$5,'Fuel &amp; Inputs'!$C$4),10)))</f>
        <v>36</v>
      </c>
      <c r="L290" s="17" t="s">
        <v>590</v>
      </c>
      <c r="M290" s="21" t="n">
        <v>600</v>
      </c>
      <c r="N290" s="20" t="n">
        <f aca="false">MROUND(M290+'Fuel &amp; Inputs'!$C$13,50)</f>
        <v>1400</v>
      </c>
      <c r="O290" s="21" t="n">
        <v>1060</v>
      </c>
      <c r="P290" s="20" t="n">
        <f aca="false">MROUND(M290*'Fuel &amp; Inputs'!$C$19*'Fuel &amp; Inputs'!$C$21,100)</f>
        <v>2300</v>
      </c>
      <c r="Q290" s="20" t="n">
        <f aca="false">MROUND(N290*'Fuel &amp; Inputs'!$C$19*'Fuel &amp; Inputs'!$C$21,100)</f>
        <v>5300</v>
      </c>
      <c r="R290" s="20" t="n">
        <f aca="false">MROUND(O290*'Fuel &amp; Inputs'!$C$19*'Fuel &amp; Inputs'!$C$21,100)</f>
        <v>4000</v>
      </c>
      <c r="S290" s="20" t="n">
        <f aca="false">MROUND(M290*'Fuel &amp; Inputs'!$C$20*'Fuel &amp; Inputs'!$C$22,500)</f>
        <v>61000</v>
      </c>
      <c r="T290" s="20" t="n">
        <f aca="false">MROUND(N290*'Fuel &amp; Inputs'!$C$20*'Fuel &amp; Inputs'!$C$22,500)</f>
        <v>143000</v>
      </c>
      <c r="U290" s="20" t="n">
        <f aca="false">MROUND(O290*'Fuel &amp; Inputs'!$C$20*'Fuel &amp; Inputs'!$C$22,500)</f>
        <v>108000</v>
      </c>
    </row>
    <row r="291" customFormat="false" ht="15" hidden="false" customHeight="false" outlineLevel="0" collapsed="false">
      <c r="A291" s="23" t="n">
        <v>268</v>
      </c>
      <c r="B291" s="34" t="s">
        <v>104</v>
      </c>
      <c r="C291" s="34" t="s">
        <v>642</v>
      </c>
      <c r="D291" s="34" t="s">
        <v>733</v>
      </c>
      <c r="E291" s="23" t="s">
        <v>174</v>
      </c>
      <c r="F291" s="23" t="s">
        <v>740</v>
      </c>
      <c r="G291" s="23" t="s">
        <v>741</v>
      </c>
      <c r="H291" s="23" t="s">
        <v>148</v>
      </c>
      <c r="I291" s="25" t="n">
        <v>11</v>
      </c>
      <c r="J291" s="35" t="n">
        <v>1.049</v>
      </c>
      <c r="K291" s="26" t="n">
        <f aca="false">IF(I291=0,0,IF(L291="Rs./km",MROUND(IF(H291="Petrol",'Fuel &amp; Inputs'!$C$5,'Fuel &amp; Inputs'!$C$4)/I291*J291,1),MROUND(I291*J291*IF(H291="Petrol",'Fuel &amp; Inputs'!$C$5,'Fuel &amp; Inputs'!$C$4),10)))</f>
        <v>36</v>
      </c>
      <c r="L291" s="23" t="s">
        <v>590</v>
      </c>
      <c r="M291" s="27" t="n">
        <v>600</v>
      </c>
      <c r="N291" s="26" t="n">
        <f aca="false">MROUND(M291+'Fuel &amp; Inputs'!$C$13,50)</f>
        <v>1400</v>
      </c>
      <c r="O291" s="27" t="n">
        <v>1060</v>
      </c>
      <c r="P291" s="26" t="n">
        <f aca="false">MROUND(M291*'Fuel &amp; Inputs'!$C$19*'Fuel &amp; Inputs'!$C$21,100)</f>
        <v>2300</v>
      </c>
      <c r="Q291" s="26" t="n">
        <f aca="false">MROUND(N291*'Fuel &amp; Inputs'!$C$19*'Fuel &amp; Inputs'!$C$21,100)</f>
        <v>5300</v>
      </c>
      <c r="R291" s="26" t="n">
        <f aca="false">MROUND(O291*'Fuel &amp; Inputs'!$C$19*'Fuel &amp; Inputs'!$C$21,100)</f>
        <v>4000</v>
      </c>
      <c r="S291" s="26" t="n">
        <f aca="false">MROUND(M291*'Fuel &amp; Inputs'!$C$20*'Fuel &amp; Inputs'!$C$22,500)</f>
        <v>61000</v>
      </c>
      <c r="T291" s="26" t="n">
        <f aca="false">MROUND(N291*'Fuel &amp; Inputs'!$C$20*'Fuel &amp; Inputs'!$C$22,500)</f>
        <v>143000</v>
      </c>
      <c r="U291" s="26" t="n">
        <f aca="false">MROUND(O291*'Fuel &amp; Inputs'!$C$20*'Fuel &amp; Inputs'!$C$22,500)</f>
        <v>108000</v>
      </c>
    </row>
    <row r="292" customFormat="false" ht="15" hidden="false" customHeight="false" outlineLevel="0" collapsed="false">
      <c r="A292" s="17" t="n">
        <v>269</v>
      </c>
      <c r="B292" s="32" t="s">
        <v>104</v>
      </c>
      <c r="C292" s="32" t="s">
        <v>243</v>
      </c>
      <c r="D292" s="32" t="s">
        <v>742</v>
      </c>
      <c r="E292" s="17" t="s">
        <v>174</v>
      </c>
      <c r="F292" s="17" t="s">
        <v>743</v>
      </c>
      <c r="G292" s="17" t="s">
        <v>744</v>
      </c>
      <c r="H292" s="17" t="s">
        <v>148</v>
      </c>
      <c r="I292" s="19" t="n">
        <v>11</v>
      </c>
      <c r="J292" s="33" t="n">
        <v>1.049</v>
      </c>
      <c r="K292" s="20" t="n">
        <f aca="false">IF(I292=0,0,IF(L292="Rs./km",MROUND(IF(H292="Petrol",'Fuel &amp; Inputs'!$C$5,'Fuel &amp; Inputs'!$C$4)/I292*J292,1),MROUND(I292*J292*IF(H292="Petrol",'Fuel &amp; Inputs'!$C$5,'Fuel &amp; Inputs'!$C$4),10)))</f>
        <v>36</v>
      </c>
      <c r="L292" s="17" t="s">
        <v>590</v>
      </c>
      <c r="M292" s="21" t="n">
        <v>600</v>
      </c>
      <c r="N292" s="20" t="n">
        <f aca="false">MROUND(M292+'Fuel &amp; Inputs'!$C$13,50)</f>
        <v>1400</v>
      </c>
      <c r="O292" s="21" t="n">
        <v>1060</v>
      </c>
      <c r="P292" s="20" t="n">
        <f aca="false">MROUND(M292*'Fuel &amp; Inputs'!$C$19*'Fuel &amp; Inputs'!$C$21,100)</f>
        <v>2300</v>
      </c>
      <c r="Q292" s="20" t="n">
        <f aca="false">MROUND(N292*'Fuel &amp; Inputs'!$C$19*'Fuel &amp; Inputs'!$C$21,100)</f>
        <v>5300</v>
      </c>
      <c r="R292" s="20" t="n">
        <f aca="false">MROUND(O292*'Fuel &amp; Inputs'!$C$19*'Fuel &amp; Inputs'!$C$21,100)</f>
        <v>4000</v>
      </c>
      <c r="S292" s="20" t="n">
        <f aca="false">MROUND(M292*'Fuel &amp; Inputs'!$C$20*'Fuel &amp; Inputs'!$C$22,500)</f>
        <v>61000</v>
      </c>
      <c r="T292" s="20" t="n">
        <f aca="false">MROUND(N292*'Fuel &amp; Inputs'!$C$20*'Fuel &amp; Inputs'!$C$22,500)</f>
        <v>143000</v>
      </c>
      <c r="U292" s="20" t="n">
        <f aca="false">MROUND(O292*'Fuel &amp; Inputs'!$C$20*'Fuel &amp; Inputs'!$C$22,500)</f>
        <v>108000</v>
      </c>
    </row>
    <row r="293" customFormat="false" ht="15" hidden="false" customHeight="false" outlineLevel="0" collapsed="false">
      <c r="A293" s="23" t="n">
        <v>270</v>
      </c>
      <c r="B293" s="34" t="s">
        <v>104</v>
      </c>
      <c r="C293" s="34" t="s">
        <v>243</v>
      </c>
      <c r="D293" s="34" t="s">
        <v>745</v>
      </c>
      <c r="E293" s="23" t="s">
        <v>222</v>
      </c>
      <c r="F293" s="23" t="s">
        <v>746</v>
      </c>
      <c r="G293" s="23" t="s">
        <v>747</v>
      </c>
      <c r="H293" s="23" t="s">
        <v>148</v>
      </c>
      <c r="I293" s="25" t="n">
        <v>11</v>
      </c>
      <c r="J293" s="35" t="n">
        <v>1.084</v>
      </c>
      <c r="K293" s="26" t="n">
        <f aca="false">IF(I293=0,0,IF(L293="Rs./km",MROUND(IF(H293="Petrol",'Fuel &amp; Inputs'!$C$5,'Fuel &amp; Inputs'!$C$4)/I293*J293,1),MROUND(I293*J293*IF(H293="Petrol",'Fuel &amp; Inputs'!$C$5,'Fuel &amp; Inputs'!$C$4),10)))</f>
        <v>38</v>
      </c>
      <c r="L293" s="23" t="s">
        <v>590</v>
      </c>
      <c r="M293" s="27" t="n">
        <v>530</v>
      </c>
      <c r="N293" s="26" t="n">
        <f aca="false">MROUND(M293+'Fuel &amp; Inputs'!$C$13,50)</f>
        <v>1350</v>
      </c>
      <c r="O293" s="27" t="n">
        <v>940</v>
      </c>
      <c r="P293" s="26" t="n">
        <f aca="false">MROUND(M293*'Fuel &amp; Inputs'!$C$19*'Fuel &amp; Inputs'!$C$21,100)</f>
        <v>2000</v>
      </c>
      <c r="Q293" s="26" t="n">
        <f aca="false">MROUND(N293*'Fuel &amp; Inputs'!$C$19*'Fuel &amp; Inputs'!$C$21,100)</f>
        <v>5100</v>
      </c>
      <c r="R293" s="26" t="n">
        <f aca="false">MROUND(O293*'Fuel &amp; Inputs'!$C$19*'Fuel &amp; Inputs'!$C$21,100)</f>
        <v>3600</v>
      </c>
      <c r="S293" s="26" t="n">
        <f aca="false">MROUND(M293*'Fuel &amp; Inputs'!$C$20*'Fuel &amp; Inputs'!$C$22,500)</f>
        <v>54000</v>
      </c>
      <c r="T293" s="26" t="n">
        <f aca="false">MROUND(N293*'Fuel &amp; Inputs'!$C$20*'Fuel &amp; Inputs'!$C$22,500)</f>
        <v>137500</v>
      </c>
      <c r="U293" s="26" t="n">
        <f aca="false">MROUND(O293*'Fuel &amp; Inputs'!$C$20*'Fuel &amp; Inputs'!$C$22,500)</f>
        <v>96000</v>
      </c>
    </row>
    <row r="294" customFormat="false" ht="15" hidden="false" customHeight="false" outlineLevel="0" collapsed="false">
      <c r="A294" s="17" t="n">
        <v>271</v>
      </c>
      <c r="B294" s="32" t="s">
        <v>104</v>
      </c>
      <c r="C294" s="32" t="s">
        <v>748</v>
      </c>
      <c r="D294" s="32" t="s">
        <v>749</v>
      </c>
      <c r="E294" s="17" t="s">
        <v>228</v>
      </c>
      <c r="F294" s="17" t="s">
        <v>750</v>
      </c>
      <c r="G294" s="17" t="s">
        <v>751</v>
      </c>
      <c r="H294" s="17" t="s">
        <v>148</v>
      </c>
      <c r="I294" s="19" t="n">
        <v>11</v>
      </c>
      <c r="J294" s="33" t="n">
        <v>1.091</v>
      </c>
      <c r="K294" s="20" t="n">
        <f aca="false">IF(I294=0,0,IF(L294="Rs./km",MROUND(IF(H294="Petrol",'Fuel &amp; Inputs'!$C$5,'Fuel &amp; Inputs'!$C$4)/I294*J294,1),MROUND(I294*J294*IF(H294="Petrol",'Fuel &amp; Inputs'!$C$5,'Fuel &amp; Inputs'!$C$4),10)))</f>
        <v>38</v>
      </c>
      <c r="L294" s="17" t="s">
        <v>590</v>
      </c>
      <c r="M294" s="21" t="n">
        <v>530</v>
      </c>
      <c r="N294" s="20" t="n">
        <f aca="false">MROUND(M294+'Fuel &amp; Inputs'!$C$13,50)</f>
        <v>1350</v>
      </c>
      <c r="O294" s="21" t="n">
        <v>940</v>
      </c>
      <c r="P294" s="20" t="n">
        <f aca="false">MROUND(M294*'Fuel &amp; Inputs'!$C$19*'Fuel &amp; Inputs'!$C$21,100)</f>
        <v>2000</v>
      </c>
      <c r="Q294" s="20" t="n">
        <f aca="false">MROUND(N294*'Fuel &amp; Inputs'!$C$19*'Fuel &amp; Inputs'!$C$21,100)</f>
        <v>5100</v>
      </c>
      <c r="R294" s="20" t="n">
        <f aca="false">MROUND(O294*'Fuel &amp; Inputs'!$C$19*'Fuel &amp; Inputs'!$C$21,100)</f>
        <v>3600</v>
      </c>
      <c r="S294" s="20" t="n">
        <f aca="false">MROUND(M294*'Fuel &amp; Inputs'!$C$20*'Fuel &amp; Inputs'!$C$22,500)</f>
        <v>54000</v>
      </c>
      <c r="T294" s="20" t="n">
        <f aca="false">MROUND(N294*'Fuel &amp; Inputs'!$C$20*'Fuel &amp; Inputs'!$C$22,500)</f>
        <v>137500</v>
      </c>
      <c r="U294" s="20" t="n">
        <f aca="false">MROUND(O294*'Fuel &amp; Inputs'!$C$20*'Fuel &amp; Inputs'!$C$22,500)</f>
        <v>96000</v>
      </c>
    </row>
    <row r="295" customFormat="false" ht="15" hidden="false" customHeight="false" outlineLevel="0" collapsed="false">
      <c r="A295" s="23" t="n">
        <v>272</v>
      </c>
      <c r="B295" s="34" t="s">
        <v>104</v>
      </c>
      <c r="C295" s="34" t="s">
        <v>243</v>
      </c>
      <c r="D295" s="34" t="s">
        <v>752</v>
      </c>
      <c r="E295" s="23" t="s">
        <v>160</v>
      </c>
      <c r="F295" s="23" t="s">
        <v>753</v>
      </c>
      <c r="G295" s="23" t="s">
        <v>754</v>
      </c>
      <c r="H295" s="23" t="s">
        <v>148</v>
      </c>
      <c r="I295" s="25" t="n">
        <v>11</v>
      </c>
      <c r="J295" s="35" t="n">
        <v>1.098</v>
      </c>
      <c r="K295" s="26" t="n">
        <f aca="false">IF(I295=0,0,IF(L295="Rs./km",MROUND(IF(H295="Petrol",'Fuel &amp; Inputs'!$C$5,'Fuel &amp; Inputs'!$C$4)/I295*J295,1),MROUND(I295*J295*IF(H295="Petrol",'Fuel &amp; Inputs'!$C$5,'Fuel &amp; Inputs'!$C$4),10)))</f>
        <v>38</v>
      </c>
      <c r="L295" s="23" t="s">
        <v>590</v>
      </c>
      <c r="M295" s="27" t="n">
        <v>530</v>
      </c>
      <c r="N295" s="26" t="n">
        <f aca="false">MROUND(M295+'Fuel &amp; Inputs'!$C$13,50)</f>
        <v>1350</v>
      </c>
      <c r="O295" s="27" t="n">
        <v>940</v>
      </c>
      <c r="P295" s="26" t="n">
        <f aca="false">MROUND(M295*'Fuel &amp; Inputs'!$C$19*'Fuel &amp; Inputs'!$C$21,100)</f>
        <v>2000</v>
      </c>
      <c r="Q295" s="26" t="n">
        <f aca="false">MROUND(N295*'Fuel &amp; Inputs'!$C$19*'Fuel &amp; Inputs'!$C$21,100)</f>
        <v>5100</v>
      </c>
      <c r="R295" s="26" t="n">
        <f aca="false">MROUND(O295*'Fuel &amp; Inputs'!$C$19*'Fuel &amp; Inputs'!$C$21,100)</f>
        <v>3600</v>
      </c>
      <c r="S295" s="26" t="n">
        <f aca="false">MROUND(M295*'Fuel &amp; Inputs'!$C$20*'Fuel &amp; Inputs'!$C$22,500)</f>
        <v>54000</v>
      </c>
      <c r="T295" s="26" t="n">
        <f aca="false">MROUND(N295*'Fuel &amp; Inputs'!$C$20*'Fuel &amp; Inputs'!$C$22,500)</f>
        <v>137500</v>
      </c>
      <c r="U295" s="26" t="n">
        <f aca="false">MROUND(O295*'Fuel &amp; Inputs'!$C$20*'Fuel &amp; Inputs'!$C$22,500)</f>
        <v>96000</v>
      </c>
    </row>
    <row r="296" customFormat="false" ht="15" hidden="false" customHeight="false" outlineLevel="0" collapsed="false">
      <c r="A296" s="17" t="n">
        <v>273</v>
      </c>
      <c r="B296" s="32" t="s">
        <v>104</v>
      </c>
      <c r="C296" s="32" t="s">
        <v>243</v>
      </c>
      <c r="D296" s="32" t="s">
        <v>752</v>
      </c>
      <c r="E296" s="17" t="s">
        <v>596</v>
      </c>
      <c r="F296" s="17" t="s">
        <v>755</v>
      </c>
      <c r="G296" s="17" t="s">
        <v>756</v>
      </c>
      <c r="H296" s="17" t="s">
        <v>148</v>
      </c>
      <c r="I296" s="19" t="n">
        <v>11</v>
      </c>
      <c r="J296" s="33" t="n">
        <v>1.105</v>
      </c>
      <c r="K296" s="20" t="n">
        <f aca="false">IF(I296=0,0,IF(L296="Rs./km",MROUND(IF(H296="Petrol",'Fuel &amp; Inputs'!$C$5,'Fuel &amp; Inputs'!$C$4)/I296*J296,1),MROUND(I296*J296*IF(H296="Petrol",'Fuel &amp; Inputs'!$C$5,'Fuel &amp; Inputs'!$C$4),10)))</f>
        <v>38</v>
      </c>
      <c r="L296" s="17" t="s">
        <v>590</v>
      </c>
      <c r="M296" s="21" t="n">
        <v>530</v>
      </c>
      <c r="N296" s="20" t="n">
        <f aca="false">MROUND(M296+'Fuel &amp; Inputs'!$C$13,50)</f>
        <v>1350</v>
      </c>
      <c r="O296" s="21" t="n">
        <v>940</v>
      </c>
      <c r="P296" s="20" t="n">
        <f aca="false">MROUND(M296*'Fuel &amp; Inputs'!$C$19*'Fuel &amp; Inputs'!$C$21,100)</f>
        <v>2000</v>
      </c>
      <c r="Q296" s="20" t="n">
        <f aca="false">MROUND(N296*'Fuel &amp; Inputs'!$C$19*'Fuel &amp; Inputs'!$C$21,100)</f>
        <v>5100</v>
      </c>
      <c r="R296" s="20" t="n">
        <f aca="false">MROUND(O296*'Fuel &amp; Inputs'!$C$19*'Fuel &amp; Inputs'!$C$21,100)</f>
        <v>3600</v>
      </c>
      <c r="S296" s="20" t="n">
        <f aca="false">MROUND(M296*'Fuel &amp; Inputs'!$C$20*'Fuel &amp; Inputs'!$C$22,500)</f>
        <v>54000</v>
      </c>
      <c r="T296" s="20" t="n">
        <f aca="false">MROUND(N296*'Fuel &amp; Inputs'!$C$20*'Fuel &amp; Inputs'!$C$22,500)</f>
        <v>137500</v>
      </c>
      <c r="U296" s="20" t="n">
        <f aca="false">MROUND(O296*'Fuel &amp; Inputs'!$C$20*'Fuel &amp; Inputs'!$C$22,500)</f>
        <v>96000</v>
      </c>
    </row>
    <row r="297" customFormat="false" ht="15" hidden="false" customHeight="false" outlineLevel="0" collapsed="false">
      <c r="A297" s="23" t="n">
        <v>274</v>
      </c>
      <c r="B297" s="34" t="s">
        <v>104</v>
      </c>
      <c r="C297" s="34" t="s">
        <v>243</v>
      </c>
      <c r="D297" s="34" t="s">
        <v>757</v>
      </c>
      <c r="E297" s="23" t="s">
        <v>596</v>
      </c>
      <c r="F297" s="23" t="s">
        <v>758</v>
      </c>
      <c r="G297" s="23" t="s">
        <v>759</v>
      </c>
      <c r="H297" s="23" t="s">
        <v>148</v>
      </c>
      <c r="I297" s="25" t="n">
        <v>11</v>
      </c>
      <c r="J297" s="35" t="n">
        <v>1.105</v>
      </c>
      <c r="K297" s="26" t="n">
        <f aca="false">IF(I297=0,0,IF(L297="Rs./km",MROUND(IF(H297="Petrol",'Fuel &amp; Inputs'!$C$5,'Fuel &amp; Inputs'!$C$4)/I297*J297,1),MROUND(I297*J297*IF(H297="Petrol",'Fuel &amp; Inputs'!$C$5,'Fuel &amp; Inputs'!$C$4),10)))</f>
        <v>38</v>
      </c>
      <c r="L297" s="23" t="s">
        <v>590</v>
      </c>
      <c r="M297" s="27" t="n">
        <v>530</v>
      </c>
      <c r="N297" s="26" t="n">
        <f aca="false">MROUND(M297+'Fuel &amp; Inputs'!$C$13,50)</f>
        <v>1350</v>
      </c>
      <c r="O297" s="27" t="n">
        <v>940</v>
      </c>
      <c r="P297" s="26" t="n">
        <f aca="false">MROUND(M297*'Fuel &amp; Inputs'!$C$19*'Fuel &amp; Inputs'!$C$21,100)</f>
        <v>2000</v>
      </c>
      <c r="Q297" s="26" t="n">
        <f aca="false">MROUND(N297*'Fuel &amp; Inputs'!$C$19*'Fuel &amp; Inputs'!$C$21,100)</f>
        <v>5100</v>
      </c>
      <c r="R297" s="26" t="n">
        <f aca="false">MROUND(O297*'Fuel &amp; Inputs'!$C$19*'Fuel &amp; Inputs'!$C$21,100)</f>
        <v>3600</v>
      </c>
      <c r="S297" s="26" t="n">
        <f aca="false">MROUND(M297*'Fuel &amp; Inputs'!$C$20*'Fuel &amp; Inputs'!$C$22,500)</f>
        <v>54000</v>
      </c>
      <c r="T297" s="26" t="n">
        <f aca="false">MROUND(N297*'Fuel &amp; Inputs'!$C$20*'Fuel &amp; Inputs'!$C$22,500)</f>
        <v>137500</v>
      </c>
      <c r="U297" s="26" t="n">
        <f aca="false">MROUND(O297*'Fuel &amp; Inputs'!$C$20*'Fuel &amp; Inputs'!$C$22,500)</f>
        <v>96000</v>
      </c>
    </row>
    <row r="298" customFormat="false" ht="15" hidden="false" customHeight="false" outlineLevel="0" collapsed="false">
      <c r="A298" s="17" t="n">
        <v>275</v>
      </c>
      <c r="B298" s="32" t="s">
        <v>104</v>
      </c>
      <c r="C298" s="32" t="s">
        <v>693</v>
      </c>
      <c r="D298" s="32" t="s">
        <v>757</v>
      </c>
      <c r="E298" s="17" t="s">
        <v>596</v>
      </c>
      <c r="F298" s="17" t="s">
        <v>760</v>
      </c>
      <c r="G298" s="17" t="s">
        <v>761</v>
      </c>
      <c r="H298" s="17" t="s">
        <v>148</v>
      </c>
      <c r="I298" s="19" t="n">
        <v>11</v>
      </c>
      <c r="J298" s="33" t="n">
        <v>1.105</v>
      </c>
      <c r="K298" s="20" t="n">
        <f aca="false">IF(I298=0,0,IF(L298="Rs./km",MROUND(IF(H298="Petrol",'Fuel &amp; Inputs'!$C$5,'Fuel &amp; Inputs'!$C$4)/I298*J298,1),MROUND(I298*J298*IF(H298="Petrol",'Fuel &amp; Inputs'!$C$5,'Fuel &amp; Inputs'!$C$4),10)))</f>
        <v>38</v>
      </c>
      <c r="L298" s="17" t="s">
        <v>590</v>
      </c>
      <c r="M298" s="21" t="n">
        <v>530</v>
      </c>
      <c r="N298" s="20" t="n">
        <f aca="false">MROUND(M298+'Fuel &amp; Inputs'!$C$13,50)</f>
        <v>1350</v>
      </c>
      <c r="O298" s="21" t="n">
        <v>940</v>
      </c>
      <c r="P298" s="20" t="n">
        <f aca="false">MROUND(M298*'Fuel &amp; Inputs'!$C$19*'Fuel &amp; Inputs'!$C$21,100)</f>
        <v>2000</v>
      </c>
      <c r="Q298" s="20" t="n">
        <f aca="false">MROUND(N298*'Fuel &amp; Inputs'!$C$19*'Fuel &amp; Inputs'!$C$21,100)</f>
        <v>5100</v>
      </c>
      <c r="R298" s="20" t="n">
        <f aca="false">MROUND(O298*'Fuel &amp; Inputs'!$C$19*'Fuel &amp; Inputs'!$C$21,100)</f>
        <v>3600</v>
      </c>
      <c r="S298" s="20" t="n">
        <f aca="false">MROUND(M298*'Fuel &amp; Inputs'!$C$20*'Fuel &amp; Inputs'!$C$22,500)</f>
        <v>54000</v>
      </c>
      <c r="T298" s="20" t="n">
        <f aca="false">MROUND(N298*'Fuel &amp; Inputs'!$C$20*'Fuel &amp; Inputs'!$C$22,500)</f>
        <v>137500</v>
      </c>
      <c r="U298" s="20" t="n">
        <f aca="false">MROUND(O298*'Fuel &amp; Inputs'!$C$20*'Fuel &amp; Inputs'!$C$22,500)</f>
        <v>96000</v>
      </c>
    </row>
    <row r="299" customFormat="false" ht="15" hidden="false" customHeight="false" outlineLevel="0" collapsed="false">
      <c r="A299" s="23" t="n">
        <v>276</v>
      </c>
      <c r="B299" s="34" t="s">
        <v>104</v>
      </c>
      <c r="C299" s="34" t="s">
        <v>243</v>
      </c>
      <c r="D299" s="34" t="s">
        <v>762</v>
      </c>
      <c r="E299" s="23" t="s">
        <v>198</v>
      </c>
      <c r="F299" s="23" t="s">
        <v>763</v>
      </c>
      <c r="G299" s="23" t="s">
        <v>764</v>
      </c>
      <c r="H299" s="23" t="s">
        <v>148</v>
      </c>
      <c r="I299" s="25" t="n">
        <v>11</v>
      </c>
      <c r="J299" s="35" t="n">
        <v>1.14</v>
      </c>
      <c r="K299" s="26" t="n">
        <f aca="false">IF(I299=0,0,IF(L299="Rs./km",MROUND(IF(H299="Petrol",'Fuel &amp; Inputs'!$C$5,'Fuel &amp; Inputs'!$C$4)/I299*J299,1),MROUND(I299*J299*IF(H299="Petrol",'Fuel &amp; Inputs'!$C$5,'Fuel &amp; Inputs'!$C$4),10)))</f>
        <v>40</v>
      </c>
      <c r="L299" s="23" t="s">
        <v>590</v>
      </c>
      <c r="M299" s="27" t="n">
        <v>470</v>
      </c>
      <c r="N299" s="26" t="n">
        <f aca="false">MROUND(M299+'Fuel &amp; Inputs'!$C$13,50)</f>
        <v>1250</v>
      </c>
      <c r="O299" s="27" t="n">
        <v>830</v>
      </c>
      <c r="P299" s="26" t="n">
        <f aca="false">MROUND(M299*'Fuel &amp; Inputs'!$C$19*'Fuel &amp; Inputs'!$C$21,100)</f>
        <v>1800</v>
      </c>
      <c r="Q299" s="26" t="n">
        <f aca="false">MROUND(N299*'Fuel &amp; Inputs'!$C$19*'Fuel &amp; Inputs'!$C$21,100)</f>
        <v>4800</v>
      </c>
      <c r="R299" s="26" t="n">
        <f aca="false">MROUND(O299*'Fuel &amp; Inputs'!$C$19*'Fuel &amp; Inputs'!$C$21,100)</f>
        <v>3200</v>
      </c>
      <c r="S299" s="26" t="n">
        <f aca="false">MROUND(M299*'Fuel &amp; Inputs'!$C$20*'Fuel &amp; Inputs'!$C$22,500)</f>
        <v>48000</v>
      </c>
      <c r="T299" s="26" t="n">
        <f aca="false">MROUND(N299*'Fuel &amp; Inputs'!$C$20*'Fuel &amp; Inputs'!$C$22,500)</f>
        <v>127500</v>
      </c>
      <c r="U299" s="26" t="n">
        <f aca="false">MROUND(O299*'Fuel &amp; Inputs'!$C$20*'Fuel &amp; Inputs'!$C$22,500)</f>
        <v>84500</v>
      </c>
    </row>
    <row r="300" customFormat="false" ht="15" hidden="false" customHeight="false" outlineLevel="0" collapsed="false">
      <c r="A300" s="17" t="n">
        <v>277</v>
      </c>
      <c r="B300" s="32" t="s">
        <v>104</v>
      </c>
      <c r="C300" s="32" t="s">
        <v>243</v>
      </c>
      <c r="D300" s="32" t="s">
        <v>752</v>
      </c>
      <c r="E300" s="17" t="s">
        <v>160</v>
      </c>
      <c r="F300" s="17" t="s">
        <v>765</v>
      </c>
      <c r="G300" s="17" t="s">
        <v>766</v>
      </c>
      <c r="H300" s="17" t="s">
        <v>148</v>
      </c>
      <c r="I300" s="19" t="n">
        <v>11</v>
      </c>
      <c r="J300" s="33" t="n">
        <v>1.098</v>
      </c>
      <c r="K300" s="20" t="n">
        <f aca="false">IF(I300=0,0,IF(L300="Rs./km",MROUND(IF(H300="Petrol",'Fuel &amp; Inputs'!$C$5,'Fuel &amp; Inputs'!$C$4)/I300*J300,1),MROUND(I300*J300*IF(H300="Petrol",'Fuel &amp; Inputs'!$C$5,'Fuel &amp; Inputs'!$C$4),10)))</f>
        <v>38</v>
      </c>
      <c r="L300" s="17" t="s">
        <v>590</v>
      </c>
      <c r="M300" s="21" t="n">
        <v>380</v>
      </c>
      <c r="N300" s="20" t="n">
        <f aca="false">MROUND(M300+'Fuel &amp; Inputs'!$C$13,50)</f>
        <v>1200</v>
      </c>
      <c r="O300" s="21" t="n">
        <v>670</v>
      </c>
      <c r="P300" s="20" t="n">
        <f aca="false">MROUND(M300*'Fuel &amp; Inputs'!$C$19*'Fuel &amp; Inputs'!$C$21,100)</f>
        <v>1400</v>
      </c>
      <c r="Q300" s="20" t="n">
        <f aca="false">MROUND(N300*'Fuel &amp; Inputs'!$C$19*'Fuel &amp; Inputs'!$C$21,100)</f>
        <v>4600</v>
      </c>
      <c r="R300" s="20" t="n">
        <f aca="false">MROUND(O300*'Fuel &amp; Inputs'!$C$19*'Fuel &amp; Inputs'!$C$21,100)</f>
        <v>2500</v>
      </c>
      <c r="S300" s="20" t="n">
        <f aca="false">MROUND(M300*'Fuel &amp; Inputs'!$C$20*'Fuel &amp; Inputs'!$C$22,500)</f>
        <v>39000</v>
      </c>
      <c r="T300" s="20" t="n">
        <f aca="false">MROUND(N300*'Fuel &amp; Inputs'!$C$20*'Fuel &amp; Inputs'!$C$22,500)</f>
        <v>122500</v>
      </c>
      <c r="U300" s="20" t="n">
        <f aca="false">MROUND(O300*'Fuel &amp; Inputs'!$C$20*'Fuel &amp; Inputs'!$C$22,500)</f>
        <v>68500</v>
      </c>
    </row>
    <row r="301" customFormat="false" ht="15" hidden="false" customHeight="true" outlineLevel="0" collapsed="false">
      <c r="A301" s="31" t="s">
        <v>767</v>
      </c>
      <c r="B301" s="31"/>
      <c r="C301" s="31"/>
      <c r="D301" s="31"/>
      <c r="E301" s="31"/>
      <c r="F301" s="31"/>
      <c r="G301" s="31"/>
      <c r="H301" s="31"/>
      <c r="I301" s="31"/>
      <c r="J301" s="31"/>
      <c r="K301" s="31"/>
      <c r="L301" s="31"/>
      <c r="M301" s="31"/>
      <c r="N301" s="31"/>
      <c r="O301" s="31"/>
      <c r="P301" s="31"/>
      <c r="Q301" s="31"/>
      <c r="R301" s="31"/>
      <c r="S301" s="31"/>
      <c r="T301" s="31"/>
      <c r="U301" s="31"/>
    </row>
    <row r="302" customFormat="false" ht="23.85" hidden="false" customHeight="false" outlineLevel="0" collapsed="false">
      <c r="A302" s="23" t="n">
        <v>278</v>
      </c>
      <c r="B302" s="34" t="s">
        <v>106</v>
      </c>
      <c r="C302" s="34" t="s">
        <v>243</v>
      </c>
      <c r="D302" s="34" t="s">
        <v>768</v>
      </c>
      <c r="E302" s="23" t="s">
        <v>145</v>
      </c>
      <c r="F302" s="23" t="s">
        <v>769</v>
      </c>
      <c r="G302" s="23" t="s">
        <v>770</v>
      </c>
      <c r="H302" s="23" t="s">
        <v>148</v>
      </c>
      <c r="I302" s="25" t="n">
        <v>3</v>
      </c>
      <c r="J302" s="35" t="n">
        <v>1.035</v>
      </c>
      <c r="K302" s="26" t="n">
        <f aca="false">IF(I302=0,0,IF(L302="Rs./km",MROUND(IF(H302="Petrol",'Fuel &amp; Inputs'!$C$5,'Fuel &amp; Inputs'!$C$4)/I302*J302,1),MROUND(I302*J302*IF(H302="Petrol",'Fuel &amp; Inputs'!$C$5,'Fuel &amp; Inputs'!$C$4),10)))</f>
        <v>132</v>
      </c>
      <c r="L302" s="23" t="s">
        <v>590</v>
      </c>
      <c r="M302" s="27" t="n">
        <v>1550</v>
      </c>
      <c r="N302" s="26" t="n">
        <f aca="false">MROUND(M302+'Fuel &amp; Inputs'!$C$13,50)</f>
        <v>2350</v>
      </c>
      <c r="O302" s="27" t="n">
        <v>3250</v>
      </c>
      <c r="P302" s="26" t="n">
        <f aca="false">MROUND(M302*'Fuel &amp; Inputs'!$C$19*'Fuel &amp; Inputs'!$C$21,100)</f>
        <v>5900</v>
      </c>
      <c r="Q302" s="26" t="n">
        <f aca="false">MROUND(N302*'Fuel &amp; Inputs'!$C$19*'Fuel &amp; Inputs'!$C$21,100)</f>
        <v>8900</v>
      </c>
      <c r="R302" s="26" t="n">
        <f aca="false">MROUND(O302*'Fuel &amp; Inputs'!$C$19*'Fuel &amp; Inputs'!$C$21,100)</f>
        <v>12400</v>
      </c>
      <c r="S302" s="26" t="n">
        <f aca="false">MROUND(M302*'Fuel &amp; Inputs'!$C$20*'Fuel &amp; Inputs'!$C$22,500)</f>
        <v>158000</v>
      </c>
      <c r="T302" s="26" t="n">
        <f aca="false">MROUND(N302*'Fuel &amp; Inputs'!$C$20*'Fuel &amp; Inputs'!$C$22,500)</f>
        <v>239500</v>
      </c>
      <c r="U302" s="26" t="n">
        <f aca="false">MROUND(O302*'Fuel &amp; Inputs'!$C$20*'Fuel &amp; Inputs'!$C$22,500)</f>
        <v>331500</v>
      </c>
    </row>
    <row r="303" customFormat="false" ht="23.85" hidden="false" customHeight="false" outlineLevel="0" collapsed="false">
      <c r="A303" s="17" t="n">
        <v>279</v>
      </c>
      <c r="B303" s="32" t="s">
        <v>106</v>
      </c>
      <c r="C303" s="32" t="s">
        <v>243</v>
      </c>
      <c r="D303" s="32" t="s">
        <v>768</v>
      </c>
      <c r="E303" s="17" t="s">
        <v>596</v>
      </c>
      <c r="F303" s="17" t="s">
        <v>771</v>
      </c>
      <c r="G303" s="17" t="s">
        <v>772</v>
      </c>
      <c r="H303" s="17" t="s">
        <v>148</v>
      </c>
      <c r="I303" s="19" t="n">
        <v>3</v>
      </c>
      <c r="J303" s="33" t="n">
        <v>1.105</v>
      </c>
      <c r="K303" s="20" t="n">
        <f aca="false">IF(I303=0,0,IF(L303="Rs./km",MROUND(IF(H303="Petrol",'Fuel &amp; Inputs'!$C$5,'Fuel &amp; Inputs'!$C$4)/I303*J303,1),MROUND(I303*J303*IF(H303="Petrol",'Fuel &amp; Inputs'!$C$5,'Fuel &amp; Inputs'!$C$4),10)))</f>
        <v>141</v>
      </c>
      <c r="L303" s="17" t="s">
        <v>590</v>
      </c>
      <c r="M303" s="21" t="n">
        <v>1550</v>
      </c>
      <c r="N303" s="20" t="n">
        <f aca="false">MROUND(M303+'Fuel &amp; Inputs'!$C$13,50)</f>
        <v>2350</v>
      </c>
      <c r="O303" s="21" t="n">
        <v>3250</v>
      </c>
      <c r="P303" s="20" t="n">
        <f aca="false">MROUND(M303*'Fuel &amp; Inputs'!$C$19*'Fuel &amp; Inputs'!$C$21,100)</f>
        <v>5900</v>
      </c>
      <c r="Q303" s="20" t="n">
        <f aca="false">MROUND(N303*'Fuel &amp; Inputs'!$C$19*'Fuel &amp; Inputs'!$C$21,100)</f>
        <v>8900</v>
      </c>
      <c r="R303" s="20" t="n">
        <f aca="false">MROUND(O303*'Fuel &amp; Inputs'!$C$19*'Fuel &amp; Inputs'!$C$21,100)</f>
        <v>12400</v>
      </c>
      <c r="S303" s="20" t="n">
        <f aca="false">MROUND(M303*'Fuel &amp; Inputs'!$C$20*'Fuel &amp; Inputs'!$C$22,500)</f>
        <v>158000</v>
      </c>
      <c r="T303" s="20" t="n">
        <f aca="false">MROUND(N303*'Fuel &amp; Inputs'!$C$20*'Fuel &amp; Inputs'!$C$22,500)</f>
        <v>239500</v>
      </c>
      <c r="U303" s="20" t="n">
        <f aca="false">MROUND(O303*'Fuel &amp; Inputs'!$C$20*'Fuel &amp; Inputs'!$C$22,500)</f>
        <v>331500</v>
      </c>
    </row>
    <row r="304" customFormat="false" ht="23.85" hidden="false" customHeight="false" outlineLevel="0" collapsed="false">
      <c r="A304" s="23" t="n">
        <v>280</v>
      </c>
      <c r="B304" s="34" t="s">
        <v>106</v>
      </c>
      <c r="C304" s="34" t="s">
        <v>243</v>
      </c>
      <c r="D304" s="34" t="s">
        <v>768</v>
      </c>
      <c r="E304" s="23" t="s">
        <v>596</v>
      </c>
      <c r="F304" s="23" t="s">
        <v>773</v>
      </c>
      <c r="G304" s="23" t="s">
        <v>774</v>
      </c>
      <c r="H304" s="23" t="s">
        <v>148</v>
      </c>
      <c r="I304" s="25" t="n">
        <v>3</v>
      </c>
      <c r="J304" s="35" t="n">
        <v>1.105</v>
      </c>
      <c r="K304" s="26" t="n">
        <f aca="false">IF(I304=0,0,IF(L304="Rs./km",MROUND(IF(H304="Petrol",'Fuel &amp; Inputs'!$C$5,'Fuel &amp; Inputs'!$C$4)/I304*J304,1),MROUND(I304*J304*IF(H304="Petrol",'Fuel &amp; Inputs'!$C$5,'Fuel &amp; Inputs'!$C$4),10)))</f>
        <v>141</v>
      </c>
      <c r="L304" s="23" t="s">
        <v>590</v>
      </c>
      <c r="M304" s="27" t="n">
        <v>1550</v>
      </c>
      <c r="N304" s="26" t="n">
        <f aca="false">MROUND(M304+'Fuel &amp; Inputs'!$C$13,50)</f>
        <v>2350</v>
      </c>
      <c r="O304" s="27" t="n">
        <v>3250</v>
      </c>
      <c r="P304" s="26" t="n">
        <f aca="false">MROUND(M304*'Fuel &amp; Inputs'!$C$19*'Fuel &amp; Inputs'!$C$21,100)</f>
        <v>5900</v>
      </c>
      <c r="Q304" s="26" t="n">
        <f aca="false">MROUND(N304*'Fuel &amp; Inputs'!$C$19*'Fuel &amp; Inputs'!$C$21,100)</f>
        <v>8900</v>
      </c>
      <c r="R304" s="26" t="n">
        <f aca="false">MROUND(O304*'Fuel &amp; Inputs'!$C$19*'Fuel &amp; Inputs'!$C$21,100)</f>
        <v>12400</v>
      </c>
      <c r="S304" s="26" t="n">
        <f aca="false">MROUND(M304*'Fuel &amp; Inputs'!$C$20*'Fuel &amp; Inputs'!$C$22,500)</f>
        <v>158000</v>
      </c>
      <c r="T304" s="26" t="n">
        <f aca="false">MROUND(N304*'Fuel &amp; Inputs'!$C$20*'Fuel &amp; Inputs'!$C$22,500)</f>
        <v>239500</v>
      </c>
      <c r="U304" s="26" t="n">
        <f aca="false">MROUND(O304*'Fuel &amp; Inputs'!$C$20*'Fuel &amp; Inputs'!$C$22,500)</f>
        <v>331500</v>
      </c>
    </row>
    <row r="305" customFormat="false" ht="23.85" hidden="false" customHeight="false" outlineLevel="0" collapsed="false">
      <c r="A305" s="17" t="n">
        <v>281</v>
      </c>
      <c r="B305" s="32" t="s">
        <v>106</v>
      </c>
      <c r="C305" s="32" t="s">
        <v>243</v>
      </c>
      <c r="D305" s="32" t="s">
        <v>768</v>
      </c>
      <c r="E305" s="17" t="s">
        <v>160</v>
      </c>
      <c r="F305" s="17" t="s">
        <v>775</v>
      </c>
      <c r="G305" s="17" t="s">
        <v>776</v>
      </c>
      <c r="H305" s="17" t="s">
        <v>148</v>
      </c>
      <c r="I305" s="19" t="n">
        <v>3</v>
      </c>
      <c r="J305" s="33" t="n">
        <v>1.098</v>
      </c>
      <c r="K305" s="20" t="n">
        <f aca="false">IF(I305=0,0,IF(L305="Rs./km",MROUND(IF(H305="Petrol",'Fuel &amp; Inputs'!$C$5,'Fuel &amp; Inputs'!$C$4)/I305*J305,1),MROUND(I305*J305*IF(H305="Petrol",'Fuel &amp; Inputs'!$C$5,'Fuel &amp; Inputs'!$C$4),10)))</f>
        <v>140</v>
      </c>
      <c r="L305" s="17" t="s">
        <v>590</v>
      </c>
      <c r="M305" s="21" t="n">
        <v>1550</v>
      </c>
      <c r="N305" s="20" t="n">
        <f aca="false">MROUND(M305+'Fuel &amp; Inputs'!$C$13,50)</f>
        <v>2350</v>
      </c>
      <c r="O305" s="21" t="n">
        <v>3250</v>
      </c>
      <c r="P305" s="20" t="n">
        <f aca="false">MROUND(M305*'Fuel &amp; Inputs'!$C$19*'Fuel &amp; Inputs'!$C$21,100)</f>
        <v>5900</v>
      </c>
      <c r="Q305" s="20" t="n">
        <f aca="false">MROUND(N305*'Fuel &amp; Inputs'!$C$19*'Fuel &amp; Inputs'!$C$21,100)</f>
        <v>8900</v>
      </c>
      <c r="R305" s="20" t="n">
        <f aca="false">MROUND(O305*'Fuel &amp; Inputs'!$C$19*'Fuel &amp; Inputs'!$C$21,100)</f>
        <v>12400</v>
      </c>
      <c r="S305" s="20" t="n">
        <f aca="false">MROUND(M305*'Fuel &amp; Inputs'!$C$20*'Fuel &amp; Inputs'!$C$22,500)</f>
        <v>158000</v>
      </c>
      <c r="T305" s="20" t="n">
        <f aca="false">MROUND(N305*'Fuel &amp; Inputs'!$C$20*'Fuel &amp; Inputs'!$C$22,500)</f>
        <v>239500</v>
      </c>
      <c r="U305" s="20" t="n">
        <f aca="false">MROUND(O305*'Fuel &amp; Inputs'!$C$20*'Fuel &amp; Inputs'!$C$22,500)</f>
        <v>331500</v>
      </c>
    </row>
    <row r="306" customFormat="false" ht="23.85" hidden="false" customHeight="false" outlineLevel="0" collapsed="false">
      <c r="A306" s="23" t="n">
        <v>282</v>
      </c>
      <c r="B306" s="34" t="s">
        <v>106</v>
      </c>
      <c r="C306" s="34" t="s">
        <v>243</v>
      </c>
      <c r="D306" s="34" t="s">
        <v>768</v>
      </c>
      <c r="E306" s="23" t="s">
        <v>160</v>
      </c>
      <c r="F306" s="23" t="s">
        <v>777</v>
      </c>
      <c r="G306" s="23" t="s">
        <v>778</v>
      </c>
      <c r="H306" s="23" t="s">
        <v>148</v>
      </c>
      <c r="I306" s="25" t="n">
        <v>3</v>
      </c>
      <c r="J306" s="35" t="n">
        <v>1.098</v>
      </c>
      <c r="K306" s="26" t="n">
        <f aca="false">IF(I306=0,0,IF(L306="Rs./km",MROUND(IF(H306="Petrol",'Fuel &amp; Inputs'!$C$5,'Fuel &amp; Inputs'!$C$4)/I306*J306,1),MROUND(I306*J306*IF(H306="Petrol",'Fuel &amp; Inputs'!$C$5,'Fuel &amp; Inputs'!$C$4),10)))</f>
        <v>140</v>
      </c>
      <c r="L306" s="23" t="s">
        <v>590</v>
      </c>
      <c r="M306" s="27" t="n">
        <v>1550</v>
      </c>
      <c r="N306" s="26" t="n">
        <f aca="false">MROUND(M306+'Fuel &amp; Inputs'!$C$13,50)</f>
        <v>2350</v>
      </c>
      <c r="O306" s="27" t="n">
        <v>3250</v>
      </c>
      <c r="P306" s="26" t="n">
        <f aca="false">MROUND(M306*'Fuel &amp; Inputs'!$C$19*'Fuel &amp; Inputs'!$C$21,100)</f>
        <v>5900</v>
      </c>
      <c r="Q306" s="26" t="n">
        <f aca="false">MROUND(N306*'Fuel &amp; Inputs'!$C$19*'Fuel &amp; Inputs'!$C$21,100)</f>
        <v>8900</v>
      </c>
      <c r="R306" s="26" t="n">
        <f aca="false">MROUND(O306*'Fuel &amp; Inputs'!$C$19*'Fuel &amp; Inputs'!$C$21,100)</f>
        <v>12400</v>
      </c>
      <c r="S306" s="26" t="n">
        <f aca="false">MROUND(M306*'Fuel &amp; Inputs'!$C$20*'Fuel &amp; Inputs'!$C$22,500)</f>
        <v>158000</v>
      </c>
      <c r="T306" s="26" t="n">
        <f aca="false">MROUND(N306*'Fuel &amp; Inputs'!$C$20*'Fuel &amp; Inputs'!$C$22,500)</f>
        <v>239500</v>
      </c>
      <c r="U306" s="26" t="n">
        <f aca="false">MROUND(O306*'Fuel &amp; Inputs'!$C$20*'Fuel &amp; Inputs'!$C$22,500)</f>
        <v>331500</v>
      </c>
    </row>
    <row r="307" customFormat="false" ht="23.85" hidden="false" customHeight="false" outlineLevel="0" collapsed="false">
      <c r="A307" s="17" t="n">
        <v>283</v>
      </c>
      <c r="B307" s="32" t="s">
        <v>106</v>
      </c>
      <c r="C307" s="32" t="s">
        <v>243</v>
      </c>
      <c r="D307" s="32" t="s">
        <v>768</v>
      </c>
      <c r="E307" s="17" t="s">
        <v>168</v>
      </c>
      <c r="F307" s="17" t="s">
        <v>779</v>
      </c>
      <c r="G307" s="17" t="s">
        <v>780</v>
      </c>
      <c r="H307" s="17" t="s">
        <v>148</v>
      </c>
      <c r="I307" s="19" t="n">
        <v>3</v>
      </c>
      <c r="J307" s="33" t="n">
        <v>1.07</v>
      </c>
      <c r="K307" s="20" t="n">
        <f aca="false">IF(I307=0,0,IF(L307="Rs./km",MROUND(IF(H307="Petrol",'Fuel &amp; Inputs'!$C$5,'Fuel &amp; Inputs'!$C$4)/I307*J307,1),MROUND(I307*J307*IF(H307="Petrol",'Fuel &amp; Inputs'!$C$5,'Fuel &amp; Inputs'!$C$4),10)))</f>
        <v>136</v>
      </c>
      <c r="L307" s="17" t="s">
        <v>590</v>
      </c>
      <c r="M307" s="21" t="n">
        <v>1550</v>
      </c>
      <c r="N307" s="20" t="n">
        <f aca="false">MROUND(M307+'Fuel &amp; Inputs'!$C$13,50)</f>
        <v>2350</v>
      </c>
      <c r="O307" s="21" t="n">
        <v>3250</v>
      </c>
      <c r="P307" s="20" t="n">
        <f aca="false">MROUND(M307*'Fuel &amp; Inputs'!$C$19*'Fuel &amp; Inputs'!$C$21,100)</f>
        <v>5900</v>
      </c>
      <c r="Q307" s="20" t="n">
        <f aca="false">MROUND(N307*'Fuel &amp; Inputs'!$C$19*'Fuel &amp; Inputs'!$C$21,100)</f>
        <v>8900</v>
      </c>
      <c r="R307" s="20" t="n">
        <f aca="false">MROUND(O307*'Fuel &amp; Inputs'!$C$19*'Fuel &amp; Inputs'!$C$21,100)</f>
        <v>12400</v>
      </c>
      <c r="S307" s="20" t="n">
        <f aca="false">MROUND(M307*'Fuel &amp; Inputs'!$C$20*'Fuel &amp; Inputs'!$C$22,500)</f>
        <v>158000</v>
      </c>
      <c r="T307" s="20" t="n">
        <f aca="false">MROUND(N307*'Fuel &amp; Inputs'!$C$20*'Fuel &amp; Inputs'!$C$22,500)</f>
        <v>239500</v>
      </c>
      <c r="U307" s="20" t="n">
        <f aca="false">MROUND(O307*'Fuel &amp; Inputs'!$C$20*'Fuel &amp; Inputs'!$C$22,500)</f>
        <v>331500</v>
      </c>
    </row>
    <row r="308" customFormat="false" ht="23.85" hidden="false" customHeight="false" outlineLevel="0" collapsed="false">
      <c r="A308" s="23" t="n">
        <v>284</v>
      </c>
      <c r="B308" s="34" t="s">
        <v>106</v>
      </c>
      <c r="C308" s="34" t="s">
        <v>243</v>
      </c>
      <c r="D308" s="34" t="s">
        <v>768</v>
      </c>
      <c r="E308" s="23" t="s">
        <v>160</v>
      </c>
      <c r="F308" s="23" t="s">
        <v>781</v>
      </c>
      <c r="G308" s="23" t="s">
        <v>782</v>
      </c>
      <c r="H308" s="23" t="s">
        <v>148</v>
      </c>
      <c r="I308" s="25" t="n">
        <v>3</v>
      </c>
      <c r="J308" s="35" t="n">
        <v>1.098</v>
      </c>
      <c r="K308" s="26" t="n">
        <f aca="false">IF(I308=0,0,IF(L308="Rs./km",MROUND(IF(H308="Petrol",'Fuel &amp; Inputs'!$C$5,'Fuel &amp; Inputs'!$C$4)/I308*J308,1),MROUND(I308*J308*IF(H308="Petrol",'Fuel &amp; Inputs'!$C$5,'Fuel &amp; Inputs'!$C$4),10)))</f>
        <v>140</v>
      </c>
      <c r="L308" s="23" t="s">
        <v>590</v>
      </c>
      <c r="M308" s="27" t="n">
        <v>1550</v>
      </c>
      <c r="N308" s="26" t="n">
        <f aca="false">MROUND(M308+'Fuel &amp; Inputs'!$C$13,50)</f>
        <v>2350</v>
      </c>
      <c r="O308" s="27" t="n">
        <v>3250</v>
      </c>
      <c r="P308" s="26" t="n">
        <f aca="false">MROUND(M308*'Fuel &amp; Inputs'!$C$19*'Fuel &amp; Inputs'!$C$21,100)</f>
        <v>5900</v>
      </c>
      <c r="Q308" s="26" t="n">
        <f aca="false">MROUND(N308*'Fuel &amp; Inputs'!$C$19*'Fuel &amp; Inputs'!$C$21,100)</f>
        <v>8900</v>
      </c>
      <c r="R308" s="26" t="n">
        <f aca="false">MROUND(O308*'Fuel &amp; Inputs'!$C$19*'Fuel &amp; Inputs'!$C$21,100)</f>
        <v>12400</v>
      </c>
      <c r="S308" s="26" t="n">
        <f aca="false">MROUND(M308*'Fuel &amp; Inputs'!$C$20*'Fuel &amp; Inputs'!$C$22,500)</f>
        <v>158000</v>
      </c>
      <c r="T308" s="26" t="n">
        <f aca="false">MROUND(N308*'Fuel &amp; Inputs'!$C$20*'Fuel &amp; Inputs'!$C$22,500)</f>
        <v>239500</v>
      </c>
      <c r="U308" s="26" t="n">
        <f aca="false">MROUND(O308*'Fuel &amp; Inputs'!$C$20*'Fuel &amp; Inputs'!$C$22,500)</f>
        <v>331500</v>
      </c>
    </row>
    <row r="309" customFormat="false" ht="23.85" hidden="false" customHeight="false" outlineLevel="0" collapsed="false">
      <c r="A309" s="17" t="n">
        <v>285</v>
      </c>
      <c r="B309" s="32" t="s">
        <v>106</v>
      </c>
      <c r="C309" s="32" t="s">
        <v>243</v>
      </c>
      <c r="D309" s="32" t="s">
        <v>768</v>
      </c>
      <c r="E309" s="17" t="s">
        <v>596</v>
      </c>
      <c r="F309" s="17" t="s">
        <v>783</v>
      </c>
      <c r="G309" s="17" t="s">
        <v>784</v>
      </c>
      <c r="H309" s="17" t="s">
        <v>148</v>
      </c>
      <c r="I309" s="19" t="n">
        <v>3</v>
      </c>
      <c r="J309" s="33" t="n">
        <v>1.105</v>
      </c>
      <c r="K309" s="20" t="n">
        <f aca="false">IF(I309=0,0,IF(L309="Rs./km",MROUND(IF(H309="Petrol",'Fuel &amp; Inputs'!$C$5,'Fuel &amp; Inputs'!$C$4)/I309*J309,1),MROUND(I309*J309*IF(H309="Petrol",'Fuel &amp; Inputs'!$C$5,'Fuel &amp; Inputs'!$C$4),10)))</f>
        <v>141</v>
      </c>
      <c r="L309" s="17" t="s">
        <v>590</v>
      </c>
      <c r="M309" s="21" t="n">
        <v>1550</v>
      </c>
      <c r="N309" s="20" t="n">
        <f aca="false">MROUND(M309+'Fuel &amp; Inputs'!$C$13,50)</f>
        <v>2350</v>
      </c>
      <c r="O309" s="21" t="n">
        <v>3250</v>
      </c>
      <c r="P309" s="20" t="n">
        <f aca="false">MROUND(M309*'Fuel &amp; Inputs'!$C$19*'Fuel &amp; Inputs'!$C$21,100)</f>
        <v>5900</v>
      </c>
      <c r="Q309" s="20" t="n">
        <f aca="false">MROUND(N309*'Fuel &amp; Inputs'!$C$19*'Fuel &amp; Inputs'!$C$21,100)</f>
        <v>8900</v>
      </c>
      <c r="R309" s="20" t="n">
        <f aca="false">MROUND(O309*'Fuel &amp; Inputs'!$C$19*'Fuel &amp; Inputs'!$C$21,100)</f>
        <v>12400</v>
      </c>
      <c r="S309" s="20" t="n">
        <f aca="false">MROUND(M309*'Fuel &amp; Inputs'!$C$20*'Fuel &amp; Inputs'!$C$22,500)</f>
        <v>158000</v>
      </c>
      <c r="T309" s="20" t="n">
        <f aca="false">MROUND(N309*'Fuel &amp; Inputs'!$C$20*'Fuel &amp; Inputs'!$C$22,500)</f>
        <v>239500</v>
      </c>
      <c r="U309" s="20" t="n">
        <f aca="false">MROUND(O309*'Fuel &amp; Inputs'!$C$20*'Fuel &amp; Inputs'!$C$22,500)</f>
        <v>331500</v>
      </c>
    </row>
    <row r="310" customFormat="false" ht="23.85" hidden="false" customHeight="false" outlineLevel="0" collapsed="false">
      <c r="A310" s="23" t="n">
        <v>286</v>
      </c>
      <c r="B310" s="34" t="s">
        <v>106</v>
      </c>
      <c r="C310" s="34" t="s">
        <v>243</v>
      </c>
      <c r="D310" s="34" t="s">
        <v>768</v>
      </c>
      <c r="E310" s="23" t="s">
        <v>168</v>
      </c>
      <c r="F310" s="23" t="s">
        <v>785</v>
      </c>
      <c r="G310" s="23" t="s">
        <v>786</v>
      </c>
      <c r="H310" s="23" t="s">
        <v>148</v>
      </c>
      <c r="I310" s="25" t="n">
        <v>3</v>
      </c>
      <c r="J310" s="35" t="n">
        <v>1.07</v>
      </c>
      <c r="K310" s="26" t="n">
        <f aca="false">IF(I310=0,0,IF(L310="Rs./km",MROUND(IF(H310="Petrol",'Fuel &amp; Inputs'!$C$5,'Fuel &amp; Inputs'!$C$4)/I310*J310,1),MROUND(I310*J310*IF(H310="Petrol",'Fuel &amp; Inputs'!$C$5,'Fuel &amp; Inputs'!$C$4),10)))</f>
        <v>136</v>
      </c>
      <c r="L310" s="23" t="s">
        <v>590</v>
      </c>
      <c r="M310" s="27" t="n">
        <v>1550</v>
      </c>
      <c r="N310" s="26" t="n">
        <f aca="false">MROUND(M310+'Fuel &amp; Inputs'!$C$13,50)</f>
        <v>2350</v>
      </c>
      <c r="O310" s="27" t="n">
        <v>3250</v>
      </c>
      <c r="P310" s="26" t="n">
        <f aca="false">MROUND(M310*'Fuel &amp; Inputs'!$C$19*'Fuel &amp; Inputs'!$C$21,100)</f>
        <v>5900</v>
      </c>
      <c r="Q310" s="26" t="n">
        <f aca="false">MROUND(N310*'Fuel &amp; Inputs'!$C$19*'Fuel &amp; Inputs'!$C$21,100)</f>
        <v>8900</v>
      </c>
      <c r="R310" s="26" t="n">
        <f aca="false">MROUND(O310*'Fuel &amp; Inputs'!$C$19*'Fuel &amp; Inputs'!$C$21,100)</f>
        <v>12400</v>
      </c>
      <c r="S310" s="26" t="n">
        <f aca="false">MROUND(M310*'Fuel &amp; Inputs'!$C$20*'Fuel &amp; Inputs'!$C$22,500)</f>
        <v>158000</v>
      </c>
      <c r="T310" s="26" t="n">
        <f aca="false">MROUND(N310*'Fuel &amp; Inputs'!$C$20*'Fuel &amp; Inputs'!$C$22,500)</f>
        <v>239500</v>
      </c>
      <c r="U310" s="26" t="n">
        <f aca="false">MROUND(O310*'Fuel &amp; Inputs'!$C$20*'Fuel &amp; Inputs'!$C$22,500)</f>
        <v>331500</v>
      </c>
    </row>
    <row r="311" customFormat="false" ht="23.85" hidden="false" customHeight="false" outlineLevel="0" collapsed="false">
      <c r="A311" s="17" t="n">
        <v>287</v>
      </c>
      <c r="B311" s="32" t="s">
        <v>106</v>
      </c>
      <c r="C311" s="32" t="s">
        <v>243</v>
      </c>
      <c r="D311" s="32" t="s">
        <v>768</v>
      </c>
      <c r="E311" s="17" t="s">
        <v>168</v>
      </c>
      <c r="F311" s="17" t="s">
        <v>787</v>
      </c>
      <c r="G311" s="17" t="s">
        <v>788</v>
      </c>
      <c r="H311" s="17" t="s">
        <v>148</v>
      </c>
      <c r="I311" s="19" t="n">
        <v>3</v>
      </c>
      <c r="J311" s="33" t="n">
        <v>1.07</v>
      </c>
      <c r="K311" s="20" t="n">
        <f aca="false">IF(I311=0,0,IF(L311="Rs./km",MROUND(IF(H311="Petrol",'Fuel &amp; Inputs'!$C$5,'Fuel &amp; Inputs'!$C$4)/I311*J311,1),MROUND(I311*J311*IF(H311="Petrol",'Fuel &amp; Inputs'!$C$5,'Fuel &amp; Inputs'!$C$4),10)))</f>
        <v>136</v>
      </c>
      <c r="L311" s="17" t="s">
        <v>590</v>
      </c>
      <c r="M311" s="21" t="n">
        <v>1550</v>
      </c>
      <c r="N311" s="20" t="n">
        <f aca="false">MROUND(M311+'Fuel &amp; Inputs'!$C$13,50)</f>
        <v>2350</v>
      </c>
      <c r="O311" s="21" t="n">
        <v>3250</v>
      </c>
      <c r="P311" s="20" t="n">
        <f aca="false">MROUND(M311*'Fuel &amp; Inputs'!$C$19*'Fuel &amp; Inputs'!$C$21,100)</f>
        <v>5900</v>
      </c>
      <c r="Q311" s="20" t="n">
        <f aca="false">MROUND(N311*'Fuel &amp; Inputs'!$C$19*'Fuel &amp; Inputs'!$C$21,100)</f>
        <v>8900</v>
      </c>
      <c r="R311" s="20" t="n">
        <f aca="false">MROUND(O311*'Fuel &amp; Inputs'!$C$19*'Fuel &amp; Inputs'!$C$21,100)</f>
        <v>12400</v>
      </c>
      <c r="S311" s="20" t="n">
        <f aca="false">MROUND(M311*'Fuel &amp; Inputs'!$C$20*'Fuel &amp; Inputs'!$C$22,500)</f>
        <v>158000</v>
      </c>
      <c r="T311" s="20" t="n">
        <f aca="false">MROUND(N311*'Fuel &amp; Inputs'!$C$20*'Fuel &amp; Inputs'!$C$22,500)</f>
        <v>239500</v>
      </c>
      <c r="U311" s="20" t="n">
        <f aca="false">MROUND(O311*'Fuel &amp; Inputs'!$C$20*'Fuel &amp; Inputs'!$C$22,500)</f>
        <v>331500</v>
      </c>
    </row>
    <row r="312" customFormat="false" ht="23.85" hidden="false" customHeight="false" outlineLevel="0" collapsed="false">
      <c r="A312" s="23" t="n">
        <v>288</v>
      </c>
      <c r="B312" s="34" t="s">
        <v>106</v>
      </c>
      <c r="C312" s="34" t="s">
        <v>243</v>
      </c>
      <c r="D312" s="34" t="s">
        <v>768</v>
      </c>
      <c r="E312" s="23" t="s">
        <v>168</v>
      </c>
      <c r="F312" s="23" t="s">
        <v>789</v>
      </c>
      <c r="G312" s="23" t="s">
        <v>790</v>
      </c>
      <c r="H312" s="23" t="s">
        <v>148</v>
      </c>
      <c r="I312" s="25" t="n">
        <v>3</v>
      </c>
      <c r="J312" s="35" t="n">
        <v>1.07</v>
      </c>
      <c r="K312" s="26" t="n">
        <f aca="false">IF(I312=0,0,IF(L312="Rs./km",MROUND(IF(H312="Petrol",'Fuel &amp; Inputs'!$C$5,'Fuel &amp; Inputs'!$C$4)/I312*J312,1),MROUND(I312*J312*IF(H312="Petrol",'Fuel &amp; Inputs'!$C$5,'Fuel &amp; Inputs'!$C$4),10)))</f>
        <v>136</v>
      </c>
      <c r="L312" s="23" t="s">
        <v>590</v>
      </c>
      <c r="M312" s="27" t="n">
        <v>1550</v>
      </c>
      <c r="N312" s="26" t="n">
        <f aca="false">MROUND(M312+'Fuel &amp; Inputs'!$C$13,50)</f>
        <v>2350</v>
      </c>
      <c r="O312" s="27" t="n">
        <v>3250</v>
      </c>
      <c r="P312" s="26" t="n">
        <f aca="false">MROUND(M312*'Fuel &amp; Inputs'!$C$19*'Fuel &amp; Inputs'!$C$21,100)</f>
        <v>5900</v>
      </c>
      <c r="Q312" s="26" t="n">
        <f aca="false">MROUND(N312*'Fuel &amp; Inputs'!$C$19*'Fuel &amp; Inputs'!$C$21,100)</f>
        <v>8900</v>
      </c>
      <c r="R312" s="26" t="n">
        <f aca="false">MROUND(O312*'Fuel &amp; Inputs'!$C$19*'Fuel &amp; Inputs'!$C$21,100)</f>
        <v>12400</v>
      </c>
      <c r="S312" s="26" t="n">
        <f aca="false">MROUND(M312*'Fuel &amp; Inputs'!$C$20*'Fuel &amp; Inputs'!$C$22,500)</f>
        <v>158000</v>
      </c>
      <c r="T312" s="26" t="n">
        <f aca="false">MROUND(N312*'Fuel &amp; Inputs'!$C$20*'Fuel &amp; Inputs'!$C$22,500)</f>
        <v>239500</v>
      </c>
      <c r="U312" s="26" t="n">
        <f aca="false">MROUND(O312*'Fuel &amp; Inputs'!$C$20*'Fuel &amp; Inputs'!$C$22,500)</f>
        <v>331500</v>
      </c>
    </row>
    <row r="313" customFormat="false" ht="23.85" hidden="false" customHeight="false" outlineLevel="0" collapsed="false">
      <c r="A313" s="17" t="n">
        <v>289</v>
      </c>
      <c r="B313" s="32" t="s">
        <v>106</v>
      </c>
      <c r="C313" s="32" t="s">
        <v>243</v>
      </c>
      <c r="D313" s="32" t="s">
        <v>768</v>
      </c>
      <c r="E313" s="17" t="s">
        <v>168</v>
      </c>
      <c r="F313" s="17" t="s">
        <v>791</v>
      </c>
      <c r="G313" s="17" t="s">
        <v>792</v>
      </c>
      <c r="H313" s="17" t="s">
        <v>148</v>
      </c>
      <c r="I313" s="19" t="n">
        <v>3</v>
      </c>
      <c r="J313" s="33" t="n">
        <v>1.07</v>
      </c>
      <c r="K313" s="20" t="n">
        <f aca="false">IF(I313=0,0,IF(L313="Rs./km",MROUND(IF(H313="Petrol",'Fuel &amp; Inputs'!$C$5,'Fuel &amp; Inputs'!$C$4)/I313*J313,1),MROUND(I313*J313*IF(H313="Petrol",'Fuel &amp; Inputs'!$C$5,'Fuel &amp; Inputs'!$C$4),10)))</f>
        <v>136</v>
      </c>
      <c r="L313" s="17" t="s">
        <v>590</v>
      </c>
      <c r="M313" s="21" t="n">
        <v>1550</v>
      </c>
      <c r="N313" s="20" t="n">
        <f aca="false">MROUND(M313+'Fuel &amp; Inputs'!$C$13,50)</f>
        <v>2350</v>
      </c>
      <c r="O313" s="21" t="n">
        <v>3250</v>
      </c>
      <c r="P313" s="20" t="n">
        <f aca="false">MROUND(M313*'Fuel &amp; Inputs'!$C$19*'Fuel &amp; Inputs'!$C$21,100)</f>
        <v>5900</v>
      </c>
      <c r="Q313" s="20" t="n">
        <f aca="false">MROUND(N313*'Fuel &amp; Inputs'!$C$19*'Fuel &amp; Inputs'!$C$21,100)</f>
        <v>8900</v>
      </c>
      <c r="R313" s="20" t="n">
        <f aca="false">MROUND(O313*'Fuel &amp; Inputs'!$C$19*'Fuel &amp; Inputs'!$C$21,100)</f>
        <v>12400</v>
      </c>
      <c r="S313" s="20" t="n">
        <f aca="false">MROUND(M313*'Fuel &amp; Inputs'!$C$20*'Fuel &amp; Inputs'!$C$22,500)</f>
        <v>158000</v>
      </c>
      <c r="T313" s="20" t="n">
        <f aca="false">MROUND(N313*'Fuel &amp; Inputs'!$C$20*'Fuel &amp; Inputs'!$C$22,500)</f>
        <v>239500</v>
      </c>
      <c r="U313" s="20" t="n">
        <f aca="false">MROUND(O313*'Fuel &amp; Inputs'!$C$20*'Fuel &amp; Inputs'!$C$22,500)</f>
        <v>331500</v>
      </c>
    </row>
    <row r="314" customFormat="false" ht="23.85" hidden="false" customHeight="false" outlineLevel="0" collapsed="false">
      <c r="A314" s="23" t="n">
        <v>290</v>
      </c>
      <c r="B314" s="34" t="s">
        <v>106</v>
      </c>
      <c r="C314" s="34" t="s">
        <v>243</v>
      </c>
      <c r="D314" s="34" t="s">
        <v>768</v>
      </c>
      <c r="E314" s="23" t="s">
        <v>168</v>
      </c>
      <c r="F314" s="23" t="s">
        <v>793</v>
      </c>
      <c r="G314" s="23" t="s">
        <v>794</v>
      </c>
      <c r="H314" s="23" t="s">
        <v>148</v>
      </c>
      <c r="I314" s="25" t="n">
        <v>3</v>
      </c>
      <c r="J314" s="35" t="n">
        <v>1.07</v>
      </c>
      <c r="K314" s="26" t="n">
        <f aca="false">IF(I314=0,0,IF(L314="Rs./km",MROUND(IF(H314="Petrol",'Fuel &amp; Inputs'!$C$5,'Fuel &amp; Inputs'!$C$4)/I314*J314,1),MROUND(I314*J314*IF(H314="Petrol",'Fuel &amp; Inputs'!$C$5,'Fuel &amp; Inputs'!$C$4),10)))</f>
        <v>136</v>
      </c>
      <c r="L314" s="23" t="s">
        <v>590</v>
      </c>
      <c r="M314" s="27" t="n">
        <v>1550</v>
      </c>
      <c r="N314" s="26" t="n">
        <f aca="false">MROUND(M314+'Fuel &amp; Inputs'!$C$13,50)</f>
        <v>2350</v>
      </c>
      <c r="O314" s="27" t="n">
        <v>3250</v>
      </c>
      <c r="P314" s="26" t="n">
        <f aca="false">MROUND(M314*'Fuel &amp; Inputs'!$C$19*'Fuel &amp; Inputs'!$C$21,100)</f>
        <v>5900</v>
      </c>
      <c r="Q314" s="26" t="n">
        <f aca="false">MROUND(N314*'Fuel &amp; Inputs'!$C$19*'Fuel &amp; Inputs'!$C$21,100)</f>
        <v>8900</v>
      </c>
      <c r="R314" s="26" t="n">
        <f aca="false">MROUND(O314*'Fuel &amp; Inputs'!$C$19*'Fuel &amp; Inputs'!$C$21,100)</f>
        <v>12400</v>
      </c>
      <c r="S314" s="26" t="n">
        <f aca="false">MROUND(M314*'Fuel &amp; Inputs'!$C$20*'Fuel &amp; Inputs'!$C$22,500)</f>
        <v>158000</v>
      </c>
      <c r="T314" s="26" t="n">
        <f aca="false">MROUND(N314*'Fuel &amp; Inputs'!$C$20*'Fuel &amp; Inputs'!$C$22,500)</f>
        <v>239500</v>
      </c>
      <c r="U314" s="26" t="n">
        <f aca="false">MROUND(O314*'Fuel &amp; Inputs'!$C$20*'Fuel &amp; Inputs'!$C$22,500)</f>
        <v>331500</v>
      </c>
    </row>
    <row r="315" customFormat="false" ht="23.85" hidden="false" customHeight="false" outlineLevel="0" collapsed="false">
      <c r="A315" s="17" t="n">
        <v>291</v>
      </c>
      <c r="B315" s="32" t="s">
        <v>106</v>
      </c>
      <c r="C315" s="32" t="s">
        <v>243</v>
      </c>
      <c r="D315" s="32" t="s">
        <v>768</v>
      </c>
      <c r="E315" s="17" t="s">
        <v>168</v>
      </c>
      <c r="F315" s="17" t="s">
        <v>795</v>
      </c>
      <c r="G315" s="17" t="s">
        <v>796</v>
      </c>
      <c r="H315" s="17" t="s">
        <v>148</v>
      </c>
      <c r="I315" s="19" t="n">
        <v>3</v>
      </c>
      <c r="J315" s="33" t="n">
        <v>1.07</v>
      </c>
      <c r="K315" s="20" t="n">
        <f aca="false">IF(I315=0,0,IF(L315="Rs./km",MROUND(IF(H315="Petrol",'Fuel &amp; Inputs'!$C$5,'Fuel &amp; Inputs'!$C$4)/I315*J315,1),MROUND(I315*J315*IF(H315="Petrol",'Fuel &amp; Inputs'!$C$5,'Fuel &amp; Inputs'!$C$4),10)))</f>
        <v>136</v>
      </c>
      <c r="L315" s="17" t="s">
        <v>590</v>
      </c>
      <c r="M315" s="21" t="n">
        <v>1550</v>
      </c>
      <c r="N315" s="20" t="n">
        <f aca="false">MROUND(M315+'Fuel &amp; Inputs'!$C$13,50)</f>
        <v>2350</v>
      </c>
      <c r="O315" s="21" t="n">
        <v>3250</v>
      </c>
      <c r="P315" s="20" t="n">
        <f aca="false">MROUND(M315*'Fuel &amp; Inputs'!$C$19*'Fuel &amp; Inputs'!$C$21,100)</f>
        <v>5900</v>
      </c>
      <c r="Q315" s="20" t="n">
        <f aca="false">MROUND(N315*'Fuel &amp; Inputs'!$C$19*'Fuel &amp; Inputs'!$C$21,100)</f>
        <v>8900</v>
      </c>
      <c r="R315" s="20" t="n">
        <f aca="false">MROUND(O315*'Fuel &amp; Inputs'!$C$19*'Fuel &amp; Inputs'!$C$21,100)</f>
        <v>12400</v>
      </c>
      <c r="S315" s="20" t="n">
        <f aca="false">MROUND(M315*'Fuel &amp; Inputs'!$C$20*'Fuel &amp; Inputs'!$C$22,500)</f>
        <v>158000</v>
      </c>
      <c r="T315" s="20" t="n">
        <f aca="false">MROUND(N315*'Fuel &amp; Inputs'!$C$20*'Fuel &amp; Inputs'!$C$22,500)</f>
        <v>239500</v>
      </c>
      <c r="U315" s="20" t="n">
        <f aca="false">MROUND(O315*'Fuel &amp; Inputs'!$C$20*'Fuel &amp; Inputs'!$C$22,500)</f>
        <v>331500</v>
      </c>
    </row>
    <row r="316" customFormat="false" ht="23.85" hidden="false" customHeight="false" outlineLevel="0" collapsed="false">
      <c r="A316" s="23" t="n">
        <v>292</v>
      </c>
      <c r="B316" s="34" t="s">
        <v>106</v>
      </c>
      <c r="C316" s="34" t="s">
        <v>243</v>
      </c>
      <c r="D316" s="34" t="s">
        <v>768</v>
      </c>
      <c r="E316" s="23" t="s">
        <v>168</v>
      </c>
      <c r="F316" s="23" t="s">
        <v>797</v>
      </c>
      <c r="G316" s="23" t="s">
        <v>798</v>
      </c>
      <c r="H316" s="23" t="s">
        <v>148</v>
      </c>
      <c r="I316" s="25" t="n">
        <v>3</v>
      </c>
      <c r="J316" s="35" t="n">
        <v>1.07</v>
      </c>
      <c r="K316" s="26" t="n">
        <f aca="false">IF(I316=0,0,IF(L316="Rs./km",MROUND(IF(H316="Petrol",'Fuel &amp; Inputs'!$C$5,'Fuel &amp; Inputs'!$C$4)/I316*J316,1),MROUND(I316*J316*IF(H316="Petrol",'Fuel &amp; Inputs'!$C$5,'Fuel &amp; Inputs'!$C$4),10)))</f>
        <v>136</v>
      </c>
      <c r="L316" s="23" t="s">
        <v>590</v>
      </c>
      <c r="M316" s="27" t="n">
        <v>1550</v>
      </c>
      <c r="N316" s="26" t="n">
        <f aca="false">MROUND(M316+'Fuel &amp; Inputs'!$C$13,50)</f>
        <v>2350</v>
      </c>
      <c r="O316" s="27" t="n">
        <v>3250</v>
      </c>
      <c r="P316" s="26" t="n">
        <f aca="false">MROUND(M316*'Fuel &amp; Inputs'!$C$19*'Fuel &amp; Inputs'!$C$21,100)</f>
        <v>5900</v>
      </c>
      <c r="Q316" s="26" t="n">
        <f aca="false">MROUND(N316*'Fuel &amp; Inputs'!$C$19*'Fuel &amp; Inputs'!$C$21,100)</f>
        <v>8900</v>
      </c>
      <c r="R316" s="26" t="n">
        <f aca="false">MROUND(O316*'Fuel &amp; Inputs'!$C$19*'Fuel &amp; Inputs'!$C$21,100)</f>
        <v>12400</v>
      </c>
      <c r="S316" s="26" t="n">
        <f aca="false">MROUND(M316*'Fuel &amp; Inputs'!$C$20*'Fuel &amp; Inputs'!$C$22,500)</f>
        <v>158000</v>
      </c>
      <c r="T316" s="26" t="n">
        <f aca="false">MROUND(N316*'Fuel &amp; Inputs'!$C$20*'Fuel &amp; Inputs'!$C$22,500)</f>
        <v>239500</v>
      </c>
      <c r="U316" s="26" t="n">
        <f aca="false">MROUND(O316*'Fuel &amp; Inputs'!$C$20*'Fuel &amp; Inputs'!$C$22,500)</f>
        <v>331500</v>
      </c>
    </row>
    <row r="317" customFormat="false" ht="23.85" hidden="false" customHeight="false" outlineLevel="0" collapsed="false">
      <c r="A317" s="17" t="n">
        <v>293</v>
      </c>
      <c r="B317" s="32" t="s">
        <v>106</v>
      </c>
      <c r="C317" s="32" t="s">
        <v>243</v>
      </c>
      <c r="D317" s="32" t="s">
        <v>768</v>
      </c>
      <c r="E317" s="17" t="s">
        <v>168</v>
      </c>
      <c r="F317" s="17" t="s">
        <v>799</v>
      </c>
      <c r="G317" s="17" t="s">
        <v>800</v>
      </c>
      <c r="H317" s="17" t="s">
        <v>148</v>
      </c>
      <c r="I317" s="19" t="n">
        <v>3</v>
      </c>
      <c r="J317" s="33" t="n">
        <v>1.07</v>
      </c>
      <c r="K317" s="20" t="n">
        <f aca="false">IF(I317=0,0,IF(L317="Rs./km",MROUND(IF(H317="Petrol",'Fuel &amp; Inputs'!$C$5,'Fuel &amp; Inputs'!$C$4)/I317*J317,1),MROUND(I317*J317*IF(H317="Petrol",'Fuel &amp; Inputs'!$C$5,'Fuel &amp; Inputs'!$C$4),10)))</f>
        <v>136</v>
      </c>
      <c r="L317" s="17" t="s">
        <v>590</v>
      </c>
      <c r="M317" s="21" t="n">
        <v>1550</v>
      </c>
      <c r="N317" s="20" t="n">
        <f aca="false">MROUND(M317+'Fuel &amp; Inputs'!$C$13,50)</f>
        <v>2350</v>
      </c>
      <c r="O317" s="21" t="n">
        <v>3250</v>
      </c>
      <c r="P317" s="20" t="n">
        <f aca="false">MROUND(M317*'Fuel &amp; Inputs'!$C$19*'Fuel &amp; Inputs'!$C$21,100)</f>
        <v>5900</v>
      </c>
      <c r="Q317" s="20" t="n">
        <f aca="false">MROUND(N317*'Fuel &amp; Inputs'!$C$19*'Fuel &amp; Inputs'!$C$21,100)</f>
        <v>8900</v>
      </c>
      <c r="R317" s="20" t="n">
        <f aca="false">MROUND(O317*'Fuel &amp; Inputs'!$C$19*'Fuel &amp; Inputs'!$C$21,100)</f>
        <v>12400</v>
      </c>
      <c r="S317" s="20" t="n">
        <f aca="false">MROUND(M317*'Fuel &amp; Inputs'!$C$20*'Fuel &amp; Inputs'!$C$22,500)</f>
        <v>158000</v>
      </c>
      <c r="T317" s="20" t="n">
        <f aca="false">MROUND(N317*'Fuel &amp; Inputs'!$C$20*'Fuel &amp; Inputs'!$C$22,500)</f>
        <v>239500</v>
      </c>
      <c r="U317" s="20" t="n">
        <f aca="false">MROUND(O317*'Fuel &amp; Inputs'!$C$20*'Fuel &amp; Inputs'!$C$22,500)</f>
        <v>331500</v>
      </c>
    </row>
    <row r="318" customFormat="false" ht="23.85" hidden="false" customHeight="false" outlineLevel="0" collapsed="false">
      <c r="A318" s="23" t="n">
        <v>294</v>
      </c>
      <c r="B318" s="34" t="s">
        <v>106</v>
      </c>
      <c r="C318" s="34" t="s">
        <v>243</v>
      </c>
      <c r="D318" s="34" t="s">
        <v>768</v>
      </c>
      <c r="E318" s="23" t="s">
        <v>298</v>
      </c>
      <c r="F318" s="23" t="s">
        <v>801</v>
      </c>
      <c r="G318" s="23" t="s">
        <v>802</v>
      </c>
      <c r="H318" s="23" t="s">
        <v>148</v>
      </c>
      <c r="I318" s="25" t="n">
        <v>3</v>
      </c>
      <c r="J318" s="35" t="n">
        <v>1.056</v>
      </c>
      <c r="K318" s="26" t="n">
        <f aca="false">IF(I318=0,0,IF(L318="Rs./km",MROUND(IF(H318="Petrol",'Fuel &amp; Inputs'!$C$5,'Fuel &amp; Inputs'!$C$4)/I318*J318,1),MROUND(I318*J318*IF(H318="Petrol",'Fuel &amp; Inputs'!$C$5,'Fuel &amp; Inputs'!$C$4),10)))</f>
        <v>134</v>
      </c>
      <c r="L318" s="23" t="s">
        <v>590</v>
      </c>
      <c r="M318" s="27" t="n">
        <v>1550</v>
      </c>
      <c r="N318" s="26" t="n">
        <f aca="false">MROUND(M318+'Fuel &amp; Inputs'!$C$13,50)</f>
        <v>2350</v>
      </c>
      <c r="O318" s="27" t="n">
        <v>3250</v>
      </c>
      <c r="P318" s="26" t="n">
        <f aca="false">MROUND(M318*'Fuel &amp; Inputs'!$C$19*'Fuel &amp; Inputs'!$C$21,100)</f>
        <v>5900</v>
      </c>
      <c r="Q318" s="26" t="n">
        <f aca="false">MROUND(N318*'Fuel &amp; Inputs'!$C$19*'Fuel &amp; Inputs'!$C$21,100)</f>
        <v>8900</v>
      </c>
      <c r="R318" s="26" t="n">
        <f aca="false">MROUND(O318*'Fuel &amp; Inputs'!$C$19*'Fuel &amp; Inputs'!$C$21,100)</f>
        <v>12400</v>
      </c>
      <c r="S318" s="26" t="n">
        <f aca="false">MROUND(M318*'Fuel &amp; Inputs'!$C$20*'Fuel &amp; Inputs'!$C$22,500)</f>
        <v>158000</v>
      </c>
      <c r="T318" s="26" t="n">
        <f aca="false">MROUND(N318*'Fuel &amp; Inputs'!$C$20*'Fuel &amp; Inputs'!$C$22,500)</f>
        <v>239500</v>
      </c>
      <c r="U318" s="26" t="n">
        <f aca="false">MROUND(O318*'Fuel &amp; Inputs'!$C$20*'Fuel &amp; Inputs'!$C$22,500)</f>
        <v>331500</v>
      </c>
    </row>
    <row r="319" customFormat="false" ht="23.85" hidden="false" customHeight="false" outlineLevel="0" collapsed="false">
      <c r="A319" s="17" t="n">
        <v>295</v>
      </c>
      <c r="B319" s="32" t="s">
        <v>106</v>
      </c>
      <c r="C319" s="32" t="s">
        <v>243</v>
      </c>
      <c r="D319" s="32" t="s">
        <v>768</v>
      </c>
      <c r="E319" s="17" t="s">
        <v>298</v>
      </c>
      <c r="F319" s="17" t="s">
        <v>803</v>
      </c>
      <c r="G319" s="17" t="s">
        <v>804</v>
      </c>
      <c r="H319" s="17" t="s">
        <v>148</v>
      </c>
      <c r="I319" s="19" t="n">
        <v>3</v>
      </c>
      <c r="J319" s="33" t="n">
        <v>1.056</v>
      </c>
      <c r="K319" s="20" t="n">
        <f aca="false">IF(I319=0,0,IF(L319="Rs./km",MROUND(IF(H319="Petrol",'Fuel &amp; Inputs'!$C$5,'Fuel &amp; Inputs'!$C$4)/I319*J319,1),MROUND(I319*J319*IF(H319="Petrol",'Fuel &amp; Inputs'!$C$5,'Fuel &amp; Inputs'!$C$4),10)))</f>
        <v>134</v>
      </c>
      <c r="L319" s="17" t="s">
        <v>590</v>
      </c>
      <c r="M319" s="21" t="n">
        <v>1550</v>
      </c>
      <c r="N319" s="20" t="n">
        <f aca="false">MROUND(M319+'Fuel &amp; Inputs'!$C$13,50)</f>
        <v>2350</v>
      </c>
      <c r="O319" s="21" t="n">
        <v>3250</v>
      </c>
      <c r="P319" s="20" t="n">
        <f aca="false">MROUND(M319*'Fuel &amp; Inputs'!$C$19*'Fuel &amp; Inputs'!$C$21,100)</f>
        <v>5900</v>
      </c>
      <c r="Q319" s="20" t="n">
        <f aca="false">MROUND(N319*'Fuel &amp; Inputs'!$C$19*'Fuel &amp; Inputs'!$C$21,100)</f>
        <v>8900</v>
      </c>
      <c r="R319" s="20" t="n">
        <f aca="false">MROUND(O319*'Fuel &amp; Inputs'!$C$19*'Fuel &amp; Inputs'!$C$21,100)</f>
        <v>12400</v>
      </c>
      <c r="S319" s="20" t="n">
        <f aca="false">MROUND(M319*'Fuel &amp; Inputs'!$C$20*'Fuel &amp; Inputs'!$C$22,500)</f>
        <v>158000</v>
      </c>
      <c r="T319" s="20" t="n">
        <f aca="false">MROUND(N319*'Fuel &amp; Inputs'!$C$20*'Fuel &amp; Inputs'!$C$22,500)</f>
        <v>239500</v>
      </c>
      <c r="U319" s="20" t="n">
        <f aca="false">MROUND(O319*'Fuel &amp; Inputs'!$C$20*'Fuel &amp; Inputs'!$C$22,500)</f>
        <v>331500</v>
      </c>
    </row>
    <row r="320" customFormat="false" ht="23.85" hidden="false" customHeight="false" outlineLevel="0" collapsed="false">
      <c r="A320" s="23" t="n">
        <v>296</v>
      </c>
      <c r="B320" s="34" t="s">
        <v>106</v>
      </c>
      <c r="C320" s="34" t="s">
        <v>243</v>
      </c>
      <c r="D320" s="34" t="s">
        <v>768</v>
      </c>
      <c r="E320" s="23" t="s">
        <v>298</v>
      </c>
      <c r="F320" s="23" t="s">
        <v>805</v>
      </c>
      <c r="G320" s="23" t="s">
        <v>806</v>
      </c>
      <c r="H320" s="23" t="s">
        <v>148</v>
      </c>
      <c r="I320" s="25" t="n">
        <v>3</v>
      </c>
      <c r="J320" s="35" t="n">
        <v>1.056</v>
      </c>
      <c r="K320" s="26" t="n">
        <f aca="false">IF(I320=0,0,IF(L320="Rs./km",MROUND(IF(H320="Petrol",'Fuel &amp; Inputs'!$C$5,'Fuel &amp; Inputs'!$C$4)/I320*J320,1),MROUND(I320*J320*IF(H320="Petrol",'Fuel &amp; Inputs'!$C$5,'Fuel &amp; Inputs'!$C$4),10)))</f>
        <v>134</v>
      </c>
      <c r="L320" s="23" t="s">
        <v>590</v>
      </c>
      <c r="M320" s="27" t="n">
        <v>1550</v>
      </c>
      <c r="N320" s="26" t="n">
        <f aca="false">MROUND(M320+'Fuel &amp; Inputs'!$C$13,50)</f>
        <v>2350</v>
      </c>
      <c r="O320" s="27" t="n">
        <v>3250</v>
      </c>
      <c r="P320" s="26" t="n">
        <f aca="false">MROUND(M320*'Fuel &amp; Inputs'!$C$19*'Fuel &amp; Inputs'!$C$21,100)</f>
        <v>5900</v>
      </c>
      <c r="Q320" s="26" t="n">
        <f aca="false">MROUND(N320*'Fuel &amp; Inputs'!$C$19*'Fuel &amp; Inputs'!$C$21,100)</f>
        <v>8900</v>
      </c>
      <c r="R320" s="26" t="n">
        <f aca="false">MROUND(O320*'Fuel &amp; Inputs'!$C$19*'Fuel &amp; Inputs'!$C$21,100)</f>
        <v>12400</v>
      </c>
      <c r="S320" s="26" t="n">
        <f aca="false">MROUND(M320*'Fuel &amp; Inputs'!$C$20*'Fuel &amp; Inputs'!$C$22,500)</f>
        <v>158000</v>
      </c>
      <c r="T320" s="26" t="n">
        <f aca="false">MROUND(N320*'Fuel &amp; Inputs'!$C$20*'Fuel &amp; Inputs'!$C$22,500)</f>
        <v>239500</v>
      </c>
      <c r="U320" s="26" t="n">
        <f aca="false">MROUND(O320*'Fuel &amp; Inputs'!$C$20*'Fuel &amp; Inputs'!$C$22,500)</f>
        <v>331500</v>
      </c>
    </row>
    <row r="321" customFormat="false" ht="23.85" hidden="false" customHeight="false" outlineLevel="0" collapsed="false">
      <c r="A321" s="17" t="n">
        <v>297</v>
      </c>
      <c r="B321" s="32" t="s">
        <v>106</v>
      </c>
      <c r="C321" s="32" t="s">
        <v>243</v>
      </c>
      <c r="D321" s="32" t="s">
        <v>768</v>
      </c>
      <c r="E321" s="17" t="s">
        <v>168</v>
      </c>
      <c r="F321" s="17" t="s">
        <v>807</v>
      </c>
      <c r="G321" s="17" t="s">
        <v>808</v>
      </c>
      <c r="H321" s="17" t="s">
        <v>148</v>
      </c>
      <c r="I321" s="19" t="n">
        <v>3</v>
      </c>
      <c r="J321" s="33" t="n">
        <v>1.07</v>
      </c>
      <c r="K321" s="20" t="n">
        <f aca="false">IF(I321=0,0,IF(L321="Rs./km",MROUND(IF(H321="Petrol",'Fuel &amp; Inputs'!$C$5,'Fuel &amp; Inputs'!$C$4)/I321*J321,1),MROUND(I321*J321*IF(H321="Petrol",'Fuel &amp; Inputs'!$C$5,'Fuel &amp; Inputs'!$C$4),10)))</f>
        <v>136</v>
      </c>
      <c r="L321" s="17" t="s">
        <v>590</v>
      </c>
      <c r="M321" s="21" t="n">
        <v>1550</v>
      </c>
      <c r="N321" s="20" t="n">
        <f aca="false">MROUND(M321+'Fuel &amp; Inputs'!$C$13,50)</f>
        <v>2350</v>
      </c>
      <c r="O321" s="21" t="n">
        <v>3250</v>
      </c>
      <c r="P321" s="20" t="n">
        <f aca="false">MROUND(M321*'Fuel &amp; Inputs'!$C$19*'Fuel &amp; Inputs'!$C$21,100)</f>
        <v>5900</v>
      </c>
      <c r="Q321" s="20" t="n">
        <f aca="false">MROUND(N321*'Fuel &amp; Inputs'!$C$19*'Fuel &amp; Inputs'!$C$21,100)</f>
        <v>8900</v>
      </c>
      <c r="R321" s="20" t="n">
        <f aca="false">MROUND(O321*'Fuel &amp; Inputs'!$C$19*'Fuel &amp; Inputs'!$C$21,100)</f>
        <v>12400</v>
      </c>
      <c r="S321" s="20" t="n">
        <f aca="false">MROUND(M321*'Fuel &amp; Inputs'!$C$20*'Fuel &amp; Inputs'!$C$22,500)</f>
        <v>158000</v>
      </c>
      <c r="T321" s="20" t="n">
        <f aca="false">MROUND(N321*'Fuel &amp; Inputs'!$C$20*'Fuel &amp; Inputs'!$C$22,500)</f>
        <v>239500</v>
      </c>
      <c r="U321" s="20" t="n">
        <f aca="false">MROUND(O321*'Fuel &amp; Inputs'!$C$20*'Fuel &amp; Inputs'!$C$22,500)</f>
        <v>331500</v>
      </c>
    </row>
    <row r="322" customFormat="false" ht="23.85" hidden="false" customHeight="false" outlineLevel="0" collapsed="false">
      <c r="A322" s="23" t="n">
        <v>298</v>
      </c>
      <c r="B322" s="34" t="s">
        <v>106</v>
      </c>
      <c r="C322" s="34" t="s">
        <v>243</v>
      </c>
      <c r="D322" s="34" t="s">
        <v>768</v>
      </c>
      <c r="E322" s="23" t="s">
        <v>168</v>
      </c>
      <c r="F322" s="23" t="s">
        <v>809</v>
      </c>
      <c r="G322" s="23" t="s">
        <v>810</v>
      </c>
      <c r="H322" s="23" t="s">
        <v>148</v>
      </c>
      <c r="I322" s="25" t="n">
        <v>3</v>
      </c>
      <c r="J322" s="35" t="n">
        <v>1.07</v>
      </c>
      <c r="K322" s="26" t="n">
        <f aca="false">IF(I322=0,0,IF(L322="Rs./km",MROUND(IF(H322="Petrol",'Fuel &amp; Inputs'!$C$5,'Fuel &amp; Inputs'!$C$4)/I322*J322,1),MROUND(I322*J322*IF(H322="Petrol",'Fuel &amp; Inputs'!$C$5,'Fuel &amp; Inputs'!$C$4),10)))</f>
        <v>136</v>
      </c>
      <c r="L322" s="23" t="s">
        <v>590</v>
      </c>
      <c r="M322" s="27" t="n">
        <v>1550</v>
      </c>
      <c r="N322" s="26" t="n">
        <f aca="false">MROUND(M322+'Fuel &amp; Inputs'!$C$13,50)</f>
        <v>2350</v>
      </c>
      <c r="O322" s="27" t="n">
        <v>3250</v>
      </c>
      <c r="P322" s="26" t="n">
        <f aca="false">MROUND(M322*'Fuel &amp; Inputs'!$C$19*'Fuel &amp; Inputs'!$C$21,100)</f>
        <v>5900</v>
      </c>
      <c r="Q322" s="26" t="n">
        <f aca="false">MROUND(N322*'Fuel &amp; Inputs'!$C$19*'Fuel &amp; Inputs'!$C$21,100)</f>
        <v>8900</v>
      </c>
      <c r="R322" s="26" t="n">
        <f aca="false">MROUND(O322*'Fuel &amp; Inputs'!$C$19*'Fuel &amp; Inputs'!$C$21,100)</f>
        <v>12400</v>
      </c>
      <c r="S322" s="26" t="n">
        <f aca="false">MROUND(M322*'Fuel &amp; Inputs'!$C$20*'Fuel &amp; Inputs'!$C$22,500)</f>
        <v>158000</v>
      </c>
      <c r="T322" s="26" t="n">
        <f aca="false">MROUND(N322*'Fuel &amp; Inputs'!$C$20*'Fuel &amp; Inputs'!$C$22,500)</f>
        <v>239500</v>
      </c>
      <c r="U322" s="26" t="n">
        <f aca="false">MROUND(O322*'Fuel &amp; Inputs'!$C$20*'Fuel &amp; Inputs'!$C$22,500)</f>
        <v>331500</v>
      </c>
    </row>
    <row r="323" customFormat="false" ht="23.85" hidden="false" customHeight="false" outlineLevel="0" collapsed="false">
      <c r="A323" s="17" t="n">
        <v>299</v>
      </c>
      <c r="B323" s="32" t="s">
        <v>106</v>
      </c>
      <c r="C323" s="32" t="s">
        <v>243</v>
      </c>
      <c r="D323" s="32" t="s">
        <v>768</v>
      </c>
      <c r="E323" s="17" t="s">
        <v>298</v>
      </c>
      <c r="F323" s="17" t="s">
        <v>811</v>
      </c>
      <c r="G323" s="17" t="s">
        <v>812</v>
      </c>
      <c r="H323" s="17" t="s">
        <v>148</v>
      </c>
      <c r="I323" s="19" t="n">
        <v>3</v>
      </c>
      <c r="J323" s="33" t="n">
        <v>1.056</v>
      </c>
      <c r="K323" s="20" t="n">
        <f aca="false">IF(I323=0,0,IF(L323="Rs./km",MROUND(IF(H323="Petrol",'Fuel &amp; Inputs'!$C$5,'Fuel &amp; Inputs'!$C$4)/I323*J323,1),MROUND(I323*J323*IF(H323="Petrol",'Fuel &amp; Inputs'!$C$5,'Fuel &amp; Inputs'!$C$4),10)))</f>
        <v>134</v>
      </c>
      <c r="L323" s="17" t="s">
        <v>590</v>
      </c>
      <c r="M323" s="21" t="n">
        <v>1550</v>
      </c>
      <c r="N323" s="20" t="n">
        <f aca="false">MROUND(M323+'Fuel &amp; Inputs'!$C$13,50)</f>
        <v>2350</v>
      </c>
      <c r="O323" s="21" t="n">
        <v>3250</v>
      </c>
      <c r="P323" s="20" t="n">
        <f aca="false">MROUND(M323*'Fuel &amp; Inputs'!$C$19*'Fuel &amp; Inputs'!$C$21,100)</f>
        <v>5900</v>
      </c>
      <c r="Q323" s="20" t="n">
        <f aca="false">MROUND(N323*'Fuel &amp; Inputs'!$C$19*'Fuel &amp; Inputs'!$C$21,100)</f>
        <v>8900</v>
      </c>
      <c r="R323" s="20" t="n">
        <f aca="false">MROUND(O323*'Fuel &amp; Inputs'!$C$19*'Fuel &amp; Inputs'!$C$21,100)</f>
        <v>12400</v>
      </c>
      <c r="S323" s="20" t="n">
        <f aca="false">MROUND(M323*'Fuel &amp; Inputs'!$C$20*'Fuel &amp; Inputs'!$C$22,500)</f>
        <v>158000</v>
      </c>
      <c r="T323" s="20" t="n">
        <f aca="false">MROUND(N323*'Fuel &amp; Inputs'!$C$20*'Fuel &amp; Inputs'!$C$22,500)</f>
        <v>239500</v>
      </c>
      <c r="U323" s="20" t="n">
        <f aca="false">MROUND(O323*'Fuel &amp; Inputs'!$C$20*'Fuel &amp; Inputs'!$C$22,500)</f>
        <v>331500</v>
      </c>
    </row>
    <row r="324" customFormat="false" ht="23.85" hidden="false" customHeight="false" outlineLevel="0" collapsed="false">
      <c r="A324" s="23" t="n">
        <v>300</v>
      </c>
      <c r="B324" s="34" t="s">
        <v>106</v>
      </c>
      <c r="C324" s="34" t="s">
        <v>243</v>
      </c>
      <c r="D324" s="34" t="s">
        <v>768</v>
      </c>
      <c r="E324" s="23" t="s">
        <v>298</v>
      </c>
      <c r="F324" s="23" t="s">
        <v>813</v>
      </c>
      <c r="G324" s="23" t="s">
        <v>814</v>
      </c>
      <c r="H324" s="23" t="s">
        <v>148</v>
      </c>
      <c r="I324" s="25" t="n">
        <v>3</v>
      </c>
      <c r="J324" s="35" t="n">
        <v>1.056</v>
      </c>
      <c r="K324" s="26" t="n">
        <f aca="false">IF(I324=0,0,IF(L324="Rs./km",MROUND(IF(H324="Petrol",'Fuel &amp; Inputs'!$C$5,'Fuel &amp; Inputs'!$C$4)/I324*J324,1),MROUND(I324*J324*IF(H324="Petrol",'Fuel &amp; Inputs'!$C$5,'Fuel &amp; Inputs'!$C$4),10)))</f>
        <v>134</v>
      </c>
      <c r="L324" s="23" t="s">
        <v>590</v>
      </c>
      <c r="M324" s="27" t="n">
        <v>1550</v>
      </c>
      <c r="N324" s="26" t="n">
        <f aca="false">MROUND(M324+'Fuel &amp; Inputs'!$C$13,50)</f>
        <v>2350</v>
      </c>
      <c r="O324" s="27" t="n">
        <v>3250</v>
      </c>
      <c r="P324" s="26" t="n">
        <f aca="false">MROUND(M324*'Fuel &amp; Inputs'!$C$19*'Fuel &amp; Inputs'!$C$21,100)</f>
        <v>5900</v>
      </c>
      <c r="Q324" s="26" t="n">
        <f aca="false">MROUND(N324*'Fuel &amp; Inputs'!$C$19*'Fuel &amp; Inputs'!$C$21,100)</f>
        <v>8900</v>
      </c>
      <c r="R324" s="26" t="n">
        <f aca="false">MROUND(O324*'Fuel &amp; Inputs'!$C$19*'Fuel &amp; Inputs'!$C$21,100)</f>
        <v>12400</v>
      </c>
      <c r="S324" s="26" t="n">
        <f aca="false">MROUND(M324*'Fuel &amp; Inputs'!$C$20*'Fuel &amp; Inputs'!$C$22,500)</f>
        <v>158000</v>
      </c>
      <c r="T324" s="26" t="n">
        <f aca="false">MROUND(N324*'Fuel &amp; Inputs'!$C$20*'Fuel &amp; Inputs'!$C$22,500)</f>
        <v>239500</v>
      </c>
      <c r="U324" s="26" t="n">
        <f aca="false">MROUND(O324*'Fuel &amp; Inputs'!$C$20*'Fuel &amp; Inputs'!$C$22,500)</f>
        <v>331500</v>
      </c>
    </row>
    <row r="325" customFormat="false" ht="23.85" hidden="false" customHeight="false" outlineLevel="0" collapsed="false">
      <c r="A325" s="17" t="n">
        <v>301</v>
      </c>
      <c r="B325" s="32" t="s">
        <v>106</v>
      </c>
      <c r="C325" s="32" t="s">
        <v>243</v>
      </c>
      <c r="D325" s="32" t="s">
        <v>768</v>
      </c>
      <c r="E325" s="17" t="s">
        <v>298</v>
      </c>
      <c r="F325" s="17" t="s">
        <v>815</v>
      </c>
      <c r="G325" s="17" t="s">
        <v>816</v>
      </c>
      <c r="H325" s="17" t="s">
        <v>148</v>
      </c>
      <c r="I325" s="19" t="n">
        <v>3</v>
      </c>
      <c r="J325" s="33" t="n">
        <v>1.056</v>
      </c>
      <c r="K325" s="20" t="n">
        <f aca="false">IF(I325=0,0,IF(L325="Rs./km",MROUND(IF(H325="Petrol",'Fuel &amp; Inputs'!$C$5,'Fuel &amp; Inputs'!$C$4)/I325*J325,1),MROUND(I325*J325*IF(H325="Petrol",'Fuel &amp; Inputs'!$C$5,'Fuel &amp; Inputs'!$C$4),10)))</f>
        <v>134</v>
      </c>
      <c r="L325" s="17" t="s">
        <v>590</v>
      </c>
      <c r="M325" s="21" t="n">
        <v>1550</v>
      </c>
      <c r="N325" s="20" t="n">
        <f aca="false">MROUND(M325+'Fuel &amp; Inputs'!$C$13,50)</f>
        <v>2350</v>
      </c>
      <c r="O325" s="21" t="n">
        <v>3250</v>
      </c>
      <c r="P325" s="20" t="n">
        <f aca="false">MROUND(M325*'Fuel &amp; Inputs'!$C$19*'Fuel &amp; Inputs'!$C$21,100)</f>
        <v>5900</v>
      </c>
      <c r="Q325" s="20" t="n">
        <f aca="false">MROUND(N325*'Fuel &amp; Inputs'!$C$19*'Fuel &amp; Inputs'!$C$21,100)</f>
        <v>8900</v>
      </c>
      <c r="R325" s="20" t="n">
        <f aca="false">MROUND(O325*'Fuel &amp; Inputs'!$C$19*'Fuel &amp; Inputs'!$C$21,100)</f>
        <v>12400</v>
      </c>
      <c r="S325" s="20" t="n">
        <f aca="false">MROUND(M325*'Fuel &amp; Inputs'!$C$20*'Fuel &amp; Inputs'!$C$22,500)</f>
        <v>158000</v>
      </c>
      <c r="T325" s="20" t="n">
        <f aca="false">MROUND(N325*'Fuel &amp; Inputs'!$C$20*'Fuel &amp; Inputs'!$C$22,500)</f>
        <v>239500</v>
      </c>
      <c r="U325" s="20" t="n">
        <f aca="false">MROUND(O325*'Fuel &amp; Inputs'!$C$20*'Fuel &amp; Inputs'!$C$22,500)</f>
        <v>331500</v>
      </c>
    </row>
    <row r="326" customFormat="false" ht="23.85" hidden="false" customHeight="false" outlineLevel="0" collapsed="false">
      <c r="A326" s="23" t="n">
        <v>302</v>
      </c>
      <c r="B326" s="34" t="s">
        <v>106</v>
      </c>
      <c r="C326" s="34" t="s">
        <v>243</v>
      </c>
      <c r="D326" s="34" t="s">
        <v>768</v>
      </c>
      <c r="E326" s="23" t="s">
        <v>298</v>
      </c>
      <c r="F326" s="23" t="s">
        <v>817</v>
      </c>
      <c r="G326" s="23" t="s">
        <v>818</v>
      </c>
      <c r="H326" s="23" t="s">
        <v>148</v>
      </c>
      <c r="I326" s="25" t="n">
        <v>3</v>
      </c>
      <c r="J326" s="35" t="n">
        <v>1.056</v>
      </c>
      <c r="K326" s="26" t="n">
        <f aca="false">IF(I326=0,0,IF(L326="Rs./km",MROUND(IF(H326="Petrol",'Fuel &amp; Inputs'!$C$5,'Fuel &amp; Inputs'!$C$4)/I326*J326,1),MROUND(I326*J326*IF(H326="Petrol",'Fuel &amp; Inputs'!$C$5,'Fuel &amp; Inputs'!$C$4),10)))</f>
        <v>134</v>
      </c>
      <c r="L326" s="23" t="s">
        <v>590</v>
      </c>
      <c r="M326" s="27" t="n">
        <v>1550</v>
      </c>
      <c r="N326" s="26" t="n">
        <f aca="false">MROUND(M326+'Fuel &amp; Inputs'!$C$13,50)</f>
        <v>2350</v>
      </c>
      <c r="O326" s="27" t="n">
        <v>3250</v>
      </c>
      <c r="P326" s="26" t="n">
        <f aca="false">MROUND(M326*'Fuel &amp; Inputs'!$C$19*'Fuel &amp; Inputs'!$C$21,100)</f>
        <v>5900</v>
      </c>
      <c r="Q326" s="26" t="n">
        <f aca="false">MROUND(N326*'Fuel &amp; Inputs'!$C$19*'Fuel &amp; Inputs'!$C$21,100)</f>
        <v>8900</v>
      </c>
      <c r="R326" s="26" t="n">
        <f aca="false">MROUND(O326*'Fuel &amp; Inputs'!$C$19*'Fuel &amp; Inputs'!$C$21,100)</f>
        <v>12400</v>
      </c>
      <c r="S326" s="26" t="n">
        <f aca="false">MROUND(M326*'Fuel &amp; Inputs'!$C$20*'Fuel &amp; Inputs'!$C$22,500)</f>
        <v>158000</v>
      </c>
      <c r="T326" s="26" t="n">
        <f aca="false">MROUND(N326*'Fuel &amp; Inputs'!$C$20*'Fuel &amp; Inputs'!$C$22,500)</f>
        <v>239500</v>
      </c>
      <c r="U326" s="26" t="n">
        <f aca="false">MROUND(O326*'Fuel &amp; Inputs'!$C$20*'Fuel &amp; Inputs'!$C$22,500)</f>
        <v>331500</v>
      </c>
    </row>
    <row r="327" customFormat="false" ht="23.85" hidden="false" customHeight="false" outlineLevel="0" collapsed="false">
      <c r="A327" s="17" t="n">
        <v>303</v>
      </c>
      <c r="B327" s="32" t="s">
        <v>106</v>
      </c>
      <c r="C327" s="32" t="s">
        <v>243</v>
      </c>
      <c r="D327" s="32" t="s">
        <v>768</v>
      </c>
      <c r="E327" s="17" t="s">
        <v>298</v>
      </c>
      <c r="F327" s="17" t="s">
        <v>819</v>
      </c>
      <c r="G327" s="17" t="s">
        <v>820</v>
      </c>
      <c r="H327" s="17" t="s">
        <v>148</v>
      </c>
      <c r="I327" s="19" t="n">
        <v>3</v>
      </c>
      <c r="J327" s="33" t="n">
        <v>1.056</v>
      </c>
      <c r="K327" s="20" t="n">
        <f aca="false">IF(I327=0,0,IF(L327="Rs./km",MROUND(IF(H327="Petrol",'Fuel &amp; Inputs'!$C$5,'Fuel &amp; Inputs'!$C$4)/I327*J327,1),MROUND(I327*J327*IF(H327="Petrol",'Fuel &amp; Inputs'!$C$5,'Fuel &amp; Inputs'!$C$4),10)))</f>
        <v>134</v>
      </c>
      <c r="L327" s="17" t="s">
        <v>590</v>
      </c>
      <c r="M327" s="21" t="n">
        <v>1550</v>
      </c>
      <c r="N327" s="20" t="n">
        <f aca="false">MROUND(M327+'Fuel &amp; Inputs'!$C$13,50)</f>
        <v>2350</v>
      </c>
      <c r="O327" s="21" t="n">
        <v>3250</v>
      </c>
      <c r="P327" s="20" t="n">
        <f aca="false">MROUND(M327*'Fuel &amp; Inputs'!$C$19*'Fuel &amp; Inputs'!$C$21,100)</f>
        <v>5900</v>
      </c>
      <c r="Q327" s="20" t="n">
        <f aca="false">MROUND(N327*'Fuel &amp; Inputs'!$C$19*'Fuel &amp; Inputs'!$C$21,100)</f>
        <v>8900</v>
      </c>
      <c r="R327" s="20" t="n">
        <f aca="false">MROUND(O327*'Fuel &amp; Inputs'!$C$19*'Fuel &amp; Inputs'!$C$21,100)</f>
        <v>12400</v>
      </c>
      <c r="S327" s="20" t="n">
        <f aca="false">MROUND(M327*'Fuel &amp; Inputs'!$C$20*'Fuel &amp; Inputs'!$C$22,500)</f>
        <v>158000</v>
      </c>
      <c r="T327" s="20" t="n">
        <f aca="false">MROUND(N327*'Fuel &amp; Inputs'!$C$20*'Fuel &amp; Inputs'!$C$22,500)</f>
        <v>239500</v>
      </c>
      <c r="U327" s="20" t="n">
        <f aca="false">MROUND(O327*'Fuel &amp; Inputs'!$C$20*'Fuel &amp; Inputs'!$C$22,500)</f>
        <v>331500</v>
      </c>
    </row>
    <row r="328" customFormat="false" ht="23.85" hidden="false" customHeight="false" outlineLevel="0" collapsed="false">
      <c r="A328" s="23" t="n">
        <v>304</v>
      </c>
      <c r="B328" s="34" t="s">
        <v>106</v>
      </c>
      <c r="C328" s="34" t="s">
        <v>243</v>
      </c>
      <c r="D328" s="34" t="s">
        <v>768</v>
      </c>
      <c r="E328" s="23" t="s">
        <v>298</v>
      </c>
      <c r="F328" s="23" t="s">
        <v>821</v>
      </c>
      <c r="G328" s="23" t="s">
        <v>822</v>
      </c>
      <c r="H328" s="23" t="s">
        <v>148</v>
      </c>
      <c r="I328" s="25" t="n">
        <v>3</v>
      </c>
      <c r="J328" s="35" t="n">
        <v>1.056</v>
      </c>
      <c r="K328" s="26" t="n">
        <f aca="false">IF(I328=0,0,IF(L328="Rs./km",MROUND(IF(H328="Petrol",'Fuel &amp; Inputs'!$C$5,'Fuel &amp; Inputs'!$C$4)/I328*J328,1),MROUND(I328*J328*IF(H328="Petrol",'Fuel &amp; Inputs'!$C$5,'Fuel &amp; Inputs'!$C$4),10)))</f>
        <v>134</v>
      </c>
      <c r="L328" s="23" t="s">
        <v>590</v>
      </c>
      <c r="M328" s="27" t="n">
        <v>1550</v>
      </c>
      <c r="N328" s="26" t="n">
        <f aca="false">MROUND(M328+'Fuel &amp; Inputs'!$C$13,50)</f>
        <v>2350</v>
      </c>
      <c r="O328" s="27" t="n">
        <v>3250</v>
      </c>
      <c r="P328" s="26" t="n">
        <f aca="false">MROUND(M328*'Fuel &amp; Inputs'!$C$19*'Fuel &amp; Inputs'!$C$21,100)</f>
        <v>5900</v>
      </c>
      <c r="Q328" s="26" t="n">
        <f aca="false">MROUND(N328*'Fuel &amp; Inputs'!$C$19*'Fuel &amp; Inputs'!$C$21,100)</f>
        <v>8900</v>
      </c>
      <c r="R328" s="26" t="n">
        <f aca="false">MROUND(O328*'Fuel &amp; Inputs'!$C$19*'Fuel &amp; Inputs'!$C$21,100)</f>
        <v>12400</v>
      </c>
      <c r="S328" s="26" t="n">
        <f aca="false">MROUND(M328*'Fuel &amp; Inputs'!$C$20*'Fuel &amp; Inputs'!$C$22,500)</f>
        <v>158000</v>
      </c>
      <c r="T328" s="26" t="n">
        <f aca="false">MROUND(N328*'Fuel &amp; Inputs'!$C$20*'Fuel &amp; Inputs'!$C$22,500)</f>
        <v>239500</v>
      </c>
      <c r="U328" s="26" t="n">
        <f aca="false">MROUND(O328*'Fuel &amp; Inputs'!$C$20*'Fuel &amp; Inputs'!$C$22,500)</f>
        <v>331500</v>
      </c>
    </row>
    <row r="329" customFormat="false" ht="23.85" hidden="false" customHeight="false" outlineLevel="0" collapsed="false">
      <c r="A329" s="17" t="n">
        <v>305</v>
      </c>
      <c r="B329" s="32" t="s">
        <v>106</v>
      </c>
      <c r="C329" s="32" t="s">
        <v>243</v>
      </c>
      <c r="D329" s="32" t="s">
        <v>768</v>
      </c>
      <c r="E329" s="17" t="s">
        <v>298</v>
      </c>
      <c r="F329" s="17" t="s">
        <v>823</v>
      </c>
      <c r="G329" s="17" t="s">
        <v>824</v>
      </c>
      <c r="H329" s="17" t="s">
        <v>148</v>
      </c>
      <c r="I329" s="19" t="n">
        <v>3</v>
      </c>
      <c r="J329" s="33" t="n">
        <v>1.056</v>
      </c>
      <c r="K329" s="20" t="n">
        <f aca="false">IF(I329=0,0,IF(L329="Rs./km",MROUND(IF(H329="Petrol",'Fuel &amp; Inputs'!$C$5,'Fuel &amp; Inputs'!$C$4)/I329*J329,1),MROUND(I329*J329*IF(H329="Petrol",'Fuel &amp; Inputs'!$C$5,'Fuel &amp; Inputs'!$C$4),10)))</f>
        <v>134</v>
      </c>
      <c r="L329" s="17" t="s">
        <v>590</v>
      </c>
      <c r="M329" s="21" t="n">
        <v>1550</v>
      </c>
      <c r="N329" s="20" t="n">
        <f aca="false">MROUND(M329+'Fuel &amp; Inputs'!$C$13,50)</f>
        <v>2350</v>
      </c>
      <c r="O329" s="21" t="n">
        <v>3250</v>
      </c>
      <c r="P329" s="20" t="n">
        <f aca="false">MROUND(M329*'Fuel &amp; Inputs'!$C$19*'Fuel &amp; Inputs'!$C$21,100)</f>
        <v>5900</v>
      </c>
      <c r="Q329" s="20" t="n">
        <f aca="false">MROUND(N329*'Fuel &amp; Inputs'!$C$19*'Fuel &amp; Inputs'!$C$21,100)</f>
        <v>8900</v>
      </c>
      <c r="R329" s="20" t="n">
        <f aca="false">MROUND(O329*'Fuel &amp; Inputs'!$C$19*'Fuel &amp; Inputs'!$C$21,100)</f>
        <v>12400</v>
      </c>
      <c r="S329" s="20" t="n">
        <f aca="false">MROUND(M329*'Fuel &amp; Inputs'!$C$20*'Fuel &amp; Inputs'!$C$22,500)</f>
        <v>158000</v>
      </c>
      <c r="T329" s="20" t="n">
        <f aca="false">MROUND(N329*'Fuel &amp; Inputs'!$C$20*'Fuel &amp; Inputs'!$C$22,500)</f>
        <v>239500</v>
      </c>
      <c r="U329" s="20" t="n">
        <f aca="false">MROUND(O329*'Fuel &amp; Inputs'!$C$20*'Fuel &amp; Inputs'!$C$22,500)</f>
        <v>331500</v>
      </c>
    </row>
    <row r="330" customFormat="false" ht="23.85" hidden="false" customHeight="false" outlineLevel="0" collapsed="false">
      <c r="A330" s="23" t="n">
        <v>306</v>
      </c>
      <c r="B330" s="34" t="s">
        <v>106</v>
      </c>
      <c r="C330" s="34" t="s">
        <v>243</v>
      </c>
      <c r="D330" s="34" t="s">
        <v>244</v>
      </c>
      <c r="E330" s="23" t="s">
        <v>298</v>
      </c>
      <c r="F330" s="23" t="s">
        <v>825</v>
      </c>
      <c r="G330" s="23" t="s">
        <v>826</v>
      </c>
      <c r="H330" s="23" t="s">
        <v>148</v>
      </c>
      <c r="I330" s="25" t="n">
        <v>3</v>
      </c>
      <c r="J330" s="35" t="n">
        <v>1.056</v>
      </c>
      <c r="K330" s="26" t="n">
        <f aca="false">IF(I330=0,0,IF(L330="Rs./km",MROUND(IF(H330="Petrol",'Fuel &amp; Inputs'!$C$5,'Fuel &amp; Inputs'!$C$4)/I330*J330,1),MROUND(I330*J330*IF(H330="Petrol",'Fuel &amp; Inputs'!$C$5,'Fuel &amp; Inputs'!$C$4),10)))</f>
        <v>134</v>
      </c>
      <c r="L330" s="23" t="s">
        <v>590</v>
      </c>
      <c r="M330" s="27" t="n">
        <v>1430</v>
      </c>
      <c r="N330" s="26" t="n">
        <f aca="false">MROUND(M330+'Fuel &amp; Inputs'!$C$13,50)</f>
        <v>2250</v>
      </c>
      <c r="O330" s="27" t="n">
        <v>2990</v>
      </c>
      <c r="P330" s="26" t="n">
        <f aca="false">MROUND(M330*'Fuel &amp; Inputs'!$C$19*'Fuel &amp; Inputs'!$C$21,100)</f>
        <v>5400</v>
      </c>
      <c r="Q330" s="26" t="n">
        <f aca="false">MROUND(N330*'Fuel &amp; Inputs'!$C$19*'Fuel &amp; Inputs'!$C$21,100)</f>
        <v>8600</v>
      </c>
      <c r="R330" s="26" t="n">
        <f aca="false">MROUND(O330*'Fuel &amp; Inputs'!$C$19*'Fuel &amp; Inputs'!$C$21,100)</f>
        <v>11400</v>
      </c>
      <c r="S330" s="26" t="n">
        <f aca="false">MROUND(M330*'Fuel &amp; Inputs'!$C$20*'Fuel &amp; Inputs'!$C$22,500)</f>
        <v>146000</v>
      </c>
      <c r="T330" s="26" t="n">
        <f aca="false">MROUND(N330*'Fuel &amp; Inputs'!$C$20*'Fuel &amp; Inputs'!$C$22,500)</f>
        <v>229500</v>
      </c>
      <c r="U330" s="26" t="n">
        <f aca="false">MROUND(O330*'Fuel &amp; Inputs'!$C$20*'Fuel &amp; Inputs'!$C$22,500)</f>
        <v>305000</v>
      </c>
    </row>
    <row r="331" customFormat="false" ht="23.85" hidden="false" customHeight="false" outlineLevel="0" collapsed="false">
      <c r="A331" s="17" t="n">
        <v>307</v>
      </c>
      <c r="B331" s="32" t="s">
        <v>106</v>
      </c>
      <c r="C331" s="32" t="s">
        <v>243</v>
      </c>
      <c r="D331" s="32" t="s">
        <v>244</v>
      </c>
      <c r="E331" s="17" t="s">
        <v>298</v>
      </c>
      <c r="F331" s="17" t="s">
        <v>827</v>
      </c>
      <c r="G331" s="17" t="s">
        <v>828</v>
      </c>
      <c r="H331" s="17" t="s">
        <v>148</v>
      </c>
      <c r="I331" s="19" t="n">
        <v>3</v>
      </c>
      <c r="J331" s="33" t="n">
        <v>1.056</v>
      </c>
      <c r="K331" s="20" t="n">
        <f aca="false">IF(I331=0,0,IF(L331="Rs./km",MROUND(IF(H331="Petrol",'Fuel &amp; Inputs'!$C$5,'Fuel &amp; Inputs'!$C$4)/I331*J331,1),MROUND(I331*J331*IF(H331="Petrol",'Fuel &amp; Inputs'!$C$5,'Fuel &amp; Inputs'!$C$4),10)))</f>
        <v>134</v>
      </c>
      <c r="L331" s="17" t="s">
        <v>590</v>
      </c>
      <c r="M331" s="21" t="n">
        <v>1430</v>
      </c>
      <c r="N331" s="20" t="n">
        <f aca="false">MROUND(M331+'Fuel &amp; Inputs'!$C$13,50)</f>
        <v>2250</v>
      </c>
      <c r="O331" s="21" t="n">
        <v>2990</v>
      </c>
      <c r="P331" s="20" t="n">
        <f aca="false">MROUND(M331*'Fuel &amp; Inputs'!$C$19*'Fuel &amp; Inputs'!$C$21,100)</f>
        <v>5400</v>
      </c>
      <c r="Q331" s="20" t="n">
        <f aca="false">MROUND(N331*'Fuel &amp; Inputs'!$C$19*'Fuel &amp; Inputs'!$C$21,100)</f>
        <v>8600</v>
      </c>
      <c r="R331" s="20" t="n">
        <f aca="false">MROUND(O331*'Fuel &amp; Inputs'!$C$19*'Fuel &amp; Inputs'!$C$21,100)</f>
        <v>11400</v>
      </c>
      <c r="S331" s="20" t="n">
        <f aca="false">MROUND(M331*'Fuel &amp; Inputs'!$C$20*'Fuel &amp; Inputs'!$C$22,500)</f>
        <v>146000</v>
      </c>
      <c r="T331" s="20" t="n">
        <f aca="false">MROUND(N331*'Fuel &amp; Inputs'!$C$20*'Fuel &amp; Inputs'!$C$22,500)</f>
        <v>229500</v>
      </c>
      <c r="U331" s="20" t="n">
        <f aca="false">MROUND(O331*'Fuel &amp; Inputs'!$C$20*'Fuel &amp; Inputs'!$C$22,500)</f>
        <v>305000</v>
      </c>
    </row>
    <row r="332" customFormat="false" ht="23.85" hidden="false" customHeight="false" outlineLevel="0" collapsed="false">
      <c r="A332" s="23" t="n">
        <v>308</v>
      </c>
      <c r="B332" s="34" t="s">
        <v>106</v>
      </c>
      <c r="C332" s="34" t="s">
        <v>243</v>
      </c>
      <c r="D332" s="34" t="s">
        <v>244</v>
      </c>
      <c r="E332" s="23" t="s">
        <v>298</v>
      </c>
      <c r="F332" s="23" t="s">
        <v>829</v>
      </c>
      <c r="G332" s="23" t="s">
        <v>830</v>
      </c>
      <c r="H332" s="23" t="s">
        <v>148</v>
      </c>
      <c r="I332" s="25" t="n">
        <v>3</v>
      </c>
      <c r="J332" s="35" t="n">
        <v>1.056</v>
      </c>
      <c r="K332" s="26" t="n">
        <f aca="false">IF(I332=0,0,IF(L332="Rs./km",MROUND(IF(H332="Petrol",'Fuel &amp; Inputs'!$C$5,'Fuel &amp; Inputs'!$C$4)/I332*J332,1),MROUND(I332*J332*IF(H332="Petrol",'Fuel &amp; Inputs'!$C$5,'Fuel &amp; Inputs'!$C$4),10)))</f>
        <v>134</v>
      </c>
      <c r="L332" s="23" t="s">
        <v>590</v>
      </c>
      <c r="M332" s="27" t="n">
        <v>1430</v>
      </c>
      <c r="N332" s="26" t="n">
        <f aca="false">MROUND(M332+'Fuel &amp; Inputs'!$C$13,50)</f>
        <v>2250</v>
      </c>
      <c r="O332" s="27" t="n">
        <v>2990</v>
      </c>
      <c r="P332" s="26" t="n">
        <f aca="false">MROUND(M332*'Fuel &amp; Inputs'!$C$19*'Fuel &amp; Inputs'!$C$21,100)</f>
        <v>5400</v>
      </c>
      <c r="Q332" s="26" t="n">
        <f aca="false">MROUND(N332*'Fuel &amp; Inputs'!$C$19*'Fuel &amp; Inputs'!$C$21,100)</f>
        <v>8600</v>
      </c>
      <c r="R332" s="26" t="n">
        <f aca="false">MROUND(O332*'Fuel &amp; Inputs'!$C$19*'Fuel &amp; Inputs'!$C$21,100)</f>
        <v>11400</v>
      </c>
      <c r="S332" s="26" t="n">
        <f aca="false">MROUND(M332*'Fuel &amp; Inputs'!$C$20*'Fuel &amp; Inputs'!$C$22,500)</f>
        <v>146000</v>
      </c>
      <c r="T332" s="26" t="n">
        <f aca="false">MROUND(N332*'Fuel &amp; Inputs'!$C$20*'Fuel &amp; Inputs'!$C$22,500)</f>
        <v>229500</v>
      </c>
      <c r="U332" s="26" t="n">
        <f aca="false">MROUND(O332*'Fuel &amp; Inputs'!$C$20*'Fuel &amp; Inputs'!$C$22,500)</f>
        <v>305000</v>
      </c>
    </row>
    <row r="333" customFormat="false" ht="23.85" hidden="false" customHeight="false" outlineLevel="0" collapsed="false">
      <c r="A333" s="17" t="n">
        <v>309</v>
      </c>
      <c r="B333" s="32" t="s">
        <v>106</v>
      </c>
      <c r="C333" s="32" t="s">
        <v>243</v>
      </c>
      <c r="D333" s="32" t="s">
        <v>244</v>
      </c>
      <c r="E333" s="17" t="s">
        <v>145</v>
      </c>
      <c r="F333" s="17" t="s">
        <v>831</v>
      </c>
      <c r="G333" s="17" t="s">
        <v>832</v>
      </c>
      <c r="H333" s="17" t="s">
        <v>148</v>
      </c>
      <c r="I333" s="19" t="n">
        <v>3</v>
      </c>
      <c r="J333" s="33" t="n">
        <v>1.035</v>
      </c>
      <c r="K333" s="20" t="n">
        <f aca="false">IF(I333=0,0,IF(L333="Rs./km",MROUND(IF(H333="Petrol",'Fuel &amp; Inputs'!$C$5,'Fuel &amp; Inputs'!$C$4)/I333*J333,1),MROUND(I333*J333*IF(H333="Petrol",'Fuel &amp; Inputs'!$C$5,'Fuel &amp; Inputs'!$C$4),10)))</f>
        <v>132</v>
      </c>
      <c r="L333" s="17" t="s">
        <v>590</v>
      </c>
      <c r="M333" s="21" t="n">
        <v>1430</v>
      </c>
      <c r="N333" s="20" t="n">
        <f aca="false">MROUND(M333+'Fuel &amp; Inputs'!$C$13,50)</f>
        <v>2250</v>
      </c>
      <c r="O333" s="21" t="n">
        <v>2990</v>
      </c>
      <c r="P333" s="20" t="n">
        <f aca="false">MROUND(M333*'Fuel &amp; Inputs'!$C$19*'Fuel &amp; Inputs'!$C$21,100)</f>
        <v>5400</v>
      </c>
      <c r="Q333" s="20" t="n">
        <f aca="false">MROUND(N333*'Fuel &amp; Inputs'!$C$19*'Fuel &amp; Inputs'!$C$21,100)</f>
        <v>8600</v>
      </c>
      <c r="R333" s="20" t="n">
        <f aca="false">MROUND(O333*'Fuel &amp; Inputs'!$C$19*'Fuel &amp; Inputs'!$C$21,100)</f>
        <v>11400</v>
      </c>
      <c r="S333" s="20" t="n">
        <f aca="false">MROUND(M333*'Fuel &amp; Inputs'!$C$20*'Fuel &amp; Inputs'!$C$22,500)</f>
        <v>146000</v>
      </c>
      <c r="T333" s="20" t="n">
        <f aca="false">MROUND(N333*'Fuel &amp; Inputs'!$C$20*'Fuel &amp; Inputs'!$C$22,500)</f>
        <v>229500</v>
      </c>
      <c r="U333" s="20" t="n">
        <f aca="false">MROUND(O333*'Fuel &amp; Inputs'!$C$20*'Fuel &amp; Inputs'!$C$22,500)</f>
        <v>305000</v>
      </c>
    </row>
    <row r="334" customFormat="false" ht="23.85" hidden="false" customHeight="false" outlineLevel="0" collapsed="false">
      <c r="A334" s="23" t="n">
        <v>310</v>
      </c>
      <c r="B334" s="34" t="s">
        <v>106</v>
      </c>
      <c r="C334" s="34" t="s">
        <v>243</v>
      </c>
      <c r="D334" s="34" t="s">
        <v>768</v>
      </c>
      <c r="E334" s="23" t="s">
        <v>298</v>
      </c>
      <c r="F334" s="23" t="s">
        <v>833</v>
      </c>
      <c r="G334" s="23" t="s">
        <v>834</v>
      </c>
      <c r="H334" s="23" t="s">
        <v>148</v>
      </c>
      <c r="I334" s="25" t="n">
        <v>3</v>
      </c>
      <c r="J334" s="35" t="n">
        <v>1.056</v>
      </c>
      <c r="K334" s="26" t="n">
        <f aca="false">IF(I334=0,0,IF(L334="Rs./km",MROUND(IF(H334="Petrol",'Fuel &amp; Inputs'!$C$5,'Fuel &amp; Inputs'!$C$4)/I334*J334,1),MROUND(I334*J334*IF(H334="Petrol",'Fuel &amp; Inputs'!$C$5,'Fuel &amp; Inputs'!$C$4),10)))</f>
        <v>134</v>
      </c>
      <c r="L334" s="23" t="s">
        <v>590</v>
      </c>
      <c r="M334" s="27" t="n">
        <v>1430</v>
      </c>
      <c r="N334" s="26" t="n">
        <f aca="false">MROUND(M334+'Fuel &amp; Inputs'!$C$13,50)</f>
        <v>2250</v>
      </c>
      <c r="O334" s="27" t="n">
        <v>2990</v>
      </c>
      <c r="P334" s="26" t="n">
        <f aca="false">MROUND(M334*'Fuel &amp; Inputs'!$C$19*'Fuel &amp; Inputs'!$C$21,100)</f>
        <v>5400</v>
      </c>
      <c r="Q334" s="26" t="n">
        <f aca="false">MROUND(N334*'Fuel &amp; Inputs'!$C$19*'Fuel &amp; Inputs'!$C$21,100)</f>
        <v>8600</v>
      </c>
      <c r="R334" s="26" t="n">
        <f aca="false">MROUND(O334*'Fuel &amp; Inputs'!$C$19*'Fuel &amp; Inputs'!$C$21,100)</f>
        <v>11400</v>
      </c>
      <c r="S334" s="26" t="n">
        <f aca="false">MROUND(M334*'Fuel &amp; Inputs'!$C$20*'Fuel &amp; Inputs'!$C$22,500)</f>
        <v>146000</v>
      </c>
      <c r="T334" s="26" t="n">
        <f aca="false">MROUND(N334*'Fuel &amp; Inputs'!$C$20*'Fuel &amp; Inputs'!$C$22,500)</f>
        <v>229500</v>
      </c>
      <c r="U334" s="26" t="n">
        <f aca="false">MROUND(O334*'Fuel &amp; Inputs'!$C$20*'Fuel &amp; Inputs'!$C$22,500)</f>
        <v>305000</v>
      </c>
    </row>
    <row r="335" customFormat="false" ht="23.85" hidden="false" customHeight="false" outlineLevel="0" collapsed="false">
      <c r="A335" s="17" t="n">
        <v>311</v>
      </c>
      <c r="B335" s="32" t="s">
        <v>106</v>
      </c>
      <c r="C335" s="32" t="s">
        <v>243</v>
      </c>
      <c r="D335" s="32" t="s">
        <v>835</v>
      </c>
      <c r="E335" s="17" t="s">
        <v>298</v>
      </c>
      <c r="F335" s="17" t="s">
        <v>836</v>
      </c>
      <c r="G335" s="17" t="s">
        <v>837</v>
      </c>
      <c r="H335" s="17" t="s">
        <v>148</v>
      </c>
      <c r="I335" s="19" t="n">
        <v>3</v>
      </c>
      <c r="J335" s="33" t="n">
        <v>1.056</v>
      </c>
      <c r="K335" s="20" t="n">
        <f aca="false">IF(I335=0,0,IF(L335="Rs./km",MROUND(IF(H335="Petrol",'Fuel &amp; Inputs'!$C$5,'Fuel &amp; Inputs'!$C$4)/I335*J335,1),MROUND(I335*J335*IF(H335="Petrol",'Fuel &amp; Inputs'!$C$5,'Fuel &amp; Inputs'!$C$4),10)))</f>
        <v>134</v>
      </c>
      <c r="L335" s="17" t="s">
        <v>590</v>
      </c>
      <c r="M335" s="21" t="n">
        <v>1430</v>
      </c>
      <c r="N335" s="20" t="n">
        <f aca="false">MROUND(M335+'Fuel &amp; Inputs'!$C$13,50)</f>
        <v>2250</v>
      </c>
      <c r="O335" s="21" t="n">
        <v>2990</v>
      </c>
      <c r="P335" s="20" t="n">
        <f aca="false">MROUND(M335*'Fuel &amp; Inputs'!$C$19*'Fuel &amp; Inputs'!$C$21,100)</f>
        <v>5400</v>
      </c>
      <c r="Q335" s="20" t="n">
        <f aca="false">MROUND(N335*'Fuel &amp; Inputs'!$C$19*'Fuel &amp; Inputs'!$C$21,100)</f>
        <v>8600</v>
      </c>
      <c r="R335" s="20" t="n">
        <f aca="false">MROUND(O335*'Fuel &amp; Inputs'!$C$19*'Fuel &amp; Inputs'!$C$21,100)</f>
        <v>11400</v>
      </c>
      <c r="S335" s="20" t="n">
        <f aca="false">MROUND(M335*'Fuel &amp; Inputs'!$C$20*'Fuel &amp; Inputs'!$C$22,500)</f>
        <v>146000</v>
      </c>
      <c r="T335" s="20" t="n">
        <f aca="false">MROUND(N335*'Fuel &amp; Inputs'!$C$20*'Fuel &amp; Inputs'!$C$22,500)</f>
        <v>229500</v>
      </c>
      <c r="U335" s="20" t="n">
        <f aca="false">MROUND(O335*'Fuel &amp; Inputs'!$C$20*'Fuel &amp; Inputs'!$C$22,500)</f>
        <v>305000</v>
      </c>
    </row>
    <row r="336" customFormat="false" ht="23.85" hidden="false" customHeight="false" outlineLevel="0" collapsed="false">
      <c r="A336" s="23" t="n">
        <v>312</v>
      </c>
      <c r="B336" s="34" t="s">
        <v>106</v>
      </c>
      <c r="C336" s="34" t="s">
        <v>243</v>
      </c>
      <c r="D336" s="34" t="s">
        <v>835</v>
      </c>
      <c r="E336" s="23" t="s">
        <v>145</v>
      </c>
      <c r="F336" s="23" t="s">
        <v>838</v>
      </c>
      <c r="G336" s="23" t="s">
        <v>839</v>
      </c>
      <c r="H336" s="23" t="s">
        <v>148</v>
      </c>
      <c r="I336" s="25" t="n">
        <v>3</v>
      </c>
      <c r="J336" s="35" t="n">
        <v>1.035</v>
      </c>
      <c r="K336" s="26" t="n">
        <f aca="false">IF(I336=0,0,IF(L336="Rs./km",MROUND(IF(H336="Petrol",'Fuel &amp; Inputs'!$C$5,'Fuel &amp; Inputs'!$C$4)/I336*J336,1),MROUND(I336*J336*IF(H336="Petrol",'Fuel &amp; Inputs'!$C$5,'Fuel &amp; Inputs'!$C$4),10)))</f>
        <v>132</v>
      </c>
      <c r="L336" s="23" t="s">
        <v>590</v>
      </c>
      <c r="M336" s="27" t="n">
        <v>1430</v>
      </c>
      <c r="N336" s="26" t="n">
        <f aca="false">MROUND(M336+'Fuel &amp; Inputs'!$C$13,50)</f>
        <v>2250</v>
      </c>
      <c r="O336" s="27" t="n">
        <v>2990</v>
      </c>
      <c r="P336" s="26" t="n">
        <f aca="false">MROUND(M336*'Fuel &amp; Inputs'!$C$19*'Fuel &amp; Inputs'!$C$21,100)</f>
        <v>5400</v>
      </c>
      <c r="Q336" s="26" t="n">
        <f aca="false">MROUND(N336*'Fuel &amp; Inputs'!$C$19*'Fuel &amp; Inputs'!$C$21,100)</f>
        <v>8600</v>
      </c>
      <c r="R336" s="26" t="n">
        <f aca="false">MROUND(O336*'Fuel &amp; Inputs'!$C$19*'Fuel &amp; Inputs'!$C$21,100)</f>
        <v>11400</v>
      </c>
      <c r="S336" s="26" t="n">
        <f aca="false">MROUND(M336*'Fuel &amp; Inputs'!$C$20*'Fuel &amp; Inputs'!$C$22,500)</f>
        <v>146000</v>
      </c>
      <c r="T336" s="26" t="n">
        <f aca="false">MROUND(N336*'Fuel &amp; Inputs'!$C$20*'Fuel &amp; Inputs'!$C$22,500)</f>
        <v>229500</v>
      </c>
      <c r="U336" s="26" t="n">
        <f aca="false">MROUND(O336*'Fuel &amp; Inputs'!$C$20*'Fuel &amp; Inputs'!$C$22,500)</f>
        <v>305000</v>
      </c>
    </row>
    <row r="337" customFormat="false" ht="23.85" hidden="false" customHeight="false" outlineLevel="0" collapsed="false">
      <c r="A337" s="17" t="n">
        <v>313</v>
      </c>
      <c r="B337" s="32" t="s">
        <v>106</v>
      </c>
      <c r="C337" s="32" t="s">
        <v>243</v>
      </c>
      <c r="D337" s="32" t="s">
        <v>835</v>
      </c>
      <c r="E337" s="17" t="s">
        <v>145</v>
      </c>
      <c r="F337" s="17" t="s">
        <v>840</v>
      </c>
      <c r="G337" s="17" t="s">
        <v>841</v>
      </c>
      <c r="H337" s="17" t="s">
        <v>148</v>
      </c>
      <c r="I337" s="19" t="n">
        <v>3</v>
      </c>
      <c r="J337" s="33" t="n">
        <v>1.035</v>
      </c>
      <c r="K337" s="20" t="n">
        <f aca="false">IF(I337=0,0,IF(L337="Rs./km",MROUND(IF(H337="Petrol",'Fuel &amp; Inputs'!$C$5,'Fuel &amp; Inputs'!$C$4)/I337*J337,1),MROUND(I337*J337*IF(H337="Petrol",'Fuel &amp; Inputs'!$C$5,'Fuel &amp; Inputs'!$C$4),10)))</f>
        <v>132</v>
      </c>
      <c r="L337" s="17" t="s">
        <v>590</v>
      </c>
      <c r="M337" s="21" t="n">
        <v>1430</v>
      </c>
      <c r="N337" s="20" t="n">
        <f aca="false">MROUND(M337+'Fuel &amp; Inputs'!$C$13,50)</f>
        <v>2250</v>
      </c>
      <c r="O337" s="21" t="n">
        <v>2990</v>
      </c>
      <c r="P337" s="20" t="n">
        <f aca="false">MROUND(M337*'Fuel &amp; Inputs'!$C$19*'Fuel &amp; Inputs'!$C$21,100)</f>
        <v>5400</v>
      </c>
      <c r="Q337" s="20" t="n">
        <f aca="false">MROUND(N337*'Fuel &amp; Inputs'!$C$19*'Fuel &amp; Inputs'!$C$21,100)</f>
        <v>8600</v>
      </c>
      <c r="R337" s="20" t="n">
        <f aca="false">MROUND(O337*'Fuel &amp; Inputs'!$C$19*'Fuel &amp; Inputs'!$C$21,100)</f>
        <v>11400</v>
      </c>
      <c r="S337" s="20" t="n">
        <f aca="false">MROUND(M337*'Fuel &amp; Inputs'!$C$20*'Fuel &amp; Inputs'!$C$22,500)</f>
        <v>146000</v>
      </c>
      <c r="T337" s="20" t="n">
        <f aca="false">MROUND(N337*'Fuel &amp; Inputs'!$C$20*'Fuel &amp; Inputs'!$C$22,500)</f>
        <v>229500</v>
      </c>
      <c r="U337" s="20" t="n">
        <f aca="false">MROUND(O337*'Fuel &amp; Inputs'!$C$20*'Fuel &amp; Inputs'!$C$22,500)</f>
        <v>305000</v>
      </c>
    </row>
    <row r="338" customFormat="false" ht="23.85" hidden="false" customHeight="false" outlineLevel="0" collapsed="false">
      <c r="A338" s="23" t="n">
        <v>314</v>
      </c>
      <c r="B338" s="34" t="s">
        <v>106</v>
      </c>
      <c r="C338" s="34" t="s">
        <v>243</v>
      </c>
      <c r="D338" s="34" t="s">
        <v>835</v>
      </c>
      <c r="E338" s="23" t="s">
        <v>145</v>
      </c>
      <c r="F338" s="23" t="s">
        <v>842</v>
      </c>
      <c r="G338" s="23" t="s">
        <v>843</v>
      </c>
      <c r="H338" s="23" t="s">
        <v>148</v>
      </c>
      <c r="I338" s="25" t="n">
        <v>3</v>
      </c>
      <c r="J338" s="35" t="n">
        <v>1.035</v>
      </c>
      <c r="K338" s="26" t="n">
        <f aca="false">IF(I338=0,0,IF(L338="Rs./km",MROUND(IF(H338="Petrol",'Fuel &amp; Inputs'!$C$5,'Fuel &amp; Inputs'!$C$4)/I338*J338,1),MROUND(I338*J338*IF(H338="Petrol",'Fuel &amp; Inputs'!$C$5,'Fuel &amp; Inputs'!$C$4),10)))</f>
        <v>132</v>
      </c>
      <c r="L338" s="23" t="s">
        <v>590</v>
      </c>
      <c r="M338" s="27" t="n">
        <v>1430</v>
      </c>
      <c r="N338" s="26" t="n">
        <f aca="false">MROUND(M338+'Fuel &amp; Inputs'!$C$13,50)</f>
        <v>2250</v>
      </c>
      <c r="O338" s="27" t="n">
        <v>2990</v>
      </c>
      <c r="P338" s="26" t="n">
        <f aca="false">MROUND(M338*'Fuel &amp; Inputs'!$C$19*'Fuel &amp; Inputs'!$C$21,100)</f>
        <v>5400</v>
      </c>
      <c r="Q338" s="26" t="n">
        <f aca="false">MROUND(N338*'Fuel &amp; Inputs'!$C$19*'Fuel &amp; Inputs'!$C$21,100)</f>
        <v>8600</v>
      </c>
      <c r="R338" s="26" t="n">
        <f aca="false">MROUND(O338*'Fuel &amp; Inputs'!$C$19*'Fuel &amp; Inputs'!$C$21,100)</f>
        <v>11400</v>
      </c>
      <c r="S338" s="26" t="n">
        <f aca="false">MROUND(M338*'Fuel &amp; Inputs'!$C$20*'Fuel &amp; Inputs'!$C$22,500)</f>
        <v>146000</v>
      </c>
      <c r="T338" s="26" t="n">
        <f aca="false">MROUND(N338*'Fuel &amp; Inputs'!$C$20*'Fuel &amp; Inputs'!$C$22,500)</f>
        <v>229500</v>
      </c>
      <c r="U338" s="26" t="n">
        <f aca="false">MROUND(O338*'Fuel &amp; Inputs'!$C$20*'Fuel &amp; Inputs'!$C$22,500)</f>
        <v>305000</v>
      </c>
    </row>
    <row r="339" customFormat="false" ht="23.85" hidden="false" customHeight="false" outlineLevel="0" collapsed="false">
      <c r="A339" s="17" t="n">
        <v>315</v>
      </c>
      <c r="B339" s="32" t="s">
        <v>106</v>
      </c>
      <c r="C339" s="32" t="s">
        <v>243</v>
      </c>
      <c r="D339" s="32" t="s">
        <v>835</v>
      </c>
      <c r="E339" s="17" t="s">
        <v>145</v>
      </c>
      <c r="F339" s="17" t="s">
        <v>844</v>
      </c>
      <c r="G339" s="17" t="s">
        <v>845</v>
      </c>
      <c r="H339" s="17" t="s">
        <v>148</v>
      </c>
      <c r="I339" s="19" t="n">
        <v>3</v>
      </c>
      <c r="J339" s="33" t="n">
        <v>1.035</v>
      </c>
      <c r="K339" s="20" t="n">
        <f aca="false">IF(I339=0,0,IF(L339="Rs./km",MROUND(IF(H339="Petrol",'Fuel &amp; Inputs'!$C$5,'Fuel &amp; Inputs'!$C$4)/I339*J339,1),MROUND(I339*J339*IF(H339="Petrol",'Fuel &amp; Inputs'!$C$5,'Fuel &amp; Inputs'!$C$4),10)))</f>
        <v>132</v>
      </c>
      <c r="L339" s="17" t="s">
        <v>590</v>
      </c>
      <c r="M339" s="21" t="n">
        <v>1430</v>
      </c>
      <c r="N339" s="20" t="n">
        <f aca="false">MROUND(M339+'Fuel &amp; Inputs'!$C$13,50)</f>
        <v>2250</v>
      </c>
      <c r="O339" s="21" t="n">
        <v>2990</v>
      </c>
      <c r="P339" s="20" t="n">
        <f aca="false">MROUND(M339*'Fuel &amp; Inputs'!$C$19*'Fuel &amp; Inputs'!$C$21,100)</f>
        <v>5400</v>
      </c>
      <c r="Q339" s="20" t="n">
        <f aca="false">MROUND(N339*'Fuel &amp; Inputs'!$C$19*'Fuel &amp; Inputs'!$C$21,100)</f>
        <v>8600</v>
      </c>
      <c r="R339" s="20" t="n">
        <f aca="false">MROUND(O339*'Fuel &amp; Inputs'!$C$19*'Fuel &amp; Inputs'!$C$21,100)</f>
        <v>11400</v>
      </c>
      <c r="S339" s="20" t="n">
        <f aca="false">MROUND(M339*'Fuel &amp; Inputs'!$C$20*'Fuel &amp; Inputs'!$C$22,500)</f>
        <v>146000</v>
      </c>
      <c r="T339" s="20" t="n">
        <f aca="false">MROUND(N339*'Fuel &amp; Inputs'!$C$20*'Fuel &amp; Inputs'!$C$22,500)</f>
        <v>229500</v>
      </c>
      <c r="U339" s="20" t="n">
        <f aca="false">MROUND(O339*'Fuel &amp; Inputs'!$C$20*'Fuel &amp; Inputs'!$C$22,500)</f>
        <v>305000</v>
      </c>
    </row>
    <row r="340" customFormat="false" ht="23.85" hidden="false" customHeight="false" outlineLevel="0" collapsed="false">
      <c r="A340" s="23" t="n">
        <v>316</v>
      </c>
      <c r="B340" s="34" t="s">
        <v>106</v>
      </c>
      <c r="C340" s="34" t="s">
        <v>243</v>
      </c>
      <c r="D340" s="34" t="s">
        <v>835</v>
      </c>
      <c r="E340" s="23" t="s">
        <v>145</v>
      </c>
      <c r="F340" s="23" t="s">
        <v>846</v>
      </c>
      <c r="G340" s="23" t="s">
        <v>847</v>
      </c>
      <c r="H340" s="23" t="s">
        <v>148</v>
      </c>
      <c r="I340" s="25" t="n">
        <v>3</v>
      </c>
      <c r="J340" s="35" t="n">
        <v>1.035</v>
      </c>
      <c r="K340" s="26" t="n">
        <f aca="false">IF(I340=0,0,IF(L340="Rs./km",MROUND(IF(H340="Petrol",'Fuel &amp; Inputs'!$C$5,'Fuel &amp; Inputs'!$C$4)/I340*J340,1),MROUND(I340*J340*IF(H340="Petrol",'Fuel &amp; Inputs'!$C$5,'Fuel &amp; Inputs'!$C$4),10)))</f>
        <v>132</v>
      </c>
      <c r="L340" s="23" t="s">
        <v>590</v>
      </c>
      <c r="M340" s="27" t="n">
        <v>1430</v>
      </c>
      <c r="N340" s="26" t="n">
        <f aca="false">MROUND(M340+'Fuel &amp; Inputs'!$C$13,50)</f>
        <v>2250</v>
      </c>
      <c r="O340" s="27" t="n">
        <v>2990</v>
      </c>
      <c r="P340" s="26" t="n">
        <f aca="false">MROUND(M340*'Fuel &amp; Inputs'!$C$19*'Fuel &amp; Inputs'!$C$21,100)</f>
        <v>5400</v>
      </c>
      <c r="Q340" s="26" t="n">
        <f aca="false">MROUND(N340*'Fuel &amp; Inputs'!$C$19*'Fuel &amp; Inputs'!$C$21,100)</f>
        <v>8600</v>
      </c>
      <c r="R340" s="26" t="n">
        <f aca="false">MROUND(O340*'Fuel &amp; Inputs'!$C$19*'Fuel &amp; Inputs'!$C$21,100)</f>
        <v>11400</v>
      </c>
      <c r="S340" s="26" t="n">
        <f aca="false">MROUND(M340*'Fuel &amp; Inputs'!$C$20*'Fuel &amp; Inputs'!$C$22,500)</f>
        <v>146000</v>
      </c>
      <c r="T340" s="26" t="n">
        <f aca="false">MROUND(N340*'Fuel &amp; Inputs'!$C$20*'Fuel &amp; Inputs'!$C$22,500)</f>
        <v>229500</v>
      </c>
      <c r="U340" s="26" t="n">
        <f aca="false">MROUND(O340*'Fuel &amp; Inputs'!$C$20*'Fuel &amp; Inputs'!$C$22,500)</f>
        <v>305000</v>
      </c>
    </row>
    <row r="341" customFormat="false" ht="23.85" hidden="false" customHeight="false" outlineLevel="0" collapsed="false">
      <c r="A341" s="17" t="n">
        <v>317</v>
      </c>
      <c r="B341" s="32" t="s">
        <v>106</v>
      </c>
      <c r="C341" s="32" t="s">
        <v>243</v>
      </c>
      <c r="D341" s="32" t="s">
        <v>835</v>
      </c>
      <c r="E341" s="17" t="s">
        <v>145</v>
      </c>
      <c r="F341" s="17" t="s">
        <v>848</v>
      </c>
      <c r="G341" s="17" t="s">
        <v>849</v>
      </c>
      <c r="H341" s="17" t="s">
        <v>148</v>
      </c>
      <c r="I341" s="19" t="n">
        <v>3</v>
      </c>
      <c r="J341" s="33" t="n">
        <v>1.035</v>
      </c>
      <c r="K341" s="20" t="n">
        <f aca="false">IF(I341=0,0,IF(L341="Rs./km",MROUND(IF(H341="Petrol",'Fuel &amp; Inputs'!$C$5,'Fuel &amp; Inputs'!$C$4)/I341*J341,1),MROUND(I341*J341*IF(H341="Petrol",'Fuel &amp; Inputs'!$C$5,'Fuel &amp; Inputs'!$C$4),10)))</f>
        <v>132</v>
      </c>
      <c r="L341" s="17" t="s">
        <v>590</v>
      </c>
      <c r="M341" s="21" t="n">
        <v>1430</v>
      </c>
      <c r="N341" s="20" t="n">
        <f aca="false">MROUND(M341+'Fuel &amp; Inputs'!$C$13,50)</f>
        <v>2250</v>
      </c>
      <c r="O341" s="21" t="n">
        <v>2990</v>
      </c>
      <c r="P341" s="20" t="n">
        <f aca="false">MROUND(M341*'Fuel &amp; Inputs'!$C$19*'Fuel &amp; Inputs'!$C$21,100)</f>
        <v>5400</v>
      </c>
      <c r="Q341" s="20" t="n">
        <f aca="false">MROUND(N341*'Fuel &amp; Inputs'!$C$19*'Fuel &amp; Inputs'!$C$21,100)</f>
        <v>8600</v>
      </c>
      <c r="R341" s="20" t="n">
        <f aca="false">MROUND(O341*'Fuel &amp; Inputs'!$C$19*'Fuel &amp; Inputs'!$C$21,100)</f>
        <v>11400</v>
      </c>
      <c r="S341" s="20" t="n">
        <f aca="false">MROUND(M341*'Fuel &amp; Inputs'!$C$20*'Fuel &amp; Inputs'!$C$22,500)</f>
        <v>146000</v>
      </c>
      <c r="T341" s="20" t="n">
        <f aca="false">MROUND(N341*'Fuel &amp; Inputs'!$C$20*'Fuel &amp; Inputs'!$C$22,500)</f>
        <v>229500</v>
      </c>
      <c r="U341" s="20" t="n">
        <f aca="false">MROUND(O341*'Fuel &amp; Inputs'!$C$20*'Fuel &amp; Inputs'!$C$22,500)</f>
        <v>305000</v>
      </c>
    </row>
    <row r="342" customFormat="false" ht="23.85" hidden="false" customHeight="false" outlineLevel="0" collapsed="false">
      <c r="A342" s="23" t="n">
        <v>318</v>
      </c>
      <c r="B342" s="34" t="s">
        <v>106</v>
      </c>
      <c r="C342" s="34" t="s">
        <v>243</v>
      </c>
      <c r="D342" s="34" t="s">
        <v>835</v>
      </c>
      <c r="E342" s="23" t="s">
        <v>145</v>
      </c>
      <c r="F342" s="23" t="s">
        <v>850</v>
      </c>
      <c r="G342" s="23" t="s">
        <v>851</v>
      </c>
      <c r="H342" s="23" t="s">
        <v>148</v>
      </c>
      <c r="I342" s="25" t="n">
        <v>3</v>
      </c>
      <c r="J342" s="35" t="n">
        <v>1.035</v>
      </c>
      <c r="K342" s="26" t="n">
        <f aca="false">IF(I342=0,0,IF(L342="Rs./km",MROUND(IF(H342="Petrol",'Fuel &amp; Inputs'!$C$5,'Fuel &amp; Inputs'!$C$4)/I342*J342,1),MROUND(I342*J342*IF(H342="Petrol",'Fuel &amp; Inputs'!$C$5,'Fuel &amp; Inputs'!$C$4),10)))</f>
        <v>132</v>
      </c>
      <c r="L342" s="23" t="s">
        <v>590</v>
      </c>
      <c r="M342" s="27" t="n">
        <v>1430</v>
      </c>
      <c r="N342" s="26" t="n">
        <f aca="false">MROUND(M342+'Fuel &amp; Inputs'!$C$13,50)</f>
        <v>2250</v>
      </c>
      <c r="O342" s="27" t="n">
        <v>2990</v>
      </c>
      <c r="P342" s="26" t="n">
        <f aca="false">MROUND(M342*'Fuel &amp; Inputs'!$C$19*'Fuel &amp; Inputs'!$C$21,100)</f>
        <v>5400</v>
      </c>
      <c r="Q342" s="26" t="n">
        <f aca="false">MROUND(N342*'Fuel &amp; Inputs'!$C$19*'Fuel &amp; Inputs'!$C$21,100)</f>
        <v>8600</v>
      </c>
      <c r="R342" s="26" t="n">
        <f aca="false">MROUND(O342*'Fuel &amp; Inputs'!$C$19*'Fuel &amp; Inputs'!$C$21,100)</f>
        <v>11400</v>
      </c>
      <c r="S342" s="26" t="n">
        <f aca="false">MROUND(M342*'Fuel &amp; Inputs'!$C$20*'Fuel &amp; Inputs'!$C$22,500)</f>
        <v>146000</v>
      </c>
      <c r="T342" s="26" t="n">
        <f aca="false">MROUND(N342*'Fuel &amp; Inputs'!$C$20*'Fuel &amp; Inputs'!$C$22,500)</f>
        <v>229500</v>
      </c>
      <c r="U342" s="26" t="n">
        <f aca="false">MROUND(O342*'Fuel &amp; Inputs'!$C$20*'Fuel &amp; Inputs'!$C$22,500)</f>
        <v>305000</v>
      </c>
    </row>
    <row r="343" customFormat="false" ht="23.85" hidden="false" customHeight="false" outlineLevel="0" collapsed="false">
      <c r="A343" s="17" t="n">
        <v>319</v>
      </c>
      <c r="B343" s="32" t="s">
        <v>106</v>
      </c>
      <c r="C343" s="32" t="s">
        <v>243</v>
      </c>
      <c r="D343" s="32" t="s">
        <v>835</v>
      </c>
      <c r="E343" s="17" t="s">
        <v>145</v>
      </c>
      <c r="F343" s="17" t="s">
        <v>852</v>
      </c>
      <c r="G343" s="17" t="s">
        <v>853</v>
      </c>
      <c r="H343" s="17" t="s">
        <v>148</v>
      </c>
      <c r="I343" s="19" t="n">
        <v>3</v>
      </c>
      <c r="J343" s="33" t="n">
        <v>1.035</v>
      </c>
      <c r="K343" s="20" t="n">
        <f aca="false">IF(I343=0,0,IF(L343="Rs./km",MROUND(IF(H343="Petrol",'Fuel &amp; Inputs'!$C$5,'Fuel &amp; Inputs'!$C$4)/I343*J343,1),MROUND(I343*J343*IF(H343="Petrol",'Fuel &amp; Inputs'!$C$5,'Fuel &amp; Inputs'!$C$4),10)))</f>
        <v>132</v>
      </c>
      <c r="L343" s="17" t="s">
        <v>590</v>
      </c>
      <c r="M343" s="21" t="n">
        <v>1430</v>
      </c>
      <c r="N343" s="20" t="n">
        <f aca="false">MROUND(M343+'Fuel &amp; Inputs'!$C$13,50)</f>
        <v>2250</v>
      </c>
      <c r="O343" s="21" t="n">
        <v>2990</v>
      </c>
      <c r="P343" s="20" t="n">
        <f aca="false">MROUND(M343*'Fuel &amp; Inputs'!$C$19*'Fuel &amp; Inputs'!$C$21,100)</f>
        <v>5400</v>
      </c>
      <c r="Q343" s="20" t="n">
        <f aca="false">MROUND(N343*'Fuel &amp; Inputs'!$C$19*'Fuel &amp; Inputs'!$C$21,100)</f>
        <v>8600</v>
      </c>
      <c r="R343" s="20" t="n">
        <f aca="false">MROUND(O343*'Fuel &amp; Inputs'!$C$19*'Fuel &amp; Inputs'!$C$21,100)</f>
        <v>11400</v>
      </c>
      <c r="S343" s="20" t="n">
        <f aca="false">MROUND(M343*'Fuel &amp; Inputs'!$C$20*'Fuel &amp; Inputs'!$C$22,500)</f>
        <v>146000</v>
      </c>
      <c r="T343" s="20" t="n">
        <f aca="false">MROUND(N343*'Fuel &amp; Inputs'!$C$20*'Fuel &amp; Inputs'!$C$22,500)</f>
        <v>229500</v>
      </c>
      <c r="U343" s="20" t="n">
        <f aca="false">MROUND(O343*'Fuel &amp; Inputs'!$C$20*'Fuel &amp; Inputs'!$C$22,500)</f>
        <v>305000</v>
      </c>
    </row>
    <row r="344" customFormat="false" ht="23.85" hidden="false" customHeight="false" outlineLevel="0" collapsed="false">
      <c r="A344" s="23" t="n">
        <v>320</v>
      </c>
      <c r="B344" s="34" t="s">
        <v>106</v>
      </c>
      <c r="C344" s="34" t="s">
        <v>243</v>
      </c>
      <c r="D344" s="34" t="s">
        <v>835</v>
      </c>
      <c r="E344" s="23" t="s">
        <v>145</v>
      </c>
      <c r="F344" s="23" t="s">
        <v>854</v>
      </c>
      <c r="G344" s="23" t="s">
        <v>855</v>
      </c>
      <c r="H344" s="23" t="s">
        <v>148</v>
      </c>
      <c r="I344" s="25" t="n">
        <v>3</v>
      </c>
      <c r="J344" s="35" t="n">
        <v>1.035</v>
      </c>
      <c r="K344" s="26" t="n">
        <f aca="false">IF(I344=0,0,IF(L344="Rs./km",MROUND(IF(H344="Petrol",'Fuel &amp; Inputs'!$C$5,'Fuel &amp; Inputs'!$C$4)/I344*J344,1),MROUND(I344*J344*IF(H344="Petrol",'Fuel &amp; Inputs'!$C$5,'Fuel &amp; Inputs'!$C$4),10)))</f>
        <v>132</v>
      </c>
      <c r="L344" s="23" t="s">
        <v>590</v>
      </c>
      <c r="M344" s="27" t="n">
        <v>1430</v>
      </c>
      <c r="N344" s="26" t="n">
        <f aca="false">MROUND(M344+'Fuel &amp; Inputs'!$C$13,50)</f>
        <v>2250</v>
      </c>
      <c r="O344" s="27" t="n">
        <v>2990</v>
      </c>
      <c r="P344" s="26" t="n">
        <f aca="false">MROUND(M344*'Fuel &amp; Inputs'!$C$19*'Fuel &amp; Inputs'!$C$21,100)</f>
        <v>5400</v>
      </c>
      <c r="Q344" s="26" t="n">
        <f aca="false">MROUND(N344*'Fuel &amp; Inputs'!$C$19*'Fuel &amp; Inputs'!$C$21,100)</f>
        <v>8600</v>
      </c>
      <c r="R344" s="26" t="n">
        <f aca="false">MROUND(O344*'Fuel &amp; Inputs'!$C$19*'Fuel &amp; Inputs'!$C$21,100)</f>
        <v>11400</v>
      </c>
      <c r="S344" s="26" t="n">
        <f aca="false">MROUND(M344*'Fuel &amp; Inputs'!$C$20*'Fuel &amp; Inputs'!$C$22,500)</f>
        <v>146000</v>
      </c>
      <c r="T344" s="26" t="n">
        <f aca="false">MROUND(N344*'Fuel &amp; Inputs'!$C$20*'Fuel &amp; Inputs'!$C$22,500)</f>
        <v>229500</v>
      </c>
      <c r="U344" s="26" t="n">
        <f aca="false">MROUND(O344*'Fuel &amp; Inputs'!$C$20*'Fuel &amp; Inputs'!$C$22,500)</f>
        <v>305000</v>
      </c>
    </row>
    <row r="345" customFormat="false" ht="23.85" hidden="false" customHeight="false" outlineLevel="0" collapsed="false">
      <c r="A345" s="17" t="n">
        <v>321</v>
      </c>
      <c r="B345" s="32" t="s">
        <v>106</v>
      </c>
      <c r="C345" s="32" t="s">
        <v>243</v>
      </c>
      <c r="D345" s="32" t="s">
        <v>835</v>
      </c>
      <c r="E345" s="17" t="s">
        <v>145</v>
      </c>
      <c r="F345" s="17" t="s">
        <v>856</v>
      </c>
      <c r="G345" s="17" t="s">
        <v>857</v>
      </c>
      <c r="H345" s="17" t="s">
        <v>148</v>
      </c>
      <c r="I345" s="19" t="n">
        <v>3</v>
      </c>
      <c r="J345" s="33" t="n">
        <v>1.035</v>
      </c>
      <c r="K345" s="20" t="n">
        <f aca="false">IF(I345=0,0,IF(L345="Rs./km",MROUND(IF(H345="Petrol",'Fuel &amp; Inputs'!$C$5,'Fuel &amp; Inputs'!$C$4)/I345*J345,1),MROUND(I345*J345*IF(H345="Petrol",'Fuel &amp; Inputs'!$C$5,'Fuel &amp; Inputs'!$C$4),10)))</f>
        <v>132</v>
      </c>
      <c r="L345" s="17" t="s">
        <v>590</v>
      </c>
      <c r="M345" s="21" t="n">
        <v>1430</v>
      </c>
      <c r="N345" s="20" t="n">
        <f aca="false">MROUND(M345+'Fuel &amp; Inputs'!$C$13,50)</f>
        <v>2250</v>
      </c>
      <c r="O345" s="21" t="n">
        <v>2990</v>
      </c>
      <c r="P345" s="20" t="n">
        <f aca="false">MROUND(M345*'Fuel &amp; Inputs'!$C$19*'Fuel &amp; Inputs'!$C$21,100)</f>
        <v>5400</v>
      </c>
      <c r="Q345" s="20" t="n">
        <f aca="false">MROUND(N345*'Fuel &amp; Inputs'!$C$19*'Fuel &amp; Inputs'!$C$21,100)</f>
        <v>8600</v>
      </c>
      <c r="R345" s="20" t="n">
        <f aca="false">MROUND(O345*'Fuel &amp; Inputs'!$C$19*'Fuel &amp; Inputs'!$C$21,100)</f>
        <v>11400</v>
      </c>
      <c r="S345" s="20" t="n">
        <f aca="false">MROUND(M345*'Fuel &amp; Inputs'!$C$20*'Fuel &amp; Inputs'!$C$22,500)</f>
        <v>146000</v>
      </c>
      <c r="T345" s="20" t="n">
        <f aca="false">MROUND(N345*'Fuel &amp; Inputs'!$C$20*'Fuel &amp; Inputs'!$C$22,500)</f>
        <v>229500</v>
      </c>
      <c r="U345" s="20" t="n">
        <f aca="false">MROUND(O345*'Fuel &amp; Inputs'!$C$20*'Fuel &amp; Inputs'!$C$22,500)</f>
        <v>305000</v>
      </c>
    </row>
    <row r="346" customFormat="false" ht="23.85" hidden="false" customHeight="false" outlineLevel="0" collapsed="false">
      <c r="A346" s="23" t="n">
        <v>322</v>
      </c>
      <c r="B346" s="34" t="s">
        <v>106</v>
      </c>
      <c r="C346" s="34" t="s">
        <v>243</v>
      </c>
      <c r="D346" s="34" t="s">
        <v>858</v>
      </c>
      <c r="E346" s="23" t="s">
        <v>245</v>
      </c>
      <c r="F346" s="23" t="s">
        <v>859</v>
      </c>
      <c r="G346" s="23" t="s">
        <v>860</v>
      </c>
      <c r="H346" s="23" t="s">
        <v>148</v>
      </c>
      <c r="I346" s="25" t="n">
        <v>3.6</v>
      </c>
      <c r="J346" s="35" t="n">
        <v>1.063</v>
      </c>
      <c r="K346" s="26" t="n">
        <f aca="false">IF(I346=0,0,IF(L346="Rs./km",MROUND(IF(H346="Petrol",'Fuel &amp; Inputs'!$C$5,'Fuel &amp; Inputs'!$C$4)/I346*J346,1),MROUND(I346*J346*IF(H346="Petrol",'Fuel &amp; Inputs'!$C$5,'Fuel &amp; Inputs'!$C$4),10)))</f>
        <v>113</v>
      </c>
      <c r="L346" s="23" t="s">
        <v>590</v>
      </c>
      <c r="M346" s="27" t="n">
        <v>1430</v>
      </c>
      <c r="N346" s="26" t="n">
        <f aca="false">MROUND(M346+'Fuel &amp; Inputs'!$C$13,50)</f>
        <v>2250</v>
      </c>
      <c r="O346" s="27" t="n">
        <v>2990</v>
      </c>
      <c r="P346" s="26" t="n">
        <f aca="false">MROUND(M346*'Fuel &amp; Inputs'!$C$19*'Fuel &amp; Inputs'!$C$21,100)</f>
        <v>5400</v>
      </c>
      <c r="Q346" s="26" t="n">
        <f aca="false">MROUND(N346*'Fuel &amp; Inputs'!$C$19*'Fuel &amp; Inputs'!$C$21,100)</f>
        <v>8600</v>
      </c>
      <c r="R346" s="26" t="n">
        <f aca="false">MROUND(O346*'Fuel &amp; Inputs'!$C$19*'Fuel &amp; Inputs'!$C$21,100)</f>
        <v>11400</v>
      </c>
      <c r="S346" s="26" t="n">
        <f aca="false">MROUND(M346*'Fuel &amp; Inputs'!$C$20*'Fuel &amp; Inputs'!$C$22,500)</f>
        <v>146000</v>
      </c>
      <c r="T346" s="26" t="n">
        <f aca="false">MROUND(N346*'Fuel &amp; Inputs'!$C$20*'Fuel &amp; Inputs'!$C$22,500)</f>
        <v>229500</v>
      </c>
      <c r="U346" s="26" t="n">
        <f aca="false">MROUND(O346*'Fuel &amp; Inputs'!$C$20*'Fuel &amp; Inputs'!$C$22,500)</f>
        <v>305000</v>
      </c>
    </row>
    <row r="347" customFormat="false" ht="23.85" hidden="false" customHeight="false" outlineLevel="0" collapsed="false">
      <c r="A347" s="17" t="n">
        <v>323</v>
      </c>
      <c r="B347" s="32" t="s">
        <v>106</v>
      </c>
      <c r="C347" s="32" t="s">
        <v>243</v>
      </c>
      <c r="D347" s="32" t="s">
        <v>861</v>
      </c>
      <c r="E347" s="17" t="s">
        <v>168</v>
      </c>
      <c r="F347" s="17" t="s">
        <v>862</v>
      </c>
      <c r="G347" s="17" t="s">
        <v>863</v>
      </c>
      <c r="H347" s="17" t="s">
        <v>148</v>
      </c>
      <c r="I347" s="19" t="n">
        <v>3</v>
      </c>
      <c r="J347" s="33" t="n">
        <v>1.07</v>
      </c>
      <c r="K347" s="20" t="n">
        <f aca="false">IF(I347=0,0,IF(L347="Rs./km",MROUND(IF(H347="Petrol",'Fuel &amp; Inputs'!$C$5,'Fuel &amp; Inputs'!$C$4)/I347*J347,1),MROUND(I347*J347*IF(H347="Petrol",'Fuel &amp; Inputs'!$C$5,'Fuel &amp; Inputs'!$C$4),10)))</f>
        <v>136</v>
      </c>
      <c r="L347" s="17" t="s">
        <v>590</v>
      </c>
      <c r="M347" s="21" t="n">
        <v>1430</v>
      </c>
      <c r="N347" s="20" t="n">
        <f aca="false">MROUND(M347+'Fuel &amp; Inputs'!$C$13,50)</f>
        <v>2250</v>
      </c>
      <c r="O347" s="21" t="n">
        <v>2990</v>
      </c>
      <c r="P347" s="20" t="n">
        <f aca="false">MROUND(M347*'Fuel &amp; Inputs'!$C$19*'Fuel &amp; Inputs'!$C$21,100)</f>
        <v>5400</v>
      </c>
      <c r="Q347" s="20" t="n">
        <f aca="false">MROUND(N347*'Fuel &amp; Inputs'!$C$19*'Fuel &amp; Inputs'!$C$21,100)</f>
        <v>8600</v>
      </c>
      <c r="R347" s="20" t="n">
        <f aca="false">MROUND(O347*'Fuel &amp; Inputs'!$C$19*'Fuel &amp; Inputs'!$C$21,100)</f>
        <v>11400</v>
      </c>
      <c r="S347" s="20" t="n">
        <f aca="false">MROUND(M347*'Fuel &amp; Inputs'!$C$20*'Fuel &amp; Inputs'!$C$22,500)</f>
        <v>146000</v>
      </c>
      <c r="T347" s="20" t="n">
        <f aca="false">MROUND(N347*'Fuel &amp; Inputs'!$C$20*'Fuel &amp; Inputs'!$C$22,500)</f>
        <v>229500</v>
      </c>
      <c r="U347" s="20" t="n">
        <f aca="false">MROUND(O347*'Fuel &amp; Inputs'!$C$20*'Fuel &amp; Inputs'!$C$22,500)</f>
        <v>305000</v>
      </c>
    </row>
    <row r="348" customFormat="false" ht="23.85" hidden="false" customHeight="false" outlineLevel="0" collapsed="false">
      <c r="A348" s="23" t="n">
        <v>324</v>
      </c>
      <c r="B348" s="34" t="s">
        <v>106</v>
      </c>
      <c r="C348" s="34" t="s">
        <v>243</v>
      </c>
      <c r="D348" s="34" t="s">
        <v>861</v>
      </c>
      <c r="E348" s="23" t="s">
        <v>145</v>
      </c>
      <c r="F348" s="23" t="s">
        <v>864</v>
      </c>
      <c r="G348" s="23" t="s">
        <v>865</v>
      </c>
      <c r="H348" s="23" t="s">
        <v>148</v>
      </c>
      <c r="I348" s="25" t="n">
        <v>3</v>
      </c>
      <c r="J348" s="35" t="n">
        <v>1.035</v>
      </c>
      <c r="K348" s="26" t="n">
        <f aca="false">IF(I348=0,0,IF(L348="Rs./km",MROUND(IF(H348="Petrol",'Fuel &amp; Inputs'!$C$5,'Fuel &amp; Inputs'!$C$4)/I348*J348,1),MROUND(I348*J348*IF(H348="Petrol",'Fuel &amp; Inputs'!$C$5,'Fuel &amp; Inputs'!$C$4),10)))</f>
        <v>132</v>
      </c>
      <c r="L348" s="23" t="s">
        <v>590</v>
      </c>
      <c r="M348" s="27" t="n">
        <v>1430</v>
      </c>
      <c r="N348" s="26" t="n">
        <f aca="false">MROUND(M348+'Fuel &amp; Inputs'!$C$13,50)</f>
        <v>2250</v>
      </c>
      <c r="O348" s="27" t="n">
        <v>2990</v>
      </c>
      <c r="P348" s="26" t="n">
        <f aca="false">MROUND(M348*'Fuel &amp; Inputs'!$C$19*'Fuel &amp; Inputs'!$C$21,100)</f>
        <v>5400</v>
      </c>
      <c r="Q348" s="26" t="n">
        <f aca="false">MROUND(N348*'Fuel &amp; Inputs'!$C$19*'Fuel &amp; Inputs'!$C$21,100)</f>
        <v>8600</v>
      </c>
      <c r="R348" s="26" t="n">
        <f aca="false">MROUND(O348*'Fuel &amp; Inputs'!$C$19*'Fuel &amp; Inputs'!$C$21,100)</f>
        <v>11400</v>
      </c>
      <c r="S348" s="26" t="n">
        <f aca="false">MROUND(M348*'Fuel &amp; Inputs'!$C$20*'Fuel &amp; Inputs'!$C$22,500)</f>
        <v>146000</v>
      </c>
      <c r="T348" s="26" t="n">
        <f aca="false">MROUND(N348*'Fuel &amp; Inputs'!$C$20*'Fuel &amp; Inputs'!$C$22,500)</f>
        <v>229500</v>
      </c>
      <c r="U348" s="26" t="n">
        <f aca="false">MROUND(O348*'Fuel &amp; Inputs'!$C$20*'Fuel &amp; Inputs'!$C$22,500)</f>
        <v>305000</v>
      </c>
    </row>
    <row r="349" customFormat="false" ht="23.85" hidden="false" customHeight="false" outlineLevel="0" collapsed="false">
      <c r="A349" s="17" t="n">
        <v>325</v>
      </c>
      <c r="B349" s="32" t="s">
        <v>106</v>
      </c>
      <c r="C349" s="32" t="s">
        <v>243</v>
      </c>
      <c r="D349" s="32" t="s">
        <v>861</v>
      </c>
      <c r="E349" s="17" t="s">
        <v>145</v>
      </c>
      <c r="F349" s="17" t="s">
        <v>866</v>
      </c>
      <c r="G349" s="17" t="s">
        <v>867</v>
      </c>
      <c r="H349" s="17" t="s">
        <v>148</v>
      </c>
      <c r="I349" s="19" t="n">
        <v>3</v>
      </c>
      <c r="J349" s="33" t="n">
        <v>1.035</v>
      </c>
      <c r="K349" s="20" t="n">
        <f aca="false">IF(I349=0,0,IF(L349="Rs./km",MROUND(IF(H349="Petrol",'Fuel &amp; Inputs'!$C$5,'Fuel &amp; Inputs'!$C$4)/I349*J349,1),MROUND(I349*J349*IF(H349="Petrol",'Fuel &amp; Inputs'!$C$5,'Fuel &amp; Inputs'!$C$4),10)))</f>
        <v>132</v>
      </c>
      <c r="L349" s="17" t="s">
        <v>590</v>
      </c>
      <c r="M349" s="21" t="n">
        <v>1430</v>
      </c>
      <c r="N349" s="20" t="n">
        <f aca="false">MROUND(M349+'Fuel &amp; Inputs'!$C$13,50)</f>
        <v>2250</v>
      </c>
      <c r="O349" s="21" t="n">
        <v>2990</v>
      </c>
      <c r="P349" s="20" t="n">
        <f aca="false">MROUND(M349*'Fuel &amp; Inputs'!$C$19*'Fuel &amp; Inputs'!$C$21,100)</f>
        <v>5400</v>
      </c>
      <c r="Q349" s="20" t="n">
        <f aca="false">MROUND(N349*'Fuel &amp; Inputs'!$C$19*'Fuel &amp; Inputs'!$C$21,100)</f>
        <v>8600</v>
      </c>
      <c r="R349" s="20" t="n">
        <f aca="false">MROUND(O349*'Fuel &amp; Inputs'!$C$19*'Fuel &amp; Inputs'!$C$21,100)</f>
        <v>11400</v>
      </c>
      <c r="S349" s="20" t="n">
        <f aca="false">MROUND(M349*'Fuel &amp; Inputs'!$C$20*'Fuel &amp; Inputs'!$C$22,500)</f>
        <v>146000</v>
      </c>
      <c r="T349" s="20" t="n">
        <f aca="false">MROUND(N349*'Fuel &amp; Inputs'!$C$20*'Fuel &amp; Inputs'!$C$22,500)</f>
        <v>229500</v>
      </c>
      <c r="U349" s="20" t="n">
        <f aca="false">MROUND(O349*'Fuel &amp; Inputs'!$C$20*'Fuel &amp; Inputs'!$C$22,500)</f>
        <v>305000</v>
      </c>
    </row>
    <row r="350" customFormat="false" ht="23.85" hidden="false" customHeight="false" outlineLevel="0" collapsed="false">
      <c r="A350" s="23" t="n">
        <v>326</v>
      </c>
      <c r="B350" s="34" t="s">
        <v>106</v>
      </c>
      <c r="C350" s="34" t="s">
        <v>243</v>
      </c>
      <c r="D350" s="34" t="s">
        <v>861</v>
      </c>
      <c r="E350" s="23" t="s">
        <v>145</v>
      </c>
      <c r="F350" s="23" t="s">
        <v>868</v>
      </c>
      <c r="G350" s="23" t="s">
        <v>869</v>
      </c>
      <c r="H350" s="23" t="s">
        <v>148</v>
      </c>
      <c r="I350" s="25" t="n">
        <v>3</v>
      </c>
      <c r="J350" s="35" t="n">
        <v>1.035</v>
      </c>
      <c r="K350" s="26" t="n">
        <f aca="false">IF(I350=0,0,IF(L350="Rs./km",MROUND(IF(H350="Petrol",'Fuel &amp; Inputs'!$C$5,'Fuel &amp; Inputs'!$C$4)/I350*J350,1),MROUND(I350*J350*IF(H350="Petrol",'Fuel &amp; Inputs'!$C$5,'Fuel &amp; Inputs'!$C$4),10)))</f>
        <v>132</v>
      </c>
      <c r="L350" s="23" t="s">
        <v>590</v>
      </c>
      <c r="M350" s="27" t="n">
        <v>1430</v>
      </c>
      <c r="N350" s="26" t="n">
        <f aca="false">MROUND(M350+'Fuel &amp; Inputs'!$C$13,50)</f>
        <v>2250</v>
      </c>
      <c r="O350" s="27" t="n">
        <v>2990</v>
      </c>
      <c r="P350" s="26" t="n">
        <f aca="false">MROUND(M350*'Fuel &amp; Inputs'!$C$19*'Fuel &amp; Inputs'!$C$21,100)</f>
        <v>5400</v>
      </c>
      <c r="Q350" s="26" t="n">
        <f aca="false">MROUND(N350*'Fuel &amp; Inputs'!$C$19*'Fuel &amp; Inputs'!$C$21,100)</f>
        <v>8600</v>
      </c>
      <c r="R350" s="26" t="n">
        <f aca="false">MROUND(O350*'Fuel &amp; Inputs'!$C$19*'Fuel &amp; Inputs'!$C$21,100)</f>
        <v>11400</v>
      </c>
      <c r="S350" s="26" t="n">
        <f aca="false">MROUND(M350*'Fuel &amp; Inputs'!$C$20*'Fuel &amp; Inputs'!$C$22,500)</f>
        <v>146000</v>
      </c>
      <c r="T350" s="26" t="n">
        <f aca="false">MROUND(N350*'Fuel &amp; Inputs'!$C$20*'Fuel &amp; Inputs'!$C$22,500)</f>
        <v>229500</v>
      </c>
      <c r="U350" s="26" t="n">
        <f aca="false">MROUND(O350*'Fuel &amp; Inputs'!$C$20*'Fuel &amp; Inputs'!$C$22,500)</f>
        <v>305000</v>
      </c>
    </row>
    <row r="351" customFormat="false" ht="23.85" hidden="false" customHeight="false" outlineLevel="0" collapsed="false">
      <c r="A351" s="17" t="n">
        <v>327</v>
      </c>
      <c r="B351" s="32" t="s">
        <v>106</v>
      </c>
      <c r="C351" s="32" t="s">
        <v>243</v>
      </c>
      <c r="D351" s="32" t="s">
        <v>861</v>
      </c>
      <c r="E351" s="17" t="s">
        <v>145</v>
      </c>
      <c r="F351" s="17" t="s">
        <v>870</v>
      </c>
      <c r="G351" s="17" t="s">
        <v>871</v>
      </c>
      <c r="H351" s="17" t="s">
        <v>148</v>
      </c>
      <c r="I351" s="19" t="n">
        <v>3</v>
      </c>
      <c r="J351" s="33" t="n">
        <v>1.035</v>
      </c>
      <c r="K351" s="20" t="n">
        <f aca="false">IF(I351=0,0,IF(L351="Rs./km",MROUND(IF(H351="Petrol",'Fuel &amp; Inputs'!$C$5,'Fuel &amp; Inputs'!$C$4)/I351*J351,1),MROUND(I351*J351*IF(H351="Petrol",'Fuel &amp; Inputs'!$C$5,'Fuel &amp; Inputs'!$C$4),10)))</f>
        <v>132</v>
      </c>
      <c r="L351" s="17" t="s">
        <v>590</v>
      </c>
      <c r="M351" s="21" t="n">
        <v>1430</v>
      </c>
      <c r="N351" s="20" t="n">
        <f aca="false">MROUND(M351+'Fuel &amp; Inputs'!$C$13,50)</f>
        <v>2250</v>
      </c>
      <c r="O351" s="21" t="n">
        <v>2990</v>
      </c>
      <c r="P351" s="20" t="n">
        <f aca="false">MROUND(M351*'Fuel &amp; Inputs'!$C$19*'Fuel &amp; Inputs'!$C$21,100)</f>
        <v>5400</v>
      </c>
      <c r="Q351" s="20" t="n">
        <f aca="false">MROUND(N351*'Fuel &amp; Inputs'!$C$19*'Fuel &amp; Inputs'!$C$21,100)</f>
        <v>8600</v>
      </c>
      <c r="R351" s="20" t="n">
        <f aca="false">MROUND(O351*'Fuel &amp; Inputs'!$C$19*'Fuel &amp; Inputs'!$C$21,100)</f>
        <v>11400</v>
      </c>
      <c r="S351" s="20" t="n">
        <f aca="false">MROUND(M351*'Fuel &amp; Inputs'!$C$20*'Fuel &amp; Inputs'!$C$22,500)</f>
        <v>146000</v>
      </c>
      <c r="T351" s="20" t="n">
        <f aca="false">MROUND(N351*'Fuel &amp; Inputs'!$C$20*'Fuel &amp; Inputs'!$C$22,500)</f>
        <v>229500</v>
      </c>
      <c r="U351" s="20" t="n">
        <f aca="false">MROUND(O351*'Fuel &amp; Inputs'!$C$20*'Fuel &amp; Inputs'!$C$22,500)</f>
        <v>305000</v>
      </c>
    </row>
    <row r="352" customFormat="false" ht="23.85" hidden="false" customHeight="false" outlineLevel="0" collapsed="false">
      <c r="A352" s="23" t="n">
        <v>328</v>
      </c>
      <c r="B352" s="34" t="s">
        <v>106</v>
      </c>
      <c r="C352" s="34" t="s">
        <v>243</v>
      </c>
      <c r="D352" s="34" t="s">
        <v>861</v>
      </c>
      <c r="E352" s="23" t="s">
        <v>145</v>
      </c>
      <c r="F352" s="23" t="s">
        <v>872</v>
      </c>
      <c r="G352" s="23" t="s">
        <v>873</v>
      </c>
      <c r="H352" s="23" t="s">
        <v>148</v>
      </c>
      <c r="I352" s="25" t="n">
        <v>3</v>
      </c>
      <c r="J352" s="35" t="n">
        <v>1.035</v>
      </c>
      <c r="K352" s="26" t="n">
        <f aca="false">IF(I352=0,0,IF(L352="Rs./km",MROUND(IF(H352="Petrol",'Fuel &amp; Inputs'!$C$5,'Fuel &amp; Inputs'!$C$4)/I352*J352,1),MROUND(I352*J352*IF(H352="Petrol",'Fuel &amp; Inputs'!$C$5,'Fuel &amp; Inputs'!$C$4),10)))</f>
        <v>132</v>
      </c>
      <c r="L352" s="23" t="s">
        <v>590</v>
      </c>
      <c r="M352" s="27" t="n">
        <v>1430</v>
      </c>
      <c r="N352" s="26" t="n">
        <f aca="false">MROUND(M352+'Fuel &amp; Inputs'!$C$13,50)</f>
        <v>2250</v>
      </c>
      <c r="O352" s="27" t="n">
        <v>2990</v>
      </c>
      <c r="P352" s="26" t="n">
        <f aca="false">MROUND(M352*'Fuel &amp; Inputs'!$C$19*'Fuel &amp; Inputs'!$C$21,100)</f>
        <v>5400</v>
      </c>
      <c r="Q352" s="26" t="n">
        <f aca="false">MROUND(N352*'Fuel &amp; Inputs'!$C$19*'Fuel &amp; Inputs'!$C$21,100)</f>
        <v>8600</v>
      </c>
      <c r="R352" s="26" t="n">
        <f aca="false">MROUND(O352*'Fuel &amp; Inputs'!$C$19*'Fuel &amp; Inputs'!$C$21,100)</f>
        <v>11400</v>
      </c>
      <c r="S352" s="26" t="n">
        <f aca="false">MROUND(M352*'Fuel &amp; Inputs'!$C$20*'Fuel &amp; Inputs'!$C$22,500)</f>
        <v>146000</v>
      </c>
      <c r="T352" s="26" t="n">
        <f aca="false">MROUND(N352*'Fuel &amp; Inputs'!$C$20*'Fuel &amp; Inputs'!$C$22,500)</f>
        <v>229500</v>
      </c>
      <c r="U352" s="26" t="n">
        <f aca="false">MROUND(O352*'Fuel &amp; Inputs'!$C$20*'Fuel &amp; Inputs'!$C$22,500)</f>
        <v>305000</v>
      </c>
    </row>
    <row r="353" customFormat="false" ht="23.85" hidden="false" customHeight="false" outlineLevel="0" collapsed="false">
      <c r="A353" s="17" t="n">
        <v>329</v>
      </c>
      <c r="B353" s="32" t="s">
        <v>106</v>
      </c>
      <c r="C353" s="32" t="s">
        <v>243</v>
      </c>
      <c r="D353" s="32" t="s">
        <v>861</v>
      </c>
      <c r="E353" s="17" t="s">
        <v>145</v>
      </c>
      <c r="F353" s="17" t="s">
        <v>874</v>
      </c>
      <c r="G353" s="17" t="s">
        <v>875</v>
      </c>
      <c r="H353" s="17" t="s">
        <v>148</v>
      </c>
      <c r="I353" s="19" t="n">
        <v>3</v>
      </c>
      <c r="J353" s="33" t="n">
        <v>1.035</v>
      </c>
      <c r="K353" s="20" t="n">
        <f aca="false">IF(I353=0,0,IF(L353="Rs./km",MROUND(IF(H353="Petrol",'Fuel &amp; Inputs'!$C$5,'Fuel &amp; Inputs'!$C$4)/I353*J353,1),MROUND(I353*J353*IF(H353="Petrol",'Fuel &amp; Inputs'!$C$5,'Fuel &amp; Inputs'!$C$4),10)))</f>
        <v>132</v>
      </c>
      <c r="L353" s="17" t="s">
        <v>590</v>
      </c>
      <c r="M353" s="21" t="n">
        <v>1430</v>
      </c>
      <c r="N353" s="20" t="n">
        <f aca="false">MROUND(M353+'Fuel &amp; Inputs'!$C$13,50)</f>
        <v>2250</v>
      </c>
      <c r="O353" s="21" t="n">
        <v>2990</v>
      </c>
      <c r="P353" s="20" t="n">
        <f aca="false">MROUND(M353*'Fuel &amp; Inputs'!$C$19*'Fuel &amp; Inputs'!$C$21,100)</f>
        <v>5400</v>
      </c>
      <c r="Q353" s="20" t="n">
        <f aca="false">MROUND(N353*'Fuel &amp; Inputs'!$C$19*'Fuel &amp; Inputs'!$C$21,100)</f>
        <v>8600</v>
      </c>
      <c r="R353" s="20" t="n">
        <f aca="false">MROUND(O353*'Fuel &amp; Inputs'!$C$19*'Fuel &amp; Inputs'!$C$21,100)</f>
        <v>11400</v>
      </c>
      <c r="S353" s="20" t="n">
        <f aca="false">MROUND(M353*'Fuel &amp; Inputs'!$C$20*'Fuel &amp; Inputs'!$C$22,500)</f>
        <v>146000</v>
      </c>
      <c r="T353" s="20" t="n">
        <f aca="false">MROUND(N353*'Fuel &amp; Inputs'!$C$20*'Fuel &amp; Inputs'!$C$22,500)</f>
        <v>229500</v>
      </c>
      <c r="U353" s="20" t="n">
        <f aca="false">MROUND(O353*'Fuel &amp; Inputs'!$C$20*'Fuel &amp; Inputs'!$C$22,500)</f>
        <v>305000</v>
      </c>
    </row>
    <row r="354" customFormat="false" ht="23.85" hidden="false" customHeight="false" outlineLevel="0" collapsed="false">
      <c r="A354" s="23" t="n">
        <v>330</v>
      </c>
      <c r="B354" s="34" t="s">
        <v>106</v>
      </c>
      <c r="C354" s="34" t="s">
        <v>243</v>
      </c>
      <c r="D354" s="34" t="s">
        <v>861</v>
      </c>
      <c r="E354" s="23" t="s">
        <v>145</v>
      </c>
      <c r="F354" s="23" t="s">
        <v>876</v>
      </c>
      <c r="G354" s="23" t="s">
        <v>877</v>
      </c>
      <c r="H354" s="23" t="s">
        <v>148</v>
      </c>
      <c r="I354" s="25" t="n">
        <v>3</v>
      </c>
      <c r="J354" s="35" t="n">
        <v>1.035</v>
      </c>
      <c r="K354" s="26" t="n">
        <f aca="false">IF(I354=0,0,IF(L354="Rs./km",MROUND(IF(H354="Petrol",'Fuel &amp; Inputs'!$C$5,'Fuel &amp; Inputs'!$C$4)/I354*J354,1),MROUND(I354*J354*IF(H354="Petrol",'Fuel &amp; Inputs'!$C$5,'Fuel &amp; Inputs'!$C$4),10)))</f>
        <v>132</v>
      </c>
      <c r="L354" s="23" t="s">
        <v>590</v>
      </c>
      <c r="M354" s="27" t="n">
        <v>1430</v>
      </c>
      <c r="N354" s="26" t="n">
        <f aca="false">MROUND(M354+'Fuel &amp; Inputs'!$C$13,50)</f>
        <v>2250</v>
      </c>
      <c r="O354" s="27" t="n">
        <v>2990</v>
      </c>
      <c r="P354" s="26" t="n">
        <f aca="false">MROUND(M354*'Fuel &amp; Inputs'!$C$19*'Fuel &amp; Inputs'!$C$21,100)</f>
        <v>5400</v>
      </c>
      <c r="Q354" s="26" t="n">
        <f aca="false">MROUND(N354*'Fuel &amp; Inputs'!$C$19*'Fuel &amp; Inputs'!$C$21,100)</f>
        <v>8600</v>
      </c>
      <c r="R354" s="26" t="n">
        <f aca="false">MROUND(O354*'Fuel &amp; Inputs'!$C$19*'Fuel &amp; Inputs'!$C$21,100)</f>
        <v>11400</v>
      </c>
      <c r="S354" s="26" t="n">
        <f aca="false">MROUND(M354*'Fuel &amp; Inputs'!$C$20*'Fuel &amp; Inputs'!$C$22,500)</f>
        <v>146000</v>
      </c>
      <c r="T354" s="26" t="n">
        <f aca="false">MROUND(N354*'Fuel &amp; Inputs'!$C$20*'Fuel &amp; Inputs'!$C$22,500)</f>
        <v>229500</v>
      </c>
      <c r="U354" s="26" t="n">
        <f aca="false">MROUND(O354*'Fuel &amp; Inputs'!$C$20*'Fuel &amp; Inputs'!$C$22,500)</f>
        <v>305000</v>
      </c>
    </row>
    <row r="355" customFormat="false" ht="23.85" hidden="false" customHeight="false" outlineLevel="0" collapsed="false">
      <c r="A355" s="17" t="n">
        <v>331</v>
      </c>
      <c r="B355" s="32" t="s">
        <v>106</v>
      </c>
      <c r="C355" s="32" t="s">
        <v>243</v>
      </c>
      <c r="D355" s="32" t="s">
        <v>861</v>
      </c>
      <c r="E355" s="17" t="s">
        <v>145</v>
      </c>
      <c r="F355" s="17" t="s">
        <v>878</v>
      </c>
      <c r="G355" s="17" t="s">
        <v>879</v>
      </c>
      <c r="H355" s="17" t="s">
        <v>148</v>
      </c>
      <c r="I355" s="19" t="n">
        <v>3</v>
      </c>
      <c r="J355" s="33" t="n">
        <v>1.035</v>
      </c>
      <c r="K355" s="20" t="n">
        <f aca="false">IF(I355=0,0,IF(L355="Rs./km",MROUND(IF(H355="Petrol",'Fuel &amp; Inputs'!$C$5,'Fuel &amp; Inputs'!$C$4)/I355*J355,1),MROUND(I355*J355*IF(H355="Petrol",'Fuel &amp; Inputs'!$C$5,'Fuel &amp; Inputs'!$C$4),10)))</f>
        <v>132</v>
      </c>
      <c r="L355" s="17" t="s">
        <v>590</v>
      </c>
      <c r="M355" s="21" t="n">
        <v>1430</v>
      </c>
      <c r="N355" s="20" t="n">
        <f aca="false">MROUND(M355+'Fuel &amp; Inputs'!$C$13,50)</f>
        <v>2250</v>
      </c>
      <c r="O355" s="21" t="n">
        <v>2990</v>
      </c>
      <c r="P355" s="20" t="n">
        <f aca="false">MROUND(M355*'Fuel &amp; Inputs'!$C$19*'Fuel &amp; Inputs'!$C$21,100)</f>
        <v>5400</v>
      </c>
      <c r="Q355" s="20" t="n">
        <f aca="false">MROUND(N355*'Fuel &amp; Inputs'!$C$19*'Fuel &amp; Inputs'!$C$21,100)</f>
        <v>8600</v>
      </c>
      <c r="R355" s="20" t="n">
        <f aca="false">MROUND(O355*'Fuel &amp; Inputs'!$C$19*'Fuel &amp; Inputs'!$C$21,100)</f>
        <v>11400</v>
      </c>
      <c r="S355" s="20" t="n">
        <f aca="false">MROUND(M355*'Fuel &amp; Inputs'!$C$20*'Fuel &amp; Inputs'!$C$22,500)</f>
        <v>146000</v>
      </c>
      <c r="T355" s="20" t="n">
        <f aca="false">MROUND(N355*'Fuel &amp; Inputs'!$C$20*'Fuel &amp; Inputs'!$C$22,500)</f>
        <v>229500</v>
      </c>
      <c r="U355" s="20" t="n">
        <f aca="false">MROUND(O355*'Fuel &amp; Inputs'!$C$20*'Fuel &amp; Inputs'!$C$22,500)</f>
        <v>305000</v>
      </c>
    </row>
    <row r="356" customFormat="false" ht="23.85" hidden="false" customHeight="false" outlineLevel="0" collapsed="false">
      <c r="A356" s="23" t="n">
        <v>332</v>
      </c>
      <c r="B356" s="34" t="s">
        <v>106</v>
      </c>
      <c r="C356" s="34" t="s">
        <v>243</v>
      </c>
      <c r="D356" s="34" t="s">
        <v>861</v>
      </c>
      <c r="E356" s="23" t="s">
        <v>145</v>
      </c>
      <c r="F356" s="23" t="s">
        <v>880</v>
      </c>
      <c r="G356" s="23" t="s">
        <v>881</v>
      </c>
      <c r="H356" s="23" t="s">
        <v>148</v>
      </c>
      <c r="I356" s="25" t="n">
        <v>3</v>
      </c>
      <c r="J356" s="35" t="n">
        <v>1.035</v>
      </c>
      <c r="K356" s="26" t="n">
        <f aca="false">IF(I356=0,0,IF(L356="Rs./km",MROUND(IF(H356="Petrol",'Fuel &amp; Inputs'!$C$5,'Fuel &amp; Inputs'!$C$4)/I356*J356,1),MROUND(I356*J356*IF(H356="Petrol",'Fuel &amp; Inputs'!$C$5,'Fuel &amp; Inputs'!$C$4),10)))</f>
        <v>132</v>
      </c>
      <c r="L356" s="23" t="s">
        <v>590</v>
      </c>
      <c r="M356" s="27" t="n">
        <v>1430</v>
      </c>
      <c r="N356" s="26" t="n">
        <f aca="false">MROUND(M356+'Fuel &amp; Inputs'!$C$13,50)</f>
        <v>2250</v>
      </c>
      <c r="O356" s="27" t="n">
        <v>2990</v>
      </c>
      <c r="P356" s="26" t="n">
        <f aca="false">MROUND(M356*'Fuel &amp; Inputs'!$C$19*'Fuel &amp; Inputs'!$C$21,100)</f>
        <v>5400</v>
      </c>
      <c r="Q356" s="26" t="n">
        <f aca="false">MROUND(N356*'Fuel &amp; Inputs'!$C$19*'Fuel &amp; Inputs'!$C$21,100)</f>
        <v>8600</v>
      </c>
      <c r="R356" s="26" t="n">
        <f aca="false">MROUND(O356*'Fuel &amp; Inputs'!$C$19*'Fuel &amp; Inputs'!$C$21,100)</f>
        <v>11400</v>
      </c>
      <c r="S356" s="26" t="n">
        <f aca="false">MROUND(M356*'Fuel &amp; Inputs'!$C$20*'Fuel &amp; Inputs'!$C$22,500)</f>
        <v>146000</v>
      </c>
      <c r="T356" s="26" t="n">
        <f aca="false">MROUND(N356*'Fuel &amp; Inputs'!$C$20*'Fuel &amp; Inputs'!$C$22,500)</f>
        <v>229500</v>
      </c>
      <c r="U356" s="26" t="n">
        <f aca="false">MROUND(O356*'Fuel &amp; Inputs'!$C$20*'Fuel &amp; Inputs'!$C$22,500)</f>
        <v>305000</v>
      </c>
    </row>
    <row r="357" customFormat="false" ht="23.85" hidden="false" customHeight="false" outlineLevel="0" collapsed="false">
      <c r="A357" s="17" t="n">
        <v>333</v>
      </c>
      <c r="B357" s="32" t="s">
        <v>106</v>
      </c>
      <c r="C357" s="32" t="s">
        <v>243</v>
      </c>
      <c r="D357" s="32" t="s">
        <v>835</v>
      </c>
      <c r="E357" s="17" t="s">
        <v>168</v>
      </c>
      <c r="F357" s="17" t="s">
        <v>882</v>
      </c>
      <c r="G357" s="17" t="s">
        <v>883</v>
      </c>
      <c r="H357" s="17" t="s">
        <v>148</v>
      </c>
      <c r="I357" s="19" t="n">
        <v>3</v>
      </c>
      <c r="J357" s="33" t="n">
        <v>1.07</v>
      </c>
      <c r="K357" s="20" t="n">
        <f aca="false">IF(I357=0,0,IF(L357="Rs./km",MROUND(IF(H357="Petrol",'Fuel &amp; Inputs'!$C$5,'Fuel &amp; Inputs'!$C$4)/I357*J357,1),MROUND(I357*J357*IF(H357="Petrol",'Fuel &amp; Inputs'!$C$5,'Fuel &amp; Inputs'!$C$4),10)))</f>
        <v>136</v>
      </c>
      <c r="L357" s="17" t="s">
        <v>590</v>
      </c>
      <c r="M357" s="21" t="n">
        <v>1430</v>
      </c>
      <c r="N357" s="20" t="n">
        <f aca="false">MROUND(M357+'Fuel &amp; Inputs'!$C$13,50)</f>
        <v>2250</v>
      </c>
      <c r="O357" s="21" t="n">
        <v>2990</v>
      </c>
      <c r="P357" s="20" t="n">
        <f aca="false">MROUND(M357*'Fuel &amp; Inputs'!$C$19*'Fuel &amp; Inputs'!$C$21,100)</f>
        <v>5400</v>
      </c>
      <c r="Q357" s="20" t="n">
        <f aca="false">MROUND(N357*'Fuel &amp; Inputs'!$C$19*'Fuel &amp; Inputs'!$C$21,100)</f>
        <v>8600</v>
      </c>
      <c r="R357" s="20" t="n">
        <f aca="false">MROUND(O357*'Fuel &amp; Inputs'!$C$19*'Fuel &amp; Inputs'!$C$21,100)</f>
        <v>11400</v>
      </c>
      <c r="S357" s="20" t="n">
        <f aca="false">MROUND(M357*'Fuel &amp; Inputs'!$C$20*'Fuel &amp; Inputs'!$C$22,500)</f>
        <v>146000</v>
      </c>
      <c r="T357" s="20" t="n">
        <f aca="false">MROUND(N357*'Fuel &amp; Inputs'!$C$20*'Fuel &amp; Inputs'!$C$22,500)</f>
        <v>229500</v>
      </c>
      <c r="U357" s="20" t="n">
        <f aca="false">MROUND(O357*'Fuel &amp; Inputs'!$C$20*'Fuel &amp; Inputs'!$C$22,500)</f>
        <v>305000</v>
      </c>
    </row>
    <row r="358" customFormat="false" ht="23.85" hidden="false" customHeight="false" outlineLevel="0" collapsed="false">
      <c r="A358" s="23" t="n">
        <v>334</v>
      </c>
      <c r="B358" s="34" t="s">
        <v>106</v>
      </c>
      <c r="C358" s="34" t="s">
        <v>243</v>
      </c>
      <c r="D358" s="34" t="s">
        <v>835</v>
      </c>
      <c r="E358" s="23" t="s">
        <v>145</v>
      </c>
      <c r="F358" s="23" t="s">
        <v>884</v>
      </c>
      <c r="G358" s="23" t="s">
        <v>885</v>
      </c>
      <c r="H358" s="23" t="s">
        <v>148</v>
      </c>
      <c r="I358" s="25" t="n">
        <v>3</v>
      </c>
      <c r="J358" s="35" t="n">
        <v>1.035</v>
      </c>
      <c r="K358" s="26" t="n">
        <f aca="false">IF(I358=0,0,IF(L358="Rs./km",MROUND(IF(H358="Petrol",'Fuel &amp; Inputs'!$C$5,'Fuel &amp; Inputs'!$C$4)/I358*J358,1),MROUND(I358*J358*IF(H358="Petrol",'Fuel &amp; Inputs'!$C$5,'Fuel &amp; Inputs'!$C$4),10)))</f>
        <v>132</v>
      </c>
      <c r="L358" s="23" t="s">
        <v>590</v>
      </c>
      <c r="M358" s="27" t="n">
        <v>1430</v>
      </c>
      <c r="N358" s="26" t="n">
        <f aca="false">MROUND(M358+'Fuel &amp; Inputs'!$C$13,50)</f>
        <v>2250</v>
      </c>
      <c r="O358" s="27" t="n">
        <v>2990</v>
      </c>
      <c r="P358" s="26" t="n">
        <f aca="false">MROUND(M358*'Fuel &amp; Inputs'!$C$19*'Fuel &amp; Inputs'!$C$21,100)</f>
        <v>5400</v>
      </c>
      <c r="Q358" s="26" t="n">
        <f aca="false">MROUND(N358*'Fuel &amp; Inputs'!$C$19*'Fuel &amp; Inputs'!$C$21,100)</f>
        <v>8600</v>
      </c>
      <c r="R358" s="26" t="n">
        <f aca="false">MROUND(O358*'Fuel &amp; Inputs'!$C$19*'Fuel &amp; Inputs'!$C$21,100)</f>
        <v>11400</v>
      </c>
      <c r="S358" s="26" t="n">
        <f aca="false">MROUND(M358*'Fuel &amp; Inputs'!$C$20*'Fuel &amp; Inputs'!$C$22,500)</f>
        <v>146000</v>
      </c>
      <c r="T358" s="26" t="n">
        <f aca="false">MROUND(N358*'Fuel &amp; Inputs'!$C$20*'Fuel &amp; Inputs'!$C$22,500)</f>
        <v>229500</v>
      </c>
      <c r="U358" s="26" t="n">
        <f aca="false">MROUND(O358*'Fuel &amp; Inputs'!$C$20*'Fuel &amp; Inputs'!$C$22,500)</f>
        <v>305000</v>
      </c>
    </row>
    <row r="359" customFormat="false" ht="23.85" hidden="false" customHeight="false" outlineLevel="0" collapsed="false">
      <c r="A359" s="17" t="n">
        <v>335</v>
      </c>
      <c r="B359" s="32" t="s">
        <v>106</v>
      </c>
      <c r="C359" s="32" t="s">
        <v>243</v>
      </c>
      <c r="D359" s="32" t="s">
        <v>835</v>
      </c>
      <c r="E359" s="17" t="s">
        <v>145</v>
      </c>
      <c r="F359" s="17" t="s">
        <v>886</v>
      </c>
      <c r="G359" s="17" t="s">
        <v>887</v>
      </c>
      <c r="H359" s="17" t="s">
        <v>148</v>
      </c>
      <c r="I359" s="19" t="n">
        <v>3</v>
      </c>
      <c r="J359" s="33" t="n">
        <v>1.035</v>
      </c>
      <c r="K359" s="20" t="n">
        <f aca="false">IF(I359=0,0,IF(L359="Rs./km",MROUND(IF(H359="Petrol",'Fuel &amp; Inputs'!$C$5,'Fuel &amp; Inputs'!$C$4)/I359*J359,1),MROUND(I359*J359*IF(H359="Petrol",'Fuel &amp; Inputs'!$C$5,'Fuel &amp; Inputs'!$C$4),10)))</f>
        <v>132</v>
      </c>
      <c r="L359" s="17" t="s">
        <v>590</v>
      </c>
      <c r="M359" s="21" t="n">
        <v>1430</v>
      </c>
      <c r="N359" s="20" t="n">
        <f aca="false">MROUND(M359+'Fuel &amp; Inputs'!$C$13,50)</f>
        <v>2250</v>
      </c>
      <c r="O359" s="21" t="n">
        <v>2990</v>
      </c>
      <c r="P359" s="20" t="n">
        <f aca="false">MROUND(M359*'Fuel &amp; Inputs'!$C$19*'Fuel &amp; Inputs'!$C$21,100)</f>
        <v>5400</v>
      </c>
      <c r="Q359" s="20" t="n">
        <f aca="false">MROUND(N359*'Fuel &amp; Inputs'!$C$19*'Fuel &amp; Inputs'!$C$21,100)</f>
        <v>8600</v>
      </c>
      <c r="R359" s="20" t="n">
        <f aca="false">MROUND(O359*'Fuel &amp; Inputs'!$C$19*'Fuel &amp; Inputs'!$C$21,100)</f>
        <v>11400</v>
      </c>
      <c r="S359" s="20" t="n">
        <f aca="false">MROUND(M359*'Fuel &amp; Inputs'!$C$20*'Fuel &amp; Inputs'!$C$22,500)</f>
        <v>146000</v>
      </c>
      <c r="T359" s="20" t="n">
        <f aca="false">MROUND(N359*'Fuel &amp; Inputs'!$C$20*'Fuel &amp; Inputs'!$C$22,500)</f>
        <v>229500</v>
      </c>
      <c r="U359" s="20" t="n">
        <f aca="false">MROUND(O359*'Fuel &amp; Inputs'!$C$20*'Fuel &amp; Inputs'!$C$22,500)</f>
        <v>305000</v>
      </c>
    </row>
    <row r="360" customFormat="false" ht="23.85" hidden="false" customHeight="false" outlineLevel="0" collapsed="false">
      <c r="A360" s="23" t="n">
        <v>336</v>
      </c>
      <c r="B360" s="34" t="s">
        <v>106</v>
      </c>
      <c r="C360" s="34" t="s">
        <v>586</v>
      </c>
      <c r="D360" s="34" t="s">
        <v>888</v>
      </c>
      <c r="E360" s="23" t="s">
        <v>228</v>
      </c>
      <c r="F360" s="23" t="s">
        <v>889</v>
      </c>
      <c r="G360" s="23" t="s">
        <v>890</v>
      </c>
      <c r="H360" s="23" t="s">
        <v>148</v>
      </c>
      <c r="I360" s="25" t="n">
        <v>5</v>
      </c>
      <c r="J360" s="35" t="n">
        <v>1.091</v>
      </c>
      <c r="K360" s="26" t="n">
        <f aca="false">IF(I360=0,0,IF(L360="Rs./km",MROUND(IF(H360="Petrol",'Fuel &amp; Inputs'!$C$5,'Fuel &amp; Inputs'!$C$4)/I360*J360,1),MROUND(I360*J360*IF(H360="Petrol",'Fuel &amp; Inputs'!$C$5,'Fuel &amp; Inputs'!$C$4),10)))</f>
        <v>83</v>
      </c>
      <c r="L360" s="23" t="s">
        <v>590</v>
      </c>
      <c r="M360" s="27" t="n">
        <v>1270</v>
      </c>
      <c r="N360" s="26" t="n">
        <f aca="false">MROUND(M360+'Fuel &amp; Inputs'!$C$13,50)</f>
        <v>2050</v>
      </c>
      <c r="O360" s="27" t="n">
        <v>2670</v>
      </c>
      <c r="P360" s="26" t="n">
        <f aca="false">MROUND(M360*'Fuel &amp; Inputs'!$C$19*'Fuel &amp; Inputs'!$C$21,100)</f>
        <v>4800</v>
      </c>
      <c r="Q360" s="26" t="n">
        <f aca="false">MROUND(N360*'Fuel &amp; Inputs'!$C$19*'Fuel &amp; Inputs'!$C$21,100)</f>
        <v>7800</v>
      </c>
      <c r="R360" s="26" t="n">
        <f aca="false">MROUND(O360*'Fuel &amp; Inputs'!$C$19*'Fuel &amp; Inputs'!$C$21,100)</f>
        <v>10100</v>
      </c>
      <c r="S360" s="26" t="n">
        <f aca="false">MROUND(M360*'Fuel &amp; Inputs'!$C$20*'Fuel &amp; Inputs'!$C$22,500)</f>
        <v>129500</v>
      </c>
      <c r="T360" s="26" t="n">
        <f aca="false">MROUND(N360*'Fuel &amp; Inputs'!$C$20*'Fuel &amp; Inputs'!$C$22,500)</f>
        <v>209000</v>
      </c>
      <c r="U360" s="26" t="n">
        <f aca="false">MROUND(O360*'Fuel &amp; Inputs'!$C$20*'Fuel &amp; Inputs'!$C$22,500)</f>
        <v>272500</v>
      </c>
    </row>
    <row r="361" customFormat="false" ht="23.85" hidden="false" customHeight="false" outlineLevel="0" collapsed="false">
      <c r="A361" s="17" t="n">
        <v>337</v>
      </c>
      <c r="B361" s="32" t="s">
        <v>106</v>
      </c>
      <c r="C361" s="32" t="s">
        <v>243</v>
      </c>
      <c r="D361" s="32" t="s">
        <v>888</v>
      </c>
      <c r="E361" s="17" t="s">
        <v>228</v>
      </c>
      <c r="F361" s="17" t="s">
        <v>891</v>
      </c>
      <c r="G361" s="17" t="s">
        <v>892</v>
      </c>
      <c r="H361" s="17" t="s">
        <v>148</v>
      </c>
      <c r="I361" s="19" t="n">
        <v>5</v>
      </c>
      <c r="J361" s="33" t="n">
        <v>1.091</v>
      </c>
      <c r="K361" s="20" t="n">
        <f aca="false">IF(I361=0,0,IF(L361="Rs./km",MROUND(IF(H361="Petrol",'Fuel &amp; Inputs'!$C$5,'Fuel &amp; Inputs'!$C$4)/I361*J361,1),MROUND(I361*J361*IF(H361="Petrol",'Fuel &amp; Inputs'!$C$5,'Fuel &amp; Inputs'!$C$4),10)))</f>
        <v>83</v>
      </c>
      <c r="L361" s="17" t="s">
        <v>590</v>
      </c>
      <c r="M361" s="21" t="n">
        <v>1270</v>
      </c>
      <c r="N361" s="20" t="n">
        <f aca="false">MROUND(M361+'Fuel &amp; Inputs'!$C$13,50)</f>
        <v>2050</v>
      </c>
      <c r="O361" s="21" t="n">
        <v>2670</v>
      </c>
      <c r="P361" s="20" t="n">
        <f aca="false">MROUND(M361*'Fuel &amp; Inputs'!$C$19*'Fuel &amp; Inputs'!$C$21,100)</f>
        <v>4800</v>
      </c>
      <c r="Q361" s="20" t="n">
        <f aca="false">MROUND(N361*'Fuel &amp; Inputs'!$C$19*'Fuel &amp; Inputs'!$C$21,100)</f>
        <v>7800</v>
      </c>
      <c r="R361" s="20" t="n">
        <f aca="false">MROUND(O361*'Fuel &amp; Inputs'!$C$19*'Fuel &amp; Inputs'!$C$21,100)</f>
        <v>10100</v>
      </c>
      <c r="S361" s="20" t="n">
        <f aca="false">MROUND(M361*'Fuel &amp; Inputs'!$C$20*'Fuel &amp; Inputs'!$C$22,500)</f>
        <v>129500</v>
      </c>
      <c r="T361" s="20" t="n">
        <f aca="false">MROUND(N361*'Fuel &amp; Inputs'!$C$20*'Fuel &amp; Inputs'!$C$22,500)</f>
        <v>209000</v>
      </c>
      <c r="U361" s="20" t="n">
        <f aca="false">MROUND(O361*'Fuel &amp; Inputs'!$C$20*'Fuel &amp; Inputs'!$C$22,500)</f>
        <v>272500</v>
      </c>
    </row>
    <row r="362" customFormat="false" ht="23.85" hidden="false" customHeight="false" outlineLevel="0" collapsed="false">
      <c r="A362" s="23" t="n">
        <v>338</v>
      </c>
      <c r="B362" s="34" t="s">
        <v>106</v>
      </c>
      <c r="C362" s="34" t="s">
        <v>586</v>
      </c>
      <c r="D362" s="34" t="s">
        <v>893</v>
      </c>
      <c r="E362" s="23" t="s">
        <v>160</v>
      </c>
      <c r="F362" s="23" t="s">
        <v>894</v>
      </c>
      <c r="G362" s="23" t="s">
        <v>895</v>
      </c>
      <c r="H362" s="23" t="s">
        <v>148</v>
      </c>
      <c r="I362" s="25" t="n">
        <v>3</v>
      </c>
      <c r="J362" s="35" t="n">
        <v>1.098</v>
      </c>
      <c r="K362" s="26" t="n">
        <f aca="false">IF(I362=0,0,IF(L362="Rs./km",MROUND(IF(H362="Petrol",'Fuel &amp; Inputs'!$C$5,'Fuel &amp; Inputs'!$C$4)/I362*J362,1),MROUND(I362*J362*IF(H362="Petrol",'Fuel &amp; Inputs'!$C$5,'Fuel &amp; Inputs'!$C$4),10)))</f>
        <v>140</v>
      </c>
      <c r="L362" s="23" t="s">
        <v>590</v>
      </c>
      <c r="M362" s="27" t="n">
        <v>1270</v>
      </c>
      <c r="N362" s="26" t="n">
        <f aca="false">MROUND(M362+'Fuel &amp; Inputs'!$C$13,50)</f>
        <v>2050</v>
      </c>
      <c r="O362" s="27" t="n">
        <v>2670</v>
      </c>
      <c r="P362" s="26" t="n">
        <f aca="false">MROUND(M362*'Fuel &amp; Inputs'!$C$19*'Fuel &amp; Inputs'!$C$21,100)</f>
        <v>4800</v>
      </c>
      <c r="Q362" s="26" t="n">
        <f aca="false">MROUND(N362*'Fuel &amp; Inputs'!$C$19*'Fuel &amp; Inputs'!$C$21,100)</f>
        <v>7800</v>
      </c>
      <c r="R362" s="26" t="n">
        <f aca="false">MROUND(O362*'Fuel &amp; Inputs'!$C$19*'Fuel &amp; Inputs'!$C$21,100)</f>
        <v>10100</v>
      </c>
      <c r="S362" s="26" t="n">
        <f aca="false">MROUND(M362*'Fuel &amp; Inputs'!$C$20*'Fuel &amp; Inputs'!$C$22,500)</f>
        <v>129500</v>
      </c>
      <c r="T362" s="26" t="n">
        <f aca="false">MROUND(N362*'Fuel &amp; Inputs'!$C$20*'Fuel &amp; Inputs'!$C$22,500)</f>
        <v>209000</v>
      </c>
      <c r="U362" s="26" t="n">
        <f aca="false">MROUND(O362*'Fuel &amp; Inputs'!$C$20*'Fuel &amp; Inputs'!$C$22,500)</f>
        <v>272500</v>
      </c>
    </row>
    <row r="363" customFormat="false" ht="23.85" hidden="false" customHeight="false" outlineLevel="0" collapsed="false">
      <c r="A363" s="17" t="n">
        <v>339</v>
      </c>
      <c r="B363" s="32" t="s">
        <v>106</v>
      </c>
      <c r="C363" s="32" t="s">
        <v>586</v>
      </c>
      <c r="D363" s="32" t="s">
        <v>893</v>
      </c>
      <c r="E363" s="17" t="s">
        <v>271</v>
      </c>
      <c r="F363" s="17" t="s">
        <v>896</v>
      </c>
      <c r="G363" s="17" t="s">
        <v>897</v>
      </c>
      <c r="H363" s="17" t="s">
        <v>148</v>
      </c>
      <c r="I363" s="19" t="n">
        <v>3</v>
      </c>
      <c r="J363" s="33" t="n">
        <v>1.161</v>
      </c>
      <c r="K363" s="20" t="n">
        <f aca="false">IF(I363=0,0,IF(L363="Rs./km",MROUND(IF(H363="Petrol",'Fuel &amp; Inputs'!$C$5,'Fuel &amp; Inputs'!$C$4)/I363*J363,1),MROUND(I363*J363*IF(H363="Petrol",'Fuel &amp; Inputs'!$C$5,'Fuel &amp; Inputs'!$C$4),10)))</f>
        <v>148</v>
      </c>
      <c r="L363" s="17" t="s">
        <v>590</v>
      </c>
      <c r="M363" s="21" t="n">
        <v>1270</v>
      </c>
      <c r="N363" s="20" t="n">
        <f aca="false">MROUND(M363+'Fuel &amp; Inputs'!$C$13,50)</f>
        <v>2050</v>
      </c>
      <c r="O363" s="21" t="n">
        <v>2670</v>
      </c>
      <c r="P363" s="20" t="n">
        <f aca="false">MROUND(M363*'Fuel &amp; Inputs'!$C$19*'Fuel &amp; Inputs'!$C$21,100)</f>
        <v>4800</v>
      </c>
      <c r="Q363" s="20" t="n">
        <f aca="false">MROUND(N363*'Fuel &amp; Inputs'!$C$19*'Fuel &amp; Inputs'!$C$21,100)</f>
        <v>7800</v>
      </c>
      <c r="R363" s="20" t="n">
        <f aca="false">MROUND(O363*'Fuel &amp; Inputs'!$C$19*'Fuel &amp; Inputs'!$C$21,100)</f>
        <v>10100</v>
      </c>
      <c r="S363" s="20" t="n">
        <f aca="false">MROUND(M363*'Fuel &amp; Inputs'!$C$20*'Fuel &amp; Inputs'!$C$22,500)</f>
        <v>129500</v>
      </c>
      <c r="T363" s="20" t="n">
        <f aca="false">MROUND(N363*'Fuel &amp; Inputs'!$C$20*'Fuel &amp; Inputs'!$C$22,500)</f>
        <v>209000</v>
      </c>
      <c r="U363" s="20" t="n">
        <f aca="false">MROUND(O363*'Fuel &amp; Inputs'!$C$20*'Fuel &amp; Inputs'!$C$22,500)</f>
        <v>272500</v>
      </c>
    </row>
    <row r="364" customFormat="false" ht="23.85" hidden="false" customHeight="false" outlineLevel="0" collapsed="false">
      <c r="A364" s="23" t="n">
        <v>340</v>
      </c>
      <c r="B364" s="34" t="s">
        <v>106</v>
      </c>
      <c r="C364" s="34" t="s">
        <v>586</v>
      </c>
      <c r="D364" s="34" t="s">
        <v>893</v>
      </c>
      <c r="E364" s="23" t="s">
        <v>160</v>
      </c>
      <c r="F364" s="23" t="s">
        <v>898</v>
      </c>
      <c r="G364" s="23" t="s">
        <v>899</v>
      </c>
      <c r="H364" s="23" t="s">
        <v>148</v>
      </c>
      <c r="I364" s="25" t="n">
        <v>3</v>
      </c>
      <c r="J364" s="35" t="n">
        <v>1.098</v>
      </c>
      <c r="K364" s="26" t="n">
        <f aca="false">IF(I364=0,0,IF(L364="Rs./km",MROUND(IF(H364="Petrol",'Fuel &amp; Inputs'!$C$5,'Fuel &amp; Inputs'!$C$4)/I364*J364,1),MROUND(I364*J364*IF(H364="Petrol",'Fuel &amp; Inputs'!$C$5,'Fuel &amp; Inputs'!$C$4),10)))</f>
        <v>140</v>
      </c>
      <c r="L364" s="23" t="s">
        <v>590</v>
      </c>
      <c r="M364" s="27" t="n">
        <v>1270</v>
      </c>
      <c r="N364" s="26" t="n">
        <f aca="false">MROUND(M364+'Fuel &amp; Inputs'!$C$13,50)</f>
        <v>2050</v>
      </c>
      <c r="O364" s="27" t="n">
        <v>2670</v>
      </c>
      <c r="P364" s="26" t="n">
        <f aca="false">MROUND(M364*'Fuel &amp; Inputs'!$C$19*'Fuel &amp; Inputs'!$C$21,100)</f>
        <v>4800</v>
      </c>
      <c r="Q364" s="26" t="n">
        <f aca="false">MROUND(N364*'Fuel &amp; Inputs'!$C$19*'Fuel &amp; Inputs'!$C$21,100)</f>
        <v>7800</v>
      </c>
      <c r="R364" s="26" t="n">
        <f aca="false">MROUND(O364*'Fuel &amp; Inputs'!$C$19*'Fuel &amp; Inputs'!$C$21,100)</f>
        <v>10100</v>
      </c>
      <c r="S364" s="26" t="n">
        <f aca="false">MROUND(M364*'Fuel &amp; Inputs'!$C$20*'Fuel &amp; Inputs'!$C$22,500)</f>
        <v>129500</v>
      </c>
      <c r="T364" s="26" t="n">
        <f aca="false">MROUND(N364*'Fuel &amp; Inputs'!$C$20*'Fuel &amp; Inputs'!$C$22,500)</f>
        <v>209000</v>
      </c>
      <c r="U364" s="26" t="n">
        <f aca="false">MROUND(O364*'Fuel &amp; Inputs'!$C$20*'Fuel &amp; Inputs'!$C$22,500)</f>
        <v>272500</v>
      </c>
    </row>
    <row r="365" customFormat="false" ht="23.85" hidden="false" customHeight="false" outlineLevel="0" collapsed="false">
      <c r="A365" s="17" t="n">
        <v>341</v>
      </c>
      <c r="B365" s="32" t="s">
        <v>106</v>
      </c>
      <c r="C365" s="32" t="s">
        <v>586</v>
      </c>
      <c r="D365" s="32" t="s">
        <v>900</v>
      </c>
      <c r="E365" s="17" t="s">
        <v>160</v>
      </c>
      <c r="F365" s="17" t="s">
        <v>901</v>
      </c>
      <c r="G365" s="17" t="s">
        <v>902</v>
      </c>
      <c r="H365" s="17" t="s">
        <v>148</v>
      </c>
      <c r="I365" s="19" t="n">
        <v>2.3</v>
      </c>
      <c r="J365" s="33" t="n">
        <v>1.098</v>
      </c>
      <c r="K365" s="20" t="n">
        <f aca="false">IF(I365=0,0,IF(L365="Rs./km",MROUND(IF(H365="Petrol",'Fuel &amp; Inputs'!$C$5,'Fuel &amp; Inputs'!$C$4)/I365*J365,1),MROUND(I365*J365*IF(H365="Petrol",'Fuel &amp; Inputs'!$C$5,'Fuel &amp; Inputs'!$C$4),10)))</f>
        <v>182</v>
      </c>
      <c r="L365" s="17" t="s">
        <v>590</v>
      </c>
      <c r="M365" s="21" t="n">
        <v>1270</v>
      </c>
      <c r="N365" s="20" t="n">
        <f aca="false">MROUND(M365+'Fuel &amp; Inputs'!$C$13,50)</f>
        <v>2050</v>
      </c>
      <c r="O365" s="21" t="n">
        <v>2670</v>
      </c>
      <c r="P365" s="20" t="n">
        <f aca="false">MROUND(M365*'Fuel &amp; Inputs'!$C$19*'Fuel &amp; Inputs'!$C$21,100)</f>
        <v>4800</v>
      </c>
      <c r="Q365" s="20" t="n">
        <f aca="false">MROUND(N365*'Fuel &amp; Inputs'!$C$19*'Fuel &amp; Inputs'!$C$21,100)</f>
        <v>7800</v>
      </c>
      <c r="R365" s="20" t="n">
        <f aca="false">MROUND(O365*'Fuel &amp; Inputs'!$C$19*'Fuel &amp; Inputs'!$C$21,100)</f>
        <v>10100</v>
      </c>
      <c r="S365" s="20" t="n">
        <f aca="false">MROUND(M365*'Fuel &amp; Inputs'!$C$20*'Fuel &amp; Inputs'!$C$22,500)</f>
        <v>129500</v>
      </c>
      <c r="T365" s="20" t="n">
        <f aca="false">MROUND(N365*'Fuel &amp; Inputs'!$C$20*'Fuel &amp; Inputs'!$C$22,500)</f>
        <v>209000</v>
      </c>
      <c r="U365" s="20" t="n">
        <f aca="false">MROUND(O365*'Fuel &amp; Inputs'!$C$20*'Fuel &amp; Inputs'!$C$22,500)</f>
        <v>272500</v>
      </c>
    </row>
    <row r="366" customFormat="false" ht="23.85" hidden="false" customHeight="false" outlineLevel="0" collapsed="false">
      <c r="A366" s="23" t="n">
        <v>342</v>
      </c>
      <c r="B366" s="34" t="s">
        <v>106</v>
      </c>
      <c r="C366" s="34" t="s">
        <v>586</v>
      </c>
      <c r="D366" s="34" t="s">
        <v>900</v>
      </c>
      <c r="E366" s="23" t="s">
        <v>160</v>
      </c>
      <c r="F366" s="23" t="s">
        <v>903</v>
      </c>
      <c r="G366" s="23" t="s">
        <v>904</v>
      </c>
      <c r="H366" s="23" t="s">
        <v>148</v>
      </c>
      <c r="I366" s="25" t="n">
        <v>2.3</v>
      </c>
      <c r="J366" s="35" t="n">
        <v>1.098</v>
      </c>
      <c r="K366" s="26" t="n">
        <f aca="false">IF(I366=0,0,IF(L366="Rs./km",MROUND(IF(H366="Petrol",'Fuel &amp; Inputs'!$C$5,'Fuel &amp; Inputs'!$C$4)/I366*J366,1),MROUND(I366*J366*IF(H366="Petrol",'Fuel &amp; Inputs'!$C$5,'Fuel &amp; Inputs'!$C$4),10)))</f>
        <v>182</v>
      </c>
      <c r="L366" s="23" t="s">
        <v>590</v>
      </c>
      <c r="M366" s="27" t="n">
        <v>1270</v>
      </c>
      <c r="N366" s="26" t="n">
        <f aca="false">MROUND(M366+'Fuel &amp; Inputs'!$C$13,50)</f>
        <v>2050</v>
      </c>
      <c r="O366" s="27" t="n">
        <v>2670</v>
      </c>
      <c r="P366" s="26" t="n">
        <f aca="false">MROUND(M366*'Fuel &amp; Inputs'!$C$19*'Fuel &amp; Inputs'!$C$21,100)</f>
        <v>4800</v>
      </c>
      <c r="Q366" s="26" t="n">
        <f aca="false">MROUND(N366*'Fuel &amp; Inputs'!$C$19*'Fuel &amp; Inputs'!$C$21,100)</f>
        <v>7800</v>
      </c>
      <c r="R366" s="26" t="n">
        <f aca="false">MROUND(O366*'Fuel &amp; Inputs'!$C$19*'Fuel &amp; Inputs'!$C$21,100)</f>
        <v>10100</v>
      </c>
      <c r="S366" s="26" t="n">
        <f aca="false">MROUND(M366*'Fuel &amp; Inputs'!$C$20*'Fuel &amp; Inputs'!$C$22,500)</f>
        <v>129500</v>
      </c>
      <c r="T366" s="26" t="n">
        <f aca="false">MROUND(N366*'Fuel &amp; Inputs'!$C$20*'Fuel &amp; Inputs'!$C$22,500)</f>
        <v>209000</v>
      </c>
      <c r="U366" s="26" t="n">
        <f aca="false">MROUND(O366*'Fuel &amp; Inputs'!$C$20*'Fuel &amp; Inputs'!$C$22,500)</f>
        <v>272500</v>
      </c>
    </row>
    <row r="367" customFormat="false" ht="23.85" hidden="false" customHeight="false" outlineLevel="0" collapsed="false">
      <c r="A367" s="17" t="n">
        <v>343</v>
      </c>
      <c r="B367" s="32" t="s">
        <v>106</v>
      </c>
      <c r="C367" s="32" t="s">
        <v>243</v>
      </c>
      <c r="D367" s="32" t="s">
        <v>888</v>
      </c>
      <c r="E367" s="17" t="s">
        <v>160</v>
      </c>
      <c r="F367" s="17" t="s">
        <v>905</v>
      </c>
      <c r="G367" s="17" t="s">
        <v>906</v>
      </c>
      <c r="H367" s="17" t="s">
        <v>148</v>
      </c>
      <c r="I367" s="19" t="n">
        <v>5</v>
      </c>
      <c r="J367" s="33" t="n">
        <v>1.098</v>
      </c>
      <c r="K367" s="20" t="n">
        <f aca="false">IF(I367=0,0,IF(L367="Rs./km",MROUND(IF(H367="Petrol",'Fuel &amp; Inputs'!$C$5,'Fuel &amp; Inputs'!$C$4)/I367*J367,1),MROUND(I367*J367*IF(H367="Petrol",'Fuel &amp; Inputs'!$C$5,'Fuel &amp; Inputs'!$C$4),10)))</f>
        <v>84</v>
      </c>
      <c r="L367" s="17" t="s">
        <v>590</v>
      </c>
      <c r="M367" s="21" t="n">
        <v>1270</v>
      </c>
      <c r="N367" s="20" t="n">
        <f aca="false">MROUND(M367+'Fuel &amp; Inputs'!$C$13,50)</f>
        <v>2050</v>
      </c>
      <c r="O367" s="21" t="n">
        <v>2670</v>
      </c>
      <c r="P367" s="20" t="n">
        <f aca="false">MROUND(M367*'Fuel &amp; Inputs'!$C$19*'Fuel &amp; Inputs'!$C$21,100)</f>
        <v>4800</v>
      </c>
      <c r="Q367" s="20" t="n">
        <f aca="false">MROUND(N367*'Fuel &amp; Inputs'!$C$19*'Fuel &amp; Inputs'!$C$21,100)</f>
        <v>7800</v>
      </c>
      <c r="R367" s="20" t="n">
        <f aca="false">MROUND(O367*'Fuel &amp; Inputs'!$C$19*'Fuel &amp; Inputs'!$C$21,100)</f>
        <v>10100</v>
      </c>
      <c r="S367" s="20" t="n">
        <f aca="false">MROUND(M367*'Fuel &amp; Inputs'!$C$20*'Fuel &amp; Inputs'!$C$22,500)</f>
        <v>129500</v>
      </c>
      <c r="T367" s="20" t="n">
        <f aca="false">MROUND(N367*'Fuel &amp; Inputs'!$C$20*'Fuel &amp; Inputs'!$C$22,500)</f>
        <v>209000</v>
      </c>
      <c r="U367" s="20" t="n">
        <f aca="false">MROUND(O367*'Fuel &amp; Inputs'!$C$20*'Fuel &amp; Inputs'!$C$22,500)</f>
        <v>272500</v>
      </c>
    </row>
    <row r="368" customFormat="false" ht="23.85" hidden="false" customHeight="false" outlineLevel="0" collapsed="false">
      <c r="A368" s="23" t="n">
        <v>344</v>
      </c>
      <c r="B368" s="34" t="s">
        <v>106</v>
      </c>
      <c r="C368" s="34" t="s">
        <v>243</v>
      </c>
      <c r="D368" s="34" t="s">
        <v>888</v>
      </c>
      <c r="E368" s="23" t="s">
        <v>145</v>
      </c>
      <c r="F368" s="23" t="s">
        <v>907</v>
      </c>
      <c r="G368" s="23" t="s">
        <v>908</v>
      </c>
      <c r="H368" s="23" t="s">
        <v>148</v>
      </c>
      <c r="I368" s="25" t="n">
        <v>5</v>
      </c>
      <c r="J368" s="35" t="n">
        <v>1.035</v>
      </c>
      <c r="K368" s="26" t="n">
        <f aca="false">IF(I368=0,0,IF(L368="Rs./km",MROUND(IF(H368="Petrol",'Fuel &amp; Inputs'!$C$5,'Fuel &amp; Inputs'!$C$4)/I368*J368,1),MROUND(I368*J368*IF(H368="Petrol",'Fuel &amp; Inputs'!$C$5,'Fuel &amp; Inputs'!$C$4),10)))</f>
        <v>79</v>
      </c>
      <c r="L368" s="23" t="s">
        <v>590</v>
      </c>
      <c r="M368" s="27" t="n">
        <v>1270</v>
      </c>
      <c r="N368" s="26" t="n">
        <f aca="false">MROUND(M368+'Fuel &amp; Inputs'!$C$13,50)</f>
        <v>2050</v>
      </c>
      <c r="O368" s="27" t="n">
        <v>2670</v>
      </c>
      <c r="P368" s="26" t="n">
        <f aca="false">MROUND(M368*'Fuel &amp; Inputs'!$C$19*'Fuel &amp; Inputs'!$C$21,100)</f>
        <v>4800</v>
      </c>
      <c r="Q368" s="26" t="n">
        <f aca="false">MROUND(N368*'Fuel &amp; Inputs'!$C$19*'Fuel &amp; Inputs'!$C$21,100)</f>
        <v>7800</v>
      </c>
      <c r="R368" s="26" t="n">
        <f aca="false">MROUND(O368*'Fuel &amp; Inputs'!$C$19*'Fuel &amp; Inputs'!$C$21,100)</f>
        <v>10100</v>
      </c>
      <c r="S368" s="26" t="n">
        <f aca="false">MROUND(M368*'Fuel &amp; Inputs'!$C$20*'Fuel &amp; Inputs'!$C$22,500)</f>
        <v>129500</v>
      </c>
      <c r="T368" s="26" t="n">
        <f aca="false">MROUND(N368*'Fuel &amp; Inputs'!$C$20*'Fuel &amp; Inputs'!$C$22,500)</f>
        <v>209000</v>
      </c>
      <c r="U368" s="26" t="n">
        <f aca="false">MROUND(O368*'Fuel &amp; Inputs'!$C$20*'Fuel &amp; Inputs'!$C$22,500)</f>
        <v>272500</v>
      </c>
    </row>
    <row r="369" customFormat="false" ht="23.85" hidden="false" customHeight="false" outlineLevel="0" collapsed="false">
      <c r="A369" s="17" t="n">
        <v>345</v>
      </c>
      <c r="B369" s="32" t="s">
        <v>106</v>
      </c>
      <c r="C369" s="32" t="s">
        <v>243</v>
      </c>
      <c r="D369" s="32" t="s">
        <v>909</v>
      </c>
      <c r="E369" s="17" t="s">
        <v>160</v>
      </c>
      <c r="F369" s="17" t="s">
        <v>910</v>
      </c>
      <c r="G369" s="17" t="s">
        <v>911</v>
      </c>
      <c r="H369" s="17" t="s">
        <v>148</v>
      </c>
      <c r="I369" s="19" t="n">
        <v>3.8</v>
      </c>
      <c r="J369" s="33" t="n">
        <v>1.098</v>
      </c>
      <c r="K369" s="20" t="n">
        <f aca="false">IF(I369=0,0,IF(L369="Rs./km",MROUND(IF(H369="Petrol",'Fuel &amp; Inputs'!$C$5,'Fuel &amp; Inputs'!$C$4)/I369*J369,1),MROUND(I369*J369*IF(H369="Petrol",'Fuel &amp; Inputs'!$C$5,'Fuel &amp; Inputs'!$C$4),10)))</f>
        <v>110</v>
      </c>
      <c r="L369" s="17" t="s">
        <v>590</v>
      </c>
      <c r="M369" s="21" t="n">
        <v>1270</v>
      </c>
      <c r="N369" s="20" t="n">
        <f aca="false">MROUND(M369+'Fuel &amp; Inputs'!$C$13,50)</f>
        <v>2050</v>
      </c>
      <c r="O369" s="21" t="n">
        <v>2670</v>
      </c>
      <c r="P369" s="20" t="n">
        <f aca="false">MROUND(M369*'Fuel &amp; Inputs'!$C$19*'Fuel &amp; Inputs'!$C$21,100)</f>
        <v>4800</v>
      </c>
      <c r="Q369" s="20" t="n">
        <f aca="false">MROUND(N369*'Fuel &amp; Inputs'!$C$19*'Fuel &amp; Inputs'!$C$21,100)</f>
        <v>7800</v>
      </c>
      <c r="R369" s="20" t="n">
        <f aca="false">MROUND(O369*'Fuel &amp; Inputs'!$C$19*'Fuel &amp; Inputs'!$C$21,100)</f>
        <v>10100</v>
      </c>
      <c r="S369" s="20" t="n">
        <f aca="false">MROUND(M369*'Fuel &amp; Inputs'!$C$20*'Fuel &amp; Inputs'!$C$22,500)</f>
        <v>129500</v>
      </c>
      <c r="T369" s="20" t="n">
        <f aca="false">MROUND(N369*'Fuel &amp; Inputs'!$C$20*'Fuel &amp; Inputs'!$C$22,500)</f>
        <v>209000</v>
      </c>
      <c r="U369" s="20" t="n">
        <f aca="false">MROUND(O369*'Fuel &amp; Inputs'!$C$20*'Fuel &amp; Inputs'!$C$22,500)</f>
        <v>272500</v>
      </c>
    </row>
    <row r="370" customFormat="false" ht="23.85" hidden="false" customHeight="false" outlineLevel="0" collapsed="false">
      <c r="A370" s="23" t="n">
        <v>346</v>
      </c>
      <c r="B370" s="34" t="s">
        <v>106</v>
      </c>
      <c r="C370" s="34" t="s">
        <v>243</v>
      </c>
      <c r="D370" s="34" t="s">
        <v>909</v>
      </c>
      <c r="E370" s="23" t="s">
        <v>145</v>
      </c>
      <c r="F370" s="23" t="s">
        <v>912</v>
      </c>
      <c r="G370" s="23" t="s">
        <v>913</v>
      </c>
      <c r="H370" s="23" t="s">
        <v>148</v>
      </c>
      <c r="I370" s="25" t="n">
        <v>3.8</v>
      </c>
      <c r="J370" s="35" t="n">
        <v>1.035</v>
      </c>
      <c r="K370" s="26" t="n">
        <f aca="false">IF(I370=0,0,IF(L370="Rs./km",MROUND(IF(H370="Petrol",'Fuel &amp; Inputs'!$C$5,'Fuel &amp; Inputs'!$C$4)/I370*J370,1),MROUND(I370*J370*IF(H370="Petrol",'Fuel &amp; Inputs'!$C$5,'Fuel &amp; Inputs'!$C$4),10)))</f>
        <v>104</v>
      </c>
      <c r="L370" s="23" t="s">
        <v>590</v>
      </c>
      <c r="M370" s="27" t="n">
        <v>1270</v>
      </c>
      <c r="N370" s="26" t="n">
        <f aca="false">MROUND(M370+'Fuel &amp; Inputs'!$C$13,50)</f>
        <v>2050</v>
      </c>
      <c r="O370" s="27" t="n">
        <v>2670</v>
      </c>
      <c r="P370" s="26" t="n">
        <f aca="false">MROUND(M370*'Fuel &amp; Inputs'!$C$19*'Fuel &amp; Inputs'!$C$21,100)</f>
        <v>4800</v>
      </c>
      <c r="Q370" s="26" t="n">
        <f aca="false">MROUND(N370*'Fuel &amp; Inputs'!$C$19*'Fuel &amp; Inputs'!$C$21,100)</f>
        <v>7800</v>
      </c>
      <c r="R370" s="26" t="n">
        <f aca="false">MROUND(O370*'Fuel &amp; Inputs'!$C$19*'Fuel &amp; Inputs'!$C$21,100)</f>
        <v>10100</v>
      </c>
      <c r="S370" s="26" t="n">
        <f aca="false">MROUND(M370*'Fuel &amp; Inputs'!$C$20*'Fuel &amp; Inputs'!$C$22,500)</f>
        <v>129500</v>
      </c>
      <c r="T370" s="26" t="n">
        <f aca="false">MROUND(N370*'Fuel &amp; Inputs'!$C$20*'Fuel &amp; Inputs'!$C$22,500)</f>
        <v>209000</v>
      </c>
      <c r="U370" s="26" t="n">
        <f aca="false">MROUND(O370*'Fuel &amp; Inputs'!$C$20*'Fuel &amp; Inputs'!$C$22,500)</f>
        <v>272500</v>
      </c>
    </row>
    <row r="371" customFormat="false" ht="23.85" hidden="false" customHeight="false" outlineLevel="0" collapsed="false">
      <c r="A371" s="17" t="n">
        <v>347</v>
      </c>
      <c r="B371" s="32" t="s">
        <v>106</v>
      </c>
      <c r="C371" s="32" t="s">
        <v>243</v>
      </c>
      <c r="D371" s="32" t="s">
        <v>861</v>
      </c>
      <c r="E371" s="17" t="s">
        <v>160</v>
      </c>
      <c r="F371" s="17" t="s">
        <v>914</v>
      </c>
      <c r="G371" s="17" t="s">
        <v>915</v>
      </c>
      <c r="H371" s="17" t="s">
        <v>148</v>
      </c>
      <c r="I371" s="19" t="n">
        <v>3</v>
      </c>
      <c r="J371" s="33" t="n">
        <v>1.098</v>
      </c>
      <c r="K371" s="20" t="n">
        <f aca="false">IF(I371=0,0,IF(L371="Rs./km",MROUND(IF(H371="Petrol",'Fuel &amp; Inputs'!$C$5,'Fuel &amp; Inputs'!$C$4)/I371*J371,1),MROUND(I371*J371*IF(H371="Petrol",'Fuel &amp; Inputs'!$C$5,'Fuel &amp; Inputs'!$C$4),10)))</f>
        <v>140</v>
      </c>
      <c r="L371" s="17" t="s">
        <v>590</v>
      </c>
      <c r="M371" s="21" t="n">
        <v>1270</v>
      </c>
      <c r="N371" s="20" t="n">
        <f aca="false">MROUND(M371+'Fuel &amp; Inputs'!$C$13,50)</f>
        <v>2050</v>
      </c>
      <c r="O371" s="21" t="n">
        <v>2670</v>
      </c>
      <c r="P371" s="20" t="n">
        <f aca="false">MROUND(M371*'Fuel &amp; Inputs'!$C$19*'Fuel &amp; Inputs'!$C$21,100)</f>
        <v>4800</v>
      </c>
      <c r="Q371" s="20" t="n">
        <f aca="false">MROUND(N371*'Fuel &amp; Inputs'!$C$19*'Fuel &amp; Inputs'!$C$21,100)</f>
        <v>7800</v>
      </c>
      <c r="R371" s="20" t="n">
        <f aca="false">MROUND(O371*'Fuel &amp; Inputs'!$C$19*'Fuel &amp; Inputs'!$C$21,100)</f>
        <v>10100</v>
      </c>
      <c r="S371" s="20" t="n">
        <f aca="false">MROUND(M371*'Fuel &amp; Inputs'!$C$20*'Fuel &amp; Inputs'!$C$22,500)</f>
        <v>129500</v>
      </c>
      <c r="T371" s="20" t="n">
        <f aca="false">MROUND(N371*'Fuel &amp; Inputs'!$C$20*'Fuel &amp; Inputs'!$C$22,500)</f>
        <v>209000</v>
      </c>
      <c r="U371" s="20" t="n">
        <f aca="false">MROUND(O371*'Fuel &amp; Inputs'!$C$20*'Fuel &amp; Inputs'!$C$22,500)</f>
        <v>272500</v>
      </c>
    </row>
    <row r="372" customFormat="false" ht="23.85" hidden="false" customHeight="false" outlineLevel="0" collapsed="false">
      <c r="A372" s="23" t="n">
        <v>348</v>
      </c>
      <c r="B372" s="34" t="s">
        <v>106</v>
      </c>
      <c r="C372" s="34" t="s">
        <v>243</v>
      </c>
      <c r="D372" s="34" t="s">
        <v>861</v>
      </c>
      <c r="E372" s="23" t="s">
        <v>160</v>
      </c>
      <c r="F372" s="23" t="s">
        <v>217</v>
      </c>
      <c r="G372" s="23" t="s">
        <v>782</v>
      </c>
      <c r="H372" s="23" t="s">
        <v>148</v>
      </c>
      <c r="I372" s="25" t="n">
        <v>3</v>
      </c>
      <c r="J372" s="35" t="n">
        <v>1.098</v>
      </c>
      <c r="K372" s="26" t="n">
        <f aca="false">IF(I372=0,0,IF(L372="Rs./km",MROUND(IF(H372="Petrol",'Fuel &amp; Inputs'!$C$5,'Fuel &amp; Inputs'!$C$4)/I372*J372,1),MROUND(I372*J372*IF(H372="Petrol",'Fuel &amp; Inputs'!$C$5,'Fuel &amp; Inputs'!$C$4),10)))</f>
        <v>140</v>
      </c>
      <c r="L372" s="23" t="s">
        <v>590</v>
      </c>
      <c r="M372" s="27" t="n">
        <v>1270</v>
      </c>
      <c r="N372" s="26" t="n">
        <f aca="false">MROUND(M372+'Fuel &amp; Inputs'!$C$13,50)</f>
        <v>2050</v>
      </c>
      <c r="O372" s="27" t="n">
        <v>2670</v>
      </c>
      <c r="P372" s="26" t="n">
        <f aca="false">MROUND(M372*'Fuel &amp; Inputs'!$C$19*'Fuel &amp; Inputs'!$C$21,100)</f>
        <v>4800</v>
      </c>
      <c r="Q372" s="26" t="n">
        <f aca="false">MROUND(N372*'Fuel &amp; Inputs'!$C$19*'Fuel &amp; Inputs'!$C$21,100)</f>
        <v>7800</v>
      </c>
      <c r="R372" s="26" t="n">
        <f aca="false">MROUND(O372*'Fuel &amp; Inputs'!$C$19*'Fuel &amp; Inputs'!$C$21,100)</f>
        <v>10100</v>
      </c>
      <c r="S372" s="26" t="n">
        <f aca="false">MROUND(M372*'Fuel &amp; Inputs'!$C$20*'Fuel &amp; Inputs'!$C$22,500)</f>
        <v>129500</v>
      </c>
      <c r="T372" s="26" t="n">
        <f aca="false">MROUND(N372*'Fuel &amp; Inputs'!$C$20*'Fuel &amp; Inputs'!$C$22,500)</f>
        <v>209000</v>
      </c>
      <c r="U372" s="26" t="n">
        <f aca="false">MROUND(O372*'Fuel &amp; Inputs'!$C$20*'Fuel &amp; Inputs'!$C$22,500)</f>
        <v>272500</v>
      </c>
    </row>
    <row r="373" customFormat="false" ht="23.85" hidden="false" customHeight="false" outlineLevel="0" collapsed="false">
      <c r="A373" s="17" t="n">
        <v>349</v>
      </c>
      <c r="B373" s="32" t="s">
        <v>106</v>
      </c>
      <c r="C373" s="32" t="s">
        <v>586</v>
      </c>
      <c r="D373" s="32" t="s">
        <v>900</v>
      </c>
      <c r="E373" s="17" t="s">
        <v>596</v>
      </c>
      <c r="F373" s="17" t="s">
        <v>916</v>
      </c>
      <c r="G373" s="17" t="s">
        <v>917</v>
      </c>
      <c r="H373" s="17" t="s">
        <v>148</v>
      </c>
      <c r="I373" s="19" t="n">
        <v>2.3</v>
      </c>
      <c r="J373" s="33" t="n">
        <v>1.105</v>
      </c>
      <c r="K373" s="20" t="n">
        <f aca="false">IF(I373=0,0,IF(L373="Rs./km",MROUND(IF(H373="Petrol",'Fuel &amp; Inputs'!$C$5,'Fuel &amp; Inputs'!$C$4)/I373*J373,1),MROUND(I373*J373*IF(H373="Petrol",'Fuel &amp; Inputs'!$C$5,'Fuel &amp; Inputs'!$C$4),10)))</f>
        <v>184</v>
      </c>
      <c r="L373" s="17" t="s">
        <v>590</v>
      </c>
      <c r="M373" s="21" t="n">
        <v>1270</v>
      </c>
      <c r="N373" s="20" t="n">
        <f aca="false">MROUND(M373+'Fuel &amp; Inputs'!$C$13,50)</f>
        <v>2050</v>
      </c>
      <c r="O373" s="21" t="n">
        <v>2670</v>
      </c>
      <c r="P373" s="20" t="n">
        <f aca="false">MROUND(M373*'Fuel &amp; Inputs'!$C$19*'Fuel &amp; Inputs'!$C$21,100)</f>
        <v>4800</v>
      </c>
      <c r="Q373" s="20" t="n">
        <f aca="false">MROUND(N373*'Fuel &amp; Inputs'!$C$19*'Fuel &amp; Inputs'!$C$21,100)</f>
        <v>7800</v>
      </c>
      <c r="R373" s="20" t="n">
        <f aca="false">MROUND(O373*'Fuel &amp; Inputs'!$C$19*'Fuel &amp; Inputs'!$C$21,100)</f>
        <v>10100</v>
      </c>
      <c r="S373" s="20" t="n">
        <f aca="false">MROUND(M373*'Fuel &amp; Inputs'!$C$20*'Fuel &amp; Inputs'!$C$22,500)</f>
        <v>129500</v>
      </c>
      <c r="T373" s="20" t="n">
        <f aca="false">MROUND(N373*'Fuel &amp; Inputs'!$C$20*'Fuel &amp; Inputs'!$C$22,500)</f>
        <v>209000</v>
      </c>
      <c r="U373" s="20" t="n">
        <f aca="false">MROUND(O373*'Fuel &amp; Inputs'!$C$20*'Fuel &amp; Inputs'!$C$22,500)</f>
        <v>272500</v>
      </c>
    </row>
    <row r="374" customFormat="false" ht="23.85" hidden="false" customHeight="false" outlineLevel="0" collapsed="false">
      <c r="A374" s="23" t="n">
        <v>350</v>
      </c>
      <c r="B374" s="34" t="s">
        <v>106</v>
      </c>
      <c r="C374" s="34" t="s">
        <v>253</v>
      </c>
      <c r="D374" s="34" t="s">
        <v>918</v>
      </c>
      <c r="E374" s="23" t="s">
        <v>596</v>
      </c>
      <c r="F374" s="23" t="s">
        <v>919</v>
      </c>
      <c r="G374" s="23" t="s">
        <v>920</v>
      </c>
      <c r="H374" s="23" t="s">
        <v>148</v>
      </c>
      <c r="I374" s="25" t="n">
        <v>3</v>
      </c>
      <c r="J374" s="35" t="n">
        <v>1.105</v>
      </c>
      <c r="K374" s="26" t="n">
        <f aca="false">IF(I374=0,0,IF(L374="Rs./km",MROUND(IF(H374="Petrol",'Fuel &amp; Inputs'!$C$5,'Fuel &amp; Inputs'!$C$4)/I374*J374,1),MROUND(I374*J374*IF(H374="Petrol",'Fuel &amp; Inputs'!$C$5,'Fuel &amp; Inputs'!$C$4),10)))</f>
        <v>141</v>
      </c>
      <c r="L374" s="23" t="s">
        <v>590</v>
      </c>
      <c r="M374" s="27" t="n">
        <v>1270</v>
      </c>
      <c r="N374" s="26" t="n">
        <f aca="false">MROUND(M374+'Fuel &amp; Inputs'!$C$13,50)</f>
        <v>2050</v>
      </c>
      <c r="O374" s="27" t="n">
        <v>2670</v>
      </c>
      <c r="P374" s="26" t="n">
        <f aca="false">MROUND(M374*'Fuel &amp; Inputs'!$C$19*'Fuel &amp; Inputs'!$C$21,100)</f>
        <v>4800</v>
      </c>
      <c r="Q374" s="26" t="n">
        <f aca="false">MROUND(N374*'Fuel &amp; Inputs'!$C$19*'Fuel &amp; Inputs'!$C$21,100)</f>
        <v>7800</v>
      </c>
      <c r="R374" s="26" t="n">
        <f aca="false">MROUND(O374*'Fuel &amp; Inputs'!$C$19*'Fuel &amp; Inputs'!$C$21,100)</f>
        <v>10100</v>
      </c>
      <c r="S374" s="26" t="n">
        <f aca="false">MROUND(M374*'Fuel &amp; Inputs'!$C$20*'Fuel &amp; Inputs'!$C$22,500)</f>
        <v>129500</v>
      </c>
      <c r="T374" s="26" t="n">
        <f aca="false">MROUND(N374*'Fuel &amp; Inputs'!$C$20*'Fuel &amp; Inputs'!$C$22,500)</f>
        <v>209000</v>
      </c>
      <c r="U374" s="26" t="n">
        <f aca="false">MROUND(O374*'Fuel &amp; Inputs'!$C$20*'Fuel &amp; Inputs'!$C$22,500)</f>
        <v>272500</v>
      </c>
    </row>
    <row r="375" customFormat="false" ht="23.85" hidden="false" customHeight="false" outlineLevel="0" collapsed="false">
      <c r="A375" s="17" t="n">
        <v>351</v>
      </c>
      <c r="B375" s="32" t="s">
        <v>106</v>
      </c>
      <c r="C375" s="32" t="s">
        <v>253</v>
      </c>
      <c r="D375" s="32" t="s">
        <v>918</v>
      </c>
      <c r="E375" s="17" t="s">
        <v>596</v>
      </c>
      <c r="F375" s="17" t="s">
        <v>921</v>
      </c>
      <c r="G375" s="17" t="s">
        <v>922</v>
      </c>
      <c r="H375" s="17" t="s">
        <v>148</v>
      </c>
      <c r="I375" s="19" t="n">
        <v>3</v>
      </c>
      <c r="J375" s="33" t="n">
        <v>1.105</v>
      </c>
      <c r="K375" s="20" t="n">
        <f aca="false">IF(I375=0,0,IF(L375="Rs./km",MROUND(IF(H375="Petrol",'Fuel &amp; Inputs'!$C$5,'Fuel &amp; Inputs'!$C$4)/I375*J375,1),MROUND(I375*J375*IF(H375="Petrol",'Fuel &amp; Inputs'!$C$5,'Fuel &amp; Inputs'!$C$4),10)))</f>
        <v>141</v>
      </c>
      <c r="L375" s="17" t="s">
        <v>590</v>
      </c>
      <c r="M375" s="21" t="n">
        <v>1270</v>
      </c>
      <c r="N375" s="20" t="n">
        <f aca="false">MROUND(M375+'Fuel &amp; Inputs'!$C$13,50)</f>
        <v>2050</v>
      </c>
      <c r="O375" s="21" t="n">
        <v>2670</v>
      </c>
      <c r="P375" s="20" t="n">
        <f aca="false">MROUND(M375*'Fuel &amp; Inputs'!$C$19*'Fuel &amp; Inputs'!$C$21,100)</f>
        <v>4800</v>
      </c>
      <c r="Q375" s="20" t="n">
        <f aca="false">MROUND(N375*'Fuel &amp; Inputs'!$C$19*'Fuel &amp; Inputs'!$C$21,100)</f>
        <v>7800</v>
      </c>
      <c r="R375" s="20" t="n">
        <f aca="false">MROUND(O375*'Fuel &amp; Inputs'!$C$19*'Fuel &amp; Inputs'!$C$21,100)</f>
        <v>10100</v>
      </c>
      <c r="S375" s="20" t="n">
        <f aca="false">MROUND(M375*'Fuel &amp; Inputs'!$C$20*'Fuel &amp; Inputs'!$C$22,500)</f>
        <v>129500</v>
      </c>
      <c r="T375" s="20" t="n">
        <f aca="false">MROUND(N375*'Fuel &amp; Inputs'!$C$20*'Fuel &amp; Inputs'!$C$22,500)</f>
        <v>209000</v>
      </c>
      <c r="U375" s="20" t="n">
        <f aca="false">MROUND(O375*'Fuel &amp; Inputs'!$C$20*'Fuel &amp; Inputs'!$C$22,500)</f>
        <v>272500</v>
      </c>
    </row>
    <row r="376" customFormat="false" ht="23.85" hidden="false" customHeight="false" outlineLevel="0" collapsed="false">
      <c r="A376" s="23" t="n">
        <v>352</v>
      </c>
      <c r="B376" s="34" t="s">
        <v>106</v>
      </c>
      <c r="C376" s="34" t="s">
        <v>253</v>
      </c>
      <c r="D376" s="34" t="s">
        <v>918</v>
      </c>
      <c r="E376" s="23" t="s">
        <v>596</v>
      </c>
      <c r="F376" s="23" t="s">
        <v>923</v>
      </c>
      <c r="G376" s="23" t="s">
        <v>924</v>
      </c>
      <c r="H376" s="23" t="s">
        <v>148</v>
      </c>
      <c r="I376" s="25" t="n">
        <v>3</v>
      </c>
      <c r="J376" s="35" t="n">
        <v>1.105</v>
      </c>
      <c r="K376" s="26" t="n">
        <f aca="false">IF(I376=0,0,IF(L376="Rs./km",MROUND(IF(H376="Petrol",'Fuel &amp; Inputs'!$C$5,'Fuel &amp; Inputs'!$C$4)/I376*J376,1),MROUND(I376*J376*IF(H376="Petrol",'Fuel &amp; Inputs'!$C$5,'Fuel &amp; Inputs'!$C$4),10)))</f>
        <v>141</v>
      </c>
      <c r="L376" s="23" t="s">
        <v>590</v>
      </c>
      <c r="M376" s="27" t="n">
        <v>1270</v>
      </c>
      <c r="N376" s="26" t="n">
        <f aca="false">MROUND(M376+'Fuel &amp; Inputs'!$C$13,50)</f>
        <v>2050</v>
      </c>
      <c r="O376" s="27" t="n">
        <v>2670</v>
      </c>
      <c r="P376" s="26" t="n">
        <f aca="false">MROUND(M376*'Fuel &amp; Inputs'!$C$19*'Fuel &amp; Inputs'!$C$21,100)</f>
        <v>4800</v>
      </c>
      <c r="Q376" s="26" t="n">
        <f aca="false">MROUND(N376*'Fuel &amp; Inputs'!$C$19*'Fuel &amp; Inputs'!$C$21,100)</f>
        <v>7800</v>
      </c>
      <c r="R376" s="26" t="n">
        <f aca="false">MROUND(O376*'Fuel &amp; Inputs'!$C$19*'Fuel &amp; Inputs'!$C$21,100)</f>
        <v>10100</v>
      </c>
      <c r="S376" s="26" t="n">
        <f aca="false">MROUND(M376*'Fuel &amp; Inputs'!$C$20*'Fuel &amp; Inputs'!$C$22,500)</f>
        <v>129500</v>
      </c>
      <c r="T376" s="26" t="n">
        <f aca="false">MROUND(N376*'Fuel &amp; Inputs'!$C$20*'Fuel &amp; Inputs'!$C$22,500)</f>
        <v>209000</v>
      </c>
      <c r="U376" s="26" t="n">
        <f aca="false">MROUND(O376*'Fuel &amp; Inputs'!$C$20*'Fuel &amp; Inputs'!$C$22,500)</f>
        <v>272500</v>
      </c>
    </row>
    <row r="377" customFormat="false" ht="23.85" hidden="false" customHeight="false" outlineLevel="0" collapsed="false">
      <c r="A377" s="17" t="n">
        <v>353</v>
      </c>
      <c r="B377" s="32" t="s">
        <v>106</v>
      </c>
      <c r="C377" s="32" t="s">
        <v>253</v>
      </c>
      <c r="D377" s="32" t="s">
        <v>918</v>
      </c>
      <c r="E377" s="17" t="s">
        <v>596</v>
      </c>
      <c r="F377" s="17" t="s">
        <v>925</v>
      </c>
      <c r="G377" s="17" t="s">
        <v>926</v>
      </c>
      <c r="H377" s="17" t="s">
        <v>148</v>
      </c>
      <c r="I377" s="19" t="n">
        <v>3</v>
      </c>
      <c r="J377" s="33" t="n">
        <v>1.105</v>
      </c>
      <c r="K377" s="20" t="n">
        <f aca="false">IF(I377=0,0,IF(L377="Rs./km",MROUND(IF(H377="Petrol",'Fuel &amp; Inputs'!$C$5,'Fuel &amp; Inputs'!$C$4)/I377*J377,1),MROUND(I377*J377*IF(H377="Petrol",'Fuel &amp; Inputs'!$C$5,'Fuel &amp; Inputs'!$C$4),10)))</f>
        <v>141</v>
      </c>
      <c r="L377" s="17" t="s">
        <v>590</v>
      </c>
      <c r="M377" s="21" t="n">
        <v>1270</v>
      </c>
      <c r="N377" s="20" t="n">
        <f aca="false">MROUND(M377+'Fuel &amp; Inputs'!$C$13,50)</f>
        <v>2050</v>
      </c>
      <c r="O377" s="21" t="n">
        <v>2670</v>
      </c>
      <c r="P377" s="20" t="n">
        <f aca="false">MROUND(M377*'Fuel &amp; Inputs'!$C$19*'Fuel &amp; Inputs'!$C$21,100)</f>
        <v>4800</v>
      </c>
      <c r="Q377" s="20" t="n">
        <f aca="false">MROUND(N377*'Fuel &amp; Inputs'!$C$19*'Fuel &amp; Inputs'!$C$21,100)</f>
        <v>7800</v>
      </c>
      <c r="R377" s="20" t="n">
        <f aca="false">MROUND(O377*'Fuel &amp; Inputs'!$C$19*'Fuel &amp; Inputs'!$C$21,100)</f>
        <v>10100</v>
      </c>
      <c r="S377" s="20" t="n">
        <f aca="false">MROUND(M377*'Fuel &amp; Inputs'!$C$20*'Fuel &amp; Inputs'!$C$22,500)</f>
        <v>129500</v>
      </c>
      <c r="T377" s="20" t="n">
        <f aca="false">MROUND(N377*'Fuel &amp; Inputs'!$C$20*'Fuel &amp; Inputs'!$C$22,500)</f>
        <v>209000</v>
      </c>
      <c r="U377" s="20" t="n">
        <f aca="false">MROUND(O377*'Fuel &amp; Inputs'!$C$20*'Fuel &amp; Inputs'!$C$22,500)</f>
        <v>272500</v>
      </c>
    </row>
    <row r="378" customFormat="false" ht="23.85" hidden="false" customHeight="false" outlineLevel="0" collapsed="false">
      <c r="A378" s="23" t="n">
        <v>354</v>
      </c>
      <c r="B378" s="34" t="s">
        <v>106</v>
      </c>
      <c r="C378" s="34" t="s">
        <v>243</v>
      </c>
      <c r="D378" s="34" t="s">
        <v>861</v>
      </c>
      <c r="E378" s="23" t="s">
        <v>596</v>
      </c>
      <c r="F378" s="23" t="s">
        <v>927</v>
      </c>
      <c r="G378" s="23" t="s">
        <v>928</v>
      </c>
      <c r="H378" s="23" t="s">
        <v>148</v>
      </c>
      <c r="I378" s="25" t="n">
        <v>3</v>
      </c>
      <c r="J378" s="35" t="n">
        <v>1.105</v>
      </c>
      <c r="K378" s="26" t="n">
        <f aca="false">IF(I378=0,0,IF(L378="Rs./km",MROUND(IF(H378="Petrol",'Fuel &amp; Inputs'!$C$5,'Fuel &amp; Inputs'!$C$4)/I378*J378,1),MROUND(I378*J378*IF(H378="Petrol",'Fuel &amp; Inputs'!$C$5,'Fuel &amp; Inputs'!$C$4),10)))</f>
        <v>141</v>
      </c>
      <c r="L378" s="23" t="s">
        <v>590</v>
      </c>
      <c r="M378" s="27" t="n">
        <v>1270</v>
      </c>
      <c r="N378" s="26" t="n">
        <f aca="false">MROUND(M378+'Fuel &amp; Inputs'!$C$13,50)</f>
        <v>2050</v>
      </c>
      <c r="O378" s="27" t="n">
        <v>2670</v>
      </c>
      <c r="P378" s="26" t="n">
        <f aca="false">MROUND(M378*'Fuel &amp; Inputs'!$C$19*'Fuel &amp; Inputs'!$C$21,100)</f>
        <v>4800</v>
      </c>
      <c r="Q378" s="26" t="n">
        <f aca="false">MROUND(N378*'Fuel &amp; Inputs'!$C$19*'Fuel &amp; Inputs'!$C$21,100)</f>
        <v>7800</v>
      </c>
      <c r="R378" s="26" t="n">
        <f aca="false">MROUND(O378*'Fuel &amp; Inputs'!$C$19*'Fuel &amp; Inputs'!$C$21,100)</f>
        <v>10100</v>
      </c>
      <c r="S378" s="26" t="n">
        <f aca="false">MROUND(M378*'Fuel &amp; Inputs'!$C$20*'Fuel &amp; Inputs'!$C$22,500)</f>
        <v>129500</v>
      </c>
      <c r="T378" s="26" t="n">
        <f aca="false">MROUND(N378*'Fuel &amp; Inputs'!$C$20*'Fuel &amp; Inputs'!$C$22,500)</f>
        <v>209000</v>
      </c>
      <c r="U378" s="26" t="n">
        <f aca="false">MROUND(O378*'Fuel &amp; Inputs'!$C$20*'Fuel &amp; Inputs'!$C$22,500)</f>
        <v>272500</v>
      </c>
    </row>
    <row r="379" customFormat="false" ht="23.85" hidden="false" customHeight="false" outlineLevel="0" collapsed="false">
      <c r="A379" s="17" t="n">
        <v>355</v>
      </c>
      <c r="B379" s="32" t="s">
        <v>106</v>
      </c>
      <c r="C379" s="32" t="s">
        <v>243</v>
      </c>
      <c r="D379" s="32" t="s">
        <v>861</v>
      </c>
      <c r="E379" s="17" t="s">
        <v>596</v>
      </c>
      <c r="F379" s="17" t="s">
        <v>217</v>
      </c>
      <c r="G379" s="17" t="s">
        <v>772</v>
      </c>
      <c r="H379" s="17" t="s">
        <v>148</v>
      </c>
      <c r="I379" s="19" t="n">
        <v>3</v>
      </c>
      <c r="J379" s="33" t="n">
        <v>1.105</v>
      </c>
      <c r="K379" s="20" t="n">
        <f aca="false">IF(I379=0,0,IF(L379="Rs./km",MROUND(IF(H379="Petrol",'Fuel &amp; Inputs'!$C$5,'Fuel &amp; Inputs'!$C$4)/I379*J379,1),MROUND(I379*J379*IF(H379="Petrol",'Fuel &amp; Inputs'!$C$5,'Fuel &amp; Inputs'!$C$4),10)))</f>
        <v>141</v>
      </c>
      <c r="L379" s="17" t="s">
        <v>590</v>
      </c>
      <c r="M379" s="21" t="n">
        <v>1270</v>
      </c>
      <c r="N379" s="20" t="n">
        <f aca="false">MROUND(M379+'Fuel &amp; Inputs'!$C$13,50)</f>
        <v>2050</v>
      </c>
      <c r="O379" s="21" t="n">
        <v>2670</v>
      </c>
      <c r="P379" s="20" t="n">
        <f aca="false">MROUND(M379*'Fuel &amp; Inputs'!$C$19*'Fuel &amp; Inputs'!$C$21,100)</f>
        <v>4800</v>
      </c>
      <c r="Q379" s="20" t="n">
        <f aca="false">MROUND(N379*'Fuel &amp; Inputs'!$C$19*'Fuel &amp; Inputs'!$C$21,100)</f>
        <v>7800</v>
      </c>
      <c r="R379" s="20" t="n">
        <f aca="false">MROUND(O379*'Fuel &amp; Inputs'!$C$19*'Fuel &amp; Inputs'!$C$21,100)</f>
        <v>10100</v>
      </c>
      <c r="S379" s="20" t="n">
        <f aca="false">MROUND(M379*'Fuel &amp; Inputs'!$C$20*'Fuel &amp; Inputs'!$C$22,500)</f>
        <v>129500</v>
      </c>
      <c r="T379" s="20" t="n">
        <f aca="false">MROUND(N379*'Fuel &amp; Inputs'!$C$20*'Fuel &amp; Inputs'!$C$22,500)</f>
        <v>209000</v>
      </c>
      <c r="U379" s="20" t="n">
        <f aca="false">MROUND(O379*'Fuel &amp; Inputs'!$C$20*'Fuel &amp; Inputs'!$C$22,500)</f>
        <v>272500</v>
      </c>
    </row>
    <row r="380" customFormat="false" ht="23.85" hidden="false" customHeight="false" outlineLevel="0" collapsed="false">
      <c r="A380" s="23" t="n">
        <v>356</v>
      </c>
      <c r="B380" s="34" t="s">
        <v>106</v>
      </c>
      <c r="C380" s="34" t="s">
        <v>243</v>
      </c>
      <c r="D380" s="34" t="s">
        <v>861</v>
      </c>
      <c r="E380" s="23" t="s">
        <v>596</v>
      </c>
      <c r="F380" s="23" t="s">
        <v>217</v>
      </c>
      <c r="G380" s="23" t="s">
        <v>774</v>
      </c>
      <c r="H380" s="23" t="s">
        <v>148</v>
      </c>
      <c r="I380" s="25" t="n">
        <v>3</v>
      </c>
      <c r="J380" s="35" t="n">
        <v>1.105</v>
      </c>
      <c r="K380" s="26" t="n">
        <f aca="false">IF(I380=0,0,IF(L380="Rs./km",MROUND(IF(H380="Petrol",'Fuel &amp; Inputs'!$C$5,'Fuel &amp; Inputs'!$C$4)/I380*J380,1),MROUND(I380*J380*IF(H380="Petrol",'Fuel &amp; Inputs'!$C$5,'Fuel &amp; Inputs'!$C$4),10)))</f>
        <v>141</v>
      </c>
      <c r="L380" s="23" t="s">
        <v>590</v>
      </c>
      <c r="M380" s="27" t="n">
        <v>1270</v>
      </c>
      <c r="N380" s="26" t="n">
        <f aca="false">MROUND(M380+'Fuel &amp; Inputs'!$C$13,50)</f>
        <v>2050</v>
      </c>
      <c r="O380" s="27" t="n">
        <v>2670</v>
      </c>
      <c r="P380" s="26" t="n">
        <f aca="false">MROUND(M380*'Fuel &amp; Inputs'!$C$19*'Fuel &amp; Inputs'!$C$21,100)</f>
        <v>4800</v>
      </c>
      <c r="Q380" s="26" t="n">
        <f aca="false">MROUND(N380*'Fuel &amp; Inputs'!$C$19*'Fuel &amp; Inputs'!$C$21,100)</f>
        <v>7800</v>
      </c>
      <c r="R380" s="26" t="n">
        <f aca="false">MROUND(O380*'Fuel &amp; Inputs'!$C$19*'Fuel &amp; Inputs'!$C$21,100)</f>
        <v>10100</v>
      </c>
      <c r="S380" s="26" t="n">
        <f aca="false">MROUND(M380*'Fuel &amp; Inputs'!$C$20*'Fuel &amp; Inputs'!$C$22,500)</f>
        <v>129500</v>
      </c>
      <c r="T380" s="26" t="n">
        <f aca="false">MROUND(N380*'Fuel &amp; Inputs'!$C$20*'Fuel &amp; Inputs'!$C$22,500)</f>
        <v>209000</v>
      </c>
      <c r="U380" s="26" t="n">
        <f aca="false">MROUND(O380*'Fuel &amp; Inputs'!$C$20*'Fuel &amp; Inputs'!$C$22,500)</f>
        <v>272500</v>
      </c>
    </row>
    <row r="381" customFormat="false" ht="23.85" hidden="false" customHeight="false" outlineLevel="0" collapsed="false">
      <c r="A381" s="17" t="n">
        <v>357</v>
      </c>
      <c r="B381" s="32" t="s">
        <v>106</v>
      </c>
      <c r="C381" s="32" t="s">
        <v>243</v>
      </c>
      <c r="D381" s="32" t="s">
        <v>861</v>
      </c>
      <c r="E381" s="17" t="s">
        <v>596</v>
      </c>
      <c r="F381" s="17" t="s">
        <v>217</v>
      </c>
      <c r="G381" s="17" t="s">
        <v>863</v>
      </c>
      <c r="H381" s="17" t="s">
        <v>148</v>
      </c>
      <c r="I381" s="19" t="n">
        <v>3</v>
      </c>
      <c r="J381" s="33" t="n">
        <v>1.105</v>
      </c>
      <c r="K381" s="20" t="n">
        <f aca="false">IF(I381=0,0,IF(L381="Rs./km",MROUND(IF(H381="Petrol",'Fuel &amp; Inputs'!$C$5,'Fuel &amp; Inputs'!$C$4)/I381*J381,1),MROUND(I381*J381*IF(H381="Petrol",'Fuel &amp; Inputs'!$C$5,'Fuel &amp; Inputs'!$C$4),10)))</f>
        <v>141</v>
      </c>
      <c r="L381" s="17" t="s">
        <v>590</v>
      </c>
      <c r="M381" s="21" t="n">
        <v>1270</v>
      </c>
      <c r="N381" s="20" t="n">
        <f aca="false">MROUND(M381+'Fuel &amp; Inputs'!$C$13,50)</f>
        <v>2050</v>
      </c>
      <c r="O381" s="21" t="n">
        <v>2670</v>
      </c>
      <c r="P381" s="20" t="n">
        <f aca="false">MROUND(M381*'Fuel &amp; Inputs'!$C$19*'Fuel &amp; Inputs'!$C$21,100)</f>
        <v>4800</v>
      </c>
      <c r="Q381" s="20" t="n">
        <f aca="false">MROUND(N381*'Fuel &amp; Inputs'!$C$19*'Fuel &amp; Inputs'!$C$21,100)</f>
        <v>7800</v>
      </c>
      <c r="R381" s="20" t="n">
        <f aca="false">MROUND(O381*'Fuel &amp; Inputs'!$C$19*'Fuel &amp; Inputs'!$C$21,100)</f>
        <v>10100</v>
      </c>
      <c r="S381" s="20" t="n">
        <f aca="false">MROUND(M381*'Fuel &amp; Inputs'!$C$20*'Fuel &amp; Inputs'!$C$22,500)</f>
        <v>129500</v>
      </c>
      <c r="T381" s="20" t="n">
        <f aca="false">MROUND(N381*'Fuel &amp; Inputs'!$C$20*'Fuel &amp; Inputs'!$C$22,500)</f>
        <v>209000</v>
      </c>
      <c r="U381" s="20" t="n">
        <f aca="false">MROUND(O381*'Fuel &amp; Inputs'!$C$20*'Fuel &amp; Inputs'!$C$22,500)</f>
        <v>272500</v>
      </c>
    </row>
    <row r="382" customFormat="false" ht="23.85" hidden="false" customHeight="false" outlineLevel="0" collapsed="false">
      <c r="A382" s="23" t="n">
        <v>358</v>
      </c>
      <c r="B382" s="34" t="s">
        <v>106</v>
      </c>
      <c r="C382" s="34" t="s">
        <v>586</v>
      </c>
      <c r="D382" s="34" t="s">
        <v>929</v>
      </c>
      <c r="E382" s="23" t="s">
        <v>237</v>
      </c>
      <c r="F382" s="23" t="s">
        <v>930</v>
      </c>
      <c r="G382" s="23" t="s">
        <v>931</v>
      </c>
      <c r="H382" s="23" t="s">
        <v>148</v>
      </c>
      <c r="I382" s="25" t="n">
        <v>2.3</v>
      </c>
      <c r="J382" s="35" t="n">
        <v>1.112</v>
      </c>
      <c r="K382" s="26" t="n">
        <f aca="false">IF(I382=0,0,IF(L382="Rs./km",MROUND(IF(H382="Petrol",'Fuel &amp; Inputs'!$C$5,'Fuel &amp; Inputs'!$C$4)/I382*J382,1),MROUND(I382*J382*IF(H382="Petrol",'Fuel &amp; Inputs'!$C$5,'Fuel &amp; Inputs'!$C$4),10)))</f>
        <v>185</v>
      </c>
      <c r="L382" s="23" t="s">
        <v>590</v>
      </c>
      <c r="M382" s="27" t="n">
        <v>1270</v>
      </c>
      <c r="N382" s="26" t="n">
        <f aca="false">MROUND(M382+'Fuel &amp; Inputs'!$C$13,50)</f>
        <v>2050</v>
      </c>
      <c r="O382" s="27" t="n">
        <v>2670</v>
      </c>
      <c r="P382" s="26" t="n">
        <f aca="false">MROUND(M382*'Fuel &amp; Inputs'!$C$19*'Fuel &amp; Inputs'!$C$21,100)</f>
        <v>4800</v>
      </c>
      <c r="Q382" s="26" t="n">
        <f aca="false">MROUND(N382*'Fuel &amp; Inputs'!$C$19*'Fuel &amp; Inputs'!$C$21,100)</f>
        <v>7800</v>
      </c>
      <c r="R382" s="26" t="n">
        <f aca="false">MROUND(O382*'Fuel &amp; Inputs'!$C$19*'Fuel &amp; Inputs'!$C$21,100)</f>
        <v>10100</v>
      </c>
      <c r="S382" s="26" t="n">
        <f aca="false">MROUND(M382*'Fuel &amp; Inputs'!$C$20*'Fuel &amp; Inputs'!$C$22,500)</f>
        <v>129500</v>
      </c>
      <c r="T382" s="26" t="n">
        <f aca="false">MROUND(N382*'Fuel &amp; Inputs'!$C$20*'Fuel &amp; Inputs'!$C$22,500)</f>
        <v>209000</v>
      </c>
      <c r="U382" s="26" t="n">
        <f aca="false">MROUND(O382*'Fuel &amp; Inputs'!$C$20*'Fuel &amp; Inputs'!$C$22,500)</f>
        <v>272500</v>
      </c>
    </row>
    <row r="383" customFormat="false" ht="23.85" hidden="false" customHeight="false" outlineLevel="0" collapsed="false">
      <c r="A383" s="17" t="n">
        <v>359</v>
      </c>
      <c r="B383" s="32" t="s">
        <v>106</v>
      </c>
      <c r="C383" s="32" t="s">
        <v>586</v>
      </c>
      <c r="D383" s="32" t="s">
        <v>900</v>
      </c>
      <c r="E383" s="17" t="s">
        <v>237</v>
      </c>
      <c r="F383" s="17" t="s">
        <v>932</v>
      </c>
      <c r="G383" s="17" t="s">
        <v>933</v>
      </c>
      <c r="H383" s="17" t="s">
        <v>148</v>
      </c>
      <c r="I383" s="19" t="n">
        <v>2.3</v>
      </c>
      <c r="J383" s="33" t="n">
        <v>1.112</v>
      </c>
      <c r="K383" s="20" t="n">
        <f aca="false">IF(I383=0,0,IF(L383="Rs./km",MROUND(IF(H383="Petrol",'Fuel &amp; Inputs'!$C$5,'Fuel &amp; Inputs'!$C$4)/I383*J383,1),MROUND(I383*J383*IF(H383="Petrol",'Fuel &amp; Inputs'!$C$5,'Fuel &amp; Inputs'!$C$4),10)))</f>
        <v>185</v>
      </c>
      <c r="L383" s="17" t="s">
        <v>590</v>
      </c>
      <c r="M383" s="21" t="n">
        <v>1270</v>
      </c>
      <c r="N383" s="20" t="n">
        <f aca="false">MROUND(M383+'Fuel &amp; Inputs'!$C$13,50)</f>
        <v>2050</v>
      </c>
      <c r="O383" s="21" t="n">
        <v>2670</v>
      </c>
      <c r="P383" s="20" t="n">
        <f aca="false">MROUND(M383*'Fuel &amp; Inputs'!$C$19*'Fuel &amp; Inputs'!$C$21,100)</f>
        <v>4800</v>
      </c>
      <c r="Q383" s="20" t="n">
        <f aca="false">MROUND(N383*'Fuel &amp; Inputs'!$C$19*'Fuel &amp; Inputs'!$C$21,100)</f>
        <v>7800</v>
      </c>
      <c r="R383" s="20" t="n">
        <f aca="false">MROUND(O383*'Fuel &amp; Inputs'!$C$19*'Fuel &amp; Inputs'!$C$21,100)</f>
        <v>10100</v>
      </c>
      <c r="S383" s="20" t="n">
        <f aca="false">MROUND(M383*'Fuel &amp; Inputs'!$C$20*'Fuel &amp; Inputs'!$C$22,500)</f>
        <v>129500</v>
      </c>
      <c r="T383" s="20" t="n">
        <f aca="false">MROUND(N383*'Fuel &amp; Inputs'!$C$20*'Fuel &amp; Inputs'!$C$22,500)</f>
        <v>209000</v>
      </c>
      <c r="U383" s="20" t="n">
        <f aca="false">MROUND(O383*'Fuel &amp; Inputs'!$C$20*'Fuel &amp; Inputs'!$C$22,500)</f>
        <v>272500</v>
      </c>
    </row>
    <row r="384" customFormat="false" ht="23.85" hidden="false" customHeight="false" outlineLevel="0" collapsed="false">
      <c r="A384" s="23" t="n">
        <v>360</v>
      </c>
      <c r="B384" s="34" t="s">
        <v>106</v>
      </c>
      <c r="C384" s="34" t="s">
        <v>253</v>
      </c>
      <c r="D384" s="34" t="s">
        <v>934</v>
      </c>
      <c r="E384" s="23" t="s">
        <v>659</v>
      </c>
      <c r="F384" s="23" t="s">
        <v>935</v>
      </c>
      <c r="G384" s="23" t="s">
        <v>936</v>
      </c>
      <c r="H384" s="23" t="s">
        <v>148</v>
      </c>
      <c r="I384" s="25" t="n">
        <v>2.9</v>
      </c>
      <c r="J384" s="35" t="n">
        <v>1.133</v>
      </c>
      <c r="K384" s="26" t="n">
        <f aca="false">IF(I384=0,0,IF(L384="Rs./km",MROUND(IF(H384="Petrol",'Fuel &amp; Inputs'!$C$5,'Fuel &amp; Inputs'!$C$4)/I384*J384,1),MROUND(I384*J384*IF(H384="Petrol",'Fuel &amp; Inputs'!$C$5,'Fuel &amp; Inputs'!$C$4),10)))</f>
        <v>149</v>
      </c>
      <c r="L384" s="23" t="s">
        <v>590</v>
      </c>
      <c r="M384" s="27" t="n">
        <v>1120</v>
      </c>
      <c r="N384" s="26" t="n">
        <f aca="false">MROUND(M384+'Fuel &amp; Inputs'!$C$13,50)</f>
        <v>1900</v>
      </c>
      <c r="O384" s="27" t="n">
        <v>2340</v>
      </c>
      <c r="P384" s="26" t="n">
        <f aca="false">MROUND(M384*'Fuel &amp; Inputs'!$C$19*'Fuel &amp; Inputs'!$C$21,100)</f>
        <v>4300</v>
      </c>
      <c r="Q384" s="26" t="n">
        <f aca="false">MROUND(N384*'Fuel &amp; Inputs'!$C$19*'Fuel &amp; Inputs'!$C$21,100)</f>
        <v>7200</v>
      </c>
      <c r="R384" s="26" t="n">
        <f aca="false">MROUND(O384*'Fuel &amp; Inputs'!$C$19*'Fuel &amp; Inputs'!$C$21,100)</f>
        <v>8900</v>
      </c>
      <c r="S384" s="26" t="n">
        <f aca="false">MROUND(M384*'Fuel &amp; Inputs'!$C$20*'Fuel &amp; Inputs'!$C$22,500)</f>
        <v>114000</v>
      </c>
      <c r="T384" s="26" t="n">
        <f aca="false">MROUND(N384*'Fuel &amp; Inputs'!$C$20*'Fuel &amp; Inputs'!$C$22,500)</f>
        <v>194000</v>
      </c>
      <c r="U384" s="26" t="n">
        <f aca="false">MROUND(O384*'Fuel &amp; Inputs'!$C$20*'Fuel &amp; Inputs'!$C$22,500)</f>
        <v>238500</v>
      </c>
    </row>
    <row r="385" customFormat="false" ht="23.85" hidden="false" customHeight="false" outlineLevel="0" collapsed="false">
      <c r="A385" s="17" t="n">
        <v>361</v>
      </c>
      <c r="B385" s="32" t="s">
        <v>106</v>
      </c>
      <c r="C385" s="32" t="s">
        <v>586</v>
      </c>
      <c r="D385" s="32" t="s">
        <v>937</v>
      </c>
      <c r="E385" s="17" t="s">
        <v>198</v>
      </c>
      <c r="F385" s="17" t="s">
        <v>938</v>
      </c>
      <c r="G385" s="17" t="s">
        <v>939</v>
      </c>
      <c r="H385" s="17" t="s">
        <v>148</v>
      </c>
      <c r="I385" s="19" t="n">
        <v>3</v>
      </c>
      <c r="J385" s="33" t="n">
        <v>1.14</v>
      </c>
      <c r="K385" s="20" t="n">
        <f aca="false">IF(I385=0,0,IF(L385="Rs./km",MROUND(IF(H385="Petrol",'Fuel &amp; Inputs'!$C$5,'Fuel &amp; Inputs'!$C$4)/I385*J385,1),MROUND(I385*J385*IF(H385="Petrol",'Fuel &amp; Inputs'!$C$5,'Fuel &amp; Inputs'!$C$4),10)))</f>
        <v>145</v>
      </c>
      <c r="L385" s="17" t="s">
        <v>590</v>
      </c>
      <c r="M385" s="21" t="n">
        <v>1120</v>
      </c>
      <c r="N385" s="20" t="n">
        <f aca="false">MROUND(M385+'Fuel &amp; Inputs'!$C$13,50)</f>
        <v>1900</v>
      </c>
      <c r="O385" s="21" t="n">
        <v>2340</v>
      </c>
      <c r="P385" s="20" t="n">
        <f aca="false">MROUND(M385*'Fuel &amp; Inputs'!$C$19*'Fuel &amp; Inputs'!$C$21,100)</f>
        <v>4300</v>
      </c>
      <c r="Q385" s="20" t="n">
        <f aca="false">MROUND(N385*'Fuel &amp; Inputs'!$C$19*'Fuel &amp; Inputs'!$C$21,100)</f>
        <v>7200</v>
      </c>
      <c r="R385" s="20" t="n">
        <f aca="false">MROUND(O385*'Fuel &amp; Inputs'!$C$19*'Fuel &amp; Inputs'!$C$21,100)</f>
        <v>8900</v>
      </c>
      <c r="S385" s="20" t="n">
        <f aca="false">MROUND(M385*'Fuel &amp; Inputs'!$C$20*'Fuel &amp; Inputs'!$C$22,500)</f>
        <v>114000</v>
      </c>
      <c r="T385" s="20" t="n">
        <f aca="false">MROUND(N385*'Fuel &amp; Inputs'!$C$20*'Fuel &amp; Inputs'!$C$22,500)</f>
        <v>194000</v>
      </c>
      <c r="U385" s="20" t="n">
        <f aca="false">MROUND(O385*'Fuel &amp; Inputs'!$C$20*'Fuel &amp; Inputs'!$C$22,500)</f>
        <v>238500</v>
      </c>
    </row>
    <row r="386" customFormat="false" ht="23.85" hidden="false" customHeight="false" outlineLevel="0" collapsed="false">
      <c r="A386" s="23" t="n">
        <v>362</v>
      </c>
      <c r="B386" s="34" t="s">
        <v>106</v>
      </c>
      <c r="C386" s="34" t="s">
        <v>243</v>
      </c>
      <c r="D386" s="34" t="s">
        <v>893</v>
      </c>
      <c r="E386" s="23" t="s">
        <v>575</v>
      </c>
      <c r="F386" s="23" t="s">
        <v>940</v>
      </c>
      <c r="G386" s="23" t="s">
        <v>941</v>
      </c>
      <c r="H386" s="23" t="s">
        <v>148</v>
      </c>
      <c r="I386" s="25" t="n">
        <v>3</v>
      </c>
      <c r="J386" s="35" t="n">
        <v>1.147</v>
      </c>
      <c r="K386" s="26" t="n">
        <f aca="false">IF(I386=0,0,IF(L386="Rs./km",MROUND(IF(H386="Petrol",'Fuel &amp; Inputs'!$C$5,'Fuel &amp; Inputs'!$C$4)/I386*J386,1),MROUND(I386*J386*IF(H386="Petrol",'Fuel &amp; Inputs'!$C$5,'Fuel &amp; Inputs'!$C$4),10)))</f>
        <v>146</v>
      </c>
      <c r="L386" s="23" t="s">
        <v>590</v>
      </c>
      <c r="M386" s="27" t="n">
        <v>1120</v>
      </c>
      <c r="N386" s="26" t="n">
        <f aca="false">MROUND(M386+'Fuel &amp; Inputs'!$C$13,50)</f>
        <v>1900</v>
      </c>
      <c r="O386" s="27" t="n">
        <v>2340</v>
      </c>
      <c r="P386" s="26" t="n">
        <f aca="false">MROUND(M386*'Fuel &amp; Inputs'!$C$19*'Fuel &amp; Inputs'!$C$21,100)</f>
        <v>4300</v>
      </c>
      <c r="Q386" s="26" t="n">
        <f aca="false">MROUND(N386*'Fuel &amp; Inputs'!$C$19*'Fuel &amp; Inputs'!$C$21,100)</f>
        <v>7200</v>
      </c>
      <c r="R386" s="26" t="n">
        <f aca="false">MROUND(O386*'Fuel &amp; Inputs'!$C$19*'Fuel &amp; Inputs'!$C$21,100)</f>
        <v>8900</v>
      </c>
      <c r="S386" s="26" t="n">
        <f aca="false">MROUND(M386*'Fuel &amp; Inputs'!$C$20*'Fuel &amp; Inputs'!$C$22,500)</f>
        <v>114000</v>
      </c>
      <c r="T386" s="26" t="n">
        <f aca="false">MROUND(N386*'Fuel &amp; Inputs'!$C$20*'Fuel &amp; Inputs'!$C$22,500)</f>
        <v>194000</v>
      </c>
      <c r="U386" s="26" t="n">
        <f aca="false">MROUND(O386*'Fuel &amp; Inputs'!$C$20*'Fuel &amp; Inputs'!$C$22,500)</f>
        <v>238500</v>
      </c>
    </row>
    <row r="387" customFormat="false" ht="23.85" hidden="false" customHeight="false" outlineLevel="0" collapsed="false">
      <c r="A387" s="17" t="n">
        <v>363</v>
      </c>
      <c r="B387" s="32" t="s">
        <v>106</v>
      </c>
      <c r="C387" s="32" t="s">
        <v>586</v>
      </c>
      <c r="D387" s="32" t="s">
        <v>937</v>
      </c>
      <c r="E387" s="17" t="s">
        <v>271</v>
      </c>
      <c r="F387" s="17" t="s">
        <v>942</v>
      </c>
      <c r="G387" s="17" t="s">
        <v>943</v>
      </c>
      <c r="H387" s="17" t="s">
        <v>148</v>
      </c>
      <c r="I387" s="19" t="n">
        <v>3</v>
      </c>
      <c r="J387" s="33" t="n">
        <v>1.161</v>
      </c>
      <c r="K387" s="20" t="n">
        <f aca="false">IF(I387=0,0,IF(L387="Rs./km",MROUND(IF(H387="Petrol",'Fuel &amp; Inputs'!$C$5,'Fuel &amp; Inputs'!$C$4)/I387*J387,1),MROUND(I387*J387*IF(H387="Petrol",'Fuel &amp; Inputs'!$C$5,'Fuel &amp; Inputs'!$C$4),10)))</f>
        <v>148</v>
      </c>
      <c r="L387" s="17" t="s">
        <v>590</v>
      </c>
      <c r="M387" s="21" t="n">
        <v>1010</v>
      </c>
      <c r="N387" s="20" t="n">
        <f aca="false">MROUND(M387+'Fuel &amp; Inputs'!$C$13,50)</f>
        <v>1800</v>
      </c>
      <c r="O387" s="21" t="n">
        <v>2110</v>
      </c>
      <c r="P387" s="20" t="n">
        <f aca="false">MROUND(M387*'Fuel &amp; Inputs'!$C$19*'Fuel &amp; Inputs'!$C$21,100)</f>
        <v>3800</v>
      </c>
      <c r="Q387" s="20" t="n">
        <f aca="false">MROUND(N387*'Fuel &amp; Inputs'!$C$19*'Fuel &amp; Inputs'!$C$21,100)</f>
        <v>6800</v>
      </c>
      <c r="R387" s="20" t="n">
        <f aca="false">MROUND(O387*'Fuel &amp; Inputs'!$C$19*'Fuel &amp; Inputs'!$C$21,100)</f>
        <v>8000</v>
      </c>
      <c r="S387" s="20" t="n">
        <f aca="false">MROUND(M387*'Fuel &amp; Inputs'!$C$20*'Fuel &amp; Inputs'!$C$22,500)</f>
        <v>103000</v>
      </c>
      <c r="T387" s="20" t="n">
        <f aca="false">MROUND(N387*'Fuel &amp; Inputs'!$C$20*'Fuel &amp; Inputs'!$C$22,500)</f>
        <v>183500</v>
      </c>
      <c r="U387" s="20" t="n">
        <f aca="false">MROUND(O387*'Fuel &amp; Inputs'!$C$20*'Fuel &amp; Inputs'!$C$22,500)</f>
        <v>215000</v>
      </c>
    </row>
    <row r="388" customFormat="false" ht="23.85" hidden="false" customHeight="false" outlineLevel="0" collapsed="false">
      <c r="A388" s="23" t="n">
        <v>364</v>
      </c>
      <c r="B388" s="34" t="s">
        <v>106</v>
      </c>
      <c r="C388" s="34" t="s">
        <v>586</v>
      </c>
      <c r="D388" s="34" t="s">
        <v>937</v>
      </c>
      <c r="E388" s="23" t="s">
        <v>160</v>
      </c>
      <c r="F388" s="23" t="s">
        <v>944</v>
      </c>
      <c r="G388" s="23" t="s">
        <v>945</v>
      </c>
      <c r="H388" s="23" t="s">
        <v>148</v>
      </c>
      <c r="I388" s="25" t="n">
        <v>3</v>
      </c>
      <c r="J388" s="35" t="n">
        <v>1.098</v>
      </c>
      <c r="K388" s="26" t="n">
        <f aca="false">IF(I388=0,0,IF(L388="Rs./km",MROUND(IF(H388="Petrol",'Fuel &amp; Inputs'!$C$5,'Fuel &amp; Inputs'!$C$4)/I388*J388,1),MROUND(I388*J388*IF(H388="Petrol",'Fuel &amp; Inputs'!$C$5,'Fuel &amp; Inputs'!$C$4),10)))</f>
        <v>140</v>
      </c>
      <c r="L388" s="23" t="s">
        <v>590</v>
      </c>
      <c r="M388" s="27" t="n">
        <v>1010</v>
      </c>
      <c r="N388" s="26" t="n">
        <f aca="false">MROUND(M388+'Fuel &amp; Inputs'!$C$13,50)</f>
        <v>1800</v>
      </c>
      <c r="O388" s="27" t="n">
        <v>2110</v>
      </c>
      <c r="P388" s="26" t="n">
        <f aca="false">MROUND(M388*'Fuel &amp; Inputs'!$C$19*'Fuel &amp; Inputs'!$C$21,100)</f>
        <v>3800</v>
      </c>
      <c r="Q388" s="26" t="n">
        <f aca="false">MROUND(N388*'Fuel &amp; Inputs'!$C$19*'Fuel &amp; Inputs'!$C$21,100)</f>
        <v>6800</v>
      </c>
      <c r="R388" s="26" t="n">
        <f aca="false">MROUND(O388*'Fuel &amp; Inputs'!$C$19*'Fuel &amp; Inputs'!$C$21,100)</f>
        <v>8000</v>
      </c>
      <c r="S388" s="26" t="n">
        <f aca="false">MROUND(M388*'Fuel &amp; Inputs'!$C$20*'Fuel &amp; Inputs'!$C$22,500)</f>
        <v>103000</v>
      </c>
      <c r="T388" s="26" t="n">
        <f aca="false">MROUND(N388*'Fuel &amp; Inputs'!$C$20*'Fuel &amp; Inputs'!$C$22,500)</f>
        <v>183500</v>
      </c>
      <c r="U388" s="26" t="n">
        <f aca="false">MROUND(O388*'Fuel &amp; Inputs'!$C$20*'Fuel &amp; Inputs'!$C$22,500)</f>
        <v>215000</v>
      </c>
    </row>
    <row r="389" customFormat="false" ht="23.85" hidden="false" customHeight="false" outlineLevel="0" collapsed="false">
      <c r="A389" s="17" t="n">
        <v>365</v>
      </c>
      <c r="B389" s="32" t="s">
        <v>106</v>
      </c>
      <c r="C389" s="32" t="s">
        <v>586</v>
      </c>
      <c r="D389" s="32" t="s">
        <v>893</v>
      </c>
      <c r="E389" s="17" t="s">
        <v>271</v>
      </c>
      <c r="F389" s="17" t="s">
        <v>946</v>
      </c>
      <c r="G389" s="17" t="s">
        <v>947</v>
      </c>
      <c r="H389" s="17" t="s">
        <v>148</v>
      </c>
      <c r="I389" s="19" t="n">
        <v>3</v>
      </c>
      <c r="J389" s="33" t="n">
        <v>1.161</v>
      </c>
      <c r="K389" s="20" t="n">
        <f aca="false">IF(I389=0,0,IF(L389="Rs./km",MROUND(IF(H389="Petrol",'Fuel &amp; Inputs'!$C$5,'Fuel &amp; Inputs'!$C$4)/I389*J389,1),MROUND(I389*J389*IF(H389="Petrol",'Fuel &amp; Inputs'!$C$5,'Fuel &amp; Inputs'!$C$4),10)))</f>
        <v>148</v>
      </c>
      <c r="L389" s="17" t="s">
        <v>590</v>
      </c>
      <c r="M389" s="21" t="n">
        <v>1010</v>
      </c>
      <c r="N389" s="20" t="n">
        <f aca="false">MROUND(M389+'Fuel &amp; Inputs'!$C$13,50)</f>
        <v>1800</v>
      </c>
      <c r="O389" s="21" t="n">
        <v>2110</v>
      </c>
      <c r="P389" s="20" t="n">
        <f aca="false">MROUND(M389*'Fuel &amp; Inputs'!$C$19*'Fuel &amp; Inputs'!$C$21,100)</f>
        <v>3800</v>
      </c>
      <c r="Q389" s="20" t="n">
        <f aca="false">MROUND(N389*'Fuel &amp; Inputs'!$C$19*'Fuel &amp; Inputs'!$C$21,100)</f>
        <v>6800</v>
      </c>
      <c r="R389" s="20" t="n">
        <f aca="false">MROUND(O389*'Fuel &amp; Inputs'!$C$19*'Fuel &amp; Inputs'!$C$21,100)</f>
        <v>8000</v>
      </c>
      <c r="S389" s="20" t="n">
        <f aca="false">MROUND(M389*'Fuel &amp; Inputs'!$C$20*'Fuel &amp; Inputs'!$C$22,500)</f>
        <v>103000</v>
      </c>
      <c r="T389" s="20" t="n">
        <f aca="false">MROUND(N389*'Fuel &amp; Inputs'!$C$20*'Fuel &amp; Inputs'!$C$22,500)</f>
        <v>183500</v>
      </c>
      <c r="U389" s="20" t="n">
        <f aca="false">MROUND(O389*'Fuel &amp; Inputs'!$C$20*'Fuel &amp; Inputs'!$C$22,500)</f>
        <v>215000</v>
      </c>
    </row>
    <row r="390" customFormat="false" ht="15" hidden="false" customHeight="true" outlineLevel="0" collapsed="false">
      <c r="A390" s="31" t="s">
        <v>948</v>
      </c>
      <c r="B390" s="31"/>
      <c r="C390" s="31"/>
      <c r="D390" s="31"/>
      <c r="E390" s="31"/>
      <c r="F390" s="31"/>
      <c r="G390" s="31"/>
      <c r="H390" s="31"/>
      <c r="I390" s="31"/>
      <c r="J390" s="31"/>
      <c r="K390" s="31"/>
      <c r="L390" s="31"/>
      <c r="M390" s="31"/>
      <c r="N390" s="31"/>
      <c r="O390" s="31"/>
      <c r="P390" s="31"/>
      <c r="Q390" s="31"/>
      <c r="R390" s="31"/>
      <c r="S390" s="31"/>
      <c r="T390" s="31"/>
      <c r="U390" s="31"/>
    </row>
    <row r="391" customFormat="false" ht="23.85" hidden="false" customHeight="false" outlineLevel="0" collapsed="false">
      <c r="A391" s="23" t="n">
        <v>366</v>
      </c>
      <c r="B391" s="34" t="s">
        <v>949</v>
      </c>
      <c r="C391" s="34" t="s">
        <v>950</v>
      </c>
      <c r="D391" s="34" t="s">
        <v>951</v>
      </c>
      <c r="E391" s="23" t="s">
        <v>245</v>
      </c>
      <c r="F391" s="23" t="s">
        <v>217</v>
      </c>
      <c r="G391" s="23" t="s">
        <v>952</v>
      </c>
      <c r="H391" s="23" t="s">
        <v>217</v>
      </c>
      <c r="I391" s="25" t="n">
        <v>0</v>
      </c>
      <c r="J391" s="35" t="n">
        <v>1.063</v>
      </c>
      <c r="K391" s="26" t="n">
        <f aca="false">IF(I391=0,0,IF(L391="Rs./km",MROUND(IF(H391="Petrol",'Fuel &amp; Inputs'!$C$5,'Fuel &amp; Inputs'!$C$4)/I391*J391,1),MROUND(I391*J391*IF(H391="Petrol",'Fuel &amp; Inputs'!$C$5,'Fuel &amp; Inputs'!$C$4),10)))</f>
        <v>0</v>
      </c>
      <c r="L391" s="23" t="s">
        <v>217</v>
      </c>
      <c r="M391" s="27" t="n">
        <v>1150</v>
      </c>
      <c r="N391" s="26" t="n">
        <f aca="false">M391</f>
        <v>1150</v>
      </c>
      <c r="O391" s="27" t="n">
        <v>1200</v>
      </c>
      <c r="P391" s="26" t="n">
        <f aca="false">MROUND(M391*'Fuel &amp; Inputs'!$C$19*'Fuel &amp; Inputs'!$C$21,100)</f>
        <v>4400</v>
      </c>
      <c r="Q391" s="26" t="n">
        <f aca="false">MROUND(N391*'Fuel &amp; Inputs'!$C$19*'Fuel &amp; Inputs'!$C$21,100)</f>
        <v>4400</v>
      </c>
      <c r="R391" s="26" t="n">
        <f aca="false">MROUND(O391*'Fuel &amp; Inputs'!$C$19*'Fuel &amp; Inputs'!$C$21,100)</f>
        <v>4600</v>
      </c>
      <c r="S391" s="26" t="n">
        <f aca="false">MROUND(M391*'Fuel &amp; Inputs'!$C$20*'Fuel &amp; Inputs'!$C$22,500)</f>
        <v>117500</v>
      </c>
      <c r="T391" s="26" t="n">
        <f aca="false">MROUND(N391*'Fuel &amp; Inputs'!$C$20*'Fuel &amp; Inputs'!$C$22,500)</f>
        <v>117500</v>
      </c>
      <c r="U391" s="26" t="n">
        <f aca="false">MROUND(O391*'Fuel &amp; Inputs'!$C$20*'Fuel &amp; Inputs'!$C$22,500)</f>
        <v>122500</v>
      </c>
    </row>
    <row r="392" customFormat="false" ht="15" hidden="false" customHeight="false" outlineLevel="0" collapsed="false">
      <c r="A392" s="17" t="n">
        <v>367</v>
      </c>
      <c r="B392" s="32" t="s">
        <v>949</v>
      </c>
      <c r="C392" s="32" t="s">
        <v>953</v>
      </c>
      <c r="D392" s="32" t="s">
        <v>951</v>
      </c>
      <c r="E392" s="17" t="s">
        <v>245</v>
      </c>
      <c r="F392" s="17" t="s">
        <v>217</v>
      </c>
      <c r="G392" s="17" t="s">
        <v>952</v>
      </c>
      <c r="H392" s="17" t="s">
        <v>217</v>
      </c>
      <c r="I392" s="19" t="n">
        <v>0</v>
      </c>
      <c r="J392" s="33" t="n">
        <v>1.063</v>
      </c>
      <c r="K392" s="20" t="n">
        <f aca="false">IF(I392=0,0,IF(L392="Rs./km",MROUND(IF(H392="Petrol",'Fuel &amp; Inputs'!$C$5,'Fuel &amp; Inputs'!$C$4)/I392*J392,1),MROUND(I392*J392*IF(H392="Petrol",'Fuel &amp; Inputs'!$C$5,'Fuel &amp; Inputs'!$C$4),10)))</f>
        <v>0</v>
      </c>
      <c r="L392" s="17" t="s">
        <v>217</v>
      </c>
      <c r="M392" s="21" t="n">
        <v>1150</v>
      </c>
      <c r="N392" s="20" t="n">
        <f aca="false">M392</f>
        <v>1150</v>
      </c>
      <c r="O392" s="21" t="n">
        <v>1200</v>
      </c>
      <c r="P392" s="20" t="n">
        <f aca="false">MROUND(M392*'Fuel &amp; Inputs'!$C$19*'Fuel &amp; Inputs'!$C$21,100)</f>
        <v>4400</v>
      </c>
      <c r="Q392" s="20" t="n">
        <f aca="false">MROUND(N392*'Fuel &amp; Inputs'!$C$19*'Fuel &amp; Inputs'!$C$21,100)</f>
        <v>4400</v>
      </c>
      <c r="R392" s="20" t="n">
        <f aca="false">MROUND(O392*'Fuel &amp; Inputs'!$C$19*'Fuel &amp; Inputs'!$C$21,100)</f>
        <v>4600</v>
      </c>
      <c r="S392" s="20" t="n">
        <f aca="false">MROUND(M392*'Fuel &amp; Inputs'!$C$20*'Fuel &amp; Inputs'!$C$22,500)</f>
        <v>117500</v>
      </c>
      <c r="T392" s="20" t="n">
        <f aca="false">MROUND(N392*'Fuel &amp; Inputs'!$C$20*'Fuel &amp; Inputs'!$C$22,500)</f>
        <v>117500</v>
      </c>
      <c r="U392" s="20" t="n">
        <f aca="false">MROUND(O392*'Fuel &amp; Inputs'!$C$20*'Fuel &amp; Inputs'!$C$22,500)</f>
        <v>122500</v>
      </c>
    </row>
    <row r="393" customFormat="false" ht="15" hidden="false" customHeight="false" outlineLevel="0" collapsed="false">
      <c r="A393" s="23" t="n">
        <v>368</v>
      </c>
      <c r="B393" s="34" t="s">
        <v>949</v>
      </c>
      <c r="C393" s="34" t="s">
        <v>953</v>
      </c>
      <c r="D393" s="34" t="s">
        <v>951</v>
      </c>
      <c r="E393" s="23" t="s">
        <v>245</v>
      </c>
      <c r="F393" s="23" t="s">
        <v>217</v>
      </c>
      <c r="G393" s="23" t="s">
        <v>952</v>
      </c>
      <c r="H393" s="23" t="s">
        <v>217</v>
      </c>
      <c r="I393" s="25" t="n">
        <v>0</v>
      </c>
      <c r="J393" s="35" t="n">
        <v>1.063</v>
      </c>
      <c r="K393" s="26" t="n">
        <f aca="false">IF(I393=0,0,IF(L393="Rs./km",MROUND(IF(H393="Petrol",'Fuel &amp; Inputs'!$C$5,'Fuel &amp; Inputs'!$C$4)/I393*J393,1),MROUND(I393*J393*IF(H393="Petrol",'Fuel &amp; Inputs'!$C$5,'Fuel &amp; Inputs'!$C$4),10)))</f>
        <v>0</v>
      </c>
      <c r="L393" s="23" t="s">
        <v>217</v>
      </c>
      <c r="M393" s="27" t="n">
        <v>1150</v>
      </c>
      <c r="N393" s="26" t="n">
        <f aca="false">M393</f>
        <v>1150</v>
      </c>
      <c r="O393" s="27" t="n">
        <v>1200</v>
      </c>
      <c r="P393" s="26" t="n">
        <f aca="false">MROUND(M393*'Fuel &amp; Inputs'!$C$19*'Fuel &amp; Inputs'!$C$21,100)</f>
        <v>4400</v>
      </c>
      <c r="Q393" s="26" t="n">
        <f aca="false">MROUND(N393*'Fuel &amp; Inputs'!$C$19*'Fuel &amp; Inputs'!$C$21,100)</f>
        <v>4400</v>
      </c>
      <c r="R393" s="26" t="n">
        <f aca="false">MROUND(O393*'Fuel &amp; Inputs'!$C$19*'Fuel &amp; Inputs'!$C$21,100)</f>
        <v>4600</v>
      </c>
      <c r="S393" s="26" t="n">
        <f aca="false">MROUND(M393*'Fuel &amp; Inputs'!$C$20*'Fuel &amp; Inputs'!$C$22,500)</f>
        <v>117500</v>
      </c>
      <c r="T393" s="26" t="n">
        <f aca="false">MROUND(N393*'Fuel &amp; Inputs'!$C$20*'Fuel &amp; Inputs'!$C$22,500)</f>
        <v>117500</v>
      </c>
      <c r="U393" s="26" t="n">
        <f aca="false">MROUND(O393*'Fuel &amp; Inputs'!$C$20*'Fuel &amp; Inputs'!$C$22,500)</f>
        <v>122500</v>
      </c>
    </row>
    <row r="394" customFormat="false" ht="15" hidden="false" customHeight="false" outlineLevel="0" collapsed="false">
      <c r="A394" s="17" t="n">
        <v>369</v>
      </c>
      <c r="B394" s="32" t="s">
        <v>949</v>
      </c>
      <c r="C394" s="32" t="s">
        <v>954</v>
      </c>
      <c r="D394" s="32" t="s">
        <v>951</v>
      </c>
      <c r="E394" s="17" t="s">
        <v>245</v>
      </c>
      <c r="F394" s="17" t="s">
        <v>217</v>
      </c>
      <c r="G394" s="17" t="s">
        <v>955</v>
      </c>
      <c r="H394" s="17" t="s">
        <v>217</v>
      </c>
      <c r="I394" s="19" t="n">
        <v>0</v>
      </c>
      <c r="J394" s="33" t="n">
        <v>1.063</v>
      </c>
      <c r="K394" s="20" t="n">
        <f aca="false">IF(I394=0,0,IF(L394="Rs./km",MROUND(IF(H394="Petrol",'Fuel &amp; Inputs'!$C$5,'Fuel &amp; Inputs'!$C$4)/I394*J394,1),MROUND(I394*J394*IF(H394="Petrol",'Fuel &amp; Inputs'!$C$5,'Fuel &amp; Inputs'!$C$4),10)))</f>
        <v>0</v>
      </c>
      <c r="L394" s="17" t="s">
        <v>217</v>
      </c>
      <c r="M394" s="21" t="n">
        <v>1150</v>
      </c>
      <c r="N394" s="20" t="n">
        <f aca="false">M394</f>
        <v>1150</v>
      </c>
      <c r="O394" s="21" t="n">
        <v>1200</v>
      </c>
      <c r="P394" s="20" t="n">
        <f aca="false">MROUND(M394*'Fuel &amp; Inputs'!$C$19*'Fuel &amp; Inputs'!$C$21,100)</f>
        <v>4400</v>
      </c>
      <c r="Q394" s="20" t="n">
        <f aca="false">MROUND(N394*'Fuel &amp; Inputs'!$C$19*'Fuel &amp; Inputs'!$C$21,100)</f>
        <v>4400</v>
      </c>
      <c r="R394" s="20" t="n">
        <f aca="false">MROUND(O394*'Fuel &amp; Inputs'!$C$19*'Fuel &amp; Inputs'!$C$21,100)</f>
        <v>4600</v>
      </c>
      <c r="S394" s="20" t="n">
        <f aca="false">MROUND(M394*'Fuel &amp; Inputs'!$C$20*'Fuel &amp; Inputs'!$C$22,500)</f>
        <v>117500</v>
      </c>
      <c r="T394" s="20" t="n">
        <f aca="false">MROUND(N394*'Fuel &amp; Inputs'!$C$20*'Fuel &amp; Inputs'!$C$22,500)</f>
        <v>117500</v>
      </c>
      <c r="U394" s="20" t="n">
        <f aca="false">MROUND(O394*'Fuel &amp; Inputs'!$C$20*'Fuel &amp; Inputs'!$C$22,500)</f>
        <v>122500</v>
      </c>
    </row>
    <row r="395" customFormat="false" ht="23.85" hidden="false" customHeight="false" outlineLevel="0" collapsed="false">
      <c r="A395" s="23" t="n">
        <v>370</v>
      </c>
      <c r="B395" s="34" t="s">
        <v>949</v>
      </c>
      <c r="C395" s="34" t="s">
        <v>950</v>
      </c>
      <c r="D395" s="34" t="s">
        <v>951</v>
      </c>
      <c r="E395" s="23" t="s">
        <v>198</v>
      </c>
      <c r="F395" s="23" t="s">
        <v>217</v>
      </c>
      <c r="G395" s="23" t="s">
        <v>956</v>
      </c>
      <c r="H395" s="23" t="s">
        <v>217</v>
      </c>
      <c r="I395" s="25" t="n">
        <v>0</v>
      </c>
      <c r="J395" s="35" t="n">
        <v>1.14</v>
      </c>
      <c r="K395" s="26" t="n">
        <f aca="false">IF(I395=0,0,IF(L395="Rs./km",MROUND(IF(H395="Petrol",'Fuel &amp; Inputs'!$C$5,'Fuel &amp; Inputs'!$C$4)/I395*J395,1),MROUND(I395*J395*IF(H395="Petrol",'Fuel &amp; Inputs'!$C$5,'Fuel &amp; Inputs'!$C$4),10)))</f>
        <v>0</v>
      </c>
      <c r="L395" s="23" t="s">
        <v>217</v>
      </c>
      <c r="M395" s="27" t="n">
        <v>900</v>
      </c>
      <c r="N395" s="26" t="n">
        <f aca="false">M395</f>
        <v>900</v>
      </c>
      <c r="O395" s="27" t="n">
        <v>940</v>
      </c>
      <c r="P395" s="26" t="n">
        <f aca="false">MROUND(M395*'Fuel &amp; Inputs'!$C$19*'Fuel &amp; Inputs'!$C$21,100)</f>
        <v>3400</v>
      </c>
      <c r="Q395" s="26" t="n">
        <f aca="false">MROUND(N395*'Fuel &amp; Inputs'!$C$19*'Fuel &amp; Inputs'!$C$21,100)</f>
        <v>3400</v>
      </c>
      <c r="R395" s="26" t="n">
        <f aca="false">MROUND(O395*'Fuel &amp; Inputs'!$C$19*'Fuel &amp; Inputs'!$C$21,100)</f>
        <v>3600</v>
      </c>
      <c r="S395" s="26" t="n">
        <f aca="false">MROUND(M395*'Fuel &amp; Inputs'!$C$20*'Fuel &amp; Inputs'!$C$22,500)</f>
        <v>92000</v>
      </c>
      <c r="T395" s="26" t="n">
        <f aca="false">MROUND(N395*'Fuel &amp; Inputs'!$C$20*'Fuel &amp; Inputs'!$C$22,500)</f>
        <v>92000</v>
      </c>
      <c r="U395" s="26" t="n">
        <f aca="false">MROUND(O395*'Fuel &amp; Inputs'!$C$20*'Fuel &amp; Inputs'!$C$22,500)</f>
        <v>96000</v>
      </c>
    </row>
    <row r="396" customFormat="false" ht="23.85" hidden="false" customHeight="false" outlineLevel="0" collapsed="false">
      <c r="A396" s="17" t="n">
        <v>371</v>
      </c>
      <c r="B396" s="32" t="s">
        <v>949</v>
      </c>
      <c r="C396" s="32" t="s">
        <v>950</v>
      </c>
      <c r="D396" s="32" t="s">
        <v>951</v>
      </c>
      <c r="E396" s="17" t="s">
        <v>198</v>
      </c>
      <c r="F396" s="17" t="s">
        <v>217</v>
      </c>
      <c r="G396" s="17" t="s">
        <v>956</v>
      </c>
      <c r="H396" s="17" t="s">
        <v>217</v>
      </c>
      <c r="I396" s="19" t="n">
        <v>0</v>
      </c>
      <c r="J396" s="33" t="n">
        <v>1.14</v>
      </c>
      <c r="K396" s="20" t="n">
        <f aca="false">IF(I396=0,0,IF(L396="Rs./km",MROUND(IF(H396="Petrol",'Fuel &amp; Inputs'!$C$5,'Fuel &amp; Inputs'!$C$4)/I396*J396,1),MROUND(I396*J396*IF(H396="Petrol",'Fuel &amp; Inputs'!$C$5,'Fuel &amp; Inputs'!$C$4),10)))</f>
        <v>0</v>
      </c>
      <c r="L396" s="17" t="s">
        <v>217</v>
      </c>
      <c r="M396" s="21" t="n">
        <v>900</v>
      </c>
      <c r="N396" s="20" t="n">
        <f aca="false">M396</f>
        <v>900</v>
      </c>
      <c r="O396" s="21" t="n">
        <v>940</v>
      </c>
      <c r="P396" s="20" t="n">
        <f aca="false">MROUND(M396*'Fuel &amp; Inputs'!$C$19*'Fuel &amp; Inputs'!$C$21,100)</f>
        <v>3400</v>
      </c>
      <c r="Q396" s="20" t="n">
        <f aca="false">MROUND(N396*'Fuel &amp; Inputs'!$C$19*'Fuel &amp; Inputs'!$C$21,100)</f>
        <v>3400</v>
      </c>
      <c r="R396" s="20" t="n">
        <f aca="false">MROUND(O396*'Fuel &amp; Inputs'!$C$19*'Fuel &amp; Inputs'!$C$21,100)</f>
        <v>3600</v>
      </c>
      <c r="S396" s="20" t="n">
        <f aca="false">MROUND(M396*'Fuel &amp; Inputs'!$C$20*'Fuel &amp; Inputs'!$C$22,500)</f>
        <v>92000</v>
      </c>
      <c r="T396" s="20" t="n">
        <f aca="false">MROUND(N396*'Fuel &amp; Inputs'!$C$20*'Fuel &amp; Inputs'!$C$22,500)</f>
        <v>92000</v>
      </c>
      <c r="U396" s="20" t="n">
        <f aca="false">MROUND(O396*'Fuel &amp; Inputs'!$C$20*'Fuel &amp; Inputs'!$C$22,500)</f>
        <v>96000</v>
      </c>
    </row>
    <row r="397" customFormat="false" ht="15" hidden="false" customHeight="true" outlineLevel="0" collapsed="false">
      <c r="A397" s="31" t="s">
        <v>957</v>
      </c>
      <c r="B397" s="31"/>
      <c r="C397" s="31"/>
      <c r="D397" s="31"/>
      <c r="E397" s="31"/>
      <c r="F397" s="31"/>
      <c r="G397" s="31"/>
      <c r="H397" s="31"/>
      <c r="I397" s="31"/>
      <c r="J397" s="31"/>
      <c r="K397" s="31"/>
      <c r="L397" s="31"/>
      <c r="M397" s="31"/>
      <c r="N397" s="31"/>
      <c r="O397" s="31"/>
      <c r="P397" s="31"/>
      <c r="Q397" s="31"/>
      <c r="R397" s="31"/>
      <c r="S397" s="31"/>
      <c r="T397" s="31"/>
      <c r="U397" s="31"/>
    </row>
    <row r="398" customFormat="false" ht="15" hidden="false" customHeight="false" outlineLevel="0" collapsed="false">
      <c r="A398" s="23" t="n">
        <v>372</v>
      </c>
      <c r="B398" s="34" t="s">
        <v>958</v>
      </c>
      <c r="C398" s="34" t="s">
        <v>959</v>
      </c>
      <c r="D398" s="34" t="s">
        <v>960</v>
      </c>
      <c r="E398" s="23" t="s">
        <v>596</v>
      </c>
      <c r="F398" s="23" t="s">
        <v>217</v>
      </c>
      <c r="G398" s="23" t="s">
        <v>961</v>
      </c>
      <c r="H398" s="23" t="s">
        <v>217</v>
      </c>
      <c r="I398" s="25" t="n">
        <v>0</v>
      </c>
      <c r="J398" s="35" t="n">
        <v>1.105</v>
      </c>
      <c r="K398" s="26" t="n">
        <f aca="false">IF(I398=0,0,IF(L398="Rs./km",MROUND(IF(H398="Petrol",'Fuel &amp; Inputs'!$C$5,'Fuel &amp; Inputs'!$C$4)/I398*J398,1),MROUND(I398*J398*IF(H398="Petrol",'Fuel &amp; Inputs'!$C$5,'Fuel &amp; Inputs'!$C$4),10)))</f>
        <v>0</v>
      </c>
      <c r="L398" s="23" t="s">
        <v>217</v>
      </c>
      <c r="M398" s="27" t="n">
        <v>1720</v>
      </c>
      <c r="N398" s="26" t="n">
        <f aca="false">M398</f>
        <v>1720</v>
      </c>
      <c r="O398" s="27" t="n">
        <v>1800</v>
      </c>
      <c r="P398" s="26" t="n">
        <f aca="false">MROUND(M398*'Fuel &amp; Inputs'!$C$19*'Fuel &amp; Inputs'!$C$21,100)</f>
        <v>6500</v>
      </c>
      <c r="Q398" s="26" t="n">
        <f aca="false">MROUND(N398*'Fuel &amp; Inputs'!$C$19*'Fuel &amp; Inputs'!$C$21,100)</f>
        <v>6500</v>
      </c>
      <c r="R398" s="26" t="n">
        <f aca="false">MROUND(O398*'Fuel &amp; Inputs'!$C$19*'Fuel &amp; Inputs'!$C$21,100)</f>
        <v>6800</v>
      </c>
      <c r="S398" s="26" t="n">
        <f aca="false">MROUND(M398*'Fuel &amp; Inputs'!$C$20*'Fuel &amp; Inputs'!$C$22,500)</f>
        <v>175500</v>
      </c>
      <c r="T398" s="26" t="n">
        <f aca="false">MROUND(N398*'Fuel &amp; Inputs'!$C$20*'Fuel &amp; Inputs'!$C$22,500)</f>
        <v>175500</v>
      </c>
      <c r="U398" s="26" t="n">
        <f aca="false">MROUND(O398*'Fuel &amp; Inputs'!$C$20*'Fuel &amp; Inputs'!$C$22,500)</f>
        <v>183500</v>
      </c>
    </row>
    <row r="399" customFormat="false" ht="15" hidden="false" customHeight="false" outlineLevel="0" collapsed="false">
      <c r="A399" s="17" t="n">
        <v>373</v>
      </c>
      <c r="B399" s="32" t="s">
        <v>958</v>
      </c>
      <c r="C399" s="32" t="s">
        <v>959</v>
      </c>
      <c r="D399" s="32" t="s">
        <v>962</v>
      </c>
      <c r="E399" s="17" t="s">
        <v>271</v>
      </c>
      <c r="F399" s="17" t="s">
        <v>217</v>
      </c>
      <c r="G399" s="17" t="s">
        <v>963</v>
      </c>
      <c r="H399" s="17" t="s">
        <v>217</v>
      </c>
      <c r="I399" s="19" t="n">
        <v>0</v>
      </c>
      <c r="J399" s="33" t="n">
        <v>1.161</v>
      </c>
      <c r="K399" s="20" t="n">
        <f aca="false">IF(I399=0,0,IF(L399="Rs./km",MROUND(IF(H399="Petrol",'Fuel &amp; Inputs'!$C$5,'Fuel &amp; Inputs'!$C$4)/I399*J399,1),MROUND(I399*J399*IF(H399="Petrol",'Fuel &amp; Inputs'!$C$5,'Fuel &amp; Inputs'!$C$4),10)))</f>
        <v>0</v>
      </c>
      <c r="L399" s="17" t="s">
        <v>217</v>
      </c>
      <c r="M399" s="21" t="n">
        <v>1370</v>
      </c>
      <c r="N399" s="20" t="n">
        <f aca="false">M399</f>
        <v>1370</v>
      </c>
      <c r="O399" s="21" t="n">
        <v>1430</v>
      </c>
      <c r="P399" s="20" t="n">
        <f aca="false">MROUND(M399*'Fuel &amp; Inputs'!$C$19*'Fuel &amp; Inputs'!$C$21,100)</f>
        <v>5200</v>
      </c>
      <c r="Q399" s="20" t="n">
        <f aca="false">MROUND(N399*'Fuel &amp; Inputs'!$C$19*'Fuel &amp; Inputs'!$C$21,100)</f>
        <v>5200</v>
      </c>
      <c r="R399" s="20" t="n">
        <f aca="false">MROUND(O399*'Fuel &amp; Inputs'!$C$19*'Fuel &amp; Inputs'!$C$21,100)</f>
        <v>5400</v>
      </c>
      <c r="S399" s="20" t="n">
        <f aca="false">MROUND(M399*'Fuel &amp; Inputs'!$C$20*'Fuel &amp; Inputs'!$C$22,500)</f>
        <v>139500</v>
      </c>
      <c r="T399" s="20" t="n">
        <f aca="false">MROUND(N399*'Fuel &amp; Inputs'!$C$20*'Fuel &amp; Inputs'!$C$22,500)</f>
        <v>139500</v>
      </c>
      <c r="U399" s="20" t="n">
        <f aca="false">MROUND(O399*'Fuel &amp; Inputs'!$C$20*'Fuel &amp; Inputs'!$C$22,500)</f>
        <v>146000</v>
      </c>
    </row>
    <row r="400" customFormat="false" ht="15" hidden="false" customHeight="false" outlineLevel="0" collapsed="false">
      <c r="A400" s="23" t="n">
        <v>374</v>
      </c>
      <c r="B400" s="34" t="s">
        <v>958</v>
      </c>
      <c r="C400" s="34" t="s">
        <v>324</v>
      </c>
      <c r="D400" s="34" t="s">
        <v>217</v>
      </c>
      <c r="E400" s="23" t="s">
        <v>217</v>
      </c>
      <c r="F400" s="23" t="s">
        <v>217</v>
      </c>
      <c r="G400" s="23" t="s">
        <v>964</v>
      </c>
      <c r="H400" s="23" t="s">
        <v>217</v>
      </c>
      <c r="I400" s="25" t="n">
        <v>0</v>
      </c>
      <c r="J400" s="35" t="n">
        <v>1</v>
      </c>
      <c r="K400" s="26" t="n">
        <f aca="false">IF(I400=0,0,IF(L400="Rs./km",MROUND(IF(H400="Petrol",'Fuel &amp; Inputs'!$C$5,'Fuel &amp; Inputs'!$C$4)/I400*J400,1),MROUND(I400*J400*IF(H400="Petrol",'Fuel &amp; Inputs'!$C$5,'Fuel &amp; Inputs'!$C$4),10)))</f>
        <v>0</v>
      </c>
      <c r="L400" s="23" t="s">
        <v>217</v>
      </c>
      <c r="M400" s="27" t="n">
        <v>1220</v>
      </c>
      <c r="N400" s="26" t="n">
        <f aca="false">M400</f>
        <v>1220</v>
      </c>
      <c r="O400" s="27" t="n">
        <v>1280</v>
      </c>
      <c r="P400" s="26" t="n">
        <f aca="false">MROUND(M400*'Fuel &amp; Inputs'!$C$19*'Fuel &amp; Inputs'!$C$21,100)</f>
        <v>4600</v>
      </c>
      <c r="Q400" s="26" t="n">
        <f aca="false">MROUND(N400*'Fuel &amp; Inputs'!$C$19*'Fuel &amp; Inputs'!$C$21,100)</f>
        <v>4600</v>
      </c>
      <c r="R400" s="26" t="n">
        <f aca="false">MROUND(O400*'Fuel &amp; Inputs'!$C$19*'Fuel &amp; Inputs'!$C$21,100)</f>
        <v>4900</v>
      </c>
      <c r="S400" s="26" t="n">
        <f aca="false">MROUND(M400*'Fuel &amp; Inputs'!$C$20*'Fuel &amp; Inputs'!$C$22,500)</f>
        <v>124500</v>
      </c>
      <c r="T400" s="26" t="n">
        <f aca="false">MROUND(N400*'Fuel &amp; Inputs'!$C$20*'Fuel &amp; Inputs'!$C$22,500)</f>
        <v>124500</v>
      </c>
      <c r="U400" s="26" t="n">
        <f aca="false">MROUND(O400*'Fuel &amp; Inputs'!$C$20*'Fuel &amp; Inputs'!$C$22,500)</f>
        <v>130500</v>
      </c>
    </row>
    <row r="401" customFormat="false" ht="15" hidden="false" customHeight="true" outlineLevel="0" collapsed="false">
      <c r="A401" s="31" t="s">
        <v>965</v>
      </c>
      <c r="B401" s="31"/>
      <c r="C401" s="31"/>
      <c r="D401" s="31"/>
      <c r="E401" s="31"/>
      <c r="F401" s="31"/>
      <c r="G401" s="31"/>
      <c r="H401" s="31"/>
      <c r="I401" s="31"/>
      <c r="J401" s="31"/>
      <c r="K401" s="31"/>
      <c r="L401" s="31"/>
      <c r="M401" s="31"/>
      <c r="N401" s="31"/>
      <c r="O401" s="31"/>
      <c r="P401" s="31"/>
      <c r="Q401" s="31"/>
      <c r="R401" s="31"/>
      <c r="S401" s="31"/>
      <c r="T401" s="31"/>
      <c r="U401" s="31"/>
    </row>
    <row r="402" customFormat="false" ht="15" hidden="false" customHeight="false" outlineLevel="0" collapsed="false">
      <c r="A402" s="17" t="n">
        <v>375</v>
      </c>
      <c r="B402" s="32" t="s">
        <v>112</v>
      </c>
      <c r="C402" s="32" t="s">
        <v>274</v>
      </c>
      <c r="D402" s="32" t="s">
        <v>217</v>
      </c>
      <c r="E402" s="17" t="s">
        <v>575</v>
      </c>
      <c r="F402" s="17" t="s">
        <v>966</v>
      </c>
      <c r="G402" s="17" t="s">
        <v>967</v>
      </c>
      <c r="H402" s="17" t="s">
        <v>148</v>
      </c>
      <c r="I402" s="19" t="n">
        <v>7</v>
      </c>
      <c r="J402" s="33" t="n">
        <v>1.147</v>
      </c>
      <c r="K402" s="20" t="n">
        <f aca="false">IF(I402=0,0,IF(L402="Rs./km",MROUND(IF(H402="Petrol",'Fuel &amp; Inputs'!$C$5,'Fuel &amp; Inputs'!$C$4)/I402*J402,1),MROUND(I402*J402*IF(H402="Petrol",'Fuel &amp; Inputs'!$C$5,'Fuel &amp; Inputs'!$C$4),10)))</f>
        <v>3070</v>
      </c>
      <c r="L402" s="17" t="s">
        <v>149</v>
      </c>
      <c r="M402" s="21" t="n">
        <v>970</v>
      </c>
      <c r="N402" s="20" t="n">
        <f aca="false">MROUND(M402+'Fuel &amp; Inputs'!$C$13,50)</f>
        <v>1750</v>
      </c>
      <c r="O402" s="21" t="n">
        <v>1760</v>
      </c>
      <c r="P402" s="20" t="n">
        <f aca="false">MROUND(M402*'Fuel &amp; Inputs'!$C$19*'Fuel &amp; Inputs'!$C$21,100)</f>
        <v>3700</v>
      </c>
      <c r="Q402" s="20" t="n">
        <f aca="false">MROUND(N402*'Fuel &amp; Inputs'!$C$19*'Fuel &amp; Inputs'!$C$21,100)</f>
        <v>6700</v>
      </c>
      <c r="R402" s="20" t="n">
        <f aca="false">MROUND(O402*'Fuel &amp; Inputs'!$C$19*'Fuel &amp; Inputs'!$C$21,100)</f>
        <v>6700</v>
      </c>
      <c r="S402" s="20" t="n">
        <f aca="false">MROUND(M402*'Fuel &amp; Inputs'!$C$20*'Fuel &amp; Inputs'!$C$22,500)</f>
        <v>99000</v>
      </c>
      <c r="T402" s="20" t="n">
        <f aca="false">MROUND(N402*'Fuel &amp; Inputs'!$C$20*'Fuel &amp; Inputs'!$C$22,500)</f>
        <v>178500</v>
      </c>
      <c r="U402" s="20" t="n">
        <f aca="false">MROUND(O402*'Fuel &amp; Inputs'!$C$20*'Fuel &amp; Inputs'!$C$22,500)</f>
        <v>179500</v>
      </c>
    </row>
    <row r="403" customFormat="false" ht="15" hidden="false" customHeight="false" outlineLevel="0" collapsed="false">
      <c r="A403" s="23" t="n">
        <v>376</v>
      </c>
      <c r="B403" s="34" t="s">
        <v>112</v>
      </c>
      <c r="C403" s="34" t="s">
        <v>243</v>
      </c>
      <c r="D403" s="34" t="s">
        <v>762</v>
      </c>
      <c r="E403" s="23" t="s">
        <v>575</v>
      </c>
      <c r="F403" s="23" t="s">
        <v>968</v>
      </c>
      <c r="G403" s="23" t="s">
        <v>969</v>
      </c>
      <c r="H403" s="23" t="s">
        <v>148</v>
      </c>
      <c r="I403" s="25" t="n">
        <v>7</v>
      </c>
      <c r="J403" s="35" t="n">
        <v>1.147</v>
      </c>
      <c r="K403" s="26" t="n">
        <f aca="false">IF(I403=0,0,IF(L403="Rs./km",MROUND(IF(H403="Petrol",'Fuel &amp; Inputs'!$C$5,'Fuel &amp; Inputs'!$C$4)/I403*J403,1),MROUND(I403*J403*IF(H403="Petrol",'Fuel &amp; Inputs'!$C$5,'Fuel &amp; Inputs'!$C$4),10)))</f>
        <v>3070</v>
      </c>
      <c r="L403" s="23" t="s">
        <v>149</v>
      </c>
      <c r="M403" s="27" t="n">
        <v>970</v>
      </c>
      <c r="N403" s="26" t="n">
        <f aca="false">MROUND(M403+'Fuel &amp; Inputs'!$C$13,50)</f>
        <v>1750</v>
      </c>
      <c r="O403" s="27" t="n">
        <v>1760</v>
      </c>
      <c r="P403" s="26" t="n">
        <f aca="false">MROUND(M403*'Fuel &amp; Inputs'!$C$19*'Fuel &amp; Inputs'!$C$21,100)</f>
        <v>3700</v>
      </c>
      <c r="Q403" s="26" t="n">
        <f aca="false">MROUND(N403*'Fuel &amp; Inputs'!$C$19*'Fuel &amp; Inputs'!$C$21,100)</f>
        <v>6700</v>
      </c>
      <c r="R403" s="26" t="n">
        <f aca="false">MROUND(O403*'Fuel &amp; Inputs'!$C$19*'Fuel &amp; Inputs'!$C$21,100)</f>
        <v>6700</v>
      </c>
      <c r="S403" s="26" t="n">
        <f aca="false">MROUND(M403*'Fuel &amp; Inputs'!$C$20*'Fuel &amp; Inputs'!$C$22,500)</f>
        <v>99000</v>
      </c>
      <c r="T403" s="26" t="n">
        <f aca="false">MROUND(N403*'Fuel &amp; Inputs'!$C$20*'Fuel &amp; Inputs'!$C$22,500)</f>
        <v>178500</v>
      </c>
      <c r="U403" s="26" t="n">
        <f aca="false">MROUND(O403*'Fuel &amp; Inputs'!$C$20*'Fuel &amp; Inputs'!$C$22,500)</f>
        <v>179500</v>
      </c>
    </row>
    <row r="404" customFormat="false" ht="15" hidden="false" customHeight="false" outlineLevel="0" collapsed="false">
      <c r="A404" s="17" t="n">
        <v>377</v>
      </c>
      <c r="B404" s="32" t="s">
        <v>112</v>
      </c>
      <c r="C404" s="32" t="s">
        <v>243</v>
      </c>
      <c r="D404" s="32" t="s">
        <v>217</v>
      </c>
      <c r="E404" s="17" t="s">
        <v>448</v>
      </c>
      <c r="F404" s="17" t="s">
        <v>970</v>
      </c>
      <c r="G404" s="17" t="s">
        <v>971</v>
      </c>
      <c r="H404" s="17" t="s">
        <v>148</v>
      </c>
      <c r="I404" s="19" t="n">
        <v>7</v>
      </c>
      <c r="J404" s="33" t="n">
        <v>1.175</v>
      </c>
      <c r="K404" s="20" t="n">
        <f aca="false">IF(I404=0,0,IF(L404="Rs./km",MROUND(IF(H404="Petrol",'Fuel &amp; Inputs'!$C$5,'Fuel &amp; Inputs'!$C$4)/I404*J404,1),MROUND(I404*J404*IF(H404="Petrol",'Fuel &amp; Inputs'!$C$5,'Fuel &amp; Inputs'!$C$4),10)))</f>
        <v>3140</v>
      </c>
      <c r="L404" s="17" t="s">
        <v>149</v>
      </c>
      <c r="M404" s="21" t="n">
        <v>780</v>
      </c>
      <c r="N404" s="20" t="n">
        <f aca="false">MROUND(M404+'Fuel &amp; Inputs'!$C$13,50)</f>
        <v>1600</v>
      </c>
      <c r="O404" s="21" t="n">
        <v>1420</v>
      </c>
      <c r="P404" s="20" t="n">
        <f aca="false">MROUND(M404*'Fuel &amp; Inputs'!$C$19*'Fuel &amp; Inputs'!$C$21,100)</f>
        <v>3000</v>
      </c>
      <c r="Q404" s="20" t="n">
        <f aca="false">MROUND(N404*'Fuel &amp; Inputs'!$C$19*'Fuel &amp; Inputs'!$C$21,100)</f>
        <v>6100</v>
      </c>
      <c r="R404" s="20" t="n">
        <f aca="false">MROUND(O404*'Fuel &amp; Inputs'!$C$19*'Fuel &amp; Inputs'!$C$21,100)</f>
        <v>5400</v>
      </c>
      <c r="S404" s="20" t="n">
        <f aca="false">MROUND(M404*'Fuel &amp; Inputs'!$C$20*'Fuel &amp; Inputs'!$C$22,500)</f>
        <v>79500</v>
      </c>
      <c r="T404" s="20" t="n">
        <f aca="false">MROUND(N404*'Fuel &amp; Inputs'!$C$20*'Fuel &amp; Inputs'!$C$22,500)</f>
        <v>163000</v>
      </c>
      <c r="U404" s="20" t="n">
        <f aca="false">MROUND(O404*'Fuel &amp; Inputs'!$C$20*'Fuel &amp; Inputs'!$C$22,500)</f>
        <v>145000</v>
      </c>
    </row>
    <row r="405" customFormat="false" ht="15" hidden="false" customHeight="false" outlineLevel="0" collapsed="false">
      <c r="A405" s="23" t="n">
        <v>378</v>
      </c>
      <c r="B405" s="34" t="s">
        <v>112</v>
      </c>
      <c r="C405" s="34" t="s">
        <v>274</v>
      </c>
      <c r="D405" s="34" t="s">
        <v>762</v>
      </c>
      <c r="E405" s="23" t="s">
        <v>448</v>
      </c>
      <c r="F405" s="23" t="s">
        <v>972</v>
      </c>
      <c r="G405" s="23" t="s">
        <v>973</v>
      </c>
      <c r="H405" s="23" t="s">
        <v>148</v>
      </c>
      <c r="I405" s="25" t="n">
        <v>7</v>
      </c>
      <c r="J405" s="35" t="n">
        <v>1.175</v>
      </c>
      <c r="K405" s="26" t="n">
        <f aca="false">IF(I405=0,0,IF(L405="Rs./km",MROUND(IF(H405="Petrol",'Fuel &amp; Inputs'!$C$5,'Fuel &amp; Inputs'!$C$4)/I405*J405,1),MROUND(I405*J405*IF(H405="Petrol",'Fuel &amp; Inputs'!$C$5,'Fuel &amp; Inputs'!$C$4),10)))</f>
        <v>3140</v>
      </c>
      <c r="L405" s="23" t="s">
        <v>149</v>
      </c>
      <c r="M405" s="27" t="n">
        <v>780</v>
      </c>
      <c r="N405" s="26" t="n">
        <f aca="false">MROUND(M405+'Fuel &amp; Inputs'!$C$13,50)</f>
        <v>1600</v>
      </c>
      <c r="O405" s="27" t="n">
        <v>1420</v>
      </c>
      <c r="P405" s="26" t="n">
        <f aca="false">MROUND(M405*'Fuel &amp; Inputs'!$C$19*'Fuel &amp; Inputs'!$C$21,100)</f>
        <v>3000</v>
      </c>
      <c r="Q405" s="26" t="n">
        <f aca="false">MROUND(N405*'Fuel &amp; Inputs'!$C$19*'Fuel &amp; Inputs'!$C$21,100)</f>
        <v>6100</v>
      </c>
      <c r="R405" s="26" t="n">
        <f aca="false">MROUND(O405*'Fuel &amp; Inputs'!$C$19*'Fuel &amp; Inputs'!$C$21,100)</f>
        <v>5400</v>
      </c>
      <c r="S405" s="26" t="n">
        <f aca="false">MROUND(M405*'Fuel &amp; Inputs'!$C$20*'Fuel &amp; Inputs'!$C$22,500)</f>
        <v>79500</v>
      </c>
      <c r="T405" s="26" t="n">
        <f aca="false">MROUND(N405*'Fuel &amp; Inputs'!$C$20*'Fuel &amp; Inputs'!$C$22,500)</f>
        <v>163000</v>
      </c>
      <c r="U405" s="26" t="n">
        <f aca="false">MROUND(O405*'Fuel &amp; Inputs'!$C$20*'Fuel &amp; Inputs'!$C$22,500)</f>
        <v>145000</v>
      </c>
    </row>
    <row r="406" customFormat="false" ht="15" hidden="false" customHeight="false" outlineLevel="0" collapsed="false">
      <c r="A406" s="17" t="n">
        <v>379</v>
      </c>
      <c r="B406" s="32" t="s">
        <v>112</v>
      </c>
      <c r="C406" s="32" t="s">
        <v>974</v>
      </c>
      <c r="D406" s="32" t="s">
        <v>378</v>
      </c>
      <c r="E406" s="17" t="s">
        <v>217</v>
      </c>
      <c r="F406" s="17" t="s">
        <v>975</v>
      </c>
      <c r="G406" s="17" t="s">
        <v>976</v>
      </c>
      <c r="H406" s="17" t="s">
        <v>148</v>
      </c>
      <c r="I406" s="19" t="n">
        <v>7</v>
      </c>
      <c r="J406" s="33" t="n">
        <v>1</v>
      </c>
      <c r="K406" s="20" t="n">
        <f aca="false">IF(I406=0,0,IF(L406="Rs./km",MROUND(IF(H406="Petrol",'Fuel &amp; Inputs'!$C$5,'Fuel &amp; Inputs'!$C$4)/I406*J406,1),MROUND(I406*J406*IF(H406="Petrol",'Fuel &amp; Inputs'!$C$5,'Fuel &amp; Inputs'!$C$4),10)))</f>
        <v>2670</v>
      </c>
      <c r="L406" s="17" t="s">
        <v>149</v>
      </c>
      <c r="M406" s="21" t="n">
        <v>780</v>
      </c>
      <c r="N406" s="20" t="n">
        <f aca="false">MROUND(M406+'Fuel &amp; Inputs'!$C$13,50)</f>
        <v>1600</v>
      </c>
      <c r="O406" s="21" t="n">
        <v>1420</v>
      </c>
      <c r="P406" s="20" t="n">
        <f aca="false">MROUND(M406*'Fuel &amp; Inputs'!$C$19*'Fuel &amp; Inputs'!$C$21,100)</f>
        <v>3000</v>
      </c>
      <c r="Q406" s="20" t="n">
        <f aca="false">MROUND(N406*'Fuel &amp; Inputs'!$C$19*'Fuel &amp; Inputs'!$C$21,100)</f>
        <v>6100</v>
      </c>
      <c r="R406" s="20" t="n">
        <f aca="false">MROUND(O406*'Fuel &amp; Inputs'!$C$19*'Fuel &amp; Inputs'!$C$21,100)</f>
        <v>5400</v>
      </c>
      <c r="S406" s="20" t="n">
        <f aca="false">MROUND(M406*'Fuel &amp; Inputs'!$C$20*'Fuel &amp; Inputs'!$C$22,500)</f>
        <v>79500</v>
      </c>
      <c r="T406" s="20" t="n">
        <f aca="false">MROUND(N406*'Fuel &amp; Inputs'!$C$20*'Fuel &amp; Inputs'!$C$22,500)</f>
        <v>163000</v>
      </c>
      <c r="U406" s="20" t="n">
        <f aca="false">MROUND(O406*'Fuel &amp; Inputs'!$C$20*'Fuel &amp; Inputs'!$C$22,500)</f>
        <v>145000</v>
      </c>
    </row>
    <row r="407" customFormat="false" ht="15" hidden="false" customHeight="false" outlineLevel="0" collapsed="false">
      <c r="A407" s="23" t="n">
        <v>380</v>
      </c>
      <c r="B407" s="34" t="s">
        <v>112</v>
      </c>
      <c r="C407" s="34" t="s">
        <v>243</v>
      </c>
      <c r="D407" s="34" t="s">
        <v>217</v>
      </c>
      <c r="E407" s="23" t="s">
        <v>217</v>
      </c>
      <c r="F407" s="23" t="s">
        <v>217</v>
      </c>
      <c r="G407" s="23" t="s">
        <v>217</v>
      </c>
      <c r="H407" s="23" t="s">
        <v>977</v>
      </c>
      <c r="I407" s="25" t="n">
        <v>45</v>
      </c>
      <c r="J407" s="35" t="n">
        <v>1.063</v>
      </c>
      <c r="K407" s="26" t="n">
        <f aca="false">IF(I407=0,0,IF(L407="Rs./km",MROUND(IF(H407="Petrol",'Fuel &amp; Inputs'!$C$5,'Fuel &amp; Inputs'!$C$4)/I407*J407,1),MROUND(I407*J407*IF(H407="Petrol",'Fuel &amp; Inputs'!$C$5,'Fuel &amp; Inputs'!$C$4),10)))</f>
        <v>10</v>
      </c>
      <c r="L407" s="23" t="s">
        <v>590</v>
      </c>
      <c r="M407" s="27" t="n">
        <v>780</v>
      </c>
      <c r="N407" s="26" t="n">
        <f aca="false">MROUND(M407+'Fuel &amp; Inputs'!$C$13,50)</f>
        <v>1600</v>
      </c>
      <c r="O407" s="27" t="n">
        <v>1420</v>
      </c>
      <c r="P407" s="26" t="n">
        <f aca="false">MROUND(M407*'Fuel &amp; Inputs'!$C$19*'Fuel &amp; Inputs'!$C$21,100)</f>
        <v>3000</v>
      </c>
      <c r="Q407" s="26" t="n">
        <f aca="false">MROUND(N407*'Fuel &amp; Inputs'!$C$19*'Fuel &amp; Inputs'!$C$21,100)</f>
        <v>6100</v>
      </c>
      <c r="R407" s="26" t="n">
        <f aca="false">MROUND(O407*'Fuel &amp; Inputs'!$C$19*'Fuel &amp; Inputs'!$C$21,100)</f>
        <v>5400</v>
      </c>
      <c r="S407" s="26" t="n">
        <f aca="false">MROUND(M407*'Fuel &amp; Inputs'!$C$20*'Fuel &amp; Inputs'!$C$22,500)</f>
        <v>79500</v>
      </c>
      <c r="T407" s="26" t="n">
        <f aca="false">MROUND(N407*'Fuel &amp; Inputs'!$C$20*'Fuel &amp; Inputs'!$C$22,500)</f>
        <v>163000</v>
      </c>
      <c r="U407" s="26" t="n">
        <f aca="false">MROUND(O407*'Fuel &amp; Inputs'!$C$20*'Fuel &amp; Inputs'!$C$22,500)</f>
        <v>145000</v>
      </c>
    </row>
    <row r="408" customFormat="false" ht="15" hidden="false" customHeight="true" outlineLevel="0" collapsed="false">
      <c r="A408" s="31" t="s">
        <v>978</v>
      </c>
      <c r="B408" s="31"/>
      <c r="C408" s="31"/>
      <c r="D408" s="31"/>
      <c r="E408" s="31"/>
      <c r="F408" s="31"/>
      <c r="G408" s="31"/>
      <c r="H408" s="31"/>
      <c r="I408" s="31"/>
      <c r="J408" s="31"/>
      <c r="K408" s="31"/>
      <c r="L408" s="31"/>
      <c r="M408" s="31"/>
      <c r="N408" s="31"/>
      <c r="O408" s="31"/>
      <c r="P408" s="31"/>
      <c r="Q408" s="31"/>
      <c r="R408" s="31"/>
      <c r="S408" s="31"/>
      <c r="T408" s="31"/>
      <c r="U408" s="31"/>
    </row>
    <row r="409" customFormat="false" ht="15" hidden="false" customHeight="false" outlineLevel="0" collapsed="false">
      <c r="A409" s="17" t="n">
        <v>381</v>
      </c>
      <c r="B409" s="32" t="s">
        <v>979</v>
      </c>
      <c r="C409" s="32" t="s">
        <v>312</v>
      </c>
      <c r="D409" s="32" t="s">
        <v>980</v>
      </c>
      <c r="E409" s="17" t="s">
        <v>145</v>
      </c>
      <c r="F409" s="17" t="s">
        <v>981</v>
      </c>
      <c r="G409" s="17" t="s">
        <v>217</v>
      </c>
      <c r="H409" s="17" t="s">
        <v>148</v>
      </c>
      <c r="I409" s="19" t="n">
        <v>16</v>
      </c>
      <c r="J409" s="33" t="n">
        <v>1.035</v>
      </c>
      <c r="K409" s="20" t="n">
        <f aca="false">IF(I409=0,0,IF(L409="Rs./km",MROUND(IF(H409="Petrol",'Fuel &amp; Inputs'!$C$5,'Fuel &amp; Inputs'!$C$4)/I409*J409,1),MROUND(I409*J409*IF(H409="Petrol",'Fuel &amp; Inputs'!$C$5,'Fuel &amp; Inputs'!$C$4),10)))</f>
        <v>6330</v>
      </c>
      <c r="L409" s="17" t="s">
        <v>149</v>
      </c>
      <c r="M409" s="21" t="n">
        <v>4730</v>
      </c>
      <c r="N409" s="20" t="n">
        <f aca="false">MROUND(M409+'Fuel &amp; Inputs'!$C$13,50)</f>
        <v>5550</v>
      </c>
      <c r="O409" s="21" t="n">
        <v>10510</v>
      </c>
      <c r="P409" s="20" t="n">
        <f aca="false">MROUND(M409*'Fuel &amp; Inputs'!$C$19*'Fuel &amp; Inputs'!$C$21,100)</f>
        <v>18000</v>
      </c>
      <c r="Q409" s="20" t="n">
        <f aca="false">MROUND(N409*'Fuel &amp; Inputs'!$C$19*'Fuel &amp; Inputs'!$C$21,100)</f>
        <v>21100</v>
      </c>
      <c r="R409" s="20" t="n">
        <f aca="false">MROUND(O409*'Fuel &amp; Inputs'!$C$19*'Fuel &amp; Inputs'!$C$21,100)</f>
        <v>39900</v>
      </c>
      <c r="S409" s="20" t="n">
        <f aca="false">MROUND(M409*'Fuel &amp; Inputs'!$C$20*'Fuel &amp; Inputs'!$C$22,500)</f>
        <v>482500</v>
      </c>
      <c r="T409" s="20" t="n">
        <f aca="false">MROUND(N409*'Fuel &amp; Inputs'!$C$20*'Fuel &amp; Inputs'!$C$22,500)</f>
        <v>566000</v>
      </c>
      <c r="U409" s="20" t="n">
        <f aca="false">MROUND(O409*'Fuel &amp; Inputs'!$C$20*'Fuel &amp; Inputs'!$C$22,500)</f>
        <v>1072000</v>
      </c>
    </row>
    <row r="410" customFormat="false" ht="15" hidden="false" customHeight="false" outlineLevel="0" collapsed="false">
      <c r="A410" s="23" t="n">
        <v>382</v>
      </c>
      <c r="B410" s="34" t="s">
        <v>979</v>
      </c>
      <c r="C410" s="34" t="s">
        <v>312</v>
      </c>
      <c r="D410" s="34" t="s">
        <v>980</v>
      </c>
      <c r="E410" s="23" t="s">
        <v>145</v>
      </c>
      <c r="F410" s="23" t="s">
        <v>982</v>
      </c>
      <c r="G410" s="23" t="s">
        <v>217</v>
      </c>
      <c r="H410" s="23" t="s">
        <v>148</v>
      </c>
      <c r="I410" s="25" t="n">
        <v>16</v>
      </c>
      <c r="J410" s="35" t="n">
        <v>1.035</v>
      </c>
      <c r="K410" s="26" t="n">
        <f aca="false">IF(I410=0,0,IF(L410="Rs./km",MROUND(IF(H410="Petrol",'Fuel &amp; Inputs'!$C$5,'Fuel &amp; Inputs'!$C$4)/I410*J410,1),MROUND(I410*J410*IF(H410="Petrol",'Fuel &amp; Inputs'!$C$5,'Fuel &amp; Inputs'!$C$4),10)))</f>
        <v>6330</v>
      </c>
      <c r="L410" s="23" t="s">
        <v>149</v>
      </c>
      <c r="M410" s="27" t="n">
        <v>4730</v>
      </c>
      <c r="N410" s="26" t="n">
        <f aca="false">MROUND(M410+'Fuel &amp; Inputs'!$C$13,50)</f>
        <v>5550</v>
      </c>
      <c r="O410" s="27" t="n">
        <v>10510</v>
      </c>
      <c r="P410" s="26" t="n">
        <f aca="false">MROUND(M410*'Fuel &amp; Inputs'!$C$19*'Fuel &amp; Inputs'!$C$21,100)</f>
        <v>18000</v>
      </c>
      <c r="Q410" s="26" t="n">
        <f aca="false">MROUND(N410*'Fuel &amp; Inputs'!$C$19*'Fuel &amp; Inputs'!$C$21,100)</f>
        <v>21100</v>
      </c>
      <c r="R410" s="26" t="n">
        <f aca="false">MROUND(O410*'Fuel &amp; Inputs'!$C$19*'Fuel &amp; Inputs'!$C$21,100)</f>
        <v>39900</v>
      </c>
      <c r="S410" s="26" t="n">
        <f aca="false">MROUND(M410*'Fuel &amp; Inputs'!$C$20*'Fuel &amp; Inputs'!$C$22,500)</f>
        <v>482500</v>
      </c>
      <c r="T410" s="26" t="n">
        <f aca="false">MROUND(N410*'Fuel &amp; Inputs'!$C$20*'Fuel &amp; Inputs'!$C$22,500)</f>
        <v>566000</v>
      </c>
      <c r="U410" s="26" t="n">
        <f aca="false">MROUND(O410*'Fuel &amp; Inputs'!$C$20*'Fuel &amp; Inputs'!$C$22,500)</f>
        <v>1072000</v>
      </c>
    </row>
    <row r="411" customFormat="false" ht="15" hidden="false" customHeight="false" outlineLevel="0" collapsed="false">
      <c r="A411" s="17" t="n">
        <v>383</v>
      </c>
      <c r="B411" s="32" t="s">
        <v>979</v>
      </c>
      <c r="C411" s="32" t="s">
        <v>312</v>
      </c>
      <c r="D411" s="32" t="s">
        <v>980</v>
      </c>
      <c r="E411" s="17" t="s">
        <v>145</v>
      </c>
      <c r="F411" s="17" t="s">
        <v>983</v>
      </c>
      <c r="G411" s="17" t="s">
        <v>217</v>
      </c>
      <c r="H411" s="17" t="s">
        <v>148</v>
      </c>
      <c r="I411" s="19" t="n">
        <v>16</v>
      </c>
      <c r="J411" s="33" t="n">
        <v>1.035</v>
      </c>
      <c r="K411" s="20" t="n">
        <f aca="false">IF(I411=0,0,IF(L411="Rs./km",MROUND(IF(H411="Petrol",'Fuel &amp; Inputs'!$C$5,'Fuel &amp; Inputs'!$C$4)/I411*J411,1),MROUND(I411*J411*IF(H411="Petrol",'Fuel &amp; Inputs'!$C$5,'Fuel &amp; Inputs'!$C$4),10)))</f>
        <v>6330</v>
      </c>
      <c r="L411" s="17" t="s">
        <v>149</v>
      </c>
      <c r="M411" s="21" t="n">
        <v>4730</v>
      </c>
      <c r="N411" s="20" t="n">
        <f aca="false">MROUND(M411+'Fuel &amp; Inputs'!$C$13,50)</f>
        <v>5550</v>
      </c>
      <c r="O411" s="21" t="n">
        <v>10510</v>
      </c>
      <c r="P411" s="20" t="n">
        <f aca="false">MROUND(M411*'Fuel &amp; Inputs'!$C$19*'Fuel &amp; Inputs'!$C$21,100)</f>
        <v>18000</v>
      </c>
      <c r="Q411" s="20" t="n">
        <f aca="false">MROUND(N411*'Fuel &amp; Inputs'!$C$19*'Fuel &amp; Inputs'!$C$21,100)</f>
        <v>21100</v>
      </c>
      <c r="R411" s="20" t="n">
        <f aca="false">MROUND(O411*'Fuel &amp; Inputs'!$C$19*'Fuel &amp; Inputs'!$C$21,100)</f>
        <v>39900</v>
      </c>
      <c r="S411" s="20" t="n">
        <f aca="false">MROUND(M411*'Fuel &amp; Inputs'!$C$20*'Fuel &amp; Inputs'!$C$22,500)</f>
        <v>482500</v>
      </c>
      <c r="T411" s="20" t="n">
        <f aca="false">MROUND(N411*'Fuel &amp; Inputs'!$C$20*'Fuel &amp; Inputs'!$C$22,500)</f>
        <v>566000</v>
      </c>
      <c r="U411" s="20" t="n">
        <f aca="false">MROUND(O411*'Fuel &amp; Inputs'!$C$20*'Fuel &amp; Inputs'!$C$22,500)</f>
        <v>1072000</v>
      </c>
    </row>
    <row r="412" customFormat="false" ht="15" hidden="false" customHeight="false" outlineLevel="0" collapsed="false">
      <c r="A412" s="23" t="n">
        <v>384</v>
      </c>
      <c r="B412" s="34" t="s">
        <v>979</v>
      </c>
      <c r="C412" s="34" t="s">
        <v>312</v>
      </c>
      <c r="D412" s="34" t="s">
        <v>980</v>
      </c>
      <c r="E412" s="23" t="s">
        <v>145</v>
      </c>
      <c r="F412" s="23" t="s">
        <v>984</v>
      </c>
      <c r="G412" s="23" t="s">
        <v>217</v>
      </c>
      <c r="H412" s="23" t="s">
        <v>148</v>
      </c>
      <c r="I412" s="25" t="n">
        <v>16</v>
      </c>
      <c r="J412" s="35" t="n">
        <v>1.035</v>
      </c>
      <c r="K412" s="26" t="n">
        <f aca="false">IF(I412=0,0,IF(L412="Rs./km",MROUND(IF(H412="Petrol",'Fuel &amp; Inputs'!$C$5,'Fuel &amp; Inputs'!$C$4)/I412*J412,1),MROUND(I412*J412*IF(H412="Petrol",'Fuel &amp; Inputs'!$C$5,'Fuel &amp; Inputs'!$C$4),10)))</f>
        <v>6330</v>
      </c>
      <c r="L412" s="23" t="s">
        <v>149</v>
      </c>
      <c r="M412" s="27" t="n">
        <v>4730</v>
      </c>
      <c r="N412" s="26" t="n">
        <f aca="false">MROUND(M412+'Fuel &amp; Inputs'!$C$13,50)</f>
        <v>5550</v>
      </c>
      <c r="O412" s="27" t="n">
        <v>10510</v>
      </c>
      <c r="P412" s="26" t="n">
        <f aca="false">MROUND(M412*'Fuel &amp; Inputs'!$C$19*'Fuel &amp; Inputs'!$C$21,100)</f>
        <v>18000</v>
      </c>
      <c r="Q412" s="26" t="n">
        <f aca="false">MROUND(N412*'Fuel &amp; Inputs'!$C$19*'Fuel &amp; Inputs'!$C$21,100)</f>
        <v>21100</v>
      </c>
      <c r="R412" s="26" t="n">
        <f aca="false">MROUND(O412*'Fuel &amp; Inputs'!$C$19*'Fuel &amp; Inputs'!$C$21,100)</f>
        <v>39900</v>
      </c>
      <c r="S412" s="26" t="n">
        <f aca="false">MROUND(M412*'Fuel &amp; Inputs'!$C$20*'Fuel &amp; Inputs'!$C$22,500)</f>
        <v>482500</v>
      </c>
      <c r="T412" s="26" t="n">
        <f aca="false">MROUND(N412*'Fuel &amp; Inputs'!$C$20*'Fuel &amp; Inputs'!$C$22,500)</f>
        <v>566000</v>
      </c>
      <c r="U412" s="26" t="n">
        <f aca="false">MROUND(O412*'Fuel &amp; Inputs'!$C$20*'Fuel &amp; Inputs'!$C$22,500)</f>
        <v>1072000</v>
      </c>
    </row>
    <row r="413" customFormat="false" ht="15" hidden="false" customHeight="false" outlineLevel="0" collapsed="false">
      <c r="A413" s="17" t="n">
        <v>385</v>
      </c>
      <c r="B413" s="32" t="s">
        <v>979</v>
      </c>
      <c r="C413" s="32" t="s">
        <v>985</v>
      </c>
      <c r="D413" s="32" t="s">
        <v>986</v>
      </c>
      <c r="E413" s="17" t="s">
        <v>298</v>
      </c>
      <c r="F413" s="17" t="s">
        <v>987</v>
      </c>
      <c r="G413" s="17" t="s">
        <v>217</v>
      </c>
      <c r="H413" s="17" t="s">
        <v>148</v>
      </c>
      <c r="I413" s="19" t="n">
        <v>4</v>
      </c>
      <c r="J413" s="33" t="n">
        <v>1.056</v>
      </c>
      <c r="K413" s="20" t="n">
        <f aca="false">IF(I413=0,0,IF(L413="Rs./km",MROUND(IF(H413="Petrol",'Fuel &amp; Inputs'!$C$5,'Fuel &amp; Inputs'!$C$4)/I413*J413,1),MROUND(I413*J413*IF(H413="Petrol",'Fuel &amp; Inputs'!$C$5,'Fuel &amp; Inputs'!$C$4),10)))</f>
        <v>1610</v>
      </c>
      <c r="L413" s="17" t="s">
        <v>149</v>
      </c>
      <c r="M413" s="21" t="n">
        <v>2570</v>
      </c>
      <c r="N413" s="20" t="n">
        <f aca="false">MROUND(M413+'Fuel &amp; Inputs'!$C$13,50)</f>
        <v>3350</v>
      </c>
      <c r="O413" s="21" t="n">
        <v>5710</v>
      </c>
      <c r="P413" s="20" t="n">
        <f aca="false">MROUND(M413*'Fuel &amp; Inputs'!$C$19*'Fuel &amp; Inputs'!$C$21,100)</f>
        <v>9800</v>
      </c>
      <c r="Q413" s="20" t="n">
        <f aca="false">MROUND(N413*'Fuel &amp; Inputs'!$C$19*'Fuel &amp; Inputs'!$C$21,100)</f>
        <v>12700</v>
      </c>
      <c r="R413" s="20" t="n">
        <f aca="false">MROUND(O413*'Fuel &amp; Inputs'!$C$19*'Fuel &amp; Inputs'!$C$21,100)</f>
        <v>21700</v>
      </c>
      <c r="S413" s="20" t="n">
        <f aca="false">MROUND(M413*'Fuel &amp; Inputs'!$C$20*'Fuel &amp; Inputs'!$C$22,500)</f>
        <v>262000</v>
      </c>
      <c r="T413" s="20" t="n">
        <f aca="false">MROUND(N413*'Fuel &amp; Inputs'!$C$20*'Fuel &amp; Inputs'!$C$22,500)</f>
        <v>341500</v>
      </c>
      <c r="U413" s="20" t="n">
        <f aca="false">MROUND(O413*'Fuel &amp; Inputs'!$C$20*'Fuel &amp; Inputs'!$C$22,500)</f>
        <v>582500</v>
      </c>
    </row>
    <row r="414" customFormat="false" ht="15" hidden="false" customHeight="false" outlineLevel="0" collapsed="false">
      <c r="A414" s="23" t="n">
        <v>386</v>
      </c>
      <c r="B414" s="34" t="s">
        <v>979</v>
      </c>
      <c r="C414" s="34" t="s">
        <v>985</v>
      </c>
      <c r="D414" s="34" t="s">
        <v>988</v>
      </c>
      <c r="E414" s="23" t="s">
        <v>245</v>
      </c>
      <c r="F414" s="23" t="s">
        <v>989</v>
      </c>
      <c r="G414" s="23" t="s">
        <v>990</v>
      </c>
      <c r="H414" s="23" t="s">
        <v>148</v>
      </c>
      <c r="I414" s="25" t="n">
        <v>16</v>
      </c>
      <c r="J414" s="35" t="n">
        <v>1.063</v>
      </c>
      <c r="K414" s="26" t="n">
        <f aca="false">IF(I414=0,0,IF(L414="Rs./km",MROUND(IF(H414="Petrol",'Fuel &amp; Inputs'!$C$5,'Fuel &amp; Inputs'!$C$4)/I414*J414,1),MROUND(I414*J414*IF(H414="Petrol",'Fuel &amp; Inputs'!$C$5,'Fuel &amp; Inputs'!$C$4),10)))</f>
        <v>6500</v>
      </c>
      <c r="L414" s="23" t="s">
        <v>149</v>
      </c>
      <c r="M414" s="27" t="n">
        <v>4550</v>
      </c>
      <c r="N414" s="26" t="n">
        <f aca="false">MROUND(M414+'Fuel &amp; Inputs'!$C$13,50)</f>
        <v>5350</v>
      </c>
      <c r="O414" s="27" t="n">
        <v>10100</v>
      </c>
      <c r="P414" s="26" t="n">
        <f aca="false">MROUND(M414*'Fuel &amp; Inputs'!$C$19*'Fuel &amp; Inputs'!$C$21,100)</f>
        <v>17300</v>
      </c>
      <c r="Q414" s="26" t="n">
        <f aca="false">MROUND(N414*'Fuel &amp; Inputs'!$C$19*'Fuel &amp; Inputs'!$C$21,100)</f>
        <v>20300</v>
      </c>
      <c r="R414" s="26" t="n">
        <f aca="false">MROUND(O414*'Fuel &amp; Inputs'!$C$19*'Fuel &amp; Inputs'!$C$21,100)</f>
        <v>38400</v>
      </c>
      <c r="S414" s="26" t="n">
        <f aca="false">MROUND(M414*'Fuel &amp; Inputs'!$C$20*'Fuel &amp; Inputs'!$C$22,500)</f>
        <v>464000</v>
      </c>
      <c r="T414" s="26" t="n">
        <f aca="false">MROUND(N414*'Fuel &amp; Inputs'!$C$20*'Fuel &amp; Inputs'!$C$22,500)</f>
        <v>545500</v>
      </c>
      <c r="U414" s="26" t="n">
        <f aca="false">MROUND(O414*'Fuel &amp; Inputs'!$C$20*'Fuel &amp; Inputs'!$C$22,500)</f>
        <v>1030000</v>
      </c>
    </row>
    <row r="415" customFormat="false" ht="15" hidden="false" customHeight="false" outlineLevel="0" collapsed="false">
      <c r="A415" s="17" t="n">
        <v>387</v>
      </c>
      <c r="B415" s="32" t="s">
        <v>979</v>
      </c>
      <c r="C415" s="32" t="s">
        <v>985</v>
      </c>
      <c r="D415" s="32" t="s">
        <v>988</v>
      </c>
      <c r="E415" s="17" t="s">
        <v>245</v>
      </c>
      <c r="F415" s="17" t="s">
        <v>991</v>
      </c>
      <c r="G415" s="17" t="s">
        <v>990</v>
      </c>
      <c r="H415" s="17" t="s">
        <v>148</v>
      </c>
      <c r="I415" s="19" t="n">
        <v>16</v>
      </c>
      <c r="J415" s="33" t="n">
        <v>1.063</v>
      </c>
      <c r="K415" s="20" t="n">
        <f aca="false">IF(I415=0,0,IF(L415="Rs./km",MROUND(IF(H415="Petrol",'Fuel &amp; Inputs'!$C$5,'Fuel &amp; Inputs'!$C$4)/I415*J415,1),MROUND(I415*J415*IF(H415="Petrol",'Fuel &amp; Inputs'!$C$5,'Fuel &amp; Inputs'!$C$4),10)))</f>
        <v>6500</v>
      </c>
      <c r="L415" s="17" t="s">
        <v>149</v>
      </c>
      <c r="M415" s="21" t="n">
        <v>4550</v>
      </c>
      <c r="N415" s="20" t="n">
        <f aca="false">MROUND(M415+'Fuel &amp; Inputs'!$C$13,50)</f>
        <v>5350</v>
      </c>
      <c r="O415" s="21" t="n">
        <v>10100</v>
      </c>
      <c r="P415" s="20" t="n">
        <f aca="false">MROUND(M415*'Fuel &amp; Inputs'!$C$19*'Fuel &amp; Inputs'!$C$21,100)</f>
        <v>17300</v>
      </c>
      <c r="Q415" s="20" t="n">
        <f aca="false">MROUND(N415*'Fuel &amp; Inputs'!$C$19*'Fuel &amp; Inputs'!$C$21,100)</f>
        <v>20300</v>
      </c>
      <c r="R415" s="20" t="n">
        <f aca="false">MROUND(O415*'Fuel &amp; Inputs'!$C$19*'Fuel &amp; Inputs'!$C$21,100)</f>
        <v>38400</v>
      </c>
      <c r="S415" s="20" t="n">
        <f aca="false">MROUND(M415*'Fuel &amp; Inputs'!$C$20*'Fuel &amp; Inputs'!$C$22,500)</f>
        <v>464000</v>
      </c>
      <c r="T415" s="20" t="n">
        <f aca="false">MROUND(N415*'Fuel &amp; Inputs'!$C$20*'Fuel &amp; Inputs'!$C$22,500)</f>
        <v>545500</v>
      </c>
      <c r="U415" s="20" t="n">
        <f aca="false">MROUND(O415*'Fuel &amp; Inputs'!$C$20*'Fuel &amp; Inputs'!$C$22,500)</f>
        <v>1030000</v>
      </c>
    </row>
    <row r="416" customFormat="false" ht="15" hidden="false" customHeight="false" outlineLevel="0" collapsed="false">
      <c r="A416" s="23" t="n">
        <v>388</v>
      </c>
      <c r="B416" s="34" t="s">
        <v>979</v>
      </c>
      <c r="C416" s="34" t="s">
        <v>985</v>
      </c>
      <c r="D416" s="34" t="s">
        <v>988</v>
      </c>
      <c r="E416" s="23" t="s">
        <v>245</v>
      </c>
      <c r="F416" s="23" t="s">
        <v>992</v>
      </c>
      <c r="G416" s="23" t="s">
        <v>990</v>
      </c>
      <c r="H416" s="23" t="s">
        <v>148</v>
      </c>
      <c r="I416" s="25" t="n">
        <v>16</v>
      </c>
      <c r="J416" s="35" t="n">
        <v>1.063</v>
      </c>
      <c r="K416" s="26" t="n">
        <f aca="false">IF(I416=0,0,IF(L416="Rs./km",MROUND(IF(H416="Petrol",'Fuel &amp; Inputs'!$C$5,'Fuel &amp; Inputs'!$C$4)/I416*J416,1),MROUND(I416*J416*IF(H416="Petrol",'Fuel &amp; Inputs'!$C$5,'Fuel &amp; Inputs'!$C$4),10)))</f>
        <v>6500</v>
      </c>
      <c r="L416" s="23" t="s">
        <v>149</v>
      </c>
      <c r="M416" s="27" t="n">
        <v>4550</v>
      </c>
      <c r="N416" s="26" t="n">
        <f aca="false">MROUND(M416+'Fuel &amp; Inputs'!$C$13,50)</f>
        <v>5350</v>
      </c>
      <c r="O416" s="27" t="n">
        <v>10100</v>
      </c>
      <c r="P416" s="26" t="n">
        <f aca="false">MROUND(M416*'Fuel &amp; Inputs'!$C$19*'Fuel &amp; Inputs'!$C$21,100)</f>
        <v>17300</v>
      </c>
      <c r="Q416" s="26" t="n">
        <f aca="false">MROUND(N416*'Fuel &amp; Inputs'!$C$19*'Fuel &amp; Inputs'!$C$21,100)</f>
        <v>20300</v>
      </c>
      <c r="R416" s="26" t="n">
        <f aca="false">MROUND(O416*'Fuel &amp; Inputs'!$C$19*'Fuel &amp; Inputs'!$C$21,100)</f>
        <v>38400</v>
      </c>
      <c r="S416" s="26" t="n">
        <f aca="false">MROUND(M416*'Fuel &amp; Inputs'!$C$20*'Fuel &amp; Inputs'!$C$22,500)</f>
        <v>464000</v>
      </c>
      <c r="T416" s="26" t="n">
        <f aca="false">MROUND(N416*'Fuel &amp; Inputs'!$C$20*'Fuel &amp; Inputs'!$C$22,500)</f>
        <v>545500</v>
      </c>
      <c r="U416" s="26" t="n">
        <f aca="false">MROUND(O416*'Fuel &amp; Inputs'!$C$20*'Fuel &amp; Inputs'!$C$22,500)</f>
        <v>1030000</v>
      </c>
    </row>
    <row r="417" customFormat="false" ht="15" hidden="false" customHeight="false" outlineLevel="0" collapsed="false">
      <c r="A417" s="17" t="n">
        <v>389</v>
      </c>
      <c r="B417" s="32" t="s">
        <v>979</v>
      </c>
      <c r="C417" s="32" t="s">
        <v>985</v>
      </c>
      <c r="D417" s="32" t="s">
        <v>988</v>
      </c>
      <c r="E417" s="17" t="s">
        <v>245</v>
      </c>
      <c r="F417" s="17" t="s">
        <v>993</v>
      </c>
      <c r="G417" s="17" t="s">
        <v>990</v>
      </c>
      <c r="H417" s="17" t="s">
        <v>148</v>
      </c>
      <c r="I417" s="19" t="n">
        <v>16</v>
      </c>
      <c r="J417" s="33" t="n">
        <v>1.063</v>
      </c>
      <c r="K417" s="20" t="n">
        <f aca="false">IF(I417=0,0,IF(L417="Rs./km",MROUND(IF(H417="Petrol",'Fuel &amp; Inputs'!$C$5,'Fuel &amp; Inputs'!$C$4)/I417*J417,1),MROUND(I417*J417*IF(H417="Petrol",'Fuel &amp; Inputs'!$C$5,'Fuel &amp; Inputs'!$C$4),10)))</f>
        <v>6500</v>
      </c>
      <c r="L417" s="17" t="s">
        <v>149</v>
      </c>
      <c r="M417" s="21" t="n">
        <v>4550</v>
      </c>
      <c r="N417" s="20" t="n">
        <f aca="false">MROUND(M417+'Fuel &amp; Inputs'!$C$13,50)</f>
        <v>5350</v>
      </c>
      <c r="O417" s="21" t="n">
        <v>10100</v>
      </c>
      <c r="P417" s="20" t="n">
        <f aca="false">MROUND(M417*'Fuel &amp; Inputs'!$C$19*'Fuel &amp; Inputs'!$C$21,100)</f>
        <v>17300</v>
      </c>
      <c r="Q417" s="20" t="n">
        <f aca="false">MROUND(N417*'Fuel &amp; Inputs'!$C$19*'Fuel &amp; Inputs'!$C$21,100)</f>
        <v>20300</v>
      </c>
      <c r="R417" s="20" t="n">
        <f aca="false">MROUND(O417*'Fuel &amp; Inputs'!$C$19*'Fuel &amp; Inputs'!$C$21,100)</f>
        <v>38400</v>
      </c>
      <c r="S417" s="20" t="n">
        <f aca="false">MROUND(M417*'Fuel &amp; Inputs'!$C$20*'Fuel &amp; Inputs'!$C$22,500)</f>
        <v>464000</v>
      </c>
      <c r="T417" s="20" t="n">
        <f aca="false">MROUND(N417*'Fuel &amp; Inputs'!$C$20*'Fuel &amp; Inputs'!$C$22,500)</f>
        <v>545500</v>
      </c>
      <c r="U417" s="20" t="n">
        <f aca="false">MROUND(O417*'Fuel &amp; Inputs'!$C$20*'Fuel &amp; Inputs'!$C$22,500)</f>
        <v>1030000</v>
      </c>
    </row>
    <row r="418" customFormat="false" ht="15" hidden="false" customHeight="false" outlineLevel="0" collapsed="false">
      <c r="A418" s="23" t="n">
        <v>390</v>
      </c>
      <c r="B418" s="34" t="s">
        <v>979</v>
      </c>
      <c r="C418" s="34" t="s">
        <v>985</v>
      </c>
      <c r="D418" s="34" t="s">
        <v>988</v>
      </c>
      <c r="E418" s="23" t="s">
        <v>245</v>
      </c>
      <c r="F418" s="23" t="s">
        <v>994</v>
      </c>
      <c r="G418" s="23" t="s">
        <v>990</v>
      </c>
      <c r="H418" s="23" t="s">
        <v>148</v>
      </c>
      <c r="I418" s="25" t="n">
        <v>16</v>
      </c>
      <c r="J418" s="35" t="n">
        <v>1.063</v>
      </c>
      <c r="K418" s="26" t="n">
        <f aca="false">IF(I418=0,0,IF(L418="Rs./km",MROUND(IF(H418="Petrol",'Fuel &amp; Inputs'!$C$5,'Fuel &amp; Inputs'!$C$4)/I418*J418,1),MROUND(I418*J418*IF(H418="Petrol",'Fuel &amp; Inputs'!$C$5,'Fuel &amp; Inputs'!$C$4),10)))</f>
        <v>6500</v>
      </c>
      <c r="L418" s="23" t="s">
        <v>149</v>
      </c>
      <c r="M418" s="27" t="n">
        <v>4550</v>
      </c>
      <c r="N418" s="26" t="n">
        <f aca="false">MROUND(M418+'Fuel &amp; Inputs'!$C$13,50)</f>
        <v>5350</v>
      </c>
      <c r="O418" s="27" t="n">
        <v>10100</v>
      </c>
      <c r="P418" s="26" t="n">
        <f aca="false">MROUND(M418*'Fuel &amp; Inputs'!$C$19*'Fuel &amp; Inputs'!$C$21,100)</f>
        <v>17300</v>
      </c>
      <c r="Q418" s="26" t="n">
        <f aca="false">MROUND(N418*'Fuel &amp; Inputs'!$C$19*'Fuel &amp; Inputs'!$C$21,100)</f>
        <v>20300</v>
      </c>
      <c r="R418" s="26" t="n">
        <f aca="false">MROUND(O418*'Fuel &amp; Inputs'!$C$19*'Fuel &amp; Inputs'!$C$21,100)</f>
        <v>38400</v>
      </c>
      <c r="S418" s="26" t="n">
        <f aca="false">MROUND(M418*'Fuel &amp; Inputs'!$C$20*'Fuel &amp; Inputs'!$C$22,500)</f>
        <v>464000</v>
      </c>
      <c r="T418" s="26" t="n">
        <f aca="false">MROUND(N418*'Fuel &amp; Inputs'!$C$20*'Fuel &amp; Inputs'!$C$22,500)</f>
        <v>545500</v>
      </c>
      <c r="U418" s="26" t="n">
        <f aca="false">MROUND(O418*'Fuel &amp; Inputs'!$C$20*'Fuel &amp; Inputs'!$C$22,500)</f>
        <v>1030000</v>
      </c>
    </row>
    <row r="419" customFormat="false" ht="15" hidden="false" customHeight="false" outlineLevel="0" collapsed="false">
      <c r="A419" s="17" t="n">
        <v>391</v>
      </c>
      <c r="B419" s="32" t="s">
        <v>979</v>
      </c>
      <c r="C419" s="32" t="s">
        <v>985</v>
      </c>
      <c r="D419" s="32" t="s">
        <v>995</v>
      </c>
      <c r="E419" s="17" t="s">
        <v>245</v>
      </c>
      <c r="F419" s="17" t="s">
        <v>996</v>
      </c>
      <c r="G419" s="17" t="s">
        <v>217</v>
      </c>
      <c r="H419" s="17" t="s">
        <v>148</v>
      </c>
      <c r="I419" s="19" t="n">
        <v>16</v>
      </c>
      <c r="J419" s="33" t="n">
        <v>1.063</v>
      </c>
      <c r="K419" s="20" t="n">
        <f aca="false">IF(I419=0,0,IF(L419="Rs./km",MROUND(IF(H419="Petrol",'Fuel &amp; Inputs'!$C$5,'Fuel &amp; Inputs'!$C$4)/I419*J419,1),MROUND(I419*J419*IF(H419="Petrol",'Fuel &amp; Inputs'!$C$5,'Fuel &amp; Inputs'!$C$4),10)))</f>
        <v>6500</v>
      </c>
      <c r="L419" s="17" t="s">
        <v>149</v>
      </c>
      <c r="M419" s="21" t="n">
        <v>4350</v>
      </c>
      <c r="N419" s="20" t="n">
        <f aca="false">MROUND(M419+'Fuel &amp; Inputs'!$C$13,50)</f>
        <v>5150</v>
      </c>
      <c r="O419" s="21" t="n">
        <v>9660</v>
      </c>
      <c r="P419" s="20" t="n">
        <f aca="false">MROUND(M419*'Fuel &amp; Inputs'!$C$19*'Fuel &amp; Inputs'!$C$21,100)</f>
        <v>16500</v>
      </c>
      <c r="Q419" s="20" t="n">
        <f aca="false">MROUND(N419*'Fuel &amp; Inputs'!$C$19*'Fuel &amp; Inputs'!$C$21,100)</f>
        <v>19600</v>
      </c>
      <c r="R419" s="20" t="n">
        <f aca="false">MROUND(O419*'Fuel &amp; Inputs'!$C$19*'Fuel &amp; Inputs'!$C$21,100)</f>
        <v>36700</v>
      </c>
      <c r="S419" s="20" t="n">
        <f aca="false">MROUND(M419*'Fuel &amp; Inputs'!$C$20*'Fuel &amp; Inputs'!$C$22,500)</f>
        <v>443500</v>
      </c>
      <c r="T419" s="20" t="n">
        <f aca="false">MROUND(N419*'Fuel &amp; Inputs'!$C$20*'Fuel &amp; Inputs'!$C$22,500)</f>
        <v>525500</v>
      </c>
      <c r="U419" s="20" t="n">
        <f aca="false">MROUND(O419*'Fuel &amp; Inputs'!$C$20*'Fuel &amp; Inputs'!$C$22,500)</f>
        <v>985500</v>
      </c>
    </row>
    <row r="420" customFormat="false" ht="15" hidden="false" customHeight="false" outlineLevel="0" collapsed="false">
      <c r="A420" s="23" t="n">
        <v>392</v>
      </c>
      <c r="B420" s="34" t="s">
        <v>979</v>
      </c>
      <c r="C420" s="34" t="s">
        <v>985</v>
      </c>
      <c r="D420" s="34" t="s">
        <v>995</v>
      </c>
      <c r="E420" s="23" t="s">
        <v>245</v>
      </c>
      <c r="F420" s="23" t="s">
        <v>997</v>
      </c>
      <c r="G420" s="23" t="s">
        <v>217</v>
      </c>
      <c r="H420" s="23" t="s">
        <v>148</v>
      </c>
      <c r="I420" s="25" t="n">
        <v>16</v>
      </c>
      <c r="J420" s="35" t="n">
        <v>1.063</v>
      </c>
      <c r="K420" s="26" t="n">
        <f aca="false">IF(I420=0,0,IF(L420="Rs./km",MROUND(IF(H420="Petrol",'Fuel &amp; Inputs'!$C$5,'Fuel &amp; Inputs'!$C$4)/I420*J420,1),MROUND(I420*J420*IF(H420="Petrol",'Fuel &amp; Inputs'!$C$5,'Fuel &amp; Inputs'!$C$4),10)))</f>
        <v>6500</v>
      </c>
      <c r="L420" s="23" t="s">
        <v>149</v>
      </c>
      <c r="M420" s="27" t="n">
        <v>4350</v>
      </c>
      <c r="N420" s="26" t="n">
        <f aca="false">MROUND(M420+'Fuel &amp; Inputs'!$C$13,50)</f>
        <v>5150</v>
      </c>
      <c r="O420" s="27" t="n">
        <v>9660</v>
      </c>
      <c r="P420" s="26" t="n">
        <f aca="false">MROUND(M420*'Fuel &amp; Inputs'!$C$19*'Fuel &amp; Inputs'!$C$21,100)</f>
        <v>16500</v>
      </c>
      <c r="Q420" s="26" t="n">
        <f aca="false">MROUND(N420*'Fuel &amp; Inputs'!$C$19*'Fuel &amp; Inputs'!$C$21,100)</f>
        <v>19600</v>
      </c>
      <c r="R420" s="26" t="n">
        <f aca="false">MROUND(O420*'Fuel &amp; Inputs'!$C$19*'Fuel &amp; Inputs'!$C$21,100)</f>
        <v>36700</v>
      </c>
      <c r="S420" s="26" t="n">
        <f aca="false">MROUND(M420*'Fuel &amp; Inputs'!$C$20*'Fuel &amp; Inputs'!$C$22,500)</f>
        <v>443500</v>
      </c>
      <c r="T420" s="26" t="n">
        <f aca="false">MROUND(N420*'Fuel &amp; Inputs'!$C$20*'Fuel &amp; Inputs'!$C$22,500)</f>
        <v>525500</v>
      </c>
      <c r="U420" s="26" t="n">
        <f aca="false">MROUND(O420*'Fuel &amp; Inputs'!$C$20*'Fuel &amp; Inputs'!$C$22,500)</f>
        <v>985500</v>
      </c>
    </row>
    <row r="421" customFormat="false" ht="15" hidden="false" customHeight="false" outlineLevel="0" collapsed="false">
      <c r="A421" s="17" t="n">
        <v>393</v>
      </c>
      <c r="B421" s="32" t="s">
        <v>979</v>
      </c>
      <c r="C421" s="32" t="s">
        <v>998</v>
      </c>
      <c r="D421" s="32" t="s">
        <v>999</v>
      </c>
      <c r="E421" s="17" t="s">
        <v>165</v>
      </c>
      <c r="F421" s="17" t="s">
        <v>1000</v>
      </c>
      <c r="G421" s="17" t="s">
        <v>217</v>
      </c>
      <c r="H421" s="17" t="s">
        <v>148</v>
      </c>
      <c r="I421" s="19" t="n">
        <v>16</v>
      </c>
      <c r="J421" s="33" t="n">
        <v>1.077</v>
      </c>
      <c r="K421" s="20" t="n">
        <f aca="false">IF(I421=0,0,IF(L421="Rs./km",MROUND(IF(H421="Petrol",'Fuel &amp; Inputs'!$C$5,'Fuel &amp; Inputs'!$C$4)/I421*J421,1),MROUND(I421*J421*IF(H421="Petrol",'Fuel &amp; Inputs'!$C$5,'Fuel &amp; Inputs'!$C$4),10)))</f>
        <v>6580</v>
      </c>
      <c r="L421" s="17" t="s">
        <v>149</v>
      </c>
      <c r="M421" s="21" t="n">
        <v>3960</v>
      </c>
      <c r="N421" s="20" t="n">
        <f aca="false">MROUND(M421+'Fuel &amp; Inputs'!$C$13,50)</f>
        <v>4750</v>
      </c>
      <c r="O421" s="21" t="n">
        <v>8790</v>
      </c>
      <c r="P421" s="20" t="n">
        <f aca="false">MROUND(M421*'Fuel &amp; Inputs'!$C$19*'Fuel &amp; Inputs'!$C$21,100)</f>
        <v>15000</v>
      </c>
      <c r="Q421" s="20" t="n">
        <f aca="false">MROUND(N421*'Fuel &amp; Inputs'!$C$19*'Fuel &amp; Inputs'!$C$21,100)</f>
        <v>18100</v>
      </c>
      <c r="R421" s="20" t="n">
        <f aca="false">MROUND(O421*'Fuel &amp; Inputs'!$C$19*'Fuel &amp; Inputs'!$C$21,100)</f>
        <v>33400</v>
      </c>
      <c r="S421" s="20" t="n">
        <f aca="false">MROUND(M421*'Fuel &amp; Inputs'!$C$20*'Fuel &amp; Inputs'!$C$22,500)</f>
        <v>404000</v>
      </c>
      <c r="T421" s="20" t="n">
        <f aca="false">MROUND(N421*'Fuel &amp; Inputs'!$C$20*'Fuel &amp; Inputs'!$C$22,500)</f>
        <v>484500</v>
      </c>
      <c r="U421" s="20" t="n">
        <f aca="false">MROUND(O421*'Fuel &amp; Inputs'!$C$20*'Fuel &amp; Inputs'!$C$22,500)</f>
        <v>896500</v>
      </c>
    </row>
    <row r="422" customFormat="false" ht="15" hidden="false" customHeight="false" outlineLevel="0" collapsed="false">
      <c r="A422" s="23" t="n">
        <v>394</v>
      </c>
      <c r="B422" s="34" t="s">
        <v>979</v>
      </c>
      <c r="C422" s="34" t="s">
        <v>235</v>
      </c>
      <c r="D422" s="34" t="s">
        <v>1001</v>
      </c>
      <c r="E422" s="23" t="s">
        <v>222</v>
      </c>
      <c r="F422" s="23" t="s">
        <v>1002</v>
      </c>
      <c r="G422" s="23" t="s">
        <v>217</v>
      </c>
      <c r="H422" s="23" t="s">
        <v>148</v>
      </c>
      <c r="I422" s="25" t="n">
        <v>4</v>
      </c>
      <c r="J422" s="35" t="n">
        <v>1.084</v>
      </c>
      <c r="K422" s="26" t="n">
        <f aca="false">IF(I422=0,0,IF(L422="Rs./km",MROUND(IF(H422="Petrol",'Fuel &amp; Inputs'!$C$5,'Fuel &amp; Inputs'!$C$4)/I422*J422,1),MROUND(I422*J422*IF(H422="Petrol",'Fuel &amp; Inputs'!$C$5,'Fuel &amp; Inputs'!$C$4),10)))</f>
        <v>1660</v>
      </c>
      <c r="L422" s="23" t="s">
        <v>149</v>
      </c>
      <c r="M422" s="27" t="n">
        <v>1940</v>
      </c>
      <c r="N422" s="26" t="n">
        <f aca="false">MROUND(M422+'Fuel &amp; Inputs'!$C$13,50)</f>
        <v>2750</v>
      </c>
      <c r="O422" s="27" t="n">
        <v>4310</v>
      </c>
      <c r="P422" s="26" t="n">
        <f aca="false">MROUND(M422*'Fuel &amp; Inputs'!$C$19*'Fuel &amp; Inputs'!$C$21,100)</f>
        <v>7400</v>
      </c>
      <c r="Q422" s="26" t="n">
        <f aca="false">MROUND(N422*'Fuel &amp; Inputs'!$C$19*'Fuel &amp; Inputs'!$C$21,100)</f>
        <v>10500</v>
      </c>
      <c r="R422" s="26" t="n">
        <f aca="false">MROUND(O422*'Fuel &amp; Inputs'!$C$19*'Fuel &amp; Inputs'!$C$21,100)</f>
        <v>16400</v>
      </c>
      <c r="S422" s="26" t="n">
        <f aca="false">MROUND(M422*'Fuel &amp; Inputs'!$C$20*'Fuel &amp; Inputs'!$C$22,500)</f>
        <v>198000</v>
      </c>
      <c r="T422" s="26" t="n">
        <f aca="false">MROUND(N422*'Fuel &amp; Inputs'!$C$20*'Fuel &amp; Inputs'!$C$22,500)</f>
        <v>280500</v>
      </c>
      <c r="U422" s="26" t="n">
        <f aca="false">MROUND(O422*'Fuel &amp; Inputs'!$C$20*'Fuel &amp; Inputs'!$C$22,500)</f>
        <v>439500</v>
      </c>
    </row>
    <row r="423" customFormat="false" ht="15" hidden="false" customHeight="false" outlineLevel="0" collapsed="false">
      <c r="A423" s="17" t="n">
        <v>395</v>
      </c>
      <c r="B423" s="32" t="s">
        <v>979</v>
      </c>
      <c r="C423" s="32" t="s">
        <v>1003</v>
      </c>
      <c r="D423" s="32" t="s">
        <v>1004</v>
      </c>
      <c r="E423" s="17" t="s">
        <v>222</v>
      </c>
      <c r="F423" s="17" t="s">
        <v>1005</v>
      </c>
      <c r="G423" s="17" t="s">
        <v>217</v>
      </c>
      <c r="H423" s="17" t="s">
        <v>148</v>
      </c>
      <c r="I423" s="19" t="n">
        <v>10</v>
      </c>
      <c r="J423" s="33" t="n">
        <v>1.084</v>
      </c>
      <c r="K423" s="20" t="n">
        <f aca="false">IF(I423=0,0,IF(L423="Rs./km",MROUND(IF(H423="Petrol",'Fuel &amp; Inputs'!$C$5,'Fuel &amp; Inputs'!$C$4)/I423*J423,1),MROUND(I423*J423*IF(H423="Petrol",'Fuel &amp; Inputs'!$C$5,'Fuel &amp; Inputs'!$C$4),10)))</f>
        <v>4140</v>
      </c>
      <c r="L423" s="17" t="s">
        <v>149</v>
      </c>
      <c r="M423" s="21" t="n">
        <v>3350</v>
      </c>
      <c r="N423" s="20" t="n">
        <f aca="false">MROUND(M423+'Fuel &amp; Inputs'!$C$13,50)</f>
        <v>4150</v>
      </c>
      <c r="O423" s="21" t="n">
        <v>7440</v>
      </c>
      <c r="P423" s="20" t="n">
        <f aca="false">MROUND(M423*'Fuel &amp; Inputs'!$C$19*'Fuel &amp; Inputs'!$C$21,100)</f>
        <v>12700</v>
      </c>
      <c r="Q423" s="20" t="n">
        <f aca="false">MROUND(N423*'Fuel &amp; Inputs'!$C$19*'Fuel &amp; Inputs'!$C$21,100)</f>
        <v>15800</v>
      </c>
      <c r="R423" s="20" t="n">
        <f aca="false">MROUND(O423*'Fuel &amp; Inputs'!$C$19*'Fuel &amp; Inputs'!$C$21,100)</f>
        <v>28300</v>
      </c>
      <c r="S423" s="20" t="n">
        <f aca="false">MROUND(M423*'Fuel &amp; Inputs'!$C$20*'Fuel &amp; Inputs'!$C$22,500)</f>
        <v>341500</v>
      </c>
      <c r="T423" s="20" t="n">
        <f aca="false">MROUND(N423*'Fuel &amp; Inputs'!$C$20*'Fuel &amp; Inputs'!$C$22,500)</f>
        <v>423500</v>
      </c>
      <c r="U423" s="20" t="n">
        <f aca="false">MROUND(O423*'Fuel &amp; Inputs'!$C$20*'Fuel &amp; Inputs'!$C$22,500)</f>
        <v>759000</v>
      </c>
    </row>
    <row r="424" customFormat="false" ht="15" hidden="false" customHeight="false" outlineLevel="0" collapsed="false">
      <c r="A424" s="23" t="n">
        <v>396</v>
      </c>
      <c r="B424" s="34" t="s">
        <v>979</v>
      </c>
      <c r="C424" s="34" t="s">
        <v>1006</v>
      </c>
      <c r="D424" s="34" t="s">
        <v>1007</v>
      </c>
      <c r="E424" s="23" t="s">
        <v>222</v>
      </c>
      <c r="F424" s="23" t="s">
        <v>1008</v>
      </c>
      <c r="G424" s="23" t="s">
        <v>217</v>
      </c>
      <c r="H424" s="23" t="s">
        <v>148</v>
      </c>
      <c r="I424" s="25" t="n">
        <v>6.5</v>
      </c>
      <c r="J424" s="35" t="n">
        <v>1.084</v>
      </c>
      <c r="K424" s="26" t="n">
        <f aca="false">IF(I424=0,0,IF(L424="Rs./km",MROUND(IF(H424="Petrol",'Fuel &amp; Inputs'!$C$5,'Fuel &amp; Inputs'!$C$4)/I424*J424,1),MROUND(I424*J424*IF(H424="Petrol",'Fuel &amp; Inputs'!$C$5,'Fuel &amp; Inputs'!$C$4),10)))</f>
        <v>2690</v>
      </c>
      <c r="L424" s="23" t="s">
        <v>149</v>
      </c>
      <c r="M424" s="27" t="n">
        <v>2470</v>
      </c>
      <c r="N424" s="26" t="n">
        <f aca="false">MROUND(M424+'Fuel &amp; Inputs'!$C$13,50)</f>
        <v>3250</v>
      </c>
      <c r="O424" s="27" t="n">
        <v>5480</v>
      </c>
      <c r="P424" s="26" t="n">
        <f aca="false">MROUND(M424*'Fuel &amp; Inputs'!$C$19*'Fuel &amp; Inputs'!$C$21,100)</f>
        <v>9400</v>
      </c>
      <c r="Q424" s="26" t="n">
        <f aca="false">MROUND(N424*'Fuel &amp; Inputs'!$C$19*'Fuel &amp; Inputs'!$C$21,100)</f>
        <v>12400</v>
      </c>
      <c r="R424" s="26" t="n">
        <f aca="false">MROUND(O424*'Fuel &amp; Inputs'!$C$19*'Fuel &amp; Inputs'!$C$21,100)</f>
        <v>20800</v>
      </c>
      <c r="S424" s="26" t="n">
        <f aca="false">MROUND(M424*'Fuel &amp; Inputs'!$C$20*'Fuel &amp; Inputs'!$C$22,500)</f>
        <v>252000</v>
      </c>
      <c r="T424" s="26" t="n">
        <f aca="false">MROUND(N424*'Fuel &amp; Inputs'!$C$20*'Fuel &amp; Inputs'!$C$22,500)</f>
        <v>331500</v>
      </c>
      <c r="U424" s="26" t="n">
        <f aca="false">MROUND(O424*'Fuel &amp; Inputs'!$C$20*'Fuel &amp; Inputs'!$C$22,500)</f>
        <v>559000</v>
      </c>
    </row>
    <row r="425" customFormat="false" ht="15" hidden="false" customHeight="false" outlineLevel="0" collapsed="false">
      <c r="A425" s="17" t="n">
        <v>397</v>
      </c>
      <c r="B425" s="32" t="s">
        <v>979</v>
      </c>
      <c r="C425" s="32" t="s">
        <v>998</v>
      </c>
      <c r="D425" s="32" t="s">
        <v>1009</v>
      </c>
      <c r="E425" s="17" t="s">
        <v>222</v>
      </c>
      <c r="F425" s="17" t="s">
        <v>1010</v>
      </c>
      <c r="G425" s="17" t="s">
        <v>217</v>
      </c>
      <c r="H425" s="17" t="s">
        <v>148</v>
      </c>
      <c r="I425" s="19" t="n">
        <v>16</v>
      </c>
      <c r="J425" s="33" t="n">
        <v>1.084</v>
      </c>
      <c r="K425" s="20" t="n">
        <f aca="false">IF(I425=0,0,IF(L425="Rs./km",MROUND(IF(H425="Petrol",'Fuel &amp; Inputs'!$C$5,'Fuel &amp; Inputs'!$C$4)/I425*J425,1),MROUND(I425*J425*IF(H425="Petrol",'Fuel &amp; Inputs'!$C$5,'Fuel &amp; Inputs'!$C$4),10)))</f>
        <v>6630</v>
      </c>
      <c r="L425" s="17" t="s">
        <v>149</v>
      </c>
      <c r="M425" s="21" t="n">
        <v>3530</v>
      </c>
      <c r="N425" s="20" t="n">
        <f aca="false">MROUND(M425+'Fuel &amp; Inputs'!$C$13,50)</f>
        <v>4350</v>
      </c>
      <c r="O425" s="21" t="n">
        <v>7830</v>
      </c>
      <c r="P425" s="20" t="n">
        <f aca="false">MROUND(M425*'Fuel &amp; Inputs'!$C$19*'Fuel &amp; Inputs'!$C$21,100)</f>
        <v>13400</v>
      </c>
      <c r="Q425" s="20" t="n">
        <f aca="false">MROUND(N425*'Fuel &amp; Inputs'!$C$19*'Fuel &amp; Inputs'!$C$21,100)</f>
        <v>16500</v>
      </c>
      <c r="R425" s="20" t="n">
        <f aca="false">MROUND(O425*'Fuel &amp; Inputs'!$C$19*'Fuel &amp; Inputs'!$C$21,100)</f>
        <v>29800</v>
      </c>
      <c r="S425" s="20" t="n">
        <f aca="false">MROUND(M425*'Fuel &amp; Inputs'!$C$20*'Fuel &amp; Inputs'!$C$22,500)</f>
        <v>360000</v>
      </c>
      <c r="T425" s="20" t="n">
        <f aca="false">MROUND(N425*'Fuel &amp; Inputs'!$C$20*'Fuel &amp; Inputs'!$C$22,500)</f>
        <v>443500</v>
      </c>
      <c r="U425" s="20" t="n">
        <f aca="false">MROUND(O425*'Fuel &amp; Inputs'!$C$20*'Fuel &amp; Inputs'!$C$22,500)</f>
        <v>798500</v>
      </c>
    </row>
    <row r="426" customFormat="false" ht="15" hidden="false" customHeight="false" outlineLevel="0" collapsed="false">
      <c r="A426" s="23" t="n">
        <v>398</v>
      </c>
      <c r="B426" s="34" t="s">
        <v>979</v>
      </c>
      <c r="C426" s="34" t="s">
        <v>218</v>
      </c>
      <c r="D426" s="34" t="s">
        <v>1011</v>
      </c>
      <c r="E426" s="23" t="s">
        <v>222</v>
      </c>
      <c r="F426" s="23" t="s">
        <v>1012</v>
      </c>
      <c r="G426" s="23" t="s">
        <v>217</v>
      </c>
      <c r="H426" s="23" t="s">
        <v>148</v>
      </c>
      <c r="I426" s="25" t="n">
        <v>4</v>
      </c>
      <c r="J426" s="35" t="n">
        <v>1.084</v>
      </c>
      <c r="K426" s="26" t="n">
        <f aca="false">IF(I426=0,0,IF(L426="Rs./km",MROUND(IF(H426="Petrol",'Fuel &amp; Inputs'!$C$5,'Fuel &amp; Inputs'!$C$4)/I426*J426,1),MROUND(I426*J426*IF(H426="Petrol",'Fuel &amp; Inputs'!$C$5,'Fuel &amp; Inputs'!$C$4),10)))</f>
        <v>1660</v>
      </c>
      <c r="L426" s="23" t="s">
        <v>149</v>
      </c>
      <c r="M426" s="27" t="n">
        <v>1940</v>
      </c>
      <c r="N426" s="26" t="n">
        <f aca="false">MROUND(M426+'Fuel &amp; Inputs'!$C$13,50)</f>
        <v>2750</v>
      </c>
      <c r="O426" s="27" t="n">
        <v>4310</v>
      </c>
      <c r="P426" s="26" t="n">
        <f aca="false">MROUND(M426*'Fuel &amp; Inputs'!$C$19*'Fuel &amp; Inputs'!$C$21,100)</f>
        <v>7400</v>
      </c>
      <c r="Q426" s="26" t="n">
        <f aca="false">MROUND(N426*'Fuel &amp; Inputs'!$C$19*'Fuel &amp; Inputs'!$C$21,100)</f>
        <v>10500</v>
      </c>
      <c r="R426" s="26" t="n">
        <f aca="false">MROUND(O426*'Fuel &amp; Inputs'!$C$19*'Fuel &amp; Inputs'!$C$21,100)</f>
        <v>16400</v>
      </c>
      <c r="S426" s="26" t="n">
        <f aca="false">MROUND(M426*'Fuel &amp; Inputs'!$C$20*'Fuel &amp; Inputs'!$C$22,500)</f>
        <v>198000</v>
      </c>
      <c r="T426" s="26" t="n">
        <f aca="false">MROUND(N426*'Fuel &amp; Inputs'!$C$20*'Fuel &amp; Inputs'!$C$22,500)</f>
        <v>280500</v>
      </c>
      <c r="U426" s="26" t="n">
        <f aca="false">MROUND(O426*'Fuel &amp; Inputs'!$C$20*'Fuel &amp; Inputs'!$C$22,500)</f>
        <v>439500</v>
      </c>
    </row>
    <row r="427" customFormat="false" ht="15" hidden="false" customHeight="false" outlineLevel="0" collapsed="false">
      <c r="A427" s="17" t="n">
        <v>399</v>
      </c>
      <c r="B427" s="32" t="s">
        <v>979</v>
      </c>
      <c r="C427" s="32" t="s">
        <v>235</v>
      </c>
      <c r="D427" s="32" t="s">
        <v>1013</v>
      </c>
      <c r="E427" s="17" t="s">
        <v>228</v>
      </c>
      <c r="F427" s="17" t="s">
        <v>1014</v>
      </c>
      <c r="G427" s="17" t="s">
        <v>217</v>
      </c>
      <c r="H427" s="17" t="s">
        <v>148</v>
      </c>
      <c r="I427" s="19" t="n">
        <v>6.5</v>
      </c>
      <c r="J427" s="33" t="n">
        <v>1.091</v>
      </c>
      <c r="K427" s="20" t="n">
        <f aca="false">IF(I427=0,0,IF(L427="Rs./km",MROUND(IF(H427="Petrol",'Fuel &amp; Inputs'!$C$5,'Fuel &amp; Inputs'!$C$4)/I427*J427,1),MROUND(I427*J427*IF(H427="Petrol",'Fuel &amp; Inputs'!$C$5,'Fuel &amp; Inputs'!$C$4),10)))</f>
        <v>2710</v>
      </c>
      <c r="L427" s="17" t="s">
        <v>149</v>
      </c>
      <c r="M427" s="21" t="n">
        <v>3000</v>
      </c>
      <c r="N427" s="20" t="n">
        <f aca="false">MROUND(M427+'Fuel &amp; Inputs'!$C$13,50)</f>
        <v>3800</v>
      </c>
      <c r="O427" s="21" t="n">
        <v>6660</v>
      </c>
      <c r="P427" s="20" t="n">
        <f aca="false">MROUND(M427*'Fuel &amp; Inputs'!$C$19*'Fuel &amp; Inputs'!$C$21,100)</f>
        <v>11400</v>
      </c>
      <c r="Q427" s="20" t="n">
        <f aca="false">MROUND(N427*'Fuel &amp; Inputs'!$C$19*'Fuel &amp; Inputs'!$C$21,100)</f>
        <v>14400</v>
      </c>
      <c r="R427" s="20" t="n">
        <f aca="false">MROUND(O427*'Fuel &amp; Inputs'!$C$19*'Fuel &amp; Inputs'!$C$21,100)</f>
        <v>25300</v>
      </c>
      <c r="S427" s="20" t="n">
        <f aca="false">MROUND(M427*'Fuel &amp; Inputs'!$C$20*'Fuel &amp; Inputs'!$C$22,500)</f>
        <v>306000</v>
      </c>
      <c r="T427" s="20" t="n">
        <f aca="false">MROUND(N427*'Fuel &amp; Inputs'!$C$20*'Fuel &amp; Inputs'!$C$22,500)</f>
        <v>387500</v>
      </c>
      <c r="U427" s="20" t="n">
        <f aca="false">MROUND(O427*'Fuel &amp; Inputs'!$C$20*'Fuel &amp; Inputs'!$C$22,500)</f>
        <v>679500</v>
      </c>
    </row>
    <row r="428" customFormat="false" ht="15" hidden="false" customHeight="false" outlineLevel="0" collapsed="false">
      <c r="A428" s="23" t="n">
        <v>400</v>
      </c>
      <c r="B428" s="34" t="s">
        <v>979</v>
      </c>
      <c r="C428" s="34" t="s">
        <v>1015</v>
      </c>
      <c r="D428" s="34" t="s">
        <v>1016</v>
      </c>
      <c r="E428" s="23" t="s">
        <v>228</v>
      </c>
      <c r="F428" s="23" t="s">
        <v>1017</v>
      </c>
      <c r="G428" s="23" t="s">
        <v>217</v>
      </c>
      <c r="H428" s="23" t="s">
        <v>148</v>
      </c>
      <c r="I428" s="25" t="n">
        <v>4</v>
      </c>
      <c r="J428" s="35" t="n">
        <v>1.091</v>
      </c>
      <c r="K428" s="26" t="n">
        <f aca="false">IF(I428=0,0,IF(L428="Rs./km",MROUND(IF(H428="Petrol",'Fuel &amp; Inputs'!$C$5,'Fuel &amp; Inputs'!$C$4)/I428*J428,1),MROUND(I428*J428*IF(H428="Petrol",'Fuel &amp; Inputs'!$C$5,'Fuel &amp; Inputs'!$C$4),10)))</f>
        <v>1670</v>
      </c>
      <c r="L428" s="23" t="s">
        <v>149</v>
      </c>
      <c r="M428" s="27" t="n">
        <v>1940</v>
      </c>
      <c r="N428" s="26" t="n">
        <f aca="false">MROUND(M428+'Fuel &amp; Inputs'!$C$13,50)</f>
        <v>2750</v>
      </c>
      <c r="O428" s="27" t="n">
        <v>4310</v>
      </c>
      <c r="P428" s="26" t="n">
        <f aca="false">MROUND(M428*'Fuel &amp; Inputs'!$C$19*'Fuel &amp; Inputs'!$C$21,100)</f>
        <v>7400</v>
      </c>
      <c r="Q428" s="26" t="n">
        <f aca="false">MROUND(N428*'Fuel &amp; Inputs'!$C$19*'Fuel &amp; Inputs'!$C$21,100)</f>
        <v>10500</v>
      </c>
      <c r="R428" s="26" t="n">
        <f aca="false">MROUND(O428*'Fuel &amp; Inputs'!$C$19*'Fuel &amp; Inputs'!$C$21,100)</f>
        <v>16400</v>
      </c>
      <c r="S428" s="26" t="n">
        <f aca="false">MROUND(M428*'Fuel &amp; Inputs'!$C$20*'Fuel &amp; Inputs'!$C$22,500)</f>
        <v>198000</v>
      </c>
      <c r="T428" s="26" t="n">
        <f aca="false">MROUND(N428*'Fuel &amp; Inputs'!$C$20*'Fuel &amp; Inputs'!$C$22,500)</f>
        <v>280500</v>
      </c>
      <c r="U428" s="26" t="n">
        <f aca="false">MROUND(O428*'Fuel &amp; Inputs'!$C$20*'Fuel &amp; Inputs'!$C$22,500)</f>
        <v>439500</v>
      </c>
    </row>
    <row r="429" customFormat="false" ht="15" hidden="false" customHeight="false" outlineLevel="0" collapsed="false">
      <c r="A429" s="17" t="n">
        <v>401</v>
      </c>
      <c r="B429" s="32" t="s">
        <v>979</v>
      </c>
      <c r="C429" s="32" t="s">
        <v>523</v>
      </c>
      <c r="D429" s="32" t="s">
        <v>1018</v>
      </c>
      <c r="E429" s="17" t="s">
        <v>228</v>
      </c>
      <c r="F429" s="17" t="s">
        <v>1019</v>
      </c>
      <c r="G429" s="17" t="s">
        <v>217</v>
      </c>
      <c r="H429" s="17" t="s">
        <v>148</v>
      </c>
      <c r="I429" s="19" t="n">
        <v>16</v>
      </c>
      <c r="J429" s="33" t="n">
        <v>1.091</v>
      </c>
      <c r="K429" s="20" t="n">
        <f aca="false">IF(I429=0,0,IF(L429="Rs./km",MROUND(IF(H429="Petrol",'Fuel &amp; Inputs'!$C$5,'Fuel &amp; Inputs'!$C$4)/I429*J429,1),MROUND(I429*J429*IF(H429="Petrol",'Fuel &amp; Inputs'!$C$5,'Fuel &amp; Inputs'!$C$4),10)))</f>
        <v>6670</v>
      </c>
      <c r="L429" s="17" t="s">
        <v>149</v>
      </c>
      <c r="M429" s="21" t="n">
        <v>3700</v>
      </c>
      <c r="N429" s="20" t="n">
        <f aca="false">MROUND(M429+'Fuel &amp; Inputs'!$C$13,50)</f>
        <v>4500</v>
      </c>
      <c r="O429" s="21" t="n">
        <v>8220</v>
      </c>
      <c r="P429" s="20" t="n">
        <f aca="false">MROUND(M429*'Fuel &amp; Inputs'!$C$19*'Fuel &amp; Inputs'!$C$21,100)</f>
        <v>14100</v>
      </c>
      <c r="Q429" s="20" t="n">
        <f aca="false">MROUND(N429*'Fuel &amp; Inputs'!$C$19*'Fuel &amp; Inputs'!$C$21,100)</f>
        <v>17100</v>
      </c>
      <c r="R429" s="20" t="n">
        <f aca="false">MROUND(O429*'Fuel &amp; Inputs'!$C$19*'Fuel &amp; Inputs'!$C$21,100)</f>
        <v>31200</v>
      </c>
      <c r="S429" s="20" t="n">
        <f aca="false">MROUND(M429*'Fuel &amp; Inputs'!$C$20*'Fuel &amp; Inputs'!$C$22,500)</f>
        <v>377500</v>
      </c>
      <c r="T429" s="20" t="n">
        <f aca="false">MROUND(N429*'Fuel &amp; Inputs'!$C$20*'Fuel &amp; Inputs'!$C$22,500)</f>
        <v>459000</v>
      </c>
      <c r="U429" s="20" t="n">
        <f aca="false">MROUND(O429*'Fuel &amp; Inputs'!$C$20*'Fuel &amp; Inputs'!$C$22,500)</f>
        <v>838500</v>
      </c>
    </row>
    <row r="430" customFormat="false" ht="15" hidden="false" customHeight="false" outlineLevel="0" collapsed="false">
      <c r="A430" s="23" t="n">
        <v>402</v>
      </c>
      <c r="B430" s="34" t="s">
        <v>979</v>
      </c>
      <c r="C430" s="34" t="s">
        <v>998</v>
      </c>
      <c r="D430" s="34" t="s">
        <v>1020</v>
      </c>
      <c r="E430" s="23" t="s">
        <v>160</v>
      </c>
      <c r="F430" s="23" t="s">
        <v>1021</v>
      </c>
      <c r="G430" s="23" t="s">
        <v>217</v>
      </c>
      <c r="H430" s="23" t="s">
        <v>148</v>
      </c>
      <c r="I430" s="25" t="n">
        <v>10</v>
      </c>
      <c r="J430" s="35" t="n">
        <v>1.098</v>
      </c>
      <c r="K430" s="26" t="n">
        <f aca="false">IF(I430=0,0,IF(L430="Rs./km",MROUND(IF(H430="Petrol",'Fuel &amp; Inputs'!$C$5,'Fuel &amp; Inputs'!$C$4)/I430*J430,1),MROUND(I430*J430*IF(H430="Petrol",'Fuel &amp; Inputs'!$C$5,'Fuel &amp; Inputs'!$C$4),10)))</f>
        <v>4190</v>
      </c>
      <c r="L430" s="23" t="s">
        <v>149</v>
      </c>
      <c r="M430" s="27" t="n">
        <v>3000</v>
      </c>
      <c r="N430" s="26" t="n">
        <f aca="false">MROUND(M430+'Fuel &amp; Inputs'!$C$13,50)</f>
        <v>3800</v>
      </c>
      <c r="O430" s="27" t="n">
        <v>6660</v>
      </c>
      <c r="P430" s="26" t="n">
        <f aca="false">MROUND(M430*'Fuel &amp; Inputs'!$C$19*'Fuel &amp; Inputs'!$C$21,100)</f>
        <v>11400</v>
      </c>
      <c r="Q430" s="26" t="n">
        <f aca="false">MROUND(N430*'Fuel &amp; Inputs'!$C$19*'Fuel &amp; Inputs'!$C$21,100)</f>
        <v>14400</v>
      </c>
      <c r="R430" s="26" t="n">
        <f aca="false">MROUND(O430*'Fuel &amp; Inputs'!$C$19*'Fuel &amp; Inputs'!$C$21,100)</f>
        <v>25300</v>
      </c>
      <c r="S430" s="26" t="n">
        <f aca="false">MROUND(M430*'Fuel &amp; Inputs'!$C$20*'Fuel &amp; Inputs'!$C$22,500)</f>
        <v>306000</v>
      </c>
      <c r="T430" s="26" t="n">
        <f aca="false">MROUND(N430*'Fuel &amp; Inputs'!$C$20*'Fuel &amp; Inputs'!$C$22,500)</f>
        <v>387500</v>
      </c>
      <c r="U430" s="26" t="n">
        <f aca="false">MROUND(O430*'Fuel &amp; Inputs'!$C$20*'Fuel &amp; Inputs'!$C$22,500)</f>
        <v>679500</v>
      </c>
    </row>
    <row r="431" customFormat="false" ht="15" hidden="false" customHeight="false" outlineLevel="0" collapsed="false">
      <c r="A431" s="17" t="n">
        <v>403</v>
      </c>
      <c r="B431" s="32" t="s">
        <v>979</v>
      </c>
      <c r="C431" s="32" t="s">
        <v>218</v>
      </c>
      <c r="D431" s="32" t="s">
        <v>1022</v>
      </c>
      <c r="E431" s="17" t="s">
        <v>160</v>
      </c>
      <c r="F431" s="17" t="s">
        <v>1023</v>
      </c>
      <c r="G431" s="17" t="s">
        <v>217</v>
      </c>
      <c r="H431" s="17" t="s">
        <v>148</v>
      </c>
      <c r="I431" s="19" t="n">
        <v>4</v>
      </c>
      <c r="J431" s="33" t="n">
        <v>1.098</v>
      </c>
      <c r="K431" s="20" t="n">
        <f aca="false">IF(I431=0,0,IF(L431="Rs./km",MROUND(IF(H431="Petrol",'Fuel &amp; Inputs'!$C$5,'Fuel &amp; Inputs'!$C$4)/I431*J431,1),MROUND(I431*J431*IF(H431="Petrol",'Fuel &amp; Inputs'!$C$5,'Fuel &amp; Inputs'!$C$4),10)))</f>
        <v>1680</v>
      </c>
      <c r="L431" s="17" t="s">
        <v>149</v>
      </c>
      <c r="M431" s="21" t="n">
        <v>1940</v>
      </c>
      <c r="N431" s="20" t="n">
        <f aca="false">MROUND(M431+'Fuel &amp; Inputs'!$C$13,50)</f>
        <v>2750</v>
      </c>
      <c r="O431" s="21" t="n">
        <v>4310</v>
      </c>
      <c r="P431" s="20" t="n">
        <f aca="false">MROUND(M431*'Fuel &amp; Inputs'!$C$19*'Fuel &amp; Inputs'!$C$21,100)</f>
        <v>7400</v>
      </c>
      <c r="Q431" s="20" t="n">
        <f aca="false">MROUND(N431*'Fuel &amp; Inputs'!$C$19*'Fuel &amp; Inputs'!$C$21,100)</f>
        <v>10500</v>
      </c>
      <c r="R431" s="20" t="n">
        <f aca="false">MROUND(O431*'Fuel &amp; Inputs'!$C$19*'Fuel &amp; Inputs'!$C$21,100)</f>
        <v>16400</v>
      </c>
      <c r="S431" s="20" t="n">
        <f aca="false">MROUND(M431*'Fuel &amp; Inputs'!$C$20*'Fuel &amp; Inputs'!$C$22,500)</f>
        <v>198000</v>
      </c>
      <c r="T431" s="20" t="n">
        <f aca="false">MROUND(N431*'Fuel &amp; Inputs'!$C$20*'Fuel &amp; Inputs'!$C$22,500)</f>
        <v>280500</v>
      </c>
      <c r="U431" s="20" t="n">
        <f aca="false">MROUND(O431*'Fuel &amp; Inputs'!$C$20*'Fuel &amp; Inputs'!$C$22,500)</f>
        <v>439500</v>
      </c>
    </row>
    <row r="432" customFormat="false" ht="15" hidden="false" customHeight="false" outlineLevel="0" collapsed="false">
      <c r="A432" s="23" t="n">
        <v>404</v>
      </c>
      <c r="B432" s="34" t="s">
        <v>979</v>
      </c>
      <c r="C432" s="34" t="s">
        <v>218</v>
      </c>
      <c r="D432" s="34" t="s">
        <v>1024</v>
      </c>
      <c r="E432" s="23" t="s">
        <v>160</v>
      </c>
      <c r="F432" s="23" t="s">
        <v>1025</v>
      </c>
      <c r="G432" s="23" t="s">
        <v>217</v>
      </c>
      <c r="H432" s="23" t="s">
        <v>148</v>
      </c>
      <c r="I432" s="25" t="n">
        <v>4</v>
      </c>
      <c r="J432" s="35" t="n">
        <v>1.098</v>
      </c>
      <c r="K432" s="26" t="n">
        <f aca="false">IF(I432=0,0,IF(L432="Rs./km",MROUND(IF(H432="Petrol",'Fuel &amp; Inputs'!$C$5,'Fuel &amp; Inputs'!$C$4)/I432*J432,1),MROUND(I432*J432*IF(H432="Petrol",'Fuel &amp; Inputs'!$C$5,'Fuel &amp; Inputs'!$C$4),10)))</f>
        <v>1680</v>
      </c>
      <c r="L432" s="23" t="s">
        <v>149</v>
      </c>
      <c r="M432" s="27" t="n">
        <v>2470</v>
      </c>
      <c r="N432" s="26" t="n">
        <f aca="false">MROUND(M432+'Fuel &amp; Inputs'!$C$13,50)</f>
        <v>3250</v>
      </c>
      <c r="O432" s="27" t="n">
        <v>5480</v>
      </c>
      <c r="P432" s="26" t="n">
        <f aca="false">MROUND(M432*'Fuel &amp; Inputs'!$C$19*'Fuel &amp; Inputs'!$C$21,100)</f>
        <v>9400</v>
      </c>
      <c r="Q432" s="26" t="n">
        <f aca="false">MROUND(N432*'Fuel &amp; Inputs'!$C$19*'Fuel &amp; Inputs'!$C$21,100)</f>
        <v>12400</v>
      </c>
      <c r="R432" s="26" t="n">
        <f aca="false">MROUND(O432*'Fuel &amp; Inputs'!$C$19*'Fuel &amp; Inputs'!$C$21,100)</f>
        <v>20800</v>
      </c>
      <c r="S432" s="26" t="n">
        <f aca="false">MROUND(M432*'Fuel &amp; Inputs'!$C$20*'Fuel &amp; Inputs'!$C$22,500)</f>
        <v>252000</v>
      </c>
      <c r="T432" s="26" t="n">
        <f aca="false">MROUND(N432*'Fuel &amp; Inputs'!$C$20*'Fuel &amp; Inputs'!$C$22,500)</f>
        <v>331500</v>
      </c>
      <c r="U432" s="26" t="n">
        <f aca="false">MROUND(O432*'Fuel &amp; Inputs'!$C$20*'Fuel &amp; Inputs'!$C$22,500)</f>
        <v>559000</v>
      </c>
    </row>
    <row r="433" customFormat="false" ht="15" hidden="false" customHeight="false" outlineLevel="0" collapsed="false">
      <c r="A433" s="17" t="n">
        <v>405</v>
      </c>
      <c r="B433" s="32" t="s">
        <v>979</v>
      </c>
      <c r="C433" s="32" t="s">
        <v>218</v>
      </c>
      <c r="D433" s="32" t="s">
        <v>1026</v>
      </c>
      <c r="E433" s="17" t="s">
        <v>596</v>
      </c>
      <c r="F433" s="17" t="s">
        <v>1027</v>
      </c>
      <c r="G433" s="17" t="s">
        <v>217</v>
      </c>
      <c r="H433" s="17" t="s">
        <v>148</v>
      </c>
      <c r="I433" s="19" t="n">
        <v>10</v>
      </c>
      <c r="J433" s="33" t="n">
        <v>1.105</v>
      </c>
      <c r="K433" s="20" t="n">
        <f aca="false">IF(I433=0,0,IF(L433="Rs./km",MROUND(IF(H433="Petrol",'Fuel &amp; Inputs'!$C$5,'Fuel &amp; Inputs'!$C$4)/I433*J433,1),MROUND(I433*J433*IF(H433="Petrol",'Fuel &amp; Inputs'!$C$5,'Fuel &amp; Inputs'!$C$4),10)))</f>
        <v>4220</v>
      </c>
      <c r="L433" s="17" t="s">
        <v>149</v>
      </c>
      <c r="M433" s="21" t="n">
        <v>3000</v>
      </c>
      <c r="N433" s="20" t="n">
        <f aca="false">MROUND(M433+'Fuel &amp; Inputs'!$C$13,50)</f>
        <v>3800</v>
      </c>
      <c r="O433" s="21" t="n">
        <v>6660</v>
      </c>
      <c r="P433" s="20" t="n">
        <f aca="false">MROUND(M433*'Fuel &amp; Inputs'!$C$19*'Fuel &amp; Inputs'!$C$21,100)</f>
        <v>11400</v>
      </c>
      <c r="Q433" s="20" t="n">
        <f aca="false">MROUND(N433*'Fuel &amp; Inputs'!$C$19*'Fuel &amp; Inputs'!$C$21,100)</f>
        <v>14400</v>
      </c>
      <c r="R433" s="20" t="n">
        <f aca="false">MROUND(O433*'Fuel &amp; Inputs'!$C$19*'Fuel &amp; Inputs'!$C$21,100)</f>
        <v>25300</v>
      </c>
      <c r="S433" s="20" t="n">
        <f aca="false">MROUND(M433*'Fuel &amp; Inputs'!$C$20*'Fuel &amp; Inputs'!$C$22,500)</f>
        <v>306000</v>
      </c>
      <c r="T433" s="20" t="n">
        <f aca="false">MROUND(N433*'Fuel &amp; Inputs'!$C$20*'Fuel &amp; Inputs'!$C$22,500)</f>
        <v>387500</v>
      </c>
      <c r="U433" s="20" t="n">
        <f aca="false">MROUND(O433*'Fuel &amp; Inputs'!$C$20*'Fuel &amp; Inputs'!$C$22,500)</f>
        <v>679500</v>
      </c>
    </row>
    <row r="434" customFormat="false" ht="15" hidden="false" customHeight="false" outlineLevel="0" collapsed="false">
      <c r="A434" s="23" t="n">
        <v>406</v>
      </c>
      <c r="B434" s="34" t="s">
        <v>979</v>
      </c>
      <c r="C434" s="34" t="s">
        <v>1028</v>
      </c>
      <c r="D434" s="34" t="s">
        <v>1029</v>
      </c>
      <c r="E434" s="23" t="s">
        <v>237</v>
      </c>
      <c r="F434" s="23" t="s">
        <v>1030</v>
      </c>
      <c r="G434" s="23" t="s">
        <v>217</v>
      </c>
      <c r="H434" s="23" t="s">
        <v>148</v>
      </c>
      <c r="I434" s="25" t="n">
        <v>10</v>
      </c>
      <c r="J434" s="35" t="n">
        <v>1.112</v>
      </c>
      <c r="K434" s="26" t="n">
        <f aca="false">IF(I434=0,0,IF(L434="Rs./km",MROUND(IF(H434="Petrol",'Fuel &amp; Inputs'!$C$5,'Fuel &amp; Inputs'!$C$4)/I434*J434,1),MROUND(I434*J434*IF(H434="Petrol",'Fuel &amp; Inputs'!$C$5,'Fuel &amp; Inputs'!$C$4),10)))</f>
        <v>4250</v>
      </c>
      <c r="L434" s="23" t="s">
        <v>149</v>
      </c>
      <c r="M434" s="27" t="n">
        <v>3530</v>
      </c>
      <c r="N434" s="26" t="n">
        <f aca="false">MROUND(M434+'Fuel &amp; Inputs'!$C$13,50)</f>
        <v>4350</v>
      </c>
      <c r="O434" s="27" t="n">
        <v>7830</v>
      </c>
      <c r="P434" s="26" t="n">
        <f aca="false">MROUND(M434*'Fuel &amp; Inputs'!$C$19*'Fuel &amp; Inputs'!$C$21,100)</f>
        <v>13400</v>
      </c>
      <c r="Q434" s="26" t="n">
        <f aca="false">MROUND(N434*'Fuel &amp; Inputs'!$C$19*'Fuel &amp; Inputs'!$C$21,100)</f>
        <v>16500</v>
      </c>
      <c r="R434" s="26" t="n">
        <f aca="false">MROUND(O434*'Fuel &amp; Inputs'!$C$19*'Fuel &amp; Inputs'!$C$21,100)</f>
        <v>29800</v>
      </c>
      <c r="S434" s="26" t="n">
        <f aca="false">MROUND(M434*'Fuel &amp; Inputs'!$C$20*'Fuel &amp; Inputs'!$C$22,500)</f>
        <v>360000</v>
      </c>
      <c r="T434" s="26" t="n">
        <f aca="false">MROUND(N434*'Fuel &amp; Inputs'!$C$20*'Fuel &amp; Inputs'!$C$22,500)</f>
        <v>443500</v>
      </c>
      <c r="U434" s="26" t="n">
        <f aca="false">MROUND(O434*'Fuel &amp; Inputs'!$C$20*'Fuel &amp; Inputs'!$C$22,500)</f>
        <v>798500</v>
      </c>
    </row>
    <row r="435" customFormat="false" ht="15" hidden="false" customHeight="false" outlineLevel="0" collapsed="false">
      <c r="A435" s="17" t="n">
        <v>407</v>
      </c>
      <c r="B435" s="32" t="s">
        <v>979</v>
      </c>
      <c r="C435" s="32" t="s">
        <v>218</v>
      </c>
      <c r="D435" s="32" t="s">
        <v>1026</v>
      </c>
      <c r="E435" s="17" t="s">
        <v>237</v>
      </c>
      <c r="F435" s="17" t="s">
        <v>1031</v>
      </c>
      <c r="G435" s="17" t="s">
        <v>217</v>
      </c>
      <c r="H435" s="17" t="s">
        <v>148</v>
      </c>
      <c r="I435" s="19" t="n">
        <v>10</v>
      </c>
      <c r="J435" s="33" t="n">
        <v>1.112</v>
      </c>
      <c r="K435" s="20" t="n">
        <f aca="false">IF(I435=0,0,IF(L435="Rs./km",MROUND(IF(H435="Petrol",'Fuel &amp; Inputs'!$C$5,'Fuel &amp; Inputs'!$C$4)/I435*J435,1),MROUND(I435*J435*IF(H435="Petrol",'Fuel &amp; Inputs'!$C$5,'Fuel &amp; Inputs'!$C$4),10)))</f>
        <v>4250</v>
      </c>
      <c r="L435" s="17" t="s">
        <v>149</v>
      </c>
      <c r="M435" s="21" t="n">
        <v>3000</v>
      </c>
      <c r="N435" s="20" t="n">
        <f aca="false">MROUND(M435+'Fuel &amp; Inputs'!$C$13,50)</f>
        <v>3800</v>
      </c>
      <c r="O435" s="21" t="n">
        <v>6660</v>
      </c>
      <c r="P435" s="20" t="n">
        <f aca="false">MROUND(M435*'Fuel &amp; Inputs'!$C$19*'Fuel &amp; Inputs'!$C$21,100)</f>
        <v>11400</v>
      </c>
      <c r="Q435" s="20" t="n">
        <f aca="false">MROUND(N435*'Fuel &amp; Inputs'!$C$19*'Fuel &amp; Inputs'!$C$21,100)</f>
        <v>14400</v>
      </c>
      <c r="R435" s="20" t="n">
        <f aca="false">MROUND(O435*'Fuel &amp; Inputs'!$C$19*'Fuel &amp; Inputs'!$C$21,100)</f>
        <v>25300</v>
      </c>
      <c r="S435" s="20" t="n">
        <f aca="false">MROUND(M435*'Fuel &amp; Inputs'!$C$20*'Fuel &amp; Inputs'!$C$22,500)</f>
        <v>306000</v>
      </c>
      <c r="T435" s="20" t="n">
        <f aca="false">MROUND(N435*'Fuel &amp; Inputs'!$C$20*'Fuel &amp; Inputs'!$C$22,500)</f>
        <v>387500</v>
      </c>
      <c r="U435" s="20" t="n">
        <f aca="false">MROUND(O435*'Fuel &amp; Inputs'!$C$20*'Fuel &amp; Inputs'!$C$22,500)</f>
        <v>679500</v>
      </c>
    </row>
    <row r="436" customFormat="false" ht="15" hidden="false" customHeight="false" outlineLevel="0" collapsed="false">
      <c r="A436" s="23" t="n">
        <v>408</v>
      </c>
      <c r="B436" s="34" t="s">
        <v>979</v>
      </c>
      <c r="C436" s="34" t="s">
        <v>1015</v>
      </c>
      <c r="D436" s="34" t="s">
        <v>1032</v>
      </c>
      <c r="E436" s="23" t="s">
        <v>237</v>
      </c>
      <c r="F436" s="23" t="s">
        <v>1033</v>
      </c>
      <c r="G436" s="23" t="s">
        <v>217</v>
      </c>
      <c r="H436" s="23" t="s">
        <v>148</v>
      </c>
      <c r="I436" s="25" t="n">
        <v>4</v>
      </c>
      <c r="J436" s="35" t="n">
        <v>1.112</v>
      </c>
      <c r="K436" s="26" t="n">
        <f aca="false">IF(I436=0,0,IF(L436="Rs./km",MROUND(IF(H436="Petrol",'Fuel &amp; Inputs'!$C$5,'Fuel &amp; Inputs'!$C$4)/I436*J436,1),MROUND(I436*J436*IF(H436="Petrol",'Fuel &amp; Inputs'!$C$5,'Fuel &amp; Inputs'!$C$4),10)))</f>
        <v>1700</v>
      </c>
      <c r="L436" s="23" t="s">
        <v>149</v>
      </c>
      <c r="M436" s="27" t="n">
        <v>1940</v>
      </c>
      <c r="N436" s="26" t="n">
        <f aca="false">MROUND(M436+'Fuel &amp; Inputs'!$C$13,50)</f>
        <v>2750</v>
      </c>
      <c r="O436" s="27" t="n">
        <v>4310</v>
      </c>
      <c r="P436" s="26" t="n">
        <f aca="false">MROUND(M436*'Fuel &amp; Inputs'!$C$19*'Fuel &amp; Inputs'!$C$21,100)</f>
        <v>7400</v>
      </c>
      <c r="Q436" s="26" t="n">
        <f aca="false">MROUND(N436*'Fuel &amp; Inputs'!$C$19*'Fuel &amp; Inputs'!$C$21,100)</f>
        <v>10500</v>
      </c>
      <c r="R436" s="26" t="n">
        <f aca="false">MROUND(O436*'Fuel &amp; Inputs'!$C$19*'Fuel &amp; Inputs'!$C$21,100)</f>
        <v>16400</v>
      </c>
      <c r="S436" s="26" t="n">
        <f aca="false">MROUND(M436*'Fuel &amp; Inputs'!$C$20*'Fuel &amp; Inputs'!$C$22,500)</f>
        <v>198000</v>
      </c>
      <c r="T436" s="26" t="n">
        <f aca="false">MROUND(N436*'Fuel &amp; Inputs'!$C$20*'Fuel &amp; Inputs'!$C$22,500)</f>
        <v>280500</v>
      </c>
      <c r="U436" s="26" t="n">
        <f aca="false">MROUND(O436*'Fuel &amp; Inputs'!$C$20*'Fuel &amp; Inputs'!$C$22,500)</f>
        <v>439500</v>
      </c>
    </row>
    <row r="437" customFormat="false" ht="15" hidden="false" customHeight="false" outlineLevel="0" collapsed="false">
      <c r="A437" s="17" t="n">
        <v>409</v>
      </c>
      <c r="B437" s="32" t="s">
        <v>979</v>
      </c>
      <c r="C437" s="32" t="s">
        <v>218</v>
      </c>
      <c r="D437" s="32" t="s">
        <v>1034</v>
      </c>
      <c r="E437" s="17" t="s">
        <v>240</v>
      </c>
      <c r="F437" s="17" t="s">
        <v>1035</v>
      </c>
      <c r="G437" s="17" t="s">
        <v>217</v>
      </c>
      <c r="H437" s="17" t="s">
        <v>148</v>
      </c>
      <c r="I437" s="19" t="n">
        <v>4</v>
      </c>
      <c r="J437" s="33" t="n">
        <v>1.119</v>
      </c>
      <c r="K437" s="20" t="n">
        <f aca="false">IF(I437=0,0,IF(L437="Rs./km",MROUND(IF(H437="Petrol",'Fuel &amp; Inputs'!$C$5,'Fuel &amp; Inputs'!$C$4)/I437*J437,1),MROUND(I437*J437*IF(H437="Petrol",'Fuel &amp; Inputs'!$C$5,'Fuel &amp; Inputs'!$C$4),10)))</f>
        <v>1710</v>
      </c>
      <c r="L437" s="17" t="s">
        <v>149</v>
      </c>
      <c r="M437" s="21" t="n">
        <v>2170</v>
      </c>
      <c r="N437" s="20" t="n">
        <f aca="false">MROUND(M437+'Fuel &amp; Inputs'!$C$13,50)</f>
        <v>2950</v>
      </c>
      <c r="O437" s="21" t="n">
        <v>4810</v>
      </c>
      <c r="P437" s="20" t="n">
        <f aca="false">MROUND(M437*'Fuel &amp; Inputs'!$C$19*'Fuel &amp; Inputs'!$C$21,100)</f>
        <v>8200</v>
      </c>
      <c r="Q437" s="20" t="n">
        <f aca="false">MROUND(N437*'Fuel &amp; Inputs'!$C$19*'Fuel &amp; Inputs'!$C$21,100)</f>
        <v>11200</v>
      </c>
      <c r="R437" s="20" t="n">
        <f aca="false">MROUND(O437*'Fuel &amp; Inputs'!$C$19*'Fuel &amp; Inputs'!$C$21,100)</f>
        <v>18300</v>
      </c>
      <c r="S437" s="20" t="n">
        <f aca="false">MROUND(M437*'Fuel &amp; Inputs'!$C$20*'Fuel &amp; Inputs'!$C$22,500)</f>
        <v>221500</v>
      </c>
      <c r="T437" s="20" t="n">
        <f aca="false">MROUND(N437*'Fuel &amp; Inputs'!$C$20*'Fuel &amp; Inputs'!$C$22,500)</f>
        <v>301000</v>
      </c>
      <c r="U437" s="20" t="n">
        <f aca="false">MROUND(O437*'Fuel &amp; Inputs'!$C$20*'Fuel &amp; Inputs'!$C$22,500)</f>
        <v>490500</v>
      </c>
    </row>
    <row r="438" customFormat="false" ht="15" hidden="false" customHeight="false" outlineLevel="0" collapsed="false">
      <c r="A438" s="23" t="n">
        <v>410</v>
      </c>
      <c r="B438" s="34" t="s">
        <v>979</v>
      </c>
      <c r="C438" s="34" t="s">
        <v>218</v>
      </c>
      <c r="D438" s="34" t="s">
        <v>1036</v>
      </c>
      <c r="E438" s="23" t="s">
        <v>240</v>
      </c>
      <c r="F438" s="23" t="s">
        <v>1037</v>
      </c>
      <c r="G438" s="23" t="s">
        <v>217</v>
      </c>
      <c r="H438" s="23" t="s">
        <v>148</v>
      </c>
      <c r="I438" s="25" t="n">
        <v>4</v>
      </c>
      <c r="J438" s="35" t="n">
        <v>1.119</v>
      </c>
      <c r="K438" s="26" t="n">
        <f aca="false">IF(I438=0,0,IF(L438="Rs./km",MROUND(IF(H438="Petrol",'Fuel &amp; Inputs'!$C$5,'Fuel &amp; Inputs'!$C$4)/I438*J438,1),MROUND(I438*J438*IF(H438="Petrol",'Fuel &amp; Inputs'!$C$5,'Fuel &amp; Inputs'!$C$4),10)))</f>
        <v>1710</v>
      </c>
      <c r="L438" s="23" t="s">
        <v>149</v>
      </c>
      <c r="M438" s="27" t="n">
        <v>1700</v>
      </c>
      <c r="N438" s="26" t="n">
        <f aca="false">MROUND(M438+'Fuel &amp; Inputs'!$C$13,50)</f>
        <v>2500</v>
      </c>
      <c r="O438" s="27" t="n">
        <v>3780</v>
      </c>
      <c r="P438" s="26" t="n">
        <f aca="false">MROUND(M438*'Fuel &amp; Inputs'!$C$19*'Fuel &amp; Inputs'!$C$21,100)</f>
        <v>6500</v>
      </c>
      <c r="Q438" s="26" t="n">
        <f aca="false">MROUND(N438*'Fuel &amp; Inputs'!$C$19*'Fuel &amp; Inputs'!$C$21,100)</f>
        <v>9500</v>
      </c>
      <c r="R438" s="26" t="n">
        <f aca="false">MROUND(O438*'Fuel &amp; Inputs'!$C$19*'Fuel &amp; Inputs'!$C$21,100)</f>
        <v>14400</v>
      </c>
      <c r="S438" s="26" t="n">
        <f aca="false">MROUND(M438*'Fuel &amp; Inputs'!$C$20*'Fuel &amp; Inputs'!$C$22,500)</f>
        <v>173500</v>
      </c>
      <c r="T438" s="26" t="n">
        <f aca="false">MROUND(N438*'Fuel &amp; Inputs'!$C$20*'Fuel &amp; Inputs'!$C$22,500)</f>
        <v>255000</v>
      </c>
      <c r="U438" s="26" t="n">
        <f aca="false">MROUND(O438*'Fuel &amp; Inputs'!$C$20*'Fuel &amp; Inputs'!$C$22,500)</f>
        <v>385500</v>
      </c>
    </row>
    <row r="439" customFormat="false" ht="15" hidden="false" customHeight="false" outlineLevel="0" collapsed="false">
      <c r="A439" s="17" t="n">
        <v>411</v>
      </c>
      <c r="B439" s="32" t="s">
        <v>979</v>
      </c>
      <c r="C439" s="32" t="s">
        <v>218</v>
      </c>
      <c r="D439" s="32" t="s">
        <v>1038</v>
      </c>
      <c r="E439" s="17" t="s">
        <v>240</v>
      </c>
      <c r="F439" s="17" t="s">
        <v>1039</v>
      </c>
      <c r="G439" s="17" t="s">
        <v>217</v>
      </c>
      <c r="H439" s="17" t="s">
        <v>148</v>
      </c>
      <c r="I439" s="19" t="n">
        <v>4</v>
      </c>
      <c r="J439" s="33" t="n">
        <v>1.119</v>
      </c>
      <c r="K439" s="20" t="n">
        <f aca="false">IF(I439=0,0,IF(L439="Rs./km",MROUND(IF(H439="Petrol",'Fuel &amp; Inputs'!$C$5,'Fuel &amp; Inputs'!$C$4)/I439*J439,1),MROUND(I439*J439*IF(H439="Petrol",'Fuel &amp; Inputs'!$C$5,'Fuel &amp; Inputs'!$C$4),10)))</f>
        <v>1710</v>
      </c>
      <c r="L439" s="17" t="s">
        <v>149</v>
      </c>
      <c r="M439" s="21" t="n">
        <v>1700</v>
      </c>
      <c r="N439" s="20" t="n">
        <f aca="false">MROUND(M439+'Fuel &amp; Inputs'!$C$13,50)</f>
        <v>2500</v>
      </c>
      <c r="O439" s="21" t="n">
        <v>3780</v>
      </c>
      <c r="P439" s="20" t="n">
        <f aca="false">MROUND(M439*'Fuel &amp; Inputs'!$C$19*'Fuel &amp; Inputs'!$C$21,100)</f>
        <v>6500</v>
      </c>
      <c r="Q439" s="20" t="n">
        <f aca="false">MROUND(N439*'Fuel &amp; Inputs'!$C$19*'Fuel &amp; Inputs'!$C$21,100)</f>
        <v>9500</v>
      </c>
      <c r="R439" s="20" t="n">
        <f aca="false">MROUND(O439*'Fuel &amp; Inputs'!$C$19*'Fuel &amp; Inputs'!$C$21,100)</f>
        <v>14400</v>
      </c>
      <c r="S439" s="20" t="n">
        <f aca="false">MROUND(M439*'Fuel &amp; Inputs'!$C$20*'Fuel &amp; Inputs'!$C$22,500)</f>
        <v>173500</v>
      </c>
      <c r="T439" s="20" t="n">
        <f aca="false">MROUND(N439*'Fuel &amp; Inputs'!$C$20*'Fuel &amp; Inputs'!$C$22,500)</f>
        <v>255000</v>
      </c>
      <c r="U439" s="20" t="n">
        <f aca="false">MROUND(O439*'Fuel &amp; Inputs'!$C$20*'Fuel &amp; Inputs'!$C$22,500)</f>
        <v>385500</v>
      </c>
    </row>
    <row r="440" customFormat="false" ht="15" hidden="false" customHeight="false" outlineLevel="0" collapsed="false">
      <c r="A440" s="23" t="n">
        <v>412</v>
      </c>
      <c r="B440" s="34" t="s">
        <v>979</v>
      </c>
      <c r="C440" s="34" t="s">
        <v>218</v>
      </c>
      <c r="D440" s="34" t="s">
        <v>1040</v>
      </c>
      <c r="E440" s="23" t="s">
        <v>240</v>
      </c>
      <c r="F440" s="23" t="s">
        <v>1041</v>
      </c>
      <c r="G440" s="23" t="s">
        <v>217</v>
      </c>
      <c r="H440" s="23" t="s">
        <v>148</v>
      </c>
      <c r="I440" s="25" t="n">
        <v>10</v>
      </c>
      <c r="J440" s="35" t="n">
        <v>1.119</v>
      </c>
      <c r="K440" s="26" t="n">
        <f aca="false">IF(I440=0,0,IF(L440="Rs./km",MROUND(IF(H440="Petrol",'Fuel &amp; Inputs'!$C$5,'Fuel &amp; Inputs'!$C$4)/I440*J440,1),MROUND(I440*J440*IF(H440="Petrol",'Fuel &amp; Inputs'!$C$5,'Fuel &amp; Inputs'!$C$4),10)))</f>
        <v>4270</v>
      </c>
      <c r="L440" s="23" t="s">
        <v>149</v>
      </c>
      <c r="M440" s="27" t="n">
        <v>3100</v>
      </c>
      <c r="N440" s="26" t="n">
        <f aca="false">MROUND(M440+'Fuel &amp; Inputs'!$C$13,50)</f>
        <v>3900</v>
      </c>
      <c r="O440" s="27" t="n">
        <v>6880</v>
      </c>
      <c r="P440" s="26" t="n">
        <f aca="false">MROUND(M440*'Fuel &amp; Inputs'!$C$19*'Fuel &amp; Inputs'!$C$21,100)</f>
        <v>11800</v>
      </c>
      <c r="Q440" s="26" t="n">
        <f aca="false">MROUND(N440*'Fuel &amp; Inputs'!$C$19*'Fuel &amp; Inputs'!$C$21,100)</f>
        <v>14800</v>
      </c>
      <c r="R440" s="26" t="n">
        <f aca="false">MROUND(O440*'Fuel &amp; Inputs'!$C$19*'Fuel &amp; Inputs'!$C$21,100)</f>
        <v>26100</v>
      </c>
      <c r="S440" s="26" t="n">
        <f aca="false">MROUND(M440*'Fuel &amp; Inputs'!$C$20*'Fuel &amp; Inputs'!$C$22,500)</f>
        <v>316000</v>
      </c>
      <c r="T440" s="26" t="n">
        <f aca="false">MROUND(N440*'Fuel &amp; Inputs'!$C$20*'Fuel &amp; Inputs'!$C$22,500)</f>
        <v>398000</v>
      </c>
      <c r="U440" s="26" t="n">
        <f aca="false">MROUND(O440*'Fuel &amp; Inputs'!$C$20*'Fuel &amp; Inputs'!$C$22,500)</f>
        <v>702000</v>
      </c>
    </row>
    <row r="441" customFormat="false" ht="15" hidden="false" customHeight="false" outlineLevel="0" collapsed="false">
      <c r="A441" s="17" t="n">
        <v>413</v>
      </c>
      <c r="B441" s="32" t="s">
        <v>979</v>
      </c>
      <c r="C441" s="32" t="s">
        <v>218</v>
      </c>
      <c r="D441" s="32" t="s">
        <v>1042</v>
      </c>
      <c r="E441" s="17" t="s">
        <v>240</v>
      </c>
      <c r="F441" s="17" t="s">
        <v>1043</v>
      </c>
      <c r="G441" s="17" t="s">
        <v>217</v>
      </c>
      <c r="H441" s="17" t="s">
        <v>148</v>
      </c>
      <c r="I441" s="19" t="n">
        <v>4</v>
      </c>
      <c r="J441" s="33" t="n">
        <v>1.119</v>
      </c>
      <c r="K441" s="20" t="n">
        <f aca="false">IF(I441=0,0,IF(L441="Rs./km",MROUND(IF(H441="Petrol",'Fuel &amp; Inputs'!$C$5,'Fuel &amp; Inputs'!$C$4)/I441*J441,1),MROUND(I441*J441*IF(H441="Petrol",'Fuel &amp; Inputs'!$C$5,'Fuel &amp; Inputs'!$C$4),10)))</f>
        <v>1710</v>
      </c>
      <c r="L441" s="17" t="s">
        <v>149</v>
      </c>
      <c r="M441" s="21" t="n">
        <v>1700</v>
      </c>
      <c r="N441" s="20" t="n">
        <f aca="false">MROUND(M441+'Fuel &amp; Inputs'!$C$13,50)</f>
        <v>2500</v>
      </c>
      <c r="O441" s="21" t="n">
        <v>3780</v>
      </c>
      <c r="P441" s="20" t="n">
        <f aca="false">MROUND(M441*'Fuel &amp; Inputs'!$C$19*'Fuel &amp; Inputs'!$C$21,100)</f>
        <v>6500</v>
      </c>
      <c r="Q441" s="20" t="n">
        <f aca="false">MROUND(N441*'Fuel &amp; Inputs'!$C$19*'Fuel &amp; Inputs'!$C$21,100)</f>
        <v>9500</v>
      </c>
      <c r="R441" s="20" t="n">
        <f aca="false">MROUND(O441*'Fuel &amp; Inputs'!$C$19*'Fuel &amp; Inputs'!$C$21,100)</f>
        <v>14400</v>
      </c>
      <c r="S441" s="20" t="n">
        <f aca="false">MROUND(M441*'Fuel &amp; Inputs'!$C$20*'Fuel &amp; Inputs'!$C$22,500)</f>
        <v>173500</v>
      </c>
      <c r="T441" s="20" t="n">
        <f aca="false">MROUND(N441*'Fuel &amp; Inputs'!$C$20*'Fuel &amp; Inputs'!$C$22,500)</f>
        <v>255000</v>
      </c>
      <c r="U441" s="20" t="n">
        <f aca="false">MROUND(O441*'Fuel &amp; Inputs'!$C$20*'Fuel &amp; Inputs'!$C$22,500)</f>
        <v>385500</v>
      </c>
    </row>
    <row r="442" customFormat="false" ht="15" hidden="false" customHeight="false" outlineLevel="0" collapsed="false">
      <c r="A442" s="23" t="n">
        <v>414</v>
      </c>
      <c r="B442" s="34" t="s">
        <v>979</v>
      </c>
      <c r="C442" s="34" t="s">
        <v>324</v>
      </c>
      <c r="D442" s="34" t="s">
        <v>217</v>
      </c>
      <c r="E442" s="23" t="s">
        <v>217</v>
      </c>
      <c r="F442" s="23" t="s">
        <v>1044</v>
      </c>
      <c r="G442" s="23" t="s">
        <v>217</v>
      </c>
      <c r="H442" s="23" t="s">
        <v>148</v>
      </c>
      <c r="I442" s="25" t="n">
        <v>16</v>
      </c>
      <c r="J442" s="35" t="n">
        <v>1</v>
      </c>
      <c r="K442" s="26" t="n">
        <f aca="false">IF(I442=0,0,IF(L442="Rs./km",MROUND(IF(H442="Petrol",'Fuel &amp; Inputs'!$C$5,'Fuel &amp; Inputs'!$C$4)/I442*J442,1),MROUND(I442*J442*IF(H442="Petrol",'Fuel &amp; Inputs'!$C$5,'Fuel &amp; Inputs'!$C$4),10)))</f>
        <v>6110</v>
      </c>
      <c r="L442" s="23" t="s">
        <v>149</v>
      </c>
      <c r="M442" s="27" t="n">
        <v>2490</v>
      </c>
      <c r="N442" s="26" t="n">
        <f aca="false">MROUND(M442+'Fuel &amp; Inputs'!$C$13,50)</f>
        <v>3300</v>
      </c>
      <c r="O442" s="27" t="n">
        <v>5540</v>
      </c>
      <c r="P442" s="26" t="n">
        <f aca="false">MROUND(M442*'Fuel &amp; Inputs'!$C$19*'Fuel &amp; Inputs'!$C$21,100)</f>
        <v>9500</v>
      </c>
      <c r="Q442" s="26" t="n">
        <f aca="false">MROUND(N442*'Fuel &amp; Inputs'!$C$19*'Fuel &amp; Inputs'!$C$21,100)</f>
        <v>12500</v>
      </c>
      <c r="R442" s="26" t="n">
        <f aca="false">MROUND(O442*'Fuel &amp; Inputs'!$C$19*'Fuel &amp; Inputs'!$C$21,100)</f>
        <v>21100</v>
      </c>
      <c r="S442" s="26" t="n">
        <f aca="false">MROUND(M442*'Fuel &amp; Inputs'!$C$20*'Fuel &amp; Inputs'!$C$22,500)</f>
        <v>254000</v>
      </c>
      <c r="T442" s="26" t="n">
        <f aca="false">MROUND(N442*'Fuel &amp; Inputs'!$C$20*'Fuel &amp; Inputs'!$C$22,500)</f>
        <v>336500</v>
      </c>
      <c r="U442" s="26" t="n">
        <f aca="false">MROUND(O442*'Fuel &amp; Inputs'!$C$20*'Fuel &amp; Inputs'!$C$22,500)</f>
        <v>565000</v>
      </c>
    </row>
    <row r="443" customFormat="false" ht="15" hidden="false" customHeight="false" outlineLevel="0" collapsed="false">
      <c r="A443" s="17" t="n">
        <v>415</v>
      </c>
      <c r="B443" s="32" t="s">
        <v>979</v>
      </c>
      <c r="C443" s="32" t="s">
        <v>985</v>
      </c>
      <c r="D443" s="32" t="s">
        <v>1045</v>
      </c>
      <c r="E443" s="17" t="s">
        <v>217</v>
      </c>
      <c r="F443" s="17" t="s">
        <v>1046</v>
      </c>
      <c r="G443" s="17" t="s">
        <v>217</v>
      </c>
      <c r="H443" s="17" t="s">
        <v>148</v>
      </c>
      <c r="I443" s="19" t="n">
        <v>22</v>
      </c>
      <c r="J443" s="33" t="n">
        <v>1</v>
      </c>
      <c r="K443" s="20" t="n">
        <f aca="false">IF(I443=0,0,IF(L443="Rs./km",MROUND(IF(H443="Petrol",'Fuel &amp; Inputs'!$C$5,'Fuel &amp; Inputs'!$C$4)/I443*J443,1),MROUND(I443*J443*IF(H443="Petrol",'Fuel &amp; Inputs'!$C$5,'Fuel &amp; Inputs'!$C$4),10)))</f>
        <v>8400</v>
      </c>
      <c r="L443" s="17" t="s">
        <v>149</v>
      </c>
      <c r="M443" s="21" t="n">
        <v>3240</v>
      </c>
      <c r="N443" s="20" t="n">
        <f aca="false">MROUND(M443+'Fuel &amp; Inputs'!$C$13,50)</f>
        <v>4050</v>
      </c>
      <c r="O443" s="21" t="n">
        <v>7200</v>
      </c>
      <c r="P443" s="20" t="n">
        <f aca="false">MROUND(M443*'Fuel &amp; Inputs'!$C$19*'Fuel &amp; Inputs'!$C$21,100)</f>
        <v>12300</v>
      </c>
      <c r="Q443" s="20" t="n">
        <f aca="false">MROUND(N443*'Fuel &amp; Inputs'!$C$19*'Fuel &amp; Inputs'!$C$21,100)</f>
        <v>15400</v>
      </c>
      <c r="R443" s="20" t="n">
        <f aca="false">MROUND(O443*'Fuel &amp; Inputs'!$C$19*'Fuel &amp; Inputs'!$C$21,100)</f>
        <v>27400</v>
      </c>
      <c r="S443" s="20" t="n">
        <f aca="false">MROUND(M443*'Fuel &amp; Inputs'!$C$20*'Fuel &amp; Inputs'!$C$22,500)</f>
        <v>330500</v>
      </c>
      <c r="T443" s="20" t="n">
        <f aca="false">MROUND(N443*'Fuel &amp; Inputs'!$C$20*'Fuel &amp; Inputs'!$C$22,500)</f>
        <v>413000</v>
      </c>
      <c r="U443" s="20" t="n">
        <f aca="false">MROUND(O443*'Fuel &amp; Inputs'!$C$20*'Fuel &amp; Inputs'!$C$22,500)</f>
        <v>734500</v>
      </c>
    </row>
    <row r="444" customFormat="false" ht="15" hidden="false" customHeight="false" outlineLevel="0" collapsed="false">
      <c r="A444" s="23" t="n">
        <v>416</v>
      </c>
      <c r="B444" s="34" t="s">
        <v>979</v>
      </c>
      <c r="C444" s="34" t="s">
        <v>985</v>
      </c>
      <c r="D444" s="34" t="s">
        <v>986</v>
      </c>
      <c r="E444" s="23" t="s">
        <v>217</v>
      </c>
      <c r="F444" s="23" t="s">
        <v>1047</v>
      </c>
      <c r="G444" s="23" t="s">
        <v>217</v>
      </c>
      <c r="H444" s="23" t="s">
        <v>148</v>
      </c>
      <c r="I444" s="25" t="n">
        <v>4</v>
      </c>
      <c r="J444" s="35" t="n">
        <v>1</v>
      </c>
      <c r="K444" s="26" t="n">
        <f aca="false">IF(I444=0,0,IF(L444="Rs./km",MROUND(IF(H444="Petrol",'Fuel &amp; Inputs'!$C$5,'Fuel &amp; Inputs'!$C$4)/I444*J444,1),MROUND(I444*J444*IF(H444="Petrol",'Fuel &amp; Inputs'!$C$5,'Fuel &amp; Inputs'!$C$4),10)))</f>
        <v>1530</v>
      </c>
      <c r="L444" s="23" t="s">
        <v>149</v>
      </c>
      <c r="M444" s="27" t="n">
        <v>1620</v>
      </c>
      <c r="N444" s="26" t="n">
        <f aca="false">MROUND(M444+'Fuel &amp; Inputs'!$C$13,50)</f>
        <v>2400</v>
      </c>
      <c r="O444" s="27" t="n">
        <v>3600</v>
      </c>
      <c r="P444" s="26" t="n">
        <f aca="false">MROUND(M444*'Fuel &amp; Inputs'!$C$19*'Fuel &amp; Inputs'!$C$21,100)</f>
        <v>6200</v>
      </c>
      <c r="Q444" s="26" t="n">
        <f aca="false">MROUND(N444*'Fuel &amp; Inputs'!$C$19*'Fuel &amp; Inputs'!$C$21,100)</f>
        <v>9100</v>
      </c>
      <c r="R444" s="26" t="n">
        <f aca="false">MROUND(O444*'Fuel &amp; Inputs'!$C$19*'Fuel &amp; Inputs'!$C$21,100)</f>
        <v>13700</v>
      </c>
      <c r="S444" s="26" t="n">
        <f aca="false">MROUND(M444*'Fuel &amp; Inputs'!$C$20*'Fuel &amp; Inputs'!$C$22,500)</f>
        <v>165000</v>
      </c>
      <c r="T444" s="26" t="n">
        <f aca="false">MROUND(N444*'Fuel &amp; Inputs'!$C$20*'Fuel &amp; Inputs'!$C$22,500)</f>
        <v>245000</v>
      </c>
      <c r="U444" s="26" t="n">
        <f aca="false">MROUND(O444*'Fuel &amp; Inputs'!$C$20*'Fuel &amp; Inputs'!$C$22,500)</f>
        <v>367000</v>
      </c>
    </row>
    <row r="445" customFormat="false" ht="15" hidden="false" customHeight="false" outlineLevel="0" collapsed="false">
      <c r="A445" s="17" t="n">
        <v>417</v>
      </c>
      <c r="B445" s="32" t="s">
        <v>979</v>
      </c>
      <c r="C445" s="32" t="s">
        <v>985</v>
      </c>
      <c r="D445" s="32" t="s">
        <v>1048</v>
      </c>
      <c r="E445" s="17" t="s">
        <v>217</v>
      </c>
      <c r="F445" s="17" t="s">
        <v>1049</v>
      </c>
      <c r="G445" s="17" t="s">
        <v>217</v>
      </c>
      <c r="H445" s="17" t="s">
        <v>148</v>
      </c>
      <c r="I445" s="19" t="n">
        <v>16</v>
      </c>
      <c r="J445" s="33" t="n">
        <v>1</v>
      </c>
      <c r="K445" s="20" t="n">
        <f aca="false">IF(I445=0,0,IF(L445="Rs./km",MROUND(IF(H445="Petrol",'Fuel &amp; Inputs'!$C$5,'Fuel &amp; Inputs'!$C$4)/I445*J445,1),MROUND(I445*J445*IF(H445="Petrol",'Fuel &amp; Inputs'!$C$5,'Fuel &amp; Inputs'!$C$4),10)))</f>
        <v>6110</v>
      </c>
      <c r="L445" s="17" t="s">
        <v>149</v>
      </c>
      <c r="M445" s="21" t="n">
        <v>2740</v>
      </c>
      <c r="N445" s="20" t="n">
        <f aca="false">MROUND(M445+'Fuel &amp; Inputs'!$C$13,50)</f>
        <v>3550</v>
      </c>
      <c r="O445" s="21" t="n">
        <v>6090</v>
      </c>
      <c r="P445" s="20" t="n">
        <f aca="false">MROUND(M445*'Fuel &amp; Inputs'!$C$19*'Fuel &amp; Inputs'!$C$21,100)</f>
        <v>10400</v>
      </c>
      <c r="Q445" s="20" t="n">
        <f aca="false">MROUND(N445*'Fuel &amp; Inputs'!$C$19*'Fuel &amp; Inputs'!$C$21,100)</f>
        <v>13500</v>
      </c>
      <c r="R445" s="20" t="n">
        <f aca="false">MROUND(O445*'Fuel &amp; Inputs'!$C$19*'Fuel &amp; Inputs'!$C$21,100)</f>
        <v>23100</v>
      </c>
      <c r="S445" s="20" t="n">
        <f aca="false">MROUND(M445*'Fuel &amp; Inputs'!$C$20*'Fuel &amp; Inputs'!$C$22,500)</f>
        <v>279500</v>
      </c>
      <c r="T445" s="20" t="n">
        <f aca="false">MROUND(N445*'Fuel &amp; Inputs'!$C$20*'Fuel &amp; Inputs'!$C$22,500)</f>
        <v>362000</v>
      </c>
      <c r="U445" s="20" t="n">
        <f aca="false">MROUND(O445*'Fuel &amp; Inputs'!$C$20*'Fuel &amp; Inputs'!$C$22,500)</f>
        <v>621000</v>
      </c>
    </row>
    <row r="446" customFormat="false" ht="15" hidden="false" customHeight="false" outlineLevel="0" collapsed="false">
      <c r="A446" s="23" t="n">
        <v>418</v>
      </c>
      <c r="B446" s="34" t="s">
        <v>979</v>
      </c>
      <c r="C446" s="34" t="s">
        <v>985</v>
      </c>
      <c r="D446" s="34" t="s">
        <v>1050</v>
      </c>
      <c r="E446" s="23" t="s">
        <v>217</v>
      </c>
      <c r="F446" s="23" t="s">
        <v>1051</v>
      </c>
      <c r="G446" s="23" t="s">
        <v>217</v>
      </c>
      <c r="H446" s="23" t="s">
        <v>148</v>
      </c>
      <c r="I446" s="25" t="n">
        <v>22</v>
      </c>
      <c r="J446" s="35" t="n">
        <v>1</v>
      </c>
      <c r="K446" s="26" t="n">
        <f aca="false">IF(I446=0,0,IF(L446="Rs./km",MROUND(IF(H446="Petrol",'Fuel &amp; Inputs'!$C$5,'Fuel &amp; Inputs'!$C$4)/I446*J446,1),MROUND(I446*J446*IF(H446="Petrol",'Fuel &amp; Inputs'!$C$5,'Fuel &amp; Inputs'!$C$4),10)))</f>
        <v>8400</v>
      </c>
      <c r="L446" s="23" t="s">
        <v>149</v>
      </c>
      <c r="M446" s="27" t="n">
        <v>3240</v>
      </c>
      <c r="N446" s="26" t="n">
        <f aca="false">MROUND(M446+'Fuel &amp; Inputs'!$C$13,50)</f>
        <v>4050</v>
      </c>
      <c r="O446" s="27" t="n">
        <v>7200</v>
      </c>
      <c r="P446" s="26" t="n">
        <f aca="false">MROUND(M446*'Fuel &amp; Inputs'!$C$19*'Fuel &amp; Inputs'!$C$21,100)</f>
        <v>12300</v>
      </c>
      <c r="Q446" s="26" t="n">
        <f aca="false">MROUND(N446*'Fuel &amp; Inputs'!$C$19*'Fuel &amp; Inputs'!$C$21,100)</f>
        <v>15400</v>
      </c>
      <c r="R446" s="26" t="n">
        <f aca="false">MROUND(O446*'Fuel &amp; Inputs'!$C$19*'Fuel &amp; Inputs'!$C$21,100)</f>
        <v>27400</v>
      </c>
      <c r="S446" s="26" t="n">
        <f aca="false">MROUND(M446*'Fuel &amp; Inputs'!$C$20*'Fuel &amp; Inputs'!$C$22,500)</f>
        <v>330500</v>
      </c>
      <c r="T446" s="26" t="n">
        <f aca="false">MROUND(N446*'Fuel &amp; Inputs'!$C$20*'Fuel &amp; Inputs'!$C$22,500)</f>
        <v>413000</v>
      </c>
      <c r="U446" s="26" t="n">
        <f aca="false">MROUND(O446*'Fuel &amp; Inputs'!$C$20*'Fuel &amp; Inputs'!$C$22,500)</f>
        <v>734500</v>
      </c>
    </row>
    <row r="447" customFormat="false" ht="15" hidden="false" customHeight="false" outlineLevel="0" collapsed="false">
      <c r="A447" s="17" t="n">
        <v>419</v>
      </c>
      <c r="B447" s="32" t="s">
        <v>979</v>
      </c>
      <c r="C447" s="32" t="s">
        <v>985</v>
      </c>
      <c r="D447" s="32" t="s">
        <v>1052</v>
      </c>
      <c r="E447" s="17" t="s">
        <v>217</v>
      </c>
      <c r="F447" s="17" t="s">
        <v>1053</v>
      </c>
      <c r="G447" s="17" t="s">
        <v>217</v>
      </c>
      <c r="H447" s="17" t="s">
        <v>148</v>
      </c>
      <c r="I447" s="19" t="n">
        <v>16</v>
      </c>
      <c r="J447" s="33" t="n">
        <v>1</v>
      </c>
      <c r="K447" s="20" t="n">
        <f aca="false">IF(I447=0,0,IF(L447="Rs./km",MROUND(IF(H447="Petrol",'Fuel &amp; Inputs'!$C$5,'Fuel &amp; Inputs'!$C$4)/I447*J447,1),MROUND(I447*J447*IF(H447="Petrol",'Fuel &amp; Inputs'!$C$5,'Fuel &amp; Inputs'!$C$4),10)))</f>
        <v>6110</v>
      </c>
      <c r="L447" s="17" t="s">
        <v>149</v>
      </c>
      <c r="M447" s="21" t="n">
        <v>2740</v>
      </c>
      <c r="N447" s="20" t="n">
        <f aca="false">MROUND(M447+'Fuel &amp; Inputs'!$C$13,50)</f>
        <v>3550</v>
      </c>
      <c r="O447" s="21" t="n">
        <v>6090</v>
      </c>
      <c r="P447" s="20" t="n">
        <f aca="false">MROUND(M447*'Fuel &amp; Inputs'!$C$19*'Fuel &amp; Inputs'!$C$21,100)</f>
        <v>10400</v>
      </c>
      <c r="Q447" s="20" t="n">
        <f aca="false">MROUND(N447*'Fuel &amp; Inputs'!$C$19*'Fuel &amp; Inputs'!$C$21,100)</f>
        <v>13500</v>
      </c>
      <c r="R447" s="20" t="n">
        <f aca="false">MROUND(O447*'Fuel &amp; Inputs'!$C$19*'Fuel &amp; Inputs'!$C$21,100)</f>
        <v>23100</v>
      </c>
      <c r="S447" s="20" t="n">
        <f aca="false">MROUND(M447*'Fuel &amp; Inputs'!$C$20*'Fuel &amp; Inputs'!$C$22,500)</f>
        <v>279500</v>
      </c>
      <c r="T447" s="20" t="n">
        <f aca="false">MROUND(N447*'Fuel &amp; Inputs'!$C$20*'Fuel &amp; Inputs'!$C$22,500)</f>
        <v>362000</v>
      </c>
      <c r="U447" s="20" t="n">
        <f aca="false">MROUND(O447*'Fuel &amp; Inputs'!$C$20*'Fuel &amp; Inputs'!$C$22,500)</f>
        <v>621000</v>
      </c>
    </row>
    <row r="448" customFormat="false" ht="15" hidden="false" customHeight="false" outlineLevel="0" collapsed="false">
      <c r="A448" s="23" t="n">
        <v>420</v>
      </c>
      <c r="B448" s="34" t="s">
        <v>979</v>
      </c>
      <c r="C448" s="34" t="s">
        <v>565</v>
      </c>
      <c r="D448" s="34" t="s">
        <v>1054</v>
      </c>
      <c r="E448" s="23" t="s">
        <v>217</v>
      </c>
      <c r="F448" s="23" t="s">
        <v>1055</v>
      </c>
      <c r="G448" s="23" t="s">
        <v>217</v>
      </c>
      <c r="H448" s="23" t="s">
        <v>148</v>
      </c>
      <c r="I448" s="25" t="n">
        <v>10</v>
      </c>
      <c r="J448" s="35" t="n">
        <v>1</v>
      </c>
      <c r="K448" s="26" t="n">
        <f aca="false">IF(I448=0,0,IF(L448="Rs./km",MROUND(IF(H448="Petrol",'Fuel &amp; Inputs'!$C$5,'Fuel &amp; Inputs'!$C$4)/I448*J448,1),MROUND(I448*J448*IF(H448="Petrol",'Fuel &amp; Inputs'!$C$5,'Fuel &amp; Inputs'!$C$4),10)))</f>
        <v>3820</v>
      </c>
      <c r="L448" s="23" t="s">
        <v>149</v>
      </c>
      <c r="M448" s="27" t="n">
        <v>2120</v>
      </c>
      <c r="N448" s="26" t="n">
        <f aca="false">MROUND(M448+'Fuel &amp; Inputs'!$C$13,50)</f>
        <v>2900</v>
      </c>
      <c r="O448" s="27" t="n">
        <v>4710</v>
      </c>
      <c r="P448" s="26" t="n">
        <f aca="false">MROUND(M448*'Fuel &amp; Inputs'!$C$19*'Fuel &amp; Inputs'!$C$21,100)</f>
        <v>8100</v>
      </c>
      <c r="Q448" s="26" t="n">
        <f aca="false">MROUND(N448*'Fuel &amp; Inputs'!$C$19*'Fuel &amp; Inputs'!$C$21,100)</f>
        <v>11000</v>
      </c>
      <c r="R448" s="26" t="n">
        <f aca="false">MROUND(O448*'Fuel &amp; Inputs'!$C$19*'Fuel &amp; Inputs'!$C$21,100)</f>
        <v>17900</v>
      </c>
      <c r="S448" s="26" t="n">
        <f aca="false">MROUND(M448*'Fuel &amp; Inputs'!$C$20*'Fuel &amp; Inputs'!$C$22,500)</f>
        <v>216000</v>
      </c>
      <c r="T448" s="26" t="n">
        <f aca="false">MROUND(N448*'Fuel &amp; Inputs'!$C$20*'Fuel &amp; Inputs'!$C$22,500)</f>
        <v>296000</v>
      </c>
      <c r="U448" s="26" t="n">
        <f aca="false">MROUND(O448*'Fuel &amp; Inputs'!$C$20*'Fuel &amp; Inputs'!$C$22,500)</f>
        <v>480500</v>
      </c>
    </row>
    <row r="449" customFormat="false" ht="15" hidden="false" customHeight="false" outlineLevel="0" collapsed="false">
      <c r="A449" s="17" t="n">
        <v>421</v>
      </c>
      <c r="B449" s="32" t="s">
        <v>979</v>
      </c>
      <c r="C449" s="32" t="s">
        <v>224</v>
      </c>
      <c r="D449" s="32" t="s">
        <v>1056</v>
      </c>
      <c r="E449" s="17" t="s">
        <v>217</v>
      </c>
      <c r="F449" s="17" t="s">
        <v>1057</v>
      </c>
      <c r="G449" s="17" t="s">
        <v>217</v>
      </c>
      <c r="H449" s="17" t="s">
        <v>148</v>
      </c>
      <c r="I449" s="19" t="n">
        <v>16</v>
      </c>
      <c r="J449" s="33" t="n">
        <v>1</v>
      </c>
      <c r="K449" s="20" t="n">
        <f aca="false">IF(I449=0,0,IF(L449="Rs./km",MROUND(IF(H449="Petrol",'Fuel &amp; Inputs'!$C$5,'Fuel &amp; Inputs'!$C$4)/I449*J449,1),MROUND(I449*J449*IF(H449="Petrol",'Fuel &amp; Inputs'!$C$5,'Fuel &amp; Inputs'!$C$4),10)))</f>
        <v>6110</v>
      </c>
      <c r="L449" s="17" t="s">
        <v>149</v>
      </c>
      <c r="M449" s="21" t="n">
        <v>2620</v>
      </c>
      <c r="N449" s="20" t="n">
        <f aca="false">MROUND(M449+'Fuel &amp; Inputs'!$C$13,50)</f>
        <v>3400</v>
      </c>
      <c r="O449" s="21" t="n">
        <v>5820</v>
      </c>
      <c r="P449" s="20" t="n">
        <f aca="false">MROUND(M449*'Fuel &amp; Inputs'!$C$19*'Fuel &amp; Inputs'!$C$21,100)</f>
        <v>10000</v>
      </c>
      <c r="Q449" s="20" t="n">
        <f aca="false">MROUND(N449*'Fuel &amp; Inputs'!$C$19*'Fuel &amp; Inputs'!$C$21,100)</f>
        <v>12900</v>
      </c>
      <c r="R449" s="20" t="n">
        <f aca="false">MROUND(O449*'Fuel &amp; Inputs'!$C$19*'Fuel &amp; Inputs'!$C$21,100)</f>
        <v>22100</v>
      </c>
      <c r="S449" s="20" t="n">
        <f aca="false">MROUND(M449*'Fuel &amp; Inputs'!$C$20*'Fuel &amp; Inputs'!$C$22,500)</f>
        <v>267000</v>
      </c>
      <c r="T449" s="20" t="n">
        <f aca="false">MROUND(N449*'Fuel &amp; Inputs'!$C$20*'Fuel &amp; Inputs'!$C$22,500)</f>
        <v>347000</v>
      </c>
      <c r="U449" s="20" t="n">
        <f aca="false">MROUND(O449*'Fuel &amp; Inputs'!$C$20*'Fuel &amp; Inputs'!$C$22,500)</f>
        <v>593500</v>
      </c>
    </row>
    <row r="450" customFormat="false" ht="15" hidden="false" customHeight="true" outlineLevel="0" collapsed="false">
      <c r="A450" s="31" t="s">
        <v>1058</v>
      </c>
      <c r="B450" s="31"/>
      <c r="C450" s="31"/>
      <c r="D450" s="31"/>
      <c r="E450" s="31"/>
      <c r="F450" s="31"/>
      <c r="G450" s="31"/>
      <c r="H450" s="31"/>
      <c r="I450" s="31"/>
      <c r="J450" s="31"/>
      <c r="K450" s="31"/>
      <c r="L450" s="31"/>
      <c r="M450" s="31"/>
      <c r="N450" s="31"/>
      <c r="O450" s="31"/>
      <c r="P450" s="31"/>
      <c r="Q450" s="31"/>
      <c r="R450" s="31"/>
      <c r="S450" s="31"/>
      <c r="T450" s="31"/>
      <c r="U450" s="31"/>
    </row>
    <row r="451" customFormat="false" ht="15" hidden="false" customHeight="false" outlineLevel="0" collapsed="false">
      <c r="A451" s="23" t="n">
        <v>422</v>
      </c>
      <c r="B451" s="34" t="s">
        <v>116</v>
      </c>
      <c r="C451" s="34" t="s">
        <v>243</v>
      </c>
      <c r="D451" s="34" t="s">
        <v>1059</v>
      </c>
      <c r="E451" s="23" t="s">
        <v>298</v>
      </c>
      <c r="F451" s="23" t="s">
        <v>1060</v>
      </c>
      <c r="G451" s="23" t="s">
        <v>1061</v>
      </c>
      <c r="H451" s="23" t="s">
        <v>148</v>
      </c>
      <c r="I451" s="25" t="n">
        <v>8</v>
      </c>
      <c r="J451" s="35" t="n">
        <v>1.056</v>
      </c>
      <c r="K451" s="26" t="n">
        <f aca="false">IF(I451=0,0,IF(L451="Rs./km",MROUND(IF(H451="Petrol",'Fuel &amp; Inputs'!$C$5,'Fuel &amp; Inputs'!$C$4)/I451*J451,1),MROUND(I451*J451*IF(H451="Petrol",'Fuel &amp; Inputs'!$C$5,'Fuel &amp; Inputs'!$C$4),10)))</f>
        <v>3230</v>
      </c>
      <c r="L451" s="23" t="s">
        <v>149</v>
      </c>
      <c r="M451" s="27" t="n">
        <v>1380</v>
      </c>
      <c r="N451" s="26" t="n">
        <f aca="false">MROUND(M451+'Fuel &amp; Inputs'!$C$13,50)</f>
        <v>2200</v>
      </c>
      <c r="O451" s="27" t="n">
        <v>2710</v>
      </c>
      <c r="P451" s="26" t="n">
        <f aca="false">MROUND(M451*'Fuel &amp; Inputs'!$C$19*'Fuel &amp; Inputs'!$C$21,100)</f>
        <v>5200</v>
      </c>
      <c r="Q451" s="26" t="n">
        <f aca="false">MROUND(N451*'Fuel &amp; Inputs'!$C$19*'Fuel &amp; Inputs'!$C$21,100)</f>
        <v>8400</v>
      </c>
      <c r="R451" s="26" t="n">
        <f aca="false">MROUND(O451*'Fuel &amp; Inputs'!$C$19*'Fuel &amp; Inputs'!$C$21,100)</f>
        <v>10300</v>
      </c>
      <c r="S451" s="26" t="n">
        <f aca="false">MROUND(M451*'Fuel &amp; Inputs'!$C$20*'Fuel &amp; Inputs'!$C$22,500)</f>
        <v>141000</v>
      </c>
      <c r="T451" s="26" t="n">
        <f aca="false">MROUND(N451*'Fuel &amp; Inputs'!$C$20*'Fuel &amp; Inputs'!$C$22,500)</f>
        <v>224500</v>
      </c>
      <c r="U451" s="26" t="n">
        <f aca="false">MROUND(O451*'Fuel &amp; Inputs'!$C$20*'Fuel &amp; Inputs'!$C$22,500)</f>
        <v>276500</v>
      </c>
    </row>
    <row r="452" customFormat="false" ht="15" hidden="false" customHeight="false" outlineLevel="0" collapsed="false">
      <c r="A452" s="17" t="n">
        <v>423</v>
      </c>
      <c r="B452" s="32" t="s">
        <v>116</v>
      </c>
      <c r="C452" s="32" t="s">
        <v>253</v>
      </c>
      <c r="D452" s="32" t="s">
        <v>918</v>
      </c>
      <c r="E452" s="17" t="s">
        <v>596</v>
      </c>
      <c r="F452" s="17" t="s">
        <v>1062</v>
      </c>
      <c r="G452" s="17" t="s">
        <v>1063</v>
      </c>
      <c r="H452" s="17" t="s">
        <v>148</v>
      </c>
      <c r="I452" s="19" t="n">
        <v>8</v>
      </c>
      <c r="J452" s="33" t="n">
        <v>1.105</v>
      </c>
      <c r="K452" s="20" t="n">
        <f aca="false">IF(I452=0,0,IF(L452="Rs./km",MROUND(IF(H452="Petrol",'Fuel &amp; Inputs'!$C$5,'Fuel &amp; Inputs'!$C$4)/I452*J452,1),MROUND(I452*J452*IF(H452="Petrol",'Fuel &amp; Inputs'!$C$5,'Fuel &amp; Inputs'!$C$4),10)))</f>
        <v>3380</v>
      </c>
      <c r="L452" s="17" t="s">
        <v>149</v>
      </c>
      <c r="M452" s="21" t="n">
        <v>1230</v>
      </c>
      <c r="N452" s="20" t="n">
        <f aca="false">MROUND(M452+'Fuel &amp; Inputs'!$C$13,50)</f>
        <v>2050</v>
      </c>
      <c r="O452" s="21" t="n">
        <v>2420</v>
      </c>
      <c r="P452" s="20" t="n">
        <f aca="false">MROUND(M452*'Fuel &amp; Inputs'!$C$19*'Fuel &amp; Inputs'!$C$21,100)</f>
        <v>4700</v>
      </c>
      <c r="Q452" s="20" t="n">
        <f aca="false">MROUND(N452*'Fuel &amp; Inputs'!$C$19*'Fuel &amp; Inputs'!$C$21,100)</f>
        <v>7800</v>
      </c>
      <c r="R452" s="20" t="n">
        <f aca="false">MROUND(O452*'Fuel &amp; Inputs'!$C$19*'Fuel &amp; Inputs'!$C$21,100)</f>
        <v>9200</v>
      </c>
      <c r="S452" s="20" t="n">
        <f aca="false">MROUND(M452*'Fuel &amp; Inputs'!$C$20*'Fuel &amp; Inputs'!$C$22,500)</f>
        <v>125500</v>
      </c>
      <c r="T452" s="20" t="n">
        <f aca="false">MROUND(N452*'Fuel &amp; Inputs'!$C$20*'Fuel &amp; Inputs'!$C$22,500)</f>
        <v>209000</v>
      </c>
      <c r="U452" s="20" t="n">
        <f aca="false">MROUND(O452*'Fuel &amp; Inputs'!$C$20*'Fuel &amp; Inputs'!$C$22,500)</f>
        <v>247000</v>
      </c>
    </row>
    <row r="453" customFormat="false" ht="23.85" hidden="false" customHeight="false" outlineLevel="0" collapsed="false">
      <c r="A453" s="23" t="n">
        <v>424</v>
      </c>
      <c r="B453" s="34" t="s">
        <v>116</v>
      </c>
      <c r="C453" s="34" t="s">
        <v>265</v>
      </c>
      <c r="D453" s="34" t="s">
        <v>937</v>
      </c>
      <c r="E453" s="23" t="s">
        <v>575</v>
      </c>
      <c r="F453" s="23" t="s">
        <v>1064</v>
      </c>
      <c r="G453" s="23" t="s">
        <v>941</v>
      </c>
      <c r="H453" s="23" t="s">
        <v>148</v>
      </c>
      <c r="I453" s="25" t="n">
        <v>8</v>
      </c>
      <c r="J453" s="35" t="n">
        <v>1.147</v>
      </c>
      <c r="K453" s="26" t="n">
        <f aca="false">IF(I453=0,0,IF(L453="Rs./km",MROUND(IF(H453="Petrol",'Fuel &amp; Inputs'!$C$5,'Fuel &amp; Inputs'!$C$4)/I453*J453,1),MROUND(I453*J453*IF(H453="Petrol",'Fuel &amp; Inputs'!$C$5,'Fuel &amp; Inputs'!$C$4),10)))</f>
        <v>3510</v>
      </c>
      <c r="L453" s="23" t="s">
        <v>149</v>
      </c>
      <c r="M453" s="27" t="n">
        <v>1080</v>
      </c>
      <c r="N453" s="26" t="n">
        <f aca="false">MROUND(M453+'Fuel &amp; Inputs'!$C$13,50)</f>
        <v>1900</v>
      </c>
      <c r="O453" s="27" t="n">
        <v>2120</v>
      </c>
      <c r="P453" s="26" t="n">
        <f aca="false">MROUND(M453*'Fuel &amp; Inputs'!$C$19*'Fuel &amp; Inputs'!$C$21,100)</f>
        <v>4100</v>
      </c>
      <c r="Q453" s="26" t="n">
        <f aca="false">MROUND(N453*'Fuel &amp; Inputs'!$C$19*'Fuel &amp; Inputs'!$C$21,100)</f>
        <v>7200</v>
      </c>
      <c r="R453" s="26" t="n">
        <f aca="false">MROUND(O453*'Fuel &amp; Inputs'!$C$19*'Fuel &amp; Inputs'!$C$21,100)</f>
        <v>8100</v>
      </c>
      <c r="S453" s="26" t="n">
        <f aca="false">MROUND(M453*'Fuel &amp; Inputs'!$C$20*'Fuel &amp; Inputs'!$C$22,500)</f>
        <v>110000</v>
      </c>
      <c r="T453" s="26" t="n">
        <f aca="false">MROUND(N453*'Fuel &amp; Inputs'!$C$20*'Fuel &amp; Inputs'!$C$22,500)</f>
        <v>194000</v>
      </c>
      <c r="U453" s="26" t="n">
        <f aca="false">MROUND(O453*'Fuel &amp; Inputs'!$C$20*'Fuel &amp; Inputs'!$C$22,500)</f>
        <v>216000</v>
      </c>
    </row>
    <row r="454" customFormat="false" ht="23.85" hidden="false" customHeight="false" outlineLevel="0" collapsed="false">
      <c r="A454" s="17" t="n">
        <v>425</v>
      </c>
      <c r="B454" s="32" t="s">
        <v>116</v>
      </c>
      <c r="C454" s="32" t="s">
        <v>265</v>
      </c>
      <c r="D454" s="32" t="s">
        <v>937</v>
      </c>
      <c r="E454" s="17" t="s">
        <v>271</v>
      </c>
      <c r="F454" s="17" t="s">
        <v>1065</v>
      </c>
      <c r="G454" s="17" t="s">
        <v>947</v>
      </c>
      <c r="H454" s="17" t="s">
        <v>148</v>
      </c>
      <c r="I454" s="19" t="n">
        <v>8</v>
      </c>
      <c r="J454" s="33" t="n">
        <v>1.161</v>
      </c>
      <c r="K454" s="20" t="n">
        <f aca="false">IF(I454=0,0,IF(L454="Rs./km",MROUND(IF(H454="Petrol",'Fuel &amp; Inputs'!$C$5,'Fuel &amp; Inputs'!$C$4)/I454*J454,1),MROUND(I454*J454*IF(H454="Petrol",'Fuel &amp; Inputs'!$C$5,'Fuel &amp; Inputs'!$C$4),10)))</f>
        <v>3550</v>
      </c>
      <c r="L454" s="17" t="s">
        <v>149</v>
      </c>
      <c r="M454" s="21" t="n">
        <v>980</v>
      </c>
      <c r="N454" s="20" t="n">
        <f aca="false">MROUND(M454+'Fuel &amp; Inputs'!$C$13,50)</f>
        <v>1800</v>
      </c>
      <c r="O454" s="21" t="n">
        <v>1920</v>
      </c>
      <c r="P454" s="20" t="n">
        <f aca="false">MROUND(M454*'Fuel &amp; Inputs'!$C$19*'Fuel &amp; Inputs'!$C$21,100)</f>
        <v>3700</v>
      </c>
      <c r="Q454" s="20" t="n">
        <f aca="false">MROUND(N454*'Fuel &amp; Inputs'!$C$19*'Fuel &amp; Inputs'!$C$21,100)</f>
        <v>6800</v>
      </c>
      <c r="R454" s="20" t="n">
        <f aca="false">MROUND(O454*'Fuel &amp; Inputs'!$C$19*'Fuel &amp; Inputs'!$C$21,100)</f>
        <v>7300</v>
      </c>
      <c r="S454" s="20" t="n">
        <f aca="false">MROUND(M454*'Fuel &amp; Inputs'!$C$20*'Fuel &amp; Inputs'!$C$22,500)</f>
        <v>100000</v>
      </c>
      <c r="T454" s="20" t="n">
        <f aca="false">MROUND(N454*'Fuel &amp; Inputs'!$C$20*'Fuel &amp; Inputs'!$C$22,500)</f>
        <v>183500</v>
      </c>
      <c r="U454" s="20" t="n">
        <f aca="false">MROUND(O454*'Fuel &amp; Inputs'!$C$20*'Fuel &amp; Inputs'!$C$22,500)</f>
        <v>196000</v>
      </c>
    </row>
    <row r="455" customFormat="false" ht="23.85" hidden="false" customHeight="false" outlineLevel="0" collapsed="false">
      <c r="A455" s="23" t="n">
        <v>426</v>
      </c>
      <c r="B455" s="34" t="s">
        <v>116</v>
      </c>
      <c r="C455" s="34" t="s">
        <v>265</v>
      </c>
      <c r="D455" s="34" t="s">
        <v>1066</v>
      </c>
      <c r="E455" s="23" t="s">
        <v>276</v>
      </c>
      <c r="F455" s="23" t="s">
        <v>1067</v>
      </c>
      <c r="G455" s="23" t="s">
        <v>1068</v>
      </c>
      <c r="H455" s="23" t="s">
        <v>148</v>
      </c>
      <c r="I455" s="25" t="n">
        <v>8</v>
      </c>
      <c r="J455" s="35" t="n">
        <v>1.175</v>
      </c>
      <c r="K455" s="26" t="n">
        <f aca="false">IF(I455=0,0,IF(L455="Rs./km",MROUND(IF(H455="Petrol",'Fuel &amp; Inputs'!$C$5,'Fuel &amp; Inputs'!$C$4)/I455*J455,1),MROUND(I455*J455*IF(H455="Petrol",'Fuel &amp; Inputs'!$C$5,'Fuel &amp; Inputs'!$C$4),10)))</f>
        <v>3590</v>
      </c>
      <c r="L455" s="23" t="s">
        <v>149</v>
      </c>
      <c r="M455" s="27" t="n">
        <v>980</v>
      </c>
      <c r="N455" s="26" t="n">
        <f aca="false">MROUND(M455+'Fuel &amp; Inputs'!$C$13,50)</f>
        <v>1800</v>
      </c>
      <c r="O455" s="27" t="n">
        <v>1920</v>
      </c>
      <c r="P455" s="26" t="n">
        <f aca="false">MROUND(M455*'Fuel &amp; Inputs'!$C$19*'Fuel &amp; Inputs'!$C$21,100)</f>
        <v>3700</v>
      </c>
      <c r="Q455" s="26" t="n">
        <f aca="false">MROUND(N455*'Fuel &amp; Inputs'!$C$19*'Fuel &amp; Inputs'!$C$21,100)</f>
        <v>6800</v>
      </c>
      <c r="R455" s="26" t="n">
        <f aca="false">MROUND(O455*'Fuel &amp; Inputs'!$C$19*'Fuel &amp; Inputs'!$C$21,100)</f>
        <v>7300</v>
      </c>
      <c r="S455" s="26" t="n">
        <f aca="false">MROUND(M455*'Fuel &amp; Inputs'!$C$20*'Fuel &amp; Inputs'!$C$22,500)</f>
        <v>100000</v>
      </c>
      <c r="T455" s="26" t="n">
        <f aca="false">MROUND(N455*'Fuel &amp; Inputs'!$C$20*'Fuel &amp; Inputs'!$C$22,500)</f>
        <v>183500</v>
      </c>
      <c r="U455" s="26" t="n">
        <f aca="false">MROUND(O455*'Fuel &amp; Inputs'!$C$20*'Fuel &amp; Inputs'!$C$22,500)</f>
        <v>196000</v>
      </c>
    </row>
    <row r="456" customFormat="false" ht="15" hidden="false" customHeight="false" outlineLevel="0" collapsed="false">
      <c r="A456" s="17" t="n">
        <v>427</v>
      </c>
      <c r="B456" s="32" t="s">
        <v>116</v>
      </c>
      <c r="C456" s="32" t="s">
        <v>243</v>
      </c>
      <c r="D456" s="32" t="s">
        <v>1069</v>
      </c>
      <c r="E456" s="17" t="s">
        <v>678</v>
      </c>
      <c r="F456" s="17" t="s">
        <v>1070</v>
      </c>
      <c r="G456" s="17" t="s">
        <v>1071</v>
      </c>
      <c r="H456" s="17" t="s">
        <v>148</v>
      </c>
      <c r="I456" s="19" t="n">
        <v>8</v>
      </c>
      <c r="J456" s="33" t="n">
        <v>1.175</v>
      </c>
      <c r="K456" s="20" t="n">
        <f aca="false">IF(I456=0,0,IF(L456="Rs./km",MROUND(IF(H456="Petrol",'Fuel &amp; Inputs'!$C$5,'Fuel &amp; Inputs'!$C$4)/I456*J456,1),MROUND(I456*J456*IF(H456="Petrol",'Fuel &amp; Inputs'!$C$5,'Fuel &amp; Inputs'!$C$4),10)))</f>
        <v>3590</v>
      </c>
      <c r="L456" s="17" t="s">
        <v>149</v>
      </c>
      <c r="M456" s="21" t="n">
        <v>870</v>
      </c>
      <c r="N456" s="20" t="n">
        <f aca="false">MROUND(M456+'Fuel &amp; Inputs'!$C$13,50)</f>
        <v>1650</v>
      </c>
      <c r="O456" s="21" t="n">
        <v>1710</v>
      </c>
      <c r="P456" s="20" t="n">
        <f aca="false">MROUND(M456*'Fuel &amp; Inputs'!$C$19*'Fuel &amp; Inputs'!$C$21,100)</f>
        <v>3300</v>
      </c>
      <c r="Q456" s="20" t="n">
        <f aca="false">MROUND(N456*'Fuel &amp; Inputs'!$C$19*'Fuel &amp; Inputs'!$C$21,100)</f>
        <v>6300</v>
      </c>
      <c r="R456" s="20" t="n">
        <f aca="false">MROUND(O456*'Fuel &amp; Inputs'!$C$19*'Fuel &amp; Inputs'!$C$21,100)</f>
        <v>6500</v>
      </c>
      <c r="S456" s="20" t="n">
        <f aca="false">MROUND(M456*'Fuel &amp; Inputs'!$C$20*'Fuel &amp; Inputs'!$C$22,500)</f>
        <v>88500</v>
      </c>
      <c r="T456" s="20" t="n">
        <f aca="false">MROUND(N456*'Fuel &amp; Inputs'!$C$20*'Fuel &amp; Inputs'!$C$22,500)</f>
        <v>168500</v>
      </c>
      <c r="U456" s="20" t="n">
        <f aca="false">MROUND(O456*'Fuel &amp; Inputs'!$C$20*'Fuel &amp; Inputs'!$C$22,500)</f>
        <v>174500</v>
      </c>
    </row>
    <row r="457" customFormat="false" ht="15" hidden="false" customHeight="false" outlineLevel="0" collapsed="false">
      <c r="A457" s="23" t="n">
        <v>428</v>
      </c>
      <c r="B457" s="34" t="s">
        <v>116</v>
      </c>
      <c r="C457" s="34" t="s">
        <v>243</v>
      </c>
      <c r="D457" s="34" t="s">
        <v>1072</v>
      </c>
      <c r="E457" s="23" t="s">
        <v>292</v>
      </c>
      <c r="F457" s="23" t="s">
        <v>1073</v>
      </c>
      <c r="G457" s="23" t="s">
        <v>1074</v>
      </c>
      <c r="H457" s="23" t="s">
        <v>148</v>
      </c>
      <c r="I457" s="25" t="n">
        <v>8</v>
      </c>
      <c r="J457" s="35" t="n">
        <v>1.175</v>
      </c>
      <c r="K457" s="26" t="n">
        <f aca="false">IF(I457=0,0,IF(L457="Rs./km",MROUND(IF(H457="Petrol",'Fuel &amp; Inputs'!$C$5,'Fuel &amp; Inputs'!$C$4)/I457*J457,1),MROUND(I457*J457*IF(H457="Petrol",'Fuel &amp; Inputs'!$C$5,'Fuel &amp; Inputs'!$C$4),10)))</f>
        <v>3590</v>
      </c>
      <c r="L457" s="23" t="s">
        <v>149</v>
      </c>
      <c r="M457" s="27" t="n">
        <v>870</v>
      </c>
      <c r="N457" s="26" t="n">
        <f aca="false">MROUND(M457+'Fuel &amp; Inputs'!$C$13,50)</f>
        <v>1650</v>
      </c>
      <c r="O457" s="27" t="n">
        <v>1710</v>
      </c>
      <c r="P457" s="26" t="n">
        <f aca="false">MROUND(M457*'Fuel &amp; Inputs'!$C$19*'Fuel &amp; Inputs'!$C$21,100)</f>
        <v>3300</v>
      </c>
      <c r="Q457" s="26" t="n">
        <f aca="false">MROUND(N457*'Fuel &amp; Inputs'!$C$19*'Fuel &amp; Inputs'!$C$21,100)</f>
        <v>6300</v>
      </c>
      <c r="R457" s="26" t="n">
        <f aca="false">MROUND(O457*'Fuel &amp; Inputs'!$C$19*'Fuel &amp; Inputs'!$C$21,100)</f>
        <v>6500</v>
      </c>
      <c r="S457" s="26" t="n">
        <f aca="false">MROUND(M457*'Fuel &amp; Inputs'!$C$20*'Fuel &amp; Inputs'!$C$22,500)</f>
        <v>88500</v>
      </c>
      <c r="T457" s="26" t="n">
        <f aca="false">MROUND(N457*'Fuel &amp; Inputs'!$C$20*'Fuel &amp; Inputs'!$C$22,500)</f>
        <v>168500</v>
      </c>
      <c r="U457" s="26" t="n">
        <f aca="false">MROUND(O457*'Fuel &amp; Inputs'!$C$20*'Fuel &amp; Inputs'!$C$22,500)</f>
        <v>174500</v>
      </c>
    </row>
    <row r="458" customFormat="false" ht="15" hidden="false" customHeight="false" outlineLevel="0" collapsed="false">
      <c r="A458" s="17" t="n">
        <v>429</v>
      </c>
      <c r="B458" s="32" t="s">
        <v>116</v>
      </c>
      <c r="C458" s="32" t="s">
        <v>324</v>
      </c>
      <c r="D458" s="32" t="s">
        <v>217</v>
      </c>
      <c r="E458" s="17" t="s">
        <v>217</v>
      </c>
      <c r="F458" s="17" t="s">
        <v>1075</v>
      </c>
      <c r="G458" s="17" t="s">
        <v>217</v>
      </c>
      <c r="H458" s="17" t="s">
        <v>148</v>
      </c>
      <c r="I458" s="19" t="n">
        <v>8</v>
      </c>
      <c r="J458" s="33" t="n">
        <v>1</v>
      </c>
      <c r="K458" s="20" t="n">
        <f aca="false">IF(I458=0,0,IF(L458="Rs./km",MROUND(IF(H458="Petrol",'Fuel &amp; Inputs'!$C$5,'Fuel &amp; Inputs'!$C$4)/I458*J458,1),MROUND(I458*J458*IF(H458="Petrol",'Fuel &amp; Inputs'!$C$5,'Fuel &amp; Inputs'!$C$4),10)))</f>
        <v>3060</v>
      </c>
      <c r="L458" s="17" t="s">
        <v>149</v>
      </c>
      <c r="M458" s="21" t="n">
        <v>870</v>
      </c>
      <c r="N458" s="20" t="n">
        <f aca="false">MROUND(M458+'Fuel &amp; Inputs'!$C$13,50)</f>
        <v>1650</v>
      </c>
      <c r="O458" s="21" t="n">
        <v>1710</v>
      </c>
      <c r="P458" s="20" t="n">
        <f aca="false">MROUND(M458*'Fuel &amp; Inputs'!$C$19*'Fuel &amp; Inputs'!$C$21,100)</f>
        <v>3300</v>
      </c>
      <c r="Q458" s="20" t="n">
        <f aca="false">MROUND(N458*'Fuel &amp; Inputs'!$C$19*'Fuel &amp; Inputs'!$C$21,100)</f>
        <v>6300</v>
      </c>
      <c r="R458" s="20" t="n">
        <f aca="false">MROUND(O458*'Fuel &amp; Inputs'!$C$19*'Fuel &amp; Inputs'!$C$21,100)</f>
        <v>6500</v>
      </c>
      <c r="S458" s="20" t="n">
        <f aca="false">MROUND(M458*'Fuel &amp; Inputs'!$C$20*'Fuel &amp; Inputs'!$C$22,500)</f>
        <v>88500</v>
      </c>
      <c r="T458" s="20" t="n">
        <f aca="false">MROUND(N458*'Fuel &amp; Inputs'!$C$20*'Fuel &amp; Inputs'!$C$22,500)</f>
        <v>168500</v>
      </c>
      <c r="U458" s="20" t="n">
        <f aca="false">MROUND(O458*'Fuel &amp; Inputs'!$C$20*'Fuel &amp; Inputs'!$C$22,500)</f>
        <v>174500</v>
      </c>
    </row>
    <row r="459" customFormat="false" ht="15" hidden="false" customHeight="false" outlineLevel="0" collapsed="false">
      <c r="A459" s="23" t="n">
        <v>430</v>
      </c>
      <c r="B459" s="34" t="s">
        <v>116</v>
      </c>
      <c r="C459" s="34" t="s">
        <v>324</v>
      </c>
      <c r="D459" s="34" t="s">
        <v>217</v>
      </c>
      <c r="E459" s="23" t="s">
        <v>217</v>
      </c>
      <c r="F459" s="23" t="s">
        <v>1076</v>
      </c>
      <c r="G459" s="23" t="s">
        <v>1077</v>
      </c>
      <c r="H459" s="23" t="s">
        <v>148</v>
      </c>
      <c r="I459" s="25" t="n">
        <v>8</v>
      </c>
      <c r="J459" s="35" t="n">
        <v>1</v>
      </c>
      <c r="K459" s="26" t="n">
        <f aca="false">IF(I459=0,0,IF(L459="Rs./km",MROUND(IF(H459="Petrol",'Fuel &amp; Inputs'!$C$5,'Fuel &amp; Inputs'!$C$4)/I459*J459,1),MROUND(I459*J459*IF(H459="Petrol",'Fuel &amp; Inputs'!$C$5,'Fuel &amp; Inputs'!$C$4),10)))</f>
        <v>3060</v>
      </c>
      <c r="L459" s="23" t="s">
        <v>149</v>
      </c>
      <c r="M459" s="27" t="n">
        <v>870</v>
      </c>
      <c r="N459" s="26" t="n">
        <f aca="false">MROUND(M459+'Fuel &amp; Inputs'!$C$13,50)</f>
        <v>1650</v>
      </c>
      <c r="O459" s="27" t="n">
        <v>1710</v>
      </c>
      <c r="P459" s="26" t="n">
        <f aca="false">MROUND(M459*'Fuel &amp; Inputs'!$C$19*'Fuel &amp; Inputs'!$C$21,100)</f>
        <v>3300</v>
      </c>
      <c r="Q459" s="26" t="n">
        <f aca="false">MROUND(N459*'Fuel &amp; Inputs'!$C$19*'Fuel &amp; Inputs'!$C$21,100)</f>
        <v>6300</v>
      </c>
      <c r="R459" s="26" t="n">
        <f aca="false">MROUND(O459*'Fuel &amp; Inputs'!$C$19*'Fuel &amp; Inputs'!$C$21,100)</f>
        <v>6500</v>
      </c>
      <c r="S459" s="26" t="n">
        <f aca="false">MROUND(M459*'Fuel &amp; Inputs'!$C$20*'Fuel &amp; Inputs'!$C$22,500)</f>
        <v>88500</v>
      </c>
      <c r="T459" s="26" t="n">
        <f aca="false">MROUND(N459*'Fuel &amp; Inputs'!$C$20*'Fuel &amp; Inputs'!$C$22,500)</f>
        <v>168500</v>
      </c>
      <c r="U459" s="26" t="n">
        <f aca="false">MROUND(O459*'Fuel &amp; Inputs'!$C$20*'Fuel &amp; Inputs'!$C$22,500)</f>
        <v>174500</v>
      </c>
    </row>
    <row r="460" customFormat="false" ht="15" hidden="false" customHeight="false" outlineLevel="0" collapsed="false">
      <c r="A460" s="17" t="n">
        <v>431</v>
      </c>
      <c r="B460" s="32" t="s">
        <v>116</v>
      </c>
      <c r="C460" s="32" t="s">
        <v>324</v>
      </c>
      <c r="D460" s="32" t="s">
        <v>217</v>
      </c>
      <c r="E460" s="17" t="s">
        <v>217</v>
      </c>
      <c r="F460" s="17" t="s">
        <v>1078</v>
      </c>
      <c r="G460" s="17" t="s">
        <v>1079</v>
      </c>
      <c r="H460" s="17" t="s">
        <v>148</v>
      </c>
      <c r="I460" s="19" t="n">
        <v>8</v>
      </c>
      <c r="J460" s="33" t="n">
        <v>1</v>
      </c>
      <c r="K460" s="20" t="n">
        <f aca="false">IF(I460=0,0,IF(L460="Rs./km",MROUND(IF(H460="Petrol",'Fuel &amp; Inputs'!$C$5,'Fuel &amp; Inputs'!$C$4)/I460*J460,1),MROUND(I460*J460*IF(H460="Petrol",'Fuel &amp; Inputs'!$C$5,'Fuel &amp; Inputs'!$C$4),10)))</f>
        <v>3060</v>
      </c>
      <c r="L460" s="17" t="s">
        <v>149</v>
      </c>
      <c r="M460" s="21" t="n">
        <v>870</v>
      </c>
      <c r="N460" s="20" t="n">
        <f aca="false">MROUND(M460+'Fuel &amp; Inputs'!$C$13,50)</f>
        <v>1650</v>
      </c>
      <c r="O460" s="21" t="n">
        <v>1710</v>
      </c>
      <c r="P460" s="20" t="n">
        <f aca="false">MROUND(M460*'Fuel &amp; Inputs'!$C$19*'Fuel &amp; Inputs'!$C$21,100)</f>
        <v>3300</v>
      </c>
      <c r="Q460" s="20" t="n">
        <f aca="false">MROUND(N460*'Fuel &amp; Inputs'!$C$19*'Fuel &amp; Inputs'!$C$21,100)</f>
        <v>6300</v>
      </c>
      <c r="R460" s="20" t="n">
        <f aca="false">MROUND(O460*'Fuel &amp; Inputs'!$C$19*'Fuel &amp; Inputs'!$C$21,100)</f>
        <v>6500</v>
      </c>
      <c r="S460" s="20" t="n">
        <f aca="false">MROUND(M460*'Fuel &amp; Inputs'!$C$20*'Fuel &amp; Inputs'!$C$22,500)</f>
        <v>88500</v>
      </c>
      <c r="T460" s="20" t="n">
        <f aca="false">MROUND(N460*'Fuel &amp; Inputs'!$C$20*'Fuel &amp; Inputs'!$C$22,500)</f>
        <v>168500</v>
      </c>
      <c r="U460" s="20" t="n">
        <f aca="false">MROUND(O460*'Fuel &amp; Inputs'!$C$20*'Fuel &amp; Inputs'!$C$22,500)</f>
        <v>174500</v>
      </c>
    </row>
    <row r="461" customFormat="false" ht="15" hidden="false" customHeight="false" outlineLevel="0" collapsed="false">
      <c r="A461" s="23" t="n">
        <v>432</v>
      </c>
      <c r="B461" s="34" t="s">
        <v>116</v>
      </c>
      <c r="C461" s="34" t="s">
        <v>324</v>
      </c>
      <c r="D461" s="34" t="s">
        <v>217</v>
      </c>
      <c r="E461" s="23" t="s">
        <v>217</v>
      </c>
      <c r="F461" s="23" t="s">
        <v>1080</v>
      </c>
      <c r="G461" s="23" t="s">
        <v>1081</v>
      </c>
      <c r="H461" s="23" t="s">
        <v>148</v>
      </c>
      <c r="I461" s="25" t="n">
        <v>8</v>
      </c>
      <c r="J461" s="35" t="n">
        <v>1</v>
      </c>
      <c r="K461" s="26" t="n">
        <f aca="false">IF(I461=0,0,IF(L461="Rs./km",MROUND(IF(H461="Petrol",'Fuel &amp; Inputs'!$C$5,'Fuel &amp; Inputs'!$C$4)/I461*J461,1),MROUND(I461*J461*IF(H461="Petrol",'Fuel &amp; Inputs'!$C$5,'Fuel &amp; Inputs'!$C$4),10)))</f>
        <v>3060</v>
      </c>
      <c r="L461" s="23" t="s">
        <v>149</v>
      </c>
      <c r="M461" s="27" t="n">
        <v>870</v>
      </c>
      <c r="N461" s="26" t="n">
        <f aca="false">MROUND(M461+'Fuel &amp; Inputs'!$C$13,50)</f>
        <v>1650</v>
      </c>
      <c r="O461" s="27" t="n">
        <v>1710</v>
      </c>
      <c r="P461" s="26" t="n">
        <f aca="false">MROUND(M461*'Fuel &amp; Inputs'!$C$19*'Fuel &amp; Inputs'!$C$21,100)</f>
        <v>3300</v>
      </c>
      <c r="Q461" s="26" t="n">
        <f aca="false">MROUND(N461*'Fuel &amp; Inputs'!$C$19*'Fuel &amp; Inputs'!$C$21,100)</f>
        <v>6300</v>
      </c>
      <c r="R461" s="26" t="n">
        <f aca="false">MROUND(O461*'Fuel &amp; Inputs'!$C$19*'Fuel &amp; Inputs'!$C$21,100)</f>
        <v>6500</v>
      </c>
      <c r="S461" s="26" t="n">
        <f aca="false">MROUND(M461*'Fuel &amp; Inputs'!$C$20*'Fuel &amp; Inputs'!$C$22,500)</f>
        <v>88500</v>
      </c>
      <c r="T461" s="26" t="n">
        <f aca="false">MROUND(N461*'Fuel &amp; Inputs'!$C$20*'Fuel &amp; Inputs'!$C$22,500)</f>
        <v>168500</v>
      </c>
      <c r="U461" s="26" t="n">
        <f aca="false">MROUND(O461*'Fuel &amp; Inputs'!$C$20*'Fuel &amp; Inputs'!$C$22,500)</f>
        <v>174500</v>
      </c>
    </row>
    <row r="462" customFormat="false" ht="15" hidden="false" customHeight="false" outlineLevel="0" collapsed="false">
      <c r="A462" s="17" t="n">
        <v>433</v>
      </c>
      <c r="B462" s="32" t="s">
        <v>116</v>
      </c>
      <c r="C462" s="32" t="s">
        <v>324</v>
      </c>
      <c r="D462" s="32" t="s">
        <v>217</v>
      </c>
      <c r="E462" s="17" t="s">
        <v>217</v>
      </c>
      <c r="F462" s="17" t="s">
        <v>1082</v>
      </c>
      <c r="G462" s="17" t="s">
        <v>1083</v>
      </c>
      <c r="H462" s="17" t="s">
        <v>148</v>
      </c>
      <c r="I462" s="19" t="n">
        <v>8</v>
      </c>
      <c r="J462" s="33" t="n">
        <v>1</v>
      </c>
      <c r="K462" s="20" t="n">
        <f aca="false">IF(I462=0,0,IF(L462="Rs./km",MROUND(IF(H462="Petrol",'Fuel &amp; Inputs'!$C$5,'Fuel &amp; Inputs'!$C$4)/I462*J462,1),MROUND(I462*J462*IF(H462="Petrol",'Fuel &amp; Inputs'!$C$5,'Fuel &amp; Inputs'!$C$4),10)))</f>
        <v>3060</v>
      </c>
      <c r="L462" s="17" t="s">
        <v>149</v>
      </c>
      <c r="M462" s="21" t="n">
        <v>870</v>
      </c>
      <c r="N462" s="20" t="n">
        <f aca="false">MROUND(M462+'Fuel &amp; Inputs'!$C$13,50)</f>
        <v>1650</v>
      </c>
      <c r="O462" s="21" t="n">
        <v>1710</v>
      </c>
      <c r="P462" s="20" t="n">
        <f aca="false">MROUND(M462*'Fuel &amp; Inputs'!$C$19*'Fuel &amp; Inputs'!$C$21,100)</f>
        <v>3300</v>
      </c>
      <c r="Q462" s="20" t="n">
        <f aca="false">MROUND(N462*'Fuel &amp; Inputs'!$C$19*'Fuel &amp; Inputs'!$C$21,100)</f>
        <v>6300</v>
      </c>
      <c r="R462" s="20" t="n">
        <f aca="false">MROUND(O462*'Fuel &amp; Inputs'!$C$19*'Fuel &amp; Inputs'!$C$21,100)</f>
        <v>6500</v>
      </c>
      <c r="S462" s="20" t="n">
        <f aca="false">MROUND(M462*'Fuel &amp; Inputs'!$C$20*'Fuel &amp; Inputs'!$C$22,500)</f>
        <v>88500</v>
      </c>
      <c r="T462" s="20" t="n">
        <f aca="false">MROUND(N462*'Fuel &amp; Inputs'!$C$20*'Fuel &amp; Inputs'!$C$22,500)</f>
        <v>168500</v>
      </c>
      <c r="U462" s="20" t="n">
        <f aca="false">MROUND(O462*'Fuel &amp; Inputs'!$C$20*'Fuel &amp; Inputs'!$C$22,500)</f>
        <v>174500</v>
      </c>
    </row>
    <row r="463" customFormat="false" ht="15" hidden="false" customHeight="false" outlineLevel="0" collapsed="false">
      <c r="A463" s="23" t="n">
        <v>434</v>
      </c>
      <c r="B463" s="34" t="s">
        <v>116</v>
      </c>
      <c r="C463" s="34" t="s">
        <v>324</v>
      </c>
      <c r="D463" s="34" t="s">
        <v>217</v>
      </c>
      <c r="E463" s="23" t="s">
        <v>217</v>
      </c>
      <c r="F463" s="23" t="s">
        <v>1084</v>
      </c>
      <c r="G463" s="23" t="s">
        <v>1085</v>
      </c>
      <c r="H463" s="23" t="s">
        <v>148</v>
      </c>
      <c r="I463" s="25" t="n">
        <v>8</v>
      </c>
      <c r="J463" s="35" t="n">
        <v>1</v>
      </c>
      <c r="K463" s="26" t="n">
        <f aca="false">IF(I463=0,0,IF(L463="Rs./km",MROUND(IF(H463="Petrol",'Fuel &amp; Inputs'!$C$5,'Fuel &amp; Inputs'!$C$4)/I463*J463,1),MROUND(I463*J463*IF(H463="Petrol",'Fuel &amp; Inputs'!$C$5,'Fuel &amp; Inputs'!$C$4),10)))</f>
        <v>3060</v>
      </c>
      <c r="L463" s="23" t="s">
        <v>149</v>
      </c>
      <c r="M463" s="27" t="n">
        <v>870</v>
      </c>
      <c r="N463" s="26" t="n">
        <f aca="false">MROUND(M463+'Fuel &amp; Inputs'!$C$13,50)</f>
        <v>1650</v>
      </c>
      <c r="O463" s="27" t="n">
        <v>1710</v>
      </c>
      <c r="P463" s="26" t="n">
        <f aca="false">MROUND(M463*'Fuel &amp; Inputs'!$C$19*'Fuel &amp; Inputs'!$C$21,100)</f>
        <v>3300</v>
      </c>
      <c r="Q463" s="26" t="n">
        <f aca="false">MROUND(N463*'Fuel &amp; Inputs'!$C$19*'Fuel &amp; Inputs'!$C$21,100)</f>
        <v>6300</v>
      </c>
      <c r="R463" s="26" t="n">
        <f aca="false">MROUND(O463*'Fuel &amp; Inputs'!$C$19*'Fuel &amp; Inputs'!$C$21,100)</f>
        <v>6500</v>
      </c>
      <c r="S463" s="26" t="n">
        <f aca="false">MROUND(M463*'Fuel &amp; Inputs'!$C$20*'Fuel &amp; Inputs'!$C$22,500)</f>
        <v>88500</v>
      </c>
      <c r="T463" s="26" t="n">
        <f aca="false">MROUND(N463*'Fuel &amp; Inputs'!$C$20*'Fuel &amp; Inputs'!$C$22,500)</f>
        <v>168500</v>
      </c>
      <c r="U463" s="26" t="n">
        <f aca="false">MROUND(O463*'Fuel &amp; Inputs'!$C$20*'Fuel &amp; Inputs'!$C$22,500)</f>
        <v>174500</v>
      </c>
    </row>
    <row r="464" customFormat="false" ht="15" hidden="false" customHeight="false" outlineLevel="0" collapsed="false">
      <c r="A464" s="17" t="n">
        <v>435</v>
      </c>
      <c r="B464" s="32" t="s">
        <v>116</v>
      </c>
      <c r="C464" s="32" t="s">
        <v>324</v>
      </c>
      <c r="D464" s="32" t="s">
        <v>217</v>
      </c>
      <c r="E464" s="17" t="s">
        <v>217</v>
      </c>
      <c r="F464" s="17" t="s">
        <v>1086</v>
      </c>
      <c r="G464" s="17" t="s">
        <v>217</v>
      </c>
      <c r="H464" s="17" t="s">
        <v>148</v>
      </c>
      <c r="I464" s="19" t="n">
        <v>8</v>
      </c>
      <c r="J464" s="33" t="n">
        <v>1</v>
      </c>
      <c r="K464" s="20" t="n">
        <f aca="false">IF(I464=0,0,IF(L464="Rs./km",MROUND(IF(H464="Petrol",'Fuel &amp; Inputs'!$C$5,'Fuel &amp; Inputs'!$C$4)/I464*J464,1),MROUND(I464*J464*IF(H464="Petrol",'Fuel &amp; Inputs'!$C$5,'Fuel &amp; Inputs'!$C$4),10)))</f>
        <v>3060</v>
      </c>
      <c r="L464" s="17" t="s">
        <v>149</v>
      </c>
      <c r="M464" s="21" t="n">
        <v>870</v>
      </c>
      <c r="N464" s="20" t="n">
        <f aca="false">MROUND(M464+'Fuel &amp; Inputs'!$C$13,50)</f>
        <v>1650</v>
      </c>
      <c r="O464" s="21" t="n">
        <v>1710</v>
      </c>
      <c r="P464" s="20" t="n">
        <f aca="false">MROUND(M464*'Fuel &amp; Inputs'!$C$19*'Fuel &amp; Inputs'!$C$21,100)</f>
        <v>3300</v>
      </c>
      <c r="Q464" s="20" t="n">
        <f aca="false">MROUND(N464*'Fuel &amp; Inputs'!$C$19*'Fuel &amp; Inputs'!$C$21,100)</f>
        <v>6300</v>
      </c>
      <c r="R464" s="20" t="n">
        <f aca="false">MROUND(O464*'Fuel &amp; Inputs'!$C$19*'Fuel &amp; Inputs'!$C$21,100)</f>
        <v>6500</v>
      </c>
      <c r="S464" s="20" t="n">
        <f aca="false">MROUND(M464*'Fuel &amp; Inputs'!$C$20*'Fuel &amp; Inputs'!$C$22,500)</f>
        <v>88500</v>
      </c>
      <c r="T464" s="20" t="n">
        <f aca="false">MROUND(N464*'Fuel &amp; Inputs'!$C$20*'Fuel &amp; Inputs'!$C$22,500)</f>
        <v>168500</v>
      </c>
      <c r="U464" s="20" t="n">
        <f aca="false">MROUND(O464*'Fuel &amp; Inputs'!$C$20*'Fuel &amp; Inputs'!$C$22,500)</f>
        <v>174500</v>
      </c>
    </row>
    <row r="465" customFormat="false" ht="15" hidden="false" customHeight="false" outlineLevel="0" collapsed="false">
      <c r="A465" s="23" t="n">
        <v>436</v>
      </c>
      <c r="B465" s="34" t="s">
        <v>116</v>
      </c>
      <c r="C465" s="34" t="s">
        <v>324</v>
      </c>
      <c r="D465" s="34" t="s">
        <v>217</v>
      </c>
      <c r="E465" s="23" t="s">
        <v>217</v>
      </c>
      <c r="F465" s="23" t="s">
        <v>1087</v>
      </c>
      <c r="G465" s="23" t="s">
        <v>217</v>
      </c>
      <c r="H465" s="23" t="s">
        <v>148</v>
      </c>
      <c r="I465" s="25" t="n">
        <v>8</v>
      </c>
      <c r="J465" s="35" t="n">
        <v>1</v>
      </c>
      <c r="K465" s="26" t="n">
        <f aca="false">IF(I465=0,0,IF(L465="Rs./km",MROUND(IF(H465="Petrol",'Fuel &amp; Inputs'!$C$5,'Fuel &amp; Inputs'!$C$4)/I465*J465,1),MROUND(I465*J465*IF(H465="Petrol",'Fuel &amp; Inputs'!$C$5,'Fuel &amp; Inputs'!$C$4),10)))</f>
        <v>3060</v>
      </c>
      <c r="L465" s="23" t="s">
        <v>149</v>
      </c>
      <c r="M465" s="27" t="n">
        <v>870</v>
      </c>
      <c r="N465" s="26" t="n">
        <f aca="false">MROUND(M465+'Fuel &amp; Inputs'!$C$13,50)</f>
        <v>1650</v>
      </c>
      <c r="O465" s="27" t="n">
        <v>1710</v>
      </c>
      <c r="P465" s="26" t="n">
        <f aca="false">MROUND(M465*'Fuel &amp; Inputs'!$C$19*'Fuel &amp; Inputs'!$C$21,100)</f>
        <v>3300</v>
      </c>
      <c r="Q465" s="26" t="n">
        <f aca="false">MROUND(N465*'Fuel &amp; Inputs'!$C$19*'Fuel &amp; Inputs'!$C$21,100)</f>
        <v>6300</v>
      </c>
      <c r="R465" s="26" t="n">
        <f aca="false">MROUND(O465*'Fuel &amp; Inputs'!$C$19*'Fuel &amp; Inputs'!$C$21,100)</f>
        <v>6500</v>
      </c>
      <c r="S465" s="26" t="n">
        <f aca="false">MROUND(M465*'Fuel &amp; Inputs'!$C$20*'Fuel &amp; Inputs'!$C$22,500)</f>
        <v>88500</v>
      </c>
      <c r="T465" s="26" t="n">
        <f aca="false">MROUND(N465*'Fuel &amp; Inputs'!$C$20*'Fuel &amp; Inputs'!$C$22,500)</f>
        <v>168500</v>
      </c>
      <c r="U465" s="26" t="n">
        <f aca="false">MROUND(O465*'Fuel &amp; Inputs'!$C$20*'Fuel &amp; Inputs'!$C$22,500)</f>
        <v>174500</v>
      </c>
    </row>
    <row r="466" customFormat="false" ht="15" hidden="false" customHeight="false" outlineLevel="0" collapsed="false">
      <c r="A466" s="17" t="n">
        <v>437</v>
      </c>
      <c r="B466" s="32" t="s">
        <v>116</v>
      </c>
      <c r="C466" s="32" t="s">
        <v>324</v>
      </c>
      <c r="D466" s="32" t="s">
        <v>217</v>
      </c>
      <c r="E466" s="17" t="s">
        <v>217</v>
      </c>
      <c r="F466" s="17" t="s">
        <v>1088</v>
      </c>
      <c r="G466" s="17" t="s">
        <v>952</v>
      </c>
      <c r="H466" s="17" t="s">
        <v>148</v>
      </c>
      <c r="I466" s="19" t="n">
        <v>8</v>
      </c>
      <c r="J466" s="33" t="n">
        <v>1</v>
      </c>
      <c r="K466" s="20" t="n">
        <f aca="false">IF(I466=0,0,IF(L466="Rs./km",MROUND(IF(H466="Petrol",'Fuel &amp; Inputs'!$C$5,'Fuel &amp; Inputs'!$C$4)/I466*J466,1),MROUND(I466*J466*IF(H466="Petrol",'Fuel &amp; Inputs'!$C$5,'Fuel &amp; Inputs'!$C$4),10)))</f>
        <v>3060</v>
      </c>
      <c r="L466" s="17" t="s">
        <v>149</v>
      </c>
      <c r="M466" s="21" t="n">
        <v>870</v>
      </c>
      <c r="N466" s="20" t="n">
        <f aca="false">MROUND(M466+'Fuel &amp; Inputs'!$C$13,50)</f>
        <v>1650</v>
      </c>
      <c r="O466" s="21" t="n">
        <v>1710</v>
      </c>
      <c r="P466" s="20" t="n">
        <f aca="false">MROUND(M466*'Fuel &amp; Inputs'!$C$19*'Fuel &amp; Inputs'!$C$21,100)</f>
        <v>3300</v>
      </c>
      <c r="Q466" s="20" t="n">
        <f aca="false">MROUND(N466*'Fuel &amp; Inputs'!$C$19*'Fuel &amp; Inputs'!$C$21,100)</f>
        <v>6300</v>
      </c>
      <c r="R466" s="20" t="n">
        <f aca="false">MROUND(O466*'Fuel &amp; Inputs'!$C$19*'Fuel &amp; Inputs'!$C$21,100)</f>
        <v>6500</v>
      </c>
      <c r="S466" s="20" t="n">
        <f aca="false">MROUND(M466*'Fuel &amp; Inputs'!$C$20*'Fuel &amp; Inputs'!$C$22,500)</f>
        <v>88500</v>
      </c>
      <c r="T466" s="20" t="n">
        <f aca="false">MROUND(N466*'Fuel &amp; Inputs'!$C$20*'Fuel &amp; Inputs'!$C$22,500)</f>
        <v>168500</v>
      </c>
      <c r="U466" s="20" t="n">
        <f aca="false">MROUND(O466*'Fuel &amp; Inputs'!$C$20*'Fuel &amp; Inputs'!$C$22,500)</f>
        <v>174500</v>
      </c>
    </row>
    <row r="467" customFormat="false" ht="15" hidden="false" customHeight="false" outlineLevel="0" collapsed="false">
      <c r="A467" s="23" t="n">
        <v>438</v>
      </c>
      <c r="B467" s="34" t="s">
        <v>116</v>
      </c>
      <c r="C467" s="34" t="s">
        <v>324</v>
      </c>
      <c r="D467" s="34" t="s">
        <v>217</v>
      </c>
      <c r="E467" s="23" t="s">
        <v>217</v>
      </c>
      <c r="F467" s="23" t="s">
        <v>1089</v>
      </c>
      <c r="G467" s="23" t="s">
        <v>217</v>
      </c>
      <c r="H467" s="23" t="s">
        <v>148</v>
      </c>
      <c r="I467" s="25" t="n">
        <v>8</v>
      </c>
      <c r="J467" s="35" t="n">
        <v>1</v>
      </c>
      <c r="K467" s="26" t="n">
        <f aca="false">IF(I467=0,0,IF(L467="Rs./km",MROUND(IF(H467="Petrol",'Fuel &amp; Inputs'!$C$5,'Fuel &amp; Inputs'!$C$4)/I467*J467,1),MROUND(I467*J467*IF(H467="Petrol",'Fuel &amp; Inputs'!$C$5,'Fuel &amp; Inputs'!$C$4),10)))</f>
        <v>3060</v>
      </c>
      <c r="L467" s="23" t="s">
        <v>149</v>
      </c>
      <c r="M467" s="27" t="n">
        <v>870</v>
      </c>
      <c r="N467" s="26" t="n">
        <f aca="false">MROUND(M467+'Fuel &amp; Inputs'!$C$13,50)</f>
        <v>1650</v>
      </c>
      <c r="O467" s="27" t="n">
        <v>1710</v>
      </c>
      <c r="P467" s="26" t="n">
        <f aca="false">MROUND(M467*'Fuel &amp; Inputs'!$C$19*'Fuel &amp; Inputs'!$C$21,100)</f>
        <v>3300</v>
      </c>
      <c r="Q467" s="26" t="n">
        <f aca="false">MROUND(N467*'Fuel &amp; Inputs'!$C$19*'Fuel &amp; Inputs'!$C$21,100)</f>
        <v>6300</v>
      </c>
      <c r="R467" s="26" t="n">
        <f aca="false">MROUND(O467*'Fuel &amp; Inputs'!$C$19*'Fuel &amp; Inputs'!$C$21,100)</f>
        <v>6500</v>
      </c>
      <c r="S467" s="26" t="n">
        <f aca="false">MROUND(M467*'Fuel &amp; Inputs'!$C$20*'Fuel &amp; Inputs'!$C$22,500)</f>
        <v>88500</v>
      </c>
      <c r="T467" s="26" t="n">
        <f aca="false">MROUND(N467*'Fuel &amp; Inputs'!$C$20*'Fuel &amp; Inputs'!$C$22,500)</f>
        <v>168500</v>
      </c>
      <c r="U467" s="26" t="n">
        <f aca="false">MROUND(O467*'Fuel &amp; Inputs'!$C$20*'Fuel &amp; Inputs'!$C$22,500)</f>
        <v>174500</v>
      </c>
    </row>
    <row r="468" customFormat="false" ht="15" hidden="false" customHeight="false" outlineLevel="0" collapsed="false">
      <c r="A468" s="17" t="n">
        <v>439</v>
      </c>
      <c r="B468" s="32" t="s">
        <v>116</v>
      </c>
      <c r="C468" s="32" t="s">
        <v>324</v>
      </c>
      <c r="D468" s="32" t="s">
        <v>217</v>
      </c>
      <c r="E468" s="17" t="s">
        <v>217</v>
      </c>
      <c r="F468" s="17" t="s">
        <v>1090</v>
      </c>
      <c r="G468" s="17" t="s">
        <v>217</v>
      </c>
      <c r="H468" s="17" t="s">
        <v>148</v>
      </c>
      <c r="I468" s="19" t="n">
        <v>8</v>
      </c>
      <c r="J468" s="33" t="n">
        <v>1</v>
      </c>
      <c r="K468" s="20" t="n">
        <f aca="false">IF(I468=0,0,IF(L468="Rs./km",MROUND(IF(H468="Petrol",'Fuel &amp; Inputs'!$C$5,'Fuel &amp; Inputs'!$C$4)/I468*J468,1),MROUND(I468*J468*IF(H468="Petrol",'Fuel &amp; Inputs'!$C$5,'Fuel &amp; Inputs'!$C$4),10)))</f>
        <v>3060</v>
      </c>
      <c r="L468" s="17" t="s">
        <v>149</v>
      </c>
      <c r="M468" s="21" t="n">
        <v>870</v>
      </c>
      <c r="N468" s="20" t="n">
        <f aca="false">MROUND(M468+'Fuel &amp; Inputs'!$C$13,50)</f>
        <v>1650</v>
      </c>
      <c r="O468" s="21" t="n">
        <v>1710</v>
      </c>
      <c r="P468" s="20" t="n">
        <f aca="false">MROUND(M468*'Fuel &amp; Inputs'!$C$19*'Fuel &amp; Inputs'!$C$21,100)</f>
        <v>3300</v>
      </c>
      <c r="Q468" s="20" t="n">
        <f aca="false">MROUND(N468*'Fuel &amp; Inputs'!$C$19*'Fuel &amp; Inputs'!$C$21,100)</f>
        <v>6300</v>
      </c>
      <c r="R468" s="20" t="n">
        <f aca="false">MROUND(O468*'Fuel &amp; Inputs'!$C$19*'Fuel &amp; Inputs'!$C$21,100)</f>
        <v>6500</v>
      </c>
      <c r="S468" s="20" t="n">
        <f aca="false">MROUND(M468*'Fuel &amp; Inputs'!$C$20*'Fuel &amp; Inputs'!$C$22,500)</f>
        <v>88500</v>
      </c>
      <c r="T468" s="20" t="n">
        <f aca="false">MROUND(N468*'Fuel &amp; Inputs'!$C$20*'Fuel &amp; Inputs'!$C$22,500)</f>
        <v>168500</v>
      </c>
      <c r="U468" s="20" t="n">
        <f aca="false">MROUND(O468*'Fuel &amp; Inputs'!$C$20*'Fuel &amp; Inputs'!$C$22,500)</f>
        <v>174500</v>
      </c>
    </row>
    <row r="469" customFormat="false" ht="15" hidden="false" customHeight="false" outlineLevel="0" collapsed="false">
      <c r="A469" s="23" t="n">
        <v>440</v>
      </c>
      <c r="B469" s="34" t="s">
        <v>116</v>
      </c>
      <c r="C469" s="34" t="s">
        <v>324</v>
      </c>
      <c r="D469" s="34" t="s">
        <v>217</v>
      </c>
      <c r="E469" s="23" t="s">
        <v>217</v>
      </c>
      <c r="F469" s="23" t="s">
        <v>1091</v>
      </c>
      <c r="G469" s="23" t="s">
        <v>217</v>
      </c>
      <c r="H469" s="23" t="s">
        <v>148</v>
      </c>
      <c r="I469" s="25" t="n">
        <v>8</v>
      </c>
      <c r="J469" s="35" t="n">
        <v>1</v>
      </c>
      <c r="K469" s="26" t="n">
        <f aca="false">IF(I469=0,0,IF(L469="Rs./km",MROUND(IF(H469="Petrol",'Fuel &amp; Inputs'!$C$5,'Fuel &amp; Inputs'!$C$4)/I469*J469,1),MROUND(I469*J469*IF(H469="Petrol",'Fuel &amp; Inputs'!$C$5,'Fuel &amp; Inputs'!$C$4),10)))</f>
        <v>3060</v>
      </c>
      <c r="L469" s="23" t="s">
        <v>149</v>
      </c>
      <c r="M469" s="27" t="n">
        <v>870</v>
      </c>
      <c r="N469" s="26" t="n">
        <f aca="false">MROUND(M469+'Fuel &amp; Inputs'!$C$13,50)</f>
        <v>1650</v>
      </c>
      <c r="O469" s="27" t="n">
        <v>1710</v>
      </c>
      <c r="P469" s="26" t="n">
        <f aca="false">MROUND(M469*'Fuel &amp; Inputs'!$C$19*'Fuel &amp; Inputs'!$C$21,100)</f>
        <v>3300</v>
      </c>
      <c r="Q469" s="26" t="n">
        <f aca="false">MROUND(N469*'Fuel &amp; Inputs'!$C$19*'Fuel &amp; Inputs'!$C$21,100)</f>
        <v>6300</v>
      </c>
      <c r="R469" s="26" t="n">
        <f aca="false">MROUND(O469*'Fuel &amp; Inputs'!$C$19*'Fuel &amp; Inputs'!$C$21,100)</f>
        <v>6500</v>
      </c>
      <c r="S469" s="26" t="n">
        <f aca="false">MROUND(M469*'Fuel &amp; Inputs'!$C$20*'Fuel &amp; Inputs'!$C$22,500)</f>
        <v>88500</v>
      </c>
      <c r="T469" s="26" t="n">
        <f aca="false">MROUND(N469*'Fuel &amp; Inputs'!$C$20*'Fuel &amp; Inputs'!$C$22,500)</f>
        <v>168500</v>
      </c>
      <c r="U469" s="26" t="n">
        <f aca="false">MROUND(O469*'Fuel &amp; Inputs'!$C$20*'Fuel &amp; Inputs'!$C$22,500)</f>
        <v>174500</v>
      </c>
    </row>
    <row r="470" customFormat="false" ht="15" hidden="false" customHeight="true" outlineLevel="0" collapsed="false">
      <c r="A470" s="31" t="s">
        <v>1092</v>
      </c>
      <c r="B470" s="31"/>
      <c r="C470" s="31"/>
      <c r="D470" s="31"/>
      <c r="E470" s="31"/>
      <c r="F470" s="31"/>
      <c r="G470" s="31"/>
      <c r="H470" s="31"/>
      <c r="I470" s="31"/>
      <c r="J470" s="31"/>
      <c r="K470" s="31"/>
      <c r="L470" s="31"/>
      <c r="M470" s="31"/>
      <c r="N470" s="31"/>
      <c r="O470" s="31"/>
      <c r="P470" s="31"/>
      <c r="Q470" s="31"/>
      <c r="R470" s="31"/>
      <c r="S470" s="31"/>
      <c r="T470" s="31"/>
      <c r="U470" s="31"/>
    </row>
    <row r="471" customFormat="false" ht="15" hidden="false" customHeight="false" outlineLevel="0" collapsed="false">
      <c r="A471" s="17" t="n">
        <v>441</v>
      </c>
      <c r="B471" s="32" t="s">
        <v>118</v>
      </c>
      <c r="C471" s="32" t="s">
        <v>642</v>
      </c>
      <c r="D471" s="32" t="s">
        <v>1093</v>
      </c>
      <c r="E471" s="17" t="s">
        <v>160</v>
      </c>
      <c r="F471" s="17" t="s">
        <v>1094</v>
      </c>
      <c r="G471" s="17" t="s">
        <v>1095</v>
      </c>
      <c r="H471" s="17" t="s">
        <v>148</v>
      </c>
      <c r="I471" s="19" t="n">
        <v>6</v>
      </c>
      <c r="J471" s="33" t="n">
        <v>1.098</v>
      </c>
      <c r="K471" s="20" t="n">
        <f aca="false">IF(I471=0,0,IF(L471="Rs./km",MROUND(IF(H471="Petrol",'Fuel &amp; Inputs'!$C$5,'Fuel &amp; Inputs'!$C$4)/I471*J471,1),MROUND(I471*J471*IF(H471="Petrol",'Fuel &amp; Inputs'!$C$5,'Fuel &amp; Inputs'!$C$4),10)))</f>
        <v>2520</v>
      </c>
      <c r="L471" s="17" t="s">
        <v>149</v>
      </c>
      <c r="M471" s="21" t="n">
        <v>940</v>
      </c>
      <c r="N471" s="20" t="n">
        <f aca="false">MROUND(M471+'Fuel &amp; Inputs'!$C$13,50)</f>
        <v>1750</v>
      </c>
      <c r="O471" s="21" t="n">
        <v>1720</v>
      </c>
      <c r="P471" s="20" t="n">
        <f aca="false">MROUND(M471*'Fuel &amp; Inputs'!$C$19*'Fuel &amp; Inputs'!$C$21,100)</f>
        <v>3600</v>
      </c>
      <c r="Q471" s="20" t="n">
        <f aca="false">MROUND(N471*'Fuel &amp; Inputs'!$C$19*'Fuel &amp; Inputs'!$C$21,100)</f>
        <v>6700</v>
      </c>
      <c r="R471" s="20" t="n">
        <f aca="false">MROUND(O471*'Fuel &amp; Inputs'!$C$19*'Fuel &amp; Inputs'!$C$21,100)</f>
        <v>6500</v>
      </c>
      <c r="S471" s="20" t="n">
        <f aca="false">MROUND(M471*'Fuel &amp; Inputs'!$C$20*'Fuel &amp; Inputs'!$C$22,500)</f>
        <v>96000</v>
      </c>
      <c r="T471" s="20" t="n">
        <f aca="false">MROUND(N471*'Fuel &amp; Inputs'!$C$20*'Fuel &amp; Inputs'!$C$22,500)</f>
        <v>178500</v>
      </c>
      <c r="U471" s="20" t="n">
        <f aca="false">MROUND(O471*'Fuel &amp; Inputs'!$C$20*'Fuel &amp; Inputs'!$C$22,500)</f>
        <v>175500</v>
      </c>
    </row>
    <row r="472" customFormat="false" ht="15" hidden="false" customHeight="false" outlineLevel="0" collapsed="false">
      <c r="A472" s="23" t="n">
        <v>442</v>
      </c>
      <c r="B472" s="34" t="s">
        <v>118</v>
      </c>
      <c r="C472" s="34" t="s">
        <v>642</v>
      </c>
      <c r="D472" s="34" t="s">
        <v>1093</v>
      </c>
      <c r="E472" s="23" t="s">
        <v>160</v>
      </c>
      <c r="F472" s="23" t="s">
        <v>1096</v>
      </c>
      <c r="G472" s="23" t="s">
        <v>1097</v>
      </c>
      <c r="H472" s="23" t="s">
        <v>148</v>
      </c>
      <c r="I472" s="25" t="n">
        <v>6</v>
      </c>
      <c r="J472" s="35" t="n">
        <v>1.098</v>
      </c>
      <c r="K472" s="26" t="n">
        <f aca="false">IF(I472=0,0,IF(L472="Rs./km",MROUND(IF(H472="Petrol",'Fuel &amp; Inputs'!$C$5,'Fuel &amp; Inputs'!$C$4)/I472*J472,1),MROUND(I472*J472*IF(H472="Petrol",'Fuel &amp; Inputs'!$C$5,'Fuel &amp; Inputs'!$C$4),10)))</f>
        <v>2520</v>
      </c>
      <c r="L472" s="23" t="s">
        <v>149</v>
      </c>
      <c r="M472" s="27" t="n">
        <v>940</v>
      </c>
      <c r="N472" s="26" t="n">
        <f aca="false">MROUND(M472+'Fuel &amp; Inputs'!$C$13,50)</f>
        <v>1750</v>
      </c>
      <c r="O472" s="27" t="n">
        <v>1720</v>
      </c>
      <c r="P472" s="26" t="n">
        <f aca="false">MROUND(M472*'Fuel &amp; Inputs'!$C$19*'Fuel &amp; Inputs'!$C$21,100)</f>
        <v>3600</v>
      </c>
      <c r="Q472" s="26" t="n">
        <f aca="false">MROUND(N472*'Fuel &amp; Inputs'!$C$19*'Fuel &amp; Inputs'!$C$21,100)</f>
        <v>6700</v>
      </c>
      <c r="R472" s="26" t="n">
        <f aca="false">MROUND(O472*'Fuel &amp; Inputs'!$C$19*'Fuel &amp; Inputs'!$C$21,100)</f>
        <v>6500</v>
      </c>
      <c r="S472" s="26" t="n">
        <f aca="false">MROUND(M472*'Fuel &amp; Inputs'!$C$20*'Fuel &amp; Inputs'!$C$22,500)</f>
        <v>96000</v>
      </c>
      <c r="T472" s="26" t="n">
        <f aca="false">MROUND(N472*'Fuel &amp; Inputs'!$C$20*'Fuel &amp; Inputs'!$C$22,500)</f>
        <v>178500</v>
      </c>
      <c r="U472" s="26" t="n">
        <f aca="false">MROUND(O472*'Fuel &amp; Inputs'!$C$20*'Fuel &amp; Inputs'!$C$22,500)</f>
        <v>175500</v>
      </c>
    </row>
    <row r="473" customFormat="false" ht="15" hidden="false" customHeight="false" outlineLevel="0" collapsed="false">
      <c r="A473" s="17" t="n">
        <v>443</v>
      </c>
      <c r="B473" s="32" t="s">
        <v>118</v>
      </c>
      <c r="C473" s="32" t="s">
        <v>642</v>
      </c>
      <c r="D473" s="32" t="s">
        <v>1098</v>
      </c>
      <c r="E473" s="17" t="s">
        <v>160</v>
      </c>
      <c r="F473" s="17" t="s">
        <v>1099</v>
      </c>
      <c r="G473" s="17" t="s">
        <v>1100</v>
      </c>
      <c r="H473" s="17" t="s">
        <v>148</v>
      </c>
      <c r="I473" s="19" t="n">
        <v>6</v>
      </c>
      <c r="J473" s="33" t="n">
        <v>1.098</v>
      </c>
      <c r="K473" s="20" t="n">
        <f aca="false">IF(I473=0,0,IF(L473="Rs./km",MROUND(IF(H473="Petrol",'Fuel &amp; Inputs'!$C$5,'Fuel &amp; Inputs'!$C$4)/I473*J473,1),MROUND(I473*J473*IF(H473="Petrol",'Fuel &amp; Inputs'!$C$5,'Fuel &amp; Inputs'!$C$4),10)))</f>
        <v>2520</v>
      </c>
      <c r="L473" s="17" t="s">
        <v>149</v>
      </c>
      <c r="M473" s="21" t="n">
        <v>940</v>
      </c>
      <c r="N473" s="20" t="n">
        <f aca="false">MROUND(M473+'Fuel &amp; Inputs'!$C$13,50)</f>
        <v>1750</v>
      </c>
      <c r="O473" s="21" t="n">
        <v>1720</v>
      </c>
      <c r="P473" s="20" t="n">
        <f aca="false">MROUND(M473*'Fuel &amp; Inputs'!$C$19*'Fuel &amp; Inputs'!$C$21,100)</f>
        <v>3600</v>
      </c>
      <c r="Q473" s="20" t="n">
        <f aca="false">MROUND(N473*'Fuel &amp; Inputs'!$C$19*'Fuel &amp; Inputs'!$C$21,100)</f>
        <v>6700</v>
      </c>
      <c r="R473" s="20" t="n">
        <f aca="false">MROUND(O473*'Fuel &amp; Inputs'!$C$19*'Fuel &amp; Inputs'!$C$21,100)</f>
        <v>6500</v>
      </c>
      <c r="S473" s="20" t="n">
        <f aca="false">MROUND(M473*'Fuel &amp; Inputs'!$C$20*'Fuel &amp; Inputs'!$C$22,500)</f>
        <v>96000</v>
      </c>
      <c r="T473" s="20" t="n">
        <f aca="false">MROUND(N473*'Fuel &amp; Inputs'!$C$20*'Fuel &amp; Inputs'!$C$22,500)</f>
        <v>178500</v>
      </c>
      <c r="U473" s="20" t="n">
        <f aca="false">MROUND(O473*'Fuel &amp; Inputs'!$C$20*'Fuel &amp; Inputs'!$C$22,500)</f>
        <v>175500</v>
      </c>
    </row>
    <row r="474" customFormat="false" ht="15" hidden="false" customHeight="false" outlineLevel="0" collapsed="false">
      <c r="A474" s="23" t="n">
        <v>444</v>
      </c>
      <c r="B474" s="34" t="s">
        <v>118</v>
      </c>
      <c r="C474" s="34" t="s">
        <v>1101</v>
      </c>
      <c r="D474" s="34" t="s">
        <v>1102</v>
      </c>
      <c r="E474" s="23" t="s">
        <v>160</v>
      </c>
      <c r="F474" s="23" t="s">
        <v>1103</v>
      </c>
      <c r="G474" s="23" t="s">
        <v>1104</v>
      </c>
      <c r="H474" s="23" t="s">
        <v>148</v>
      </c>
      <c r="I474" s="25" t="n">
        <v>6</v>
      </c>
      <c r="J474" s="35" t="n">
        <v>1.098</v>
      </c>
      <c r="K474" s="26" t="n">
        <f aca="false">IF(I474=0,0,IF(L474="Rs./km",MROUND(IF(H474="Petrol",'Fuel &amp; Inputs'!$C$5,'Fuel &amp; Inputs'!$C$4)/I474*J474,1),MROUND(I474*J474*IF(H474="Petrol",'Fuel &amp; Inputs'!$C$5,'Fuel &amp; Inputs'!$C$4),10)))</f>
        <v>2520</v>
      </c>
      <c r="L474" s="23" t="s">
        <v>149</v>
      </c>
      <c r="M474" s="27" t="n">
        <v>940</v>
      </c>
      <c r="N474" s="26" t="n">
        <f aca="false">MROUND(M474+'Fuel &amp; Inputs'!$C$13,50)</f>
        <v>1750</v>
      </c>
      <c r="O474" s="27" t="n">
        <v>1720</v>
      </c>
      <c r="P474" s="26" t="n">
        <f aca="false">MROUND(M474*'Fuel &amp; Inputs'!$C$19*'Fuel &amp; Inputs'!$C$21,100)</f>
        <v>3600</v>
      </c>
      <c r="Q474" s="26" t="n">
        <f aca="false">MROUND(N474*'Fuel &amp; Inputs'!$C$19*'Fuel &amp; Inputs'!$C$21,100)</f>
        <v>6700</v>
      </c>
      <c r="R474" s="26" t="n">
        <f aca="false">MROUND(O474*'Fuel &amp; Inputs'!$C$19*'Fuel &amp; Inputs'!$C$21,100)</f>
        <v>6500</v>
      </c>
      <c r="S474" s="26" t="n">
        <f aca="false">MROUND(M474*'Fuel &amp; Inputs'!$C$20*'Fuel &amp; Inputs'!$C$22,500)</f>
        <v>96000</v>
      </c>
      <c r="T474" s="26" t="n">
        <f aca="false">MROUND(N474*'Fuel &amp; Inputs'!$C$20*'Fuel &amp; Inputs'!$C$22,500)</f>
        <v>178500</v>
      </c>
      <c r="U474" s="26" t="n">
        <f aca="false">MROUND(O474*'Fuel &amp; Inputs'!$C$20*'Fuel &amp; Inputs'!$C$22,500)</f>
        <v>175500</v>
      </c>
    </row>
    <row r="475" customFormat="false" ht="23.85" hidden="false" customHeight="false" outlineLevel="0" collapsed="false">
      <c r="A475" s="17" t="n">
        <v>445</v>
      </c>
      <c r="B475" s="32" t="s">
        <v>118</v>
      </c>
      <c r="C475" s="32" t="s">
        <v>1105</v>
      </c>
      <c r="D475" s="32" t="s">
        <v>1106</v>
      </c>
      <c r="E475" s="17" t="s">
        <v>469</v>
      </c>
      <c r="F475" s="17" t="s">
        <v>1107</v>
      </c>
      <c r="G475" s="17" t="s">
        <v>1108</v>
      </c>
      <c r="H475" s="17" t="s">
        <v>148</v>
      </c>
      <c r="I475" s="19" t="n">
        <v>6</v>
      </c>
      <c r="J475" s="33" t="n">
        <v>1.126</v>
      </c>
      <c r="K475" s="20" t="n">
        <f aca="false">IF(I475=0,0,IF(L475="Rs./km",MROUND(IF(H475="Petrol",'Fuel &amp; Inputs'!$C$5,'Fuel &amp; Inputs'!$C$4)/I475*J475,1),MROUND(I475*J475*IF(H475="Petrol",'Fuel &amp; Inputs'!$C$5,'Fuel &amp; Inputs'!$C$4),10)))</f>
        <v>2580</v>
      </c>
      <c r="L475" s="17" t="s">
        <v>149</v>
      </c>
      <c r="M475" s="21" t="n">
        <v>830</v>
      </c>
      <c r="N475" s="20" t="n">
        <f aca="false">MROUND(M475+'Fuel &amp; Inputs'!$C$13,50)</f>
        <v>1650</v>
      </c>
      <c r="O475" s="21" t="n">
        <v>1510</v>
      </c>
      <c r="P475" s="20" t="n">
        <f aca="false">MROUND(M475*'Fuel &amp; Inputs'!$C$19*'Fuel &amp; Inputs'!$C$21,100)</f>
        <v>3200</v>
      </c>
      <c r="Q475" s="20" t="n">
        <f aca="false">MROUND(N475*'Fuel &amp; Inputs'!$C$19*'Fuel &amp; Inputs'!$C$21,100)</f>
        <v>6300</v>
      </c>
      <c r="R475" s="20" t="n">
        <f aca="false">MROUND(O475*'Fuel &amp; Inputs'!$C$19*'Fuel &amp; Inputs'!$C$21,100)</f>
        <v>5700</v>
      </c>
      <c r="S475" s="20" t="n">
        <f aca="false">MROUND(M475*'Fuel &amp; Inputs'!$C$20*'Fuel &amp; Inputs'!$C$22,500)</f>
        <v>84500</v>
      </c>
      <c r="T475" s="20" t="n">
        <f aca="false">MROUND(N475*'Fuel &amp; Inputs'!$C$20*'Fuel &amp; Inputs'!$C$22,500)</f>
        <v>168500</v>
      </c>
      <c r="U475" s="20" t="n">
        <f aca="false">MROUND(O475*'Fuel &amp; Inputs'!$C$20*'Fuel &amp; Inputs'!$C$22,500)</f>
        <v>154000</v>
      </c>
    </row>
    <row r="476" customFormat="false" ht="15" hidden="false" customHeight="false" outlineLevel="0" collapsed="false">
      <c r="A476" s="23" t="n">
        <v>446</v>
      </c>
      <c r="B476" s="34" t="s">
        <v>118</v>
      </c>
      <c r="C476" s="34" t="s">
        <v>1101</v>
      </c>
      <c r="D476" s="34" t="s">
        <v>1102</v>
      </c>
      <c r="E476" s="23" t="s">
        <v>575</v>
      </c>
      <c r="F476" s="23" t="s">
        <v>1109</v>
      </c>
      <c r="G476" s="23" t="s">
        <v>1110</v>
      </c>
      <c r="H476" s="23" t="s">
        <v>148</v>
      </c>
      <c r="I476" s="25" t="n">
        <v>6</v>
      </c>
      <c r="J476" s="35" t="n">
        <v>1.147</v>
      </c>
      <c r="K476" s="26" t="n">
        <f aca="false">IF(I476=0,0,IF(L476="Rs./km",MROUND(IF(H476="Petrol",'Fuel &amp; Inputs'!$C$5,'Fuel &amp; Inputs'!$C$4)/I476*J476,1),MROUND(I476*J476*IF(H476="Petrol",'Fuel &amp; Inputs'!$C$5,'Fuel &amp; Inputs'!$C$4),10)))</f>
        <v>2630</v>
      </c>
      <c r="L476" s="23" t="s">
        <v>149</v>
      </c>
      <c r="M476" s="27" t="n">
        <v>830</v>
      </c>
      <c r="N476" s="26" t="n">
        <f aca="false">MROUND(M476+'Fuel &amp; Inputs'!$C$13,50)</f>
        <v>1650</v>
      </c>
      <c r="O476" s="27" t="n">
        <v>1510</v>
      </c>
      <c r="P476" s="26" t="n">
        <f aca="false">MROUND(M476*'Fuel &amp; Inputs'!$C$19*'Fuel &amp; Inputs'!$C$21,100)</f>
        <v>3200</v>
      </c>
      <c r="Q476" s="26" t="n">
        <f aca="false">MROUND(N476*'Fuel &amp; Inputs'!$C$19*'Fuel &amp; Inputs'!$C$21,100)</f>
        <v>6300</v>
      </c>
      <c r="R476" s="26" t="n">
        <f aca="false">MROUND(O476*'Fuel &amp; Inputs'!$C$19*'Fuel &amp; Inputs'!$C$21,100)</f>
        <v>5700</v>
      </c>
      <c r="S476" s="26" t="n">
        <f aca="false">MROUND(M476*'Fuel &amp; Inputs'!$C$20*'Fuel &amp; Inputs'!$C$22,500)</f>
        <v>84500</v>
      </c>
      <c r="T476" s="26" t="n">
        <f aca="false">MROUND(N476*'Fuel &amp; Inputs'!$C$20*'Fuel &amp; Inputs'!$C$22,500)</f>
        <v>168500</v>
      </c>
      <c r="U476" s="26" t="n">
        <f aca="false">MROUND(O476*'Fuel &amp; Inputs'!$C$20*'Fuel &amp; Inputs'!$C$22,500)</f>
        <v>154000</v>
      </c>
    </row>
    <row r="477" customFormat="false" ht="15" hidden="false" customHeight="false" outlineLevel="0" collapsed="false">
      <c r="A477" s="17" t="n">
        <v>447</v>
      </c>
      <c r="B477" s="32" t="s">
        <v>118</v>
      </c>
      <c r="C477" s="32" t="s">
        <v>1101</v>
      </c>
      <c r="D477" s="32" t="s">
        <v>1102</v>
      </c>
      <c r="E477" s="17" t="s">
        <v>575</v>
      </c>
      <c r="F477" s="17" t="s">
        <v>1111</v>
      </c>
      <c r="G477" s="17" t="s">
        <v>1112</v>
      </c>
      <c r="H477" s="17" t="s">
        <v>148</v>
      </c>
      <c r="I477" s="19" t="n">
        <v>6</v>
      </c>
      <c r="J477" s="33" t="n">
        <v>1.147</v>
      </c>
      <c r="K477" s="20" t="n">
        <f aca="false">IF(I477=0,0,IF(L477="Rs./km",MROUND(IF(H477="Petrol",'Fuel &amp; Inputs'!$C$5,'Fuel &amp; Inputs'!$C$4)/I477*J477,1),MROUND(I477*J477*IF(H477="Petrol",'Fuel &amp; Inputs'!$C$5,'Fuel &amp; Inputs'!$C$4),10)))</f>
        <v>2630</v>
      </c>
      <c r="L477" s="17" t="s">
        <v>149</v>
      </c>
      <c r="M477" s="21" t="n">
        <v>830</v>
      </c>
      <c r="N477" s="20" t="n">
        <f aca="false">MROUND(M477+'Fuel &amp; Inputs'!$C$13,50)</f>
        <v>1650</v>
      </c>
      <c r="O477" s="21" t="n">
        <v>1510</v>
      </c>
      <c r="P477" s="20" t="n">
        <f aca="false">MROUND(M477*'Fuel &amp; Inputs'!$C$19*'Fuel &amp; Inputs'!$C$21,100)</f>
        <v>3200</v>
      </c>
      <c r="Q477" s="20" t="n">
        <f aca="false">MROUND(N477*'Fuel &amp; Inputs'!$C$19*'Fuel &amp; Inputs'!$C$21,100)</f>
        <v>6300</v>
      </c>
      <c r="R477" s="20" t="n">
        <f aca="false">MROUND(O477*'Fuel &amp; Inputs'!$C$19*'Fuel &amp; Inputs'!$C$21,100)</f>
        <v>5700</v>
      </c>
      <c r="S477" s="20" t="n">
        <f aca="false">MROUND(M477*'Fuel &amp; Inputs'!$C$20*'Fuel &amp; Inputs'!$C$22,500)</f>
        <v>84500</v>
      </c>
      <c r="T477" s="20" t="n">
        <f aca="false">MROUND(N477*'Fuel &amp; Inputs'!$C$20*'Fuel &amp; Inputs'!$C$22,500)</f>
        <v>168500</v>
      </c>
      <c r="U477" s="20" t="n">
        <f aca="false">MROUND(O477*'Fuel &amp; Inputs'!$C$20*'Fuel &amp; Inputs'!$C$22,500)</f>
        <v>154000</v>
      </c>
    </row>
    <row r="478" customFormat="false" ht="23.85" hidden="false" customHeight="false" outlineLevel="0" collapsed="false">
      <c r="A478" s="23" t="n">
        <v>448</v>
      </c>
      <c r="B478" s="34" t="s">
        <v>118</v>
      </c>
      <c r="C478" s="34" t="s">
        <v>1113</v>
      </c>
      <c r="D478" s="34" t="s">
        <v>1102</v>
      </c>
      <c r="E478" s="23" t="s">
        <v>1114</v>
      </c>
      <c r="F478" s="23" t="s">
        <v>1115</v>
      </c>
      <c r="G478" s="23" t="s">
        <v>1116</v>
      </c>
      <c r="H478" s="23" t="s">
        <v>148</v>
      </c>
      <c r="I478" s="25" t="n">
        <v>6</v>
      </c>
      <c r="J478" s="35" t="n">
        <v>1.175</v>
      </c>
      <c r="K478" s="26" t="n">
        <f aca="false">IF(I478=0,0,IF(L478="Rs./km",MROUND(IF(H478="Petrol",'Fuel &amp; Inputs'!$C$5,'Fuel &amp; Inputs'!$C$4)/I478*J478,1),MROUND(I478*J478*IF(H478="Petrol",'Fuel &amp; Inputs'!$C$5,'Fuel &amp; Inputs'!$C$4),10)))</f>
        <v>2690</v>
      </c>
      <c r="L478" s="23" t="s">
        <v>149</v>
      </c>
      <c r="M478" s="27" t="n">
        <v>670</v>
      </c>
      <c r="N478" s="26" t="n">
        <f aca="false">MROUND(M478+'Fuel &amp; Inputs'!$C$13,50)</f>
        <v>1450</v>
      </c>
      <c r="O478" s="27" t="n">
        <v>1220</v>
      </c>
      <c r="P478" s="26" t="n">
        <f aca="false">MROUND(M478*'Fuel &amp; Inputs'!$C$19*'Fuel &amp; Inputs'!$C$21,100)</f>
        <v>2500</v>
      </c>
      <c r="Q478" s="26" t="n">
        <f aca="false">MROUND(N478*'Fuel &amp; Inputs'!$C$19*'Fuel &amp; Inputs'!$C$21,100)</f>
        <v>5500</v>
      </c>
      <c r="R478" s="26" t="n">
        <f aca="false">MROUND(O478*'Fuel &amp; Inputs'!$C$19*'Fuel &amp; Inputs'!$C$21,100)</f>
        <v>4600</v>
      </c>
      <c r="S478" s="26" t="n">
        <f aca="false">MROUND(M478*'Fuel &amp; Inputs'!$C$20*'Fuel &amp; Inputs'!$C$22,500)</f>
        <v>68500</v>
      </c>
      <c r="T478" s="26" t="n">
        <f aca="false">MROUND(N478*'Fuel &amp; Inputs'!$C$20*'Fuel &amp; Inputs'!$C$22,500)</f>
        <v>148000</v>
      </c>
      <c r="U478" s="26" t="n">
        <f aca="false">MROUND(O478*'Fuel &amp; Inputs'!$C$20*'Fuel &amp; Inputs'!$C$22,500)</f>
        <v>124500</v>
      </c>
    </row>
    <row r="479" customFormat="false" ht="23.85" hidden="false" customHeight="false" outlineLevel="0" collapsed="false">
      <c r="A479" s="17" t="n">
        <v>449</v>
      </c>
      <c r="B479" s="32" t="s">
        <v>118</v>
      </c>
      <c r="C479" s="32" t="s">
        <v>1113</v>
      </c>
      <c r="D479" s="32" t="s">
        <v>1117</v>
      </c>
      <c r="E479" s="17" t="s">
        <v>1118</v>
      </c>
      <c r="F479" s="17" t="s">
        <v>1119</v>
      </c>
      <c r="G479" s="17" t="s">
        <v>1120</v>
      </c>
      <c r="H479" s="17" t="s">
        <v>148</v>
      </c>
      <c r="I479" s="19" t="n">
        <v>6</v>
      </c>
      <c r="J479" s="33" t="n">
        <v>1.175</v>
      </c>
      <c r="K479" s="20" t="n">
        <f aca="false">IF(I479=0,0,IF(L479="Rs./km",MROUND(IF(H479="Petrol",'Fuel &amp; Inputs'!$C$5,'Fuel &amp; Inputs'!$C$4)/I479*J479,1),MROUND(I479*J479*IF(H479="Petrol",'Fuel &amp; Inputs'!$C$5,'Fuel &amp; Inputs'!$C$4),10)))</f>
        <v>2690</v>
      </c>
      <c r="L479" s="17" t="s">
        <v>149</v>
      </c>
      <c r="M479" s="21" t="n">
        <v>670</v>
      </c>
      <c r="N479" s="20" t="n">
        <f aca="false">MROUND(M479+'Fuel &amp; Inputs'!$C$13,50)</f>
        <v>1450</v>
      </c>
      <c r="O479" s="21" t="n">
        <v>1220</v>
      </c>
      <c r="P479" s="20" t="n">
        <f aca="false">MROUND(M479*'Fuel &amp; Inputs'!$C$19*'Fuel &amp; Inputs'!$C$21,100)</f>
        <v>2500</v>
      </c>
      <c r="Q479" s="20" t="n">
        <f aca="false">MROUND(N479*'Fuel &amp; Inputs'!$C$19*'Fuel &amp; Inputs'!$C$21,100)</f>
        <v>5500</v>
      </c>
      <c r="R479" s="20" t="n">
        <f aca="false">MROUND(O479*'Fuel &amp; Inputs'!$C$19*'Fuel &amp; Inputs'!$C$21,100)</f>
        <v>4600</v>
      </c>
      <c r="S479" s="20" t="n">
        <f aca="false">MROUND(M479*'Fuel &amp; Inputs'!$C$20*'Fuel &amp; Inputs'!$C$22,500)</f>
        <v>68500</v>
      </c>
      <c r="T479" s="20" t="n">
        <f aca="false">MROUND(N479*'Fuel &amp; Inputs'!$C$20*'Fuel &amp; Inputs'!$C$22,500)</f>
        <v>148000</v>
      </c>
      <c r="U479" s="20" t="n">
        <f aca="false">MROUND(O479*'Fuel &amp; Inputs'!$C$20*'Fuel &amp; Inputs'!$C$22,500)</f>
        <v>124500</v>
      </c>
    </row>
    <row r="480" customFormat="false" ht="15" hidden="false" customHeight="false" outlineLevel="0" collapsed="false">
      <c r="A480" s="23" t="n">
        <v>450</v>
      </c>
      <c r="B480" s="34" t="s">
        <v>118</v>
      </c>
      <c r="C480" s="34" t="s">
        <v>324</v>
      </c>
      <c r="D480" s="34" t="s">
        <v>217</v>
      </c>
      <c r="E480" s="23" t="s">
        <v>217</v>
      </c>
      <c r="F480" s="23" t="s">
        <v>217</v>
      </c>
      <c r="G480" s="23" t="s">
        <v>1121</v>
      </c>
      <c r="H480" s="23" t="s">
        <v>148</v>
      </c>
      <c r="I480" s="25" t="n">
        <v>6</v>
      </c>
      <c r="J480" s="35" t="n">
        <v>1</v>
      </c>
      <c r="K480" s="26" t="n">
        <f aca="false">IF(I480=0,0,IF(L480="Rs./km",MROUND(IF(H480="Petrol",'Fuel &amp; Inputs'!$C$5,'Fuel &amp; Inputs'!$C$4)/I480*J480,1),MROUND(I480*J480*IF(H480="Petrol",'Fuel &amp; Inputs'!$C$5,'Fuel &amp; Inputs'!$C$4),10)))</f>
        <v>2290</v>
      </c>
      <c r="L480" s="23" t="s">
        <v>149</v>
      </c>
      <c r="M480" s="27" t="n">
        <v>670</v>
      </c>
      <c r="N480" s="26" t="n">
        <f aca="false">MROUND(M480+'Fuel &amp; Inputs'!$C$13,50)</f>
        <v>1450</v>
      </c>
      <c r="O480" s="27" t="n">
        <v>1220</v>
      </c>
      <c r="P480" s="26" t="n">
        <f aca="false">MROUND(M480*'Fuel &amp; Inputs'!$C$19*'Fuel &amp; Inputs'!$C$21,100)</f>
        <v>2500</v>
      </c>
      <c r="Q480" s="26" t="n">
        <f aca="false">MROUND(N480*'Fuel &amp; Inputs'!$C$19*'Fuel &amp; Inputs'!$C$21,100)</f>
        <v>5500</v>
      </c>
      <c r="R480" s="26" t="n">
        <f aca="false">MROUND(O480*'Fuel &amp; Inputs'!$C$19*'Fuel &amp; Inputs'!$C$21,100)</f>
        <v>4600</v>
      </c>
      <c r="S480" s="26" t="n">
        <f aca="false">MROUND(M480*'Fuel &amp; Inputs'!$C$20*'Fuel &amp; Inputs'!$C$22,500)</f>
        <v>68500</v>
      </c>
      <c r="T480" s="26" t="n">
        <f aca="false">MROUND(N480*'Fuel &amp; Inputs'!$C$20*'Fuel &amp; Inputs'!$C$22,500)</f>
        <v>148000</v>
      </c>
      <c r="U480" s="26" t="n">
        <f aca="false">MROUND(O480*'Fuel &amp; Inputs'!$C$20*'Fuel &amp; Inputs'!$C$22,500)</f>
        <v>124500</v>
      </c>
    </row>
    <row r="481" customFormat="false" ht="15" hidden="false" customHeight="false" outlineLevel="0" collapsed="false">
      <c r="A481" s="17" t="n">
        <v>451</v>
      </c>
      <c r="B481" s="32" t="s">
        <v>118</v>
      </c>
      <c r="C481" s="32" t="s">
        <v>324</v>
      </c>
      <c r="D481" s="32" t="s">
        <v>217</v>
      </c>
      <c r="E481" s="17" t="s">
        <v>217</v>
      </c>
      <c r="F481" s="17" t="s">
        <v>217</v>
      </c>
      <c r="G481" s="17" t="s">
        <v>1112</v>
      </c>
      <c r="H481" s="17" t="s">
        <v>148</v>
      </c>
      <c r="I481" s="19" t="n">
        <v>6</v>
      </c>
      <c r="J481" s="33" t="n">
        <v>1</v>
      </c>
      <c r="K481" s="20" t="n">
        <f aca="false">IF(I481=0,0,IF(L481="Rs./km",MROUND(IF(H481="Petrol",'Fuel &amp; Inputs'!$C$5,'Fuel &amp; Inputs'!$C$4)/I481*J481,1),MROUND(I481*J481*IF(H481="Petrol",'Fuel &amp; Inputs'!$C$5,'Fuel &amp; Inputs'!$C$4),10)))</f>
        <v>2290</v>
      </c>
      <c r="L481" s="17" t="s">
        <v>149</v>
      </c>
      <c r="M481" s="21" t="n">
        <v>670</v>
      </c>
      <c r="N481" s="20" t="n">
        <f aca="false">MROUND(M481+'Fuel &amp; Inputs'!$C$13,50)</f>
        <v>1450</v>
      </c>
      <c r="O481" s="21" t="n">
        <v>1220</v>
      </c>
      <c r="P481" s="20" t="n">
        <f aca="false">MROUND(M481*'Fuel &amp; Inputs'!$C$19*'Fuel &amp; Inputs'!$C$21,100)</f>
        <v>2500</v>
      </c>
      <c r="Q481" s="20" t="n">
        <f aca="false">MROUND(N481*'Fuel &amp; Inputs'!$C$19*'Fuel &amp; Inputs'!$C$21,100)</f>
        <v>5500</v>
      </c>
      <c r="R481" s="20" t="n">
        <f aca="false">MROUND(O481*'Fuel &amp; Inputs'!$C$19*'Fuel &amp; Inputs'!$C$21,100)</f>
        <v>4600</v>
      </c>
      <c r="S481" s="20" t="n">
        <f aca="false">MROUND(M481*'Fuel &amp; Inputs'!$C$20*'Fuel &amp; Inputs'!$C$22,500)</f>
        <v>68500</v>
      </c>
      <c r="T481" s="20" t="n">
        <f aca="false">MROUND(N481*'Fuel &amp; Inputs'!$C$20*'Fuel &amp; Inputs'!$C$22,500)</f>
        <v>148000</v>
      </c>
      <c r="U481" s="20" t="n">
        <f aca="false">MROUND(O481*'Fuel &amp; Inputs'!$C$20*'Fuel &amp; Inputs'!$C$22,500)</f>
        <v>124500</v>
      </c>
    </row>
    <row r="482" customFormat="false" ht="23.85" hidden="false" customHeight="false" outlineLevel="0" collapsed="false">
      <c r="A482" s="23" t="n">
        <v>452</v>
      </c>
      <c r="B482" s="34" t="s">
        <v>118</v>
      </c>
      <c r="C482" s="34" t="s">
        <v>1105</v>
      </c>
      <c r="D482" s="34" t="s">
        <v>1106</v>
      </c>
      <c r="E482" s="23" t="s">
        <v>217</v>
      </c>
      <c r="F482" s="23" t="s">
        <v>1122</v>
      </c>
      <c r="G482" s="23" t="s">
        <v>1108</v>
      </c>
      <c r="H482" s="23" t="s">
        <v>148</v>
      </c>
      <c r="I482" s="25" t="n">
        <v>6</v>
      </c>
      <c r="J482" s="35" t="n">
        <v>1</v>
      </c>
      <c r="K482" s="26" t="n">
        <f aca="false">IF(I482=0,0,IF(L482="Rs./km",MROUND(IF(H482="Petrol",'Fuel &amp; Inputs'!$C$5,'Fuel &amp; Inputs'!$C$4)/I482*J482,1),MROUND(I482*J482*IF(H482="Petrol",'Fuel &amp; Inputs'!$C$5,'Fuel &amp; Inputs'!$C$4),10)))</f>
        <v>2290</v>
      </c>
      <c r="L482" s="23" t="s">
        <v>149</v>
      </c>
      <c r="M482" s="27" t="n">
        <v>670</v>
      </c>
      <c r="N482" s="26" t="n">
        <f aca="false">MROUND(M482+'Fuel &amp; Inputs'!$C$13,50)</f>
        <v>1450</v>
      </c>
      <c r="O482" s="27" t="n">
        <v>1220</v>
      </c>
      <c r="P482" s="26" t="n">
        <f aca="false">MROUND(M482*'Fuel &amp; Inputs'!$C$19*'Fuel &amp; Inputs'!$C$21,100)</f>
        <v>2500</v>
      </c>
      <c r="Q482" s="26" t="n">
        <f aca="false">MROUND(N482*'Fuel &amp; Inputs'!$C$19*'Fuel &amp; Inputs'!$C$21,100)</f>
        <v>5500</v>
      </c>
      <c r="R482" s="26" t="n">
        <f aca="false">MROUND(O482*'Fuel &amp; Inputs'!$C$19*'Fuel &amp; Inputs'!$C$21,100)</f>
        <v>4600</v>
      </c>
      <c r="S482" s="26" t="n">
        <f aca="false">MROUND(M482*'Fuel &amp; Inputs'!$C$20*'Fuel &amp; Inputs'!$C$22,500)</f>
        <v>68500</v>
      </c>
      <c r="T482" s="26" t="n">
        <f aca="false">MROUND(N482*'Fuel &amp; Inputs'!$C$20*'Fuel &amp; Inputs'!$C$22,500)</f>
        <v>148000</v>
      </c>
      <c r="U482" s="26" t="n">
        <f aca="false">MROUND(O482*'Fuel &amp; Inputs'!$C$20*'Fuel &amp; Inputs'!$C$22,500)</f>
        <v>124500</v>
      </c>
    </row>
    <row r="483" customFormat="false" ht="15" hidden="false" customHeight="true" outlineLevel="0" collapsed="false">
      <c r="A483" s="31" t="s">
        <v>1123</v>
      </c>
      <c r="B483" s="31"/>
      <c r="C483" s="31"/>
      <c r="D483" s="31"/>
      <c r="E483" s="31"/>
      <c r="F483" s="31"/>
      <c r="G483" s="31"/>
      <c r="H483" s="31"/>
      <c r="I483" s="31"/>
      <c r="J483" s="31"/>
      <c r="K483" s="31"/>
      <c r="L483" s="31"/>
      <c r="M483" s="31"/>
      <c r="N483" s="31"/>
      <c r="O483" s="31"/>
      <c r="P483" s="31"/>
      <c r="Q483" s="31"/>
      <c r="R483" s="31"/>
      <c r="S483" s="31"/>
      <c r="T483" s="31"/>
      <c r="U483" s="31"/>
    </row>
    <row r="484" customFormat="false" ht="15" hidden="false" customHeight="false" outlineLevel="0" collapsed="false">
      <c r="A484" s="17" t="n">
        <v>453</v>
      </c>
      <c r="B484" s="32" t="s">
        <v>1124</v>
      </c>
      <c r="C484" s="32" t="s">
        <v>1125</v>
      </c>
      <c r="D484" s="32" t="s">
        <v>1126</v>
      </c>
      <c r="E484" s="17" t="s">
        <v>245</v>
      </c>
      <c r="F484" s="17" t="s">
        <v>1127</v>
      </c>
      <c r="G484" s="17" t="s">
        <v>1128</v>
      </c>
      <c r="H484" s="17" t="s">
        <v>977</v>
      </c>
      <c r="I484" s="19" t="n">
        <v>45</v>
      </c>
      <c r="J484" s="33" t="n">
        <v>1.063</v>
      </c>
      <c r="K484" s="20" t="n">
        <f aca="false">IF(I484=0,0,IF(L484="Rs./km",MROUND(IF(H484="Petrol",'Fuel &amp; Inputs'!$C$5,'Fuel &amp; Inputs'!$C$4)/I484*J484,1),MROUND(I484*J484*IF(H484="Petrol",'Fuel &amp; Inputs'!$C$5,'Fuel &amp; Inputs'!$C$4),10)))</f>
        <v>10</v>
      </c>
      <c r="L484" s="17" t="s">
        <v>590</v>
      </c>
      <c r="M484" s="21" t="n">
        <v>280</v>
      </c>
      <c r="N484" s="20" t="n">
        <f aca="false">M484</f>
        <v>280</v>
      </c>
      <c r="O484" s="21" t="n">
        <v>460</v>
      </c>
      <c r="P484" s="20" t="n">
        <f aca="false">MROUND(M484*'Fuel &amp; Inputs'!$C$19*'Fuel &amp; Inputs'!$C$21,100)</f>
        <v>1100</v>
      </c>
      <c r="Q484" s="20" t="n">
        <f aca="false">MROUND(N484*'Fuel &amp; Inputs'!$C$19*'Fuel &amp; Inputs'!$C$21,100)</f>
        <v>1100</v>
      </c>
      <c r="R484" s="20" t="n">
        <f aca="false">MROUND(O484*'Fuel &amp; Inputs'!$C$19*'Fuel &amp; Inputs'!$C$21,100)</f>
        <v>1700</v>
      </c>
      <c r="S484" s="20" t="n">
        <f aca="false">MROUND(M484*'Fuel &amp; Inputs'!$C$20*'Fuel &amp; Inputs'!$C$22,500)</f>
        <v>28500</v>
      </c>
      <c r="T484" s="20" t="n">
        <f aca="false">MROUND(N484*'Fuel &amp; Inputs'!$C$20*'Fuel &amp; Inputs'!$C$22,500)</f>
        <v>28500</v>
      </c>
      <c r="U484" s="20" t="n">
        <f aca="false">MROUND(O484*'Fuel &amp; Inputs'!$C$20*'Fuel &amp; Inputs'!$C$22,500)</f>
        <v>47000</v>
      </c>
    </row>
    <row r="485" customFormat="false" ht="15" hidden="false" customHeight="false" outlineLevel="0" collapsed="false">
      <c r="A485" s="23" t="n">
        <v>454</v>
      </c>
      <c r="B485" s="34" t="s">
        <v>1124</v>
      </c>
      <c r="C485" s="34" t="s">
        <v>1125</v>
      </c>
      <c r="D485" s="34" t="s">
        <v>1126</v>
      </c>
      <c r="E485" s="23" t="s">
        <v>245</v>
      </c>
      <c r="F485" s="23" t="s">
        <v>217</v>
      </c>
      <c r="G485" s="23" t="s">
        <v>217</v>
      </c>
      <c r="H485" s="23" t="s">
        <v>977</v>
      </c>
      <c r="I485" s="25" t="n">
        <v>45</v>
      </c>
      <c r="J485" s="35" t="n">
        <v>1.07</v>
      </c>
      <c r="K485" s="26" t="n">
        <f aca="false">IF(I485=0,0,IF(L485="Rs./km",MROUND(IF(H485="Petrol",'Fuel &amp; Inputs'!$C$5,'Fuel &amp; Inputs'!$C$4)/I485*J485,1),MROUND(I485*J485*IF(H485="Petrol",'Fuel &amp; Inputs'!$C$5,'Fuel &amp; Inputs'!$C$4),10)))</f>
        <v>10</v>
      </c>
      <c r="L485" s="23" t="s">
        <v>590</v>
      </c>
      <c r="M485" s="27" t="n">
        <v>280</v>
      </c>
      <c r="N485" s="26" t="n">
        <f aca="false">M485</f>
        <v>280</v>
      </c>
      <c r="O485" s="27" t="n">
        <v>460</v>
      </c>
      <c r="P485" s="26" t="n">
        <f aca="false">MROUND(M485*'Fuel &amp; Inputs'!$C$19*'Fuel &amp; Inputs'!$C$21,100)</f>
        <v>1100</v>
      </c>
      <c r="Q485" s="26" t="n">
        <f aca="false">MROUND(N485*'Fuel &amp; Inputs'!$C$19*'Fuel &amp; Inputs'!$C$21,100)</f>
        <v>1100</v>
      </c>
      <c r="R485" s="26" t="n">
        <f aca="false">MROUND(O485*'Fuel &amp; Inputs'!$C$19*'Fuel &amp; Inputs'!$C$21,100)</f>
        <v>1700</v>
      </c>
      <c r="S485" s="26" t="n">
        <f aca="false">MROUND(M485*'Fuel &amp; Inputs'!$C$20*'Fuel &amp; Inputs'!$C$22,500)</f>
        <v>28500</v>
      </c>
      <c r="T485" s="26" t="n">
        <f aca="false">MROUND(N485*'Fuel &amp; Inputs'!$C$20*'Fuel &amp; Inputs'!$C$22,500)</f>
        <v>28500</v>
      </c>
      <c r="U485" s="26" t="n">
        <f aca="false">MROUND(O485*'Fuel &amp; Inputs'!$C$20*'Fuel &amp; Inputs'!$C$22,500)</f>
        <v>47000</v>
      </c>
    </row>
    <row r="486" customFormat="false" ht="23.85" hidden="false" customHeight="false" outlineLevel="0" collapsed="false">
      <c r="A486" s="17" t="n">
        <v>455</v>
      </c>
      <c r="B486" s="32" t="s">
        <v>1124</v>
      </c>
      <c r="C486" s="32" t="s">
        <v>1125</v>
      </c>
      <c r="D486" s="32" t="s">
        <v>1129</v>
      </c>
      <c r="E486" s="17" t="s">
        <v>198</v>
      </c>
      <c r="F486" s="17" t="s">
        <v>1130</v>
      </c>
      <c r="G486" s="17" t="s">
        <v>1131</v>
      </c>
      <c r="H486" s="17" t="s">
        <v>977</v>
      </c>
      <c r="I486" s="19" t="n">
        <v>45</v>
      </c>
      <c r="J486" s="33" t="n">
        <v>1.14</v>
      </c>
      <c r="K486" s="20" t="n">
        <f aca="false">IF(I486=0,0,IF(L486="Rs./km",MROUND(IF(H486="Petrol",'Fuel &amp; Inputs'!$C$5,'Fuel &amp; Inputs'!$C$4)/I486*J486,1),MROUND(I486*J486*IF(H486="Petrol",'Fuel &amp; Inputs'!$C$5,'Fuel &amp; Inputs'!$C$4),10)))</f>
        <v>10</v>
      </c>
      <c r="L486" s="17" t="s">
        <v>590</v>
      </c>
      <c r="M486" s="21" t="n">
        <v>280</v>
      </c>
      <c r="N486" s="20" t="n">
        <f aca="false">M486</f>
        <v>280</v>
      </c>
      <c r="O486" s="21" t="n">
        <v>460</v>
      </c>
      <c r="P486" s="20" t="n">
        <f aca="false">MROUND(M486*'Fuel &amp; Inputs'!$C$19*'Fuel &amp; Inputs'!$C$21,100)</f>
        <v>1100</v>
      </c>
      <c r="Q486" s="20" t="n">
        <f aca="false">MROUND(N486*'Fuel &amp; Inputs'!$C$19*'Fuel &amp; Inputs'!$C$21,100)</f>
        <v>1100</v>
      </c>
      <c r="R486" s="20" t="n">
        <f aca="false">MROUND(O486*'Fuel &amp; Inputs'!$C$19*'Fuel &amp; Inputs'!$C$21,100)</f>
        <v>1700</v>
      </c>
      <c r="S486" s="20" t="n">
        <f aca="false">MROUND(M486*'Fuel &amp; Inputs'!$C$20*'Fuel &amp; Inputs'!$C$22,500)</f>
        <v>28500</v>
      </c>
      <c r="T486" s="20" t="n">
        <f aca="false">MROUND(N486*'Fuel &amp; Inputs'!$C$20*'Fuel &amp; Inputs'!$C$22,500)</f>
        <v>28500</v>
      </c>
      <c r="U486" s="20" t="n">
        <f aca="false">MROUND(O486*'Fuel &amp; Inputs'!$C$20*'Fuel &amp; Inputs'!$C$22,500)</f>
        <v>47000</v>
      </c>
    </row>
    <row r="487" customFormat="false" ht="15" hidden="false" customHeight="false" outlineLevel="0" collapsed="false">
      <c r="A487" s="23" t="n">
        <v>456</v>
      </c>
      <c r="B487" s="34" t="s">
        <v>1124</v>
      </c>
      <c r="C487" s="34" t="s">
        <v>1125</v>
      </c>
      <c r="D487" s="34" t="s">
        <v>1126</v>
      </c>
      <c r="E487" s="23" t="s">
        <v>596</v>
      </c>
      <c r="F487" s="23" t="s">
        <v>1132</v>
      </c>
      <c r="G487" s="23" t="s">
        <v>1133</v>
      </c>
      <c r="H487" s="23" t="s">
        <v>977</v>
      </c>
      <c r="I487" s="25" t="n">
        <v>45</v>
      </c>
      <c r="J487" s="35" t="n">
        <v>1.105</v>
      </c>
      <c r="K487" s="26" t="n">
        <f aca="false">IF(I487=0,0,IF(L487="Rs./km",MROUND(IF(H487="Petrol",'Fuel &amp; Inputs'!$C$5,'Fuel &amp; Inputs'!$C$4)/I487*J487,1),MROUND(I487*J487*IF(H487="Petrol",'Fuel &amp; Inputs'!$C$5,'Fuel &amp; Inputs'!$C$4),10)))</f>
        <v>10</v>
      </c>
      <c r="L487" s="23" t="s">
        <v>590</v>
      </c>
      <c r="M487" s="27" t="n">
        <v>280</v>
      </c>
      <c r="N487" s="26" t="n">
        <f aca="false">M487</f>
        <v>280</v>
      </c>
      <c r="O487" s="27" t="n">
        <v>460</v>
      </c>
      <c r="P487" s="26" t="n">
        <f aca="false">MROUND(M487*'Fuel &amp; Inputs'!$C$19*'Fuel &amp; Inputs'!$C$21,100)</f>
        <v>1100</v>
      </c>
      <c r="Q487" s="26" t="n">
        <f aca="false">MROUND(N487*'Fuel &amp; Inputs'!$C$19*'Fuel &amp; Inputs'!$C$21,100)</f>
        <v>1100</v>
      </c>
      <c r="R487" s="26" t="n">
        <f aca="false">MROUND(O487*'Fuel &amp; Inputs'!$C$19*'Fuel &amp; Inputs'!$C$21,100)</f>
        <v>1700</v>
      </c>
      <c r="S487" s="26" t="n">
        <f aca="false">MROUND(M487*'Fuel &amp; Inputs'!$C$20*'Fuel &amp; Inputs'!$C$22,500)</f>
        <v>28500</v>
      </c>
      <c r="T487" s="26" t="n">
        <f aca="false">MROUND(N487*'Fuel &amp; Inputs'!$C$20*'Fuel &amp; Inputs'!$C$22,500)</f>
        <v>28500</v>
      </c>
      <c r="U487" s="26" t="n">
        <f aca="false">MROUND(O487*'Fuel &amp; Inputs'!$C$20*'Fuel &amp; Inputs'!$C$22,500)</f>
        <v>47000</v>
      </c>
    </row>
    <row r="488" customFormat="false" ht="15" hidden="false" customHeight="false" outlineLevel="0" collapsed="false">
      <c r="A488" s="17" t="n">
        <v>457</v>
      </c>
      <c r="B488" s="32" t="s">
        <v>1124</v>
      </c>
      <c r="C488" s="32" t="s">
        <v>1125</v>
      </c>
      <c r="D488" s="32" t="s">
        <v>1126</v>
      </c>
      <c r="E488" s="17" t="s">
        <v>245</v>
      </c>
      <c r="F488" s="17" t="s">
        <v>1134</v>
      </c>
      <c r="G488" s="17" t="s">
        <v>1135</v>
      </c>
      <c r="H488" s="17" t="s">
        <v>977</v>
      </c>
      <c r="I488" s="19" t="n">
        <v>45</v>
      </c>
      <c r="J488" s="33" t="n">
        <v>1.063</v>
      </c>
      <c r="K488" s="20" t="n">
        <f aca="false">IF(I488=0,0,IF(L488="Rs./km",MROUND(IF(H488="Petrol",'Fuel &amp; Inputs'!$C$5,'Fuel &amp; Inputs'!$C$4)/I488*J488,1),MROUND(I488*J488*IF(H488="Petrol",'Fuel &amp; Inputs'!$C$5,'Fuel &amp; Inputs'!$C$4),10)))</f>
        <v>10</v>
      </c>
      <c r="L488" s="17" t="s">
        <v>590</v>
      </c>
      <c r="M488" s="21" t="n">
        <v>280</v>
      </c>
      <c r="N488" s="20" t="n">
        <f aca="false">M488</f>
        <v>280</v>
      </c>
      <c r="O488" s="21" t="n">
        <v>460</v>
      </c>
      <c r="P488" s="20" t="n">
        <f aca="false">MROUND(M488*'Fuel &amp; Inputs'!$C$19*'Fuel &amp; Inputs'!$C$21,100)</f>
        <v>1100</v>
      </c>
      <c r="Q488" s="20" t="n">
        <f aca="false">MROUND(N488*'Fuel &amp; Inputs'!$C$19*'Fuel &amp; Inputs'!$C$21,100)</f>
        <v>1100</v>
      </c>
      <c r="R488" s="20" t="n">
        <f aca="false">MROUND(O488*'Fuel &amp; Inputs'!$C$19*'Fuel &amp; Inputs'!$C$21,100)</f>
        <v>1700</v>
      </c>
      <c r="S488" s="20" t="n">
        <f aca="false">MROUND(M488*'Fuel &amp; Inputs'!$C$20*'Fuel &amp; Inputs'!$C$22,500)</f>
        <v>28500</v>
      </c>
      <c r="T488" s="20" t="n">
        <f aca="false">MROUND(N488*'Fuel &amp; Inputs'!$C$20*'Fuel &amp; Inputs'!$C$22,500)</f>
        <v>28500</v>
      </c>
      <c r="U488" s="20" t="n">
        <f aca="false">MROUND(O488*'Fuel &amp; Inputs'!$C$20*'Fuel &amp; Inputs'!$C$22,500)</f>
        <v>47000</v>
      </c>
    </row>
    <row r="489" customFormat="false" ht="15" hidden="false" customHeight="false" outlineLevel="0" collapsed="false">
      <c r="A489" s="23" t="n">
        <v>458</v>
      </c>
      <c r="B489" s="34" t="s">
        <v>1124</v>
      </c>
      <c r="C489" s="34" t="s">
        <v>1125</v>
      </c>
      <c r="D489" s="34" t="s">
        <v>1136</v>
      </c>
      <c r="E489" s="23" t="s">
        <v>168</v>
      </c>
      <c r="F489" s="23" t="s">
        <v>1137</v>
      </c>
      <c r="G489" s="23" t="s">
        <v>1138</v>
      </c>
      <c r="H489" s="23" t="s">
        <v>977</v>
      </c>
      <c r="I489" s="25" t="n">
        <v>45</v>
      </c>
      <c r="J489" s="35" t="n">
        <v>1.07</v>
      </c>
      <c r="K489" s="26" t="n">
        <f aca="false">IF(I489=0,0,IF(L489="Rs./km",MROUND(IF(H489="Petrol",'Fuel &amp; Inputs'!$C$5,'Fuel &amp; Inputs'!$C$4)/I489*J489,1),MROUND(I489*J489*IF(H489="Petrol",'Fuel &amp; Inputs'!$C$5,'Fuel &amp; Inputs'!$C$4),10)))</f>
        <v>10</v>
      </c>
      <c r="L489" s="23" t="s">
        <v>590</v>
      </c>
      <c r="M489" s="27" t="n">
        <v>280</v>
      </c>
      <c r="N489" s="26" t="n">
        <f aca="false">M489</f>
        <v>280</v>
      </c>
      <c r="O489" s="27" t="n">
        <v>460</v>
      </c>
      <c r="P489" s="26" t="n">
        <f aca="false">MROUND(M489*'Fuel &amp; Inputs'!$C$19*'Fuel &amp; Inputs'!$C$21,100)</f>
        <v>1100</v>
      </c>
      <c r="Q489" s="26" t="n">
        <f aca="false">MROUND(N489*'Fuel &amp; Inputs'!$C$19*'Fuel &amp; Inputs'!$C$21,100)</f>
        <v>1100</v>
      </c>
      <c r="R489" s="26" t="n">
        <f aca="false">MROUND(O489*'Fuel &amp; Inputs'!$C$19*'Fuel &amp; Inputs'!$C$21,100)</f>
        <v>1700</v>
      </c>
      <c r="S489" s="26" t="n">
        <f aca="false">MROUND(M489*'Fuel &amp; Inputs'!$C$20*'Fuel &amp; Inputs'!$C$22,500)</f>
        <v>28500</v>
      </c>
      <c r="T489" s="26" t="n">
        <f aca="false">MROUND(N489*'Fuel &amp; Inputs'!$C$20*'Fuel &amp; Inputs'!$C$22,500)</f>
        <v>28500</v>
      </c>
      <c r="U489" s="26" t="n">
        <f aca="false">MROUND(O489*'Fuel &amp; Inputs'!$C$20*'Fuel &amp; Inputs'!$C$22,500)</f>
        <v>47000</v>
      </c>
    </row>
    <row r="490" customFormat="false" ht="15" hidden="false" customHeight="false" outlineLevel="0" collapsed="false">
      <c r="A490" s="17" t="n">
        <v>459</v>
      </c>
      <c r="B490" s="32" t="s">
        <v>1124</v>
      </c>
      <c r="C490" s="32" t="s">
        <v>1125</v>
      </c>
      <c r="D490" s="32" t="s">
        <v>1126</v>
      </c>
      <c r="E490" s="17" t="s">
        <v>168</v>
      </c>
      <c r="F490" s="17" t="s">
        <v>1139</v>
      </c>
      <c r="G490" s="17" t="s">
        <v>1140</v>
      </c>
      <c r="H490" s="17" t="s">
        <v>977</v>
      </c>
      <c r="I490" s="19" t="n">
        <v>45</v>
      </c>
      <c r="J490" s="33" t="n">
        <v>1.07</v>
      </c>
      <c r="K490" s="20" t="n">
        <f aca="false">IF(I490=0,0,IF(L490="Rs./km",MROUND(IF(H490="Petrol",'Fuel &amp; Inputs'!$C$5,'Fuel &amp; Inputs'!$C$4)/I490*J490,1),MROUND(I490*J490*IF(H490="Petrol",'Fuel &amp; Inputs'!$C$5,'Fuel &amp; Inputs'!$C$4),10)))</f>
        <v>10</v>
      </c>
      <c r="L490" s="17" t="s">
        <v>590</v>
      </c>
      <c r="M490" s="21" t="n">
        <v>280</v>
      </c>
      <c r="N490" s="20" t="n">
        <f aca="false">M490</f>
        <v>280</v>
      </c>
      <c r="O490" s="21" t="n">
        <v>460</v>
      </c>
      <c r="P490" s="20" t="n">
        <f aca="false">MROUND(M490*'Fuel &amp; Inputs'!$C$19*'Fuel &amp; Inputs'!$C$21,100)</f>
        <v>1100</v>
      </c>
      <c r="Q490" s="20" t="n">
        <f aca="false">MROUND(N490*'Fuel &amp; Inputs'!$C$19*'Fuel &amp; Inputs'!$C$21,100)</f>
        <v>1100</v>
      </c>
      <c r="R490" s="20" t="n">
        <f aca="false">MROUND(O490*'Fuel &amp; Inputs'!$C$19*'Fuel &amp; Inputs'!$C$21,100)</f>
        <v>1700</v>
      </c>
      <c r="S490" s="20" t="n">
        <f aca="false">MROUND(M490*'Fuel &amp; Inputs'!$C$20*'Fuel &amp; Inputs'!$C$22,500)</f>
        <v>28500</v>
      </c>
      <c r="T490" s="20" t="n">
        <f aca="false">MROUND(N490*'Fuel &amp; Inputs'!$C$20*'Fuel &amp; Inputs'!$C$22,500)</f>
        <v>28500</v>
      </c>
      <c r="U490" s="20" t="n">
        <f aca="false">MROUND(O490*'Fuel &amp; Inputs'!$C$20*'Fuel &amp; Inputs'!$C$22,500)</f>
        <v>47000</v>
      </c>
    </row>
    <row r="491" customFormat="false" ht="15" hidden="false" customHeight="false" outlineLevel="0" collapsed="false">
      <c r="A491" s="23" t="n">
        <v>460</v>
      </c>
      <c r="B491" s="34" t="s">
        <v>1124</v>
      </c>
      <c r="C491" s="34" t="s">
        <v>1125</v>
      </c>
      <c r="D491" s="34" t="s">
        <v>1126</v>
      </c>
      <c r="E491" s="23" t="s">
        <v>168</v>
      </c>
      <c r="F491" s="23" t="s">
        <v>217</v>
      </c>
      <c r="G491" s="23" t="s">
        <v>217</v>
      </c>
      <c r="H491" s="23" t="s">
        <v>977</v>
      </c>
      <c r="I491" s="25" t="n">
        <v>45</v>
      </c>
      <c r="J491" s="35" t="n">
        <v>1.07</v>
      </c>
      <c r="K491" s="26" t="n">
        <f aca="false">IF(I491=0,0,IF(L491="Rs./km",MROUND(IF(H491="Petrol",'Fuel &amp; Inputs'!$C$5,'Fuel &amp; Inputs'!$C$4)/I491*J491,1),MROUND(I491*J491*IF(H491="Petrol",'Fuel &amp; Inputs'!$C$5,'Fuel &amp; Inputs'!$C$4),10)))</f>
        <v>10</v>
      </c>
      <c r="L491" s="23" t="s">
        <v>590</v>
      </c>
      <c r="M491" s="27" t="n">
        <v>280</v>
      </c>
      <c r="N491" s="26" t="n">
        <f aca="false">M491</f>
        <v>280</v>
      </c>
      <c r="O491" s="27" t="n">
        <v>460</v>
      </c>
      <c r="P491" s="26" t="n">
        <f aca="false">MROUND(M491*'Fuel &amp; Inputs'!$C$19*'Fuel &amp; Inputs'!$C$21,100)</f>
        <v>1100</v>
      </c>
      <c r="Q491" s="26" t="n">
        <f aca="false">MROUND(N491*'Fuel &amp; Inputs'!$C$19*'Fuel &amp; Inputs'!$C$21,100)</f>
        <v>1100</v>
      </c>
      <c r="R491" s="26" t="n">
        <f aca="false">MROUND(O491*'Fuel &amp; Inputs'!$C$19*'Fuel &amp; Inputs'!$C$21,100)</f>
        <v>1700</v>
      </c>
      <c r="S491" s="26" t="n">
        <f aca="false">MROUND(M491*'Fuel &amp; Inputs'!$C$20*'Fuel &amp; Inputs'!$C$22,500)</f>
        <v>28500</v>
      </c>
      <c r="T491" s="26" t="n">
        <f aca="false">MROUND(N491*'Fuel &amp; Inputs'!$C$20*'Fuel &amp; Inputs'!$C$22,500)</f>
        <v>28500</v>
      </c>
      <c r="U491" s="26" t="n">
        <f aca="false">MROUND(O491*'Fuel &amp; Inputs'!$C$20*'Fuel &amp; Inputs'!$C$22,500)</f>
        <v>47000</v>
      </c>
    </row>
    <row r="492" customFormat="false" ht="15" hidden="false" customHeight="false" outlineLevel="0" collapsed="false">
      <c r="A492" s="17" t="n">
        <v>461</v>
      </c>
      <c r="B492" s="32" t="s">
        <v>1124</v>
      </c>
      <c r="C492" s="32" t="s">
        <v>1125</v>
      </c>
      <c r="D492" s="32" t="s">
        <v>1126</v>
      </c>
      <c r="E492" s="17" t="s">
        <v>168</v>
      </c>
      <c r="F492" s="17" t="s">
        <v>217</v>
      </c>
      <c r="G492" s="17" t="s">
        <v>217</v>
      </c>
      <c r="H492" s="17" t="s">
        <v>977</v>
      </c>
      <c r="I492" s="19" t="n">
        <v>45</v>
      </c>
      <c r="J492" s="33" t="n">
        <v>1.077</v>
      </c>
      <c r="K492" s="20" t="n">
        <f aca="false">IF(I492=0,0,IF(L492="Rs./km",MROUND(IF(H492="Petrol",'Fuel &amp; Inputs'!$C$5,'Fuel &amp; Inputs'!$C$4)/I492*J492,1),MROUND(I492*J492*IF(H492="Petrol",'Fuel &amp; Inputs'!$C$5,'Fuel &amp; Inputs'!$C$4),10)))</f>
        <v>10</v>
      </c>
      <c r="L492" s="17" t="s">
        <v>590</v>
      </c>
      <c r="M492" s="21" t="n">
        <v>280</v>
      </c>
      <c r="N492" s="20" t="n">
        <f aca="false">M492</f>
        <v>280</v>
      </c>
      <c r="O492" s="21" t="n">
        <v>460</v>
      </c>
      <c r="P492" s="20" t="n">
        <f aca="false">MROUND(M492*'Fuel &amp; Inputs'!$C$19*'Fuel &amp; Inputs'!$C$21,100)</f>
        <v>1100</v>
      </c>
      <c r="Q492" s="20" t="n">
        <f aca="false">MROUND(N492*'Fuel &amp; Inputs'!$C$19*'Fuel &amp; Inputs'!$C$21,100)</f>
        <v>1100</v>
      </c>
      <c r="R492" s="20" t="n">
        <f aca="false">MROUND(O492*'Fuel &amp; Inputs'!$C$19*'Fuel &amp; Inputs'!$C$21,100)</f>
        <v>1700</v>
      </c>
      <c r="S492" s="20" t="n">
        <f aca="false">MROUND(M492*'Fuel &amp; Inputs'!$C$20*'Fuel &amp; Inputs'!$C$22,500)</f>
        <v>28500</v>
      </c>
      <c r="T492" s="20" t="n">
        <f aca="false">MROUND(N492*'Fuel &amp; Inputs'!$C$20*'Fuel &amp; Inputs'!$C$22,500)</f>
        <v>28500</v>
      </c>
      <c r="U492" s="20" t="n">
        <f aca="false">MROUND(O492*'Fuel &amp; Inputs'!$C$20*'Fuel &amp; Inputs'!$C$22,500)</f>
        <v>47000</v>
      </c>
    </row>
    <row r="493" customFormat="false" ht="15" hidden="false" customHeight="false" outlineLevel="0" collapsed="false">
      <c r="A493" s="23" t="n">
        <v>462</v>
      </c>
      <c r="B493" s="34" t="s">
        <v>1124</v>
      </c>
      <c r="C493" s="34" t="s">
        <v>1126</v>
      </c>
      <c r="D493" s="34" t="s">
        <v>1126</v>
      </c>
      <c r="E493" s="23" t="s">
        <v>168</v>
      </c>
      <c r="F493" s="23" t="s">
        <v>1141</v>
      </c>
      <c r="G493" s="23" t="s">
        <v>1142</v>
      </c>
      <c r="H493" s="23" t="s">
        <v>977</v>
      </c>
      <c r="I493" s="25" t="n">
        <v>45</v>
      </c>
      <c r="J493" s="35" t="n">
        <v>1.07</v>
      </c>
      <c r="K493" s="26" t="n">
        <f aca="false">IF(I493=0,0,IF(L493="Rs./km",MROUND(IF(H493="Petrol",'Fuel &amp; Inputs'!$C$5,'Fuel &amp; Inputs'!$C$4)/I493*J493,1),MROUND(I493*J493*IF(H493="Petrol",'Fuel &amp; Inputs'!$C$5,'Fuel &amp; Inputs'!$C$4),10)))</f>
        <v>10</v>
      </c>
      <c r="L493" s="23" t="s">
        <v>590</v>
      </c>
      <c r="M493" s="27" t="n">
        <v>280</v>
      </c>
      <c r="N493" s="26" t="n">
        <f aca="false">M493</f>
        <v>280</v>
      </c>
      <c r="O493" s="27" t="n">
        <v>460</v>
      </c>
      <c r="P493" s="26" t="n">
        <f aca="false">MROUND(M493*'Fuel &amp; Inputs'!$C$19*'Fuel &amp; Inputs'!$C$21,100)</f>
        <v>1100</v>
      </c>
      <c r="Q493" s="26" t="n">
        <f aca="false">MROUND(N493*'Fuel &amp; Inputs'!$C$19*'Fuel &amp; Inputs'!$C$21,100)</f>
        <v>1100</v>
      </c>
      <c r="R493" s="26" t="n">
        <f aca="false">MROUND(O493*'Fuel &amp; Inputs'!$C$19*'Fuel &amp; Inputs'!$C$21,100)</f>
        <v>1700</v>
      </c>
      <c r="S493" s="26" t="n">
        <f aca="false">MROUND(M493*'Fuel &amp; Inputs'!$C$20*'Fuel &amp; Inputs'!$C$22,500)</f>
        <v>28500</v>
      </c>
      <c r="T493" s="26" t="n">
        <f aca="false">MROUND(N493*'Fuel &amp; Inputs'!$C$20*'Fuel &amp; Inputs'!$C$22,500)</f>
        <v>28500</v>
      </c>
      <c r="U493" s="26" t="n">
        <f aca="false">MROUND(O493*'Fuel &amp; Inputs'!$C$20*'Fuel &amp; Inputs'!$C$22,500)</f>
        <v>47000</v>
      </c>
    </row>
    <row r="494" customFormat="false" ht="15" hidden="false" customHeight="false" outlineLevel="0" collapsed="false">
      <c r="A494" s="17" t="n">
        <v>463</v>
      </c>
      <c r="B494" s="32" t="s">
        <v>1124</v>
      </c>
      <c r="C494" s="32" t="s">
        <v>1125</v>
      </c>
      <c r="D494" s="32" t="s">
        <v>1126</v>
      </c>
      <c r="E494" s="17" t="s">
        <v>165</v>
      </c>
      <c r="F494" s="17" t="s">
        <v>1143</v>
      </c>
      <c r="G494" s="17" t="s">
        <v>1144</v>
      </c>
      <c r="H494" s="17" t="s">
        <v>977</v>
      </c>
      <c r="I494" s="19" t="n">
        <v>45</v>
      </c>
      <c r="J494" s="33" t="n">
        <v>1.077</v>
      </c>
      <c r="K494" s="20" t="n">
        <f aca="false">IF(I494=0,0,IF(L494="Rs./km",MROUND(IF(H494="Petrol",'Fuel &amp; Inputs'!$C$5,'Fuel &amp; Inputs'!$C$4)/I494*J494,1),MROUND(I494*J494*IF(H494="Petrol",'Fuel &amp; Inputs'!$C$5,'Fuel &amp; Inputs'!$C$4),10)))</f>
        <v>10</v>
      </c>
      <c r="L494" s="17" t="s">
        <v>590</v>
      </c>
      <c r="M494" s="21" t="n">
        <v>280</v>
      </c>
      <c r="N494" s="20" t="n">
        <f aca="false">M494</f>
        <v>280</v>
      </c>
      <c r="O494" s="21" t="n">
        <v>460</v>
      </c>
      <c r="P494" s="20" t="n">
        <f aca="false">MROUND(M494*'Fuel &amp; Inputs'!$C$19*'Fuel &amp; Inputs'!$C$21,100)</f>
        <v>1100</v>
      </c>
      <c r="Q494" s="20" t="n">
        <f aca="false">MROUND(N494*'Fuel &amp; Inputs'!$C$19*'Fuel &amp; Inputs'!$C$21,100)</f>
        <v>1100</v>
      </c>
      <c r="R494" s="20" t="n">
        <f aca="false">MROUND(O494*'Fuel &amp; Inputs'!$C$19*'Fuel &amp; Inputs'!$C$21,100)</f>
        <v>1700</v>
      </c>
      <c r="S494" s="20" t="n">
        <f aca="false">MROUND(M494*'Fuel &amp; Inputs'!$C$20*'Fuel &amp; Inputs'!$C$22,500)</f>
        <v>28500</v>
      </c>
      <c r="T494" s="20" t="n">
        <f aca="false">MROUND(N494*'Fuel &amp; Inputs'!$C$20*'Fuel &amp; Inputs'!$C$22,500)</f>
        <v>28500</v>
      </c>
      <c r="U494" s="20" t="n">
        <f aca="false">MROUND(O494*'Fuel &amp; Inputs'!$C$20*'Fuel &amp; Inputs'!$C$22,500)</f>
        <v>47000</v>
      </c>
    </row>
    <row r="495" customFormat="false" ht="15" hidden="false" customHeight="false" outlineLevel="0" collapsed="false">
      <c r="A495" s="23" t="n">
        <v>464</v>
      </c>
      <c r="B495" s="34" t="s">
        <v>1124</v>
      </c>
      <c r="C495" s="34" t="s">
        <v>1125</v>
      </c>
      <c r="D495" s="34" t="s">
        <v>1126</v>
      </c>
      <c r="E495" s="23" t="s">
        <v>165</v>
      </c>
      <c r="F495" s="23" t="s">
        <v>217</v>
      </c>
      <c r="G495" s="23" t="s">
        <v>217</v>
      </c>
      <c r="H495" s="23" t="s">
        <v>977</v>
      </c>
      <c r="I495" s="25" t="n">
        <v>45</v>
      </c>
      <c r="J495" s="35" t="n">
        <v>1.077</v>
      </c>
      <c r="K495" s="26" t="n">
        <f aca="false">IF(I495=0,0,IF(L495="Rs./km",MROUND(IF(H495="Petrol",'Fuel &amp; Inputs'!$C$5,'Fuel &amp; Inputs'!$C$4)/I495*J495,1),MROUND(I495*J495*IF(H495="Petrol",'Fuel &amp; Inputs'!$C$5,'Fuel &amp; Inputs'!$C$4),10)))</f>
        <v>10</v>
      </c>
      <c r="L495" s="23" t="s">
        <v>590</v>
      </c>
      <c r="M495" s="27" t="n">
        <v>280</v>
      </c>
      <c r="N495" s="26" t="n">
        <f aca="false">M495</f>
        <v>280</v>
      </c>
      <c r="O495" s="27" t="n">
        <v>460</v>
      </c>
      <c r="P495" s="26" t="n">
        <f aca="false">MROUND(M495*'Fuel &amp; Inputs'!$C$19*'Fuel &amp; Inputs'!$C$21,100)</f>
        <v>1100</v>
      </c>
      <c r="Q495" s="26" t="n">
        <f aca="false">MROUND(N495*'Fuel &amp; Inputs'!$C$19*'Fuel &amp; Inputs'!$C$21,100)</f>
        <v>1100</v>
      </c>
      <c r="R495" s="26" t="n">
        <f aca="false">MROUND(O495*'Fuel &amp; Inputs'!$C$19*'Fuel &amp; Inputs'!$C$21,100)</f>
        <v>1700</v>
      </c>
      <c r="S495" s="26" t="n">
        <f aca="false">MROUND(M495*'Fuel &amp; Inputs'!$C$20*'Fuel &amp; Inputs'!$C$22,500)</f>
        <v>28500</v>
      </c>
      <c r="T495" s="26" t="n">
        <f aca="false">MROUND(N495*'Fuel &amp; Inputs'!$C$20*'Fuel &amp; Inputs'!$C$22,500)</f>
        <v>28500</v>
      </c>
      <c r="U495" s="26" t="n">
        <f aca="false">MROUND(O495*'Fuel &amp; Inputs'!$C$20*'Fuel &amp; Inputs'!$C$22,500)</f>
        <v>47000</v>
      </c>
    </row>
    <row r="496" customFormat="false" ht="15" hidden="false" customHeight="false" outlineLevel="0" collapsed="false">
      <c r="A496" s="17" t="n">
        <v>465</v>
      </c>
      <c r="B496" s="32" t="s">
        <v>1124</v>
      </c>
      <c r="C496" s="32" t="s">
        <v>1125</v>
      </c>
      <c r="D496" s="32" t="s">
        <v>1145</v>
      </c>
      <c r="E496" s="17" t="s">
        <v>165</v>
      </c>
      <c r="F496" s="17" t="s">
        <v>1146</v>
      </c>
      <c r="G496" s="17" t="s">
        <v>1147</v>
      </c>
      <c r="H496" s="17" t="s">
        <v>977</v>
      </c>
      <c r="I496" s="19" t="n">
        <v>45</v>
      </c>
      <c r="J496" s="33" t="n">
        <v>1.077</v>
      </c>
      <c r="K496" s="20" t="n">
        <f aca="false">IF(I496=0,0,IF(L496="Rs./km",MROUND(IF(H496="Petrol",'Fuel &amp; Inputs'!$C$5,'Fuel &amp; Inputs'!$C$4)/I496*J496,1),MROUND(I496*J496*IF(H496="Petrol",'Fuel &amp; Inputs'!$C$5,'Fuel &amp; Inputs'!$C$4),10)))</f>
        <v>10</v>
      </c>
      <c r="L496" s="17" t="s">
        <v>590</v>
      </c>
      <c r="M496" s="21" t="n">
        <v>280</v>
      </c>
      <c r="N496" s="20" t="n">
        <f aca="false">M496</f>
        <v>280</v>
      </c>
      <c r="O496" s="21" t="n">
        <v>460</v>
      </c>
      <c r="P496" s="20" t="n">
        <f aca="false">MROUND(M496*'Fuel &amp; Inputs'!$C$19*'Fuel &amp; Inputs'!$C$21,100)</f>
        <v>1100</v>
      </c>
      <c r="Q496" s="20" t="n">
        <f aca="false">MROUND(N496*'Fuel &amp; Inputs'!$C$19*'Fuel &amp; Inputs'!$C$21,100)</f>
        <v>1100</v>
      </c>
      <c r="R496" s="20" t="n">
        <f aca="false">MROUND(O496*'Fuel &amp; Inputs'!$C$19*'Fuel &amp; Inputs'!$C$21,100)</f>
        <v>1700</v>
      </c>
      <c r="S496" s="20" t="n">
        <f aca="false">MROUND(M496*'Fuel &amp; Inputs'!$C$20*'Fuel &amp; Inputs'!$C$22,500)</f>
        <v>28500</v>
      </c>
      <c r="T496" s="20" t="n">
        <f aca="false">MROUND(N496*'Fuel &amp; Inputs'!$C$20*'Fuel &amp; Inputs'!$C$22,500)</f>
        <v>28500</v>
      </c>
      <c r="U496" s="20" t="n">
        <f aca="false">MROUND(O496*'Fuel &amp; Inputs'!$C$20*'Fuel &amp; Inputs'!$C$22,500)</f>
        <v>47000</v>
      </c>
    </row>
    <row r="497" customFormat="false" ht="15" hidden="false" customHeight="false" outlineLevel="0" collapsed="false">
      <c r="A497" s="23" t="n">
        <v>466</v>
      </c>
      <c r="B497" s="34" t="s">
        <v>1124</v>
      </c>
      <c r="C497" s="34" t="s">
        <v>1125</v>
      </c>
      <c r="D497" s="34" t="s">
        <v>1145</v>
      </c>
      <c r="E497" s="23" t="s">
        <v>165</v>
      </c>
      <c r="F497" s="23" t="s">
        <v>217</v>
      </c>
      <c r="G497" s="23" t="s">
        <v>217</v>
      </c>
      <c r="H497" s="23" t="s">
        <v>977</v>
      </c>
      <c r="I497" s="25" t="n">
        <v>45</v>
      </c>
      <c r="J497" s="35" t="n">
        <v>1.091</v>
      </c>
      <c r="K497" s="26" t="n">
        <f aca="false">IF(I497=0,0,IF(L497="Rs./km",MROUND(IF(H497="Petrol",'Fuel &amp; Inputs'!$C$5,'Fuel &amp; Inputs'!$C$4)/I497*J497,1),MROUND(I497*J497*IF(H497="Petrol",'Fuel &amp; Inputs'!$C$5,'Fuel &amp; Inputs'!$C$4),10)))</f>
        <v>10</v>
      </c>
      <c r="L497" s="23" t="s">
        <v>590</v>
      </c>
      <c r="M497" s="27" t="n">
        <v>280</v>
      </c>
      <c r="N497" s="26" t="n">
        <f aca="false">M497</f>
        <v>280</v>
      </c>
      <c r="O497" s="27" t="n">
        <v>460</v>
      </c>
      <c r="P497" s="26" t="n">
        <f aca="false">MROUND(M497*'Fuel &amp; Inputs'!$C$19*'Fuel &amp; Inputs'!$C$21,100)</f>
        <v>1100</v>
      </c>
      <c r="Q497" s="26" t="n">
        <f aca="false">MROUND(N497*'Fuel &amp; Inputs'!$C$19*'Fuel &amp; Inputs'!$C$21,100)</f>
        <v>1100</v>
      </c>
      <c r="R497" s="26" t="n">
        <f aca="false">MROUND(O497*'Fuel &amp; Inputs'!$C$19*'Fuel &amp; Inputs'!$C$21,100)</f>
        <v>1700</v>
      </c>
      <c r="S497" s="26" t="n">
        <f aca="false">MROUND(M497*'Fuel &amp; Inputs'!$C$20*'Fuel &amp; Inputs'!$C$22,500)</f>
        <v>28500</v>
      </c>
      <c r="T497" s="26" t="n">
        <f aca="false">MROUND(N497*'Fuel &amp; Inputs'!$C$20*'Fuel &amp; Inputs'!$C$22,500)</f>
        <v>28500</v>
      </c>
      <c r="U497" s="26" t="n">
        <f aca="false">MROUND(O497*'Fuel &amp; Inputs'!$C$20*'Fuel &amp; Inputs'!$C$22,500)</f>
        <v>47000</v>
      </c>
    </row>
    <row r="498" customFormat="false" ht="15" hidden="false" customHeight="false" outlineLevel="0" collapsed="false">
      <c r="A498" s="17" t="n">
        <v>467</v>
      </c>
      <c r="B498" s="32" t="s">
        <v>1124</v>
      </c>
      <c r="C498" s="32" t="s">
        <v>1125</v>
      </c>
      <c r="D498" s="32" t="s">
        <v>1148</v>
      </c>
      <c r="E498" s="17" t="s">
        <v>228</v>
      </c>
      <c r="F498" s="17" t="s">
        <v>1149</v>
      </c>
      <c r="G498" s="17" t="s">
        <v>1150</v>
      </c>
      <c r="H498" s="17" t="s">
        <v>977</v>
      </c>
      <c r="I498" s="19" t="n">
        <v>45</v>
      </c>
      <c r="J498" s="33" t="n">
        <v>1.091</v>
      </c>
      <c r="K498" s="20" t="n">
        <f aca="false">IF(I498=0,0,IF(L498="Rs./km",MROUND(IF(H498="Petrol",'Fuel &amp; Inputs'!$C$5,'Fuel &amp; Inputs'!$C$4)/I498*J498,1),MROUND(I498*J498*IF(H498="Petrol",'Fuel &amp; Inputs'!$C$5,'Fuel &amp; Inputs'!$C$4),10)))</f>
        <v>10</v>
      </c>
      <c r="L498" s="17" t="s">
        <v>590</v>
      </c>
      <c r="M498" s="21" t="n">
        <v>250</v>
      </c>
      <c r="N498" s="20" t="n">
        <f aca="false">M498</f>
        <v>250</v>
      </c>
      <c r="O498" s="21" t="n">
        <v>410</v>
      </c>
      <c r="P498" s="20" t="n">
        <f aca="false">MROUND(M498*'Fuel &amp; Inputs'!$C$19*'Fuel &amp; Inputs'!$C$21,100)</f>
        <v>1000</v>
      </c>
      <c r="Q498" s="20" t="n">
        <f aca="false">MROUND(N498*'Fuel &amp; Inputs'!$C$19*'Fuel &amp; Inputs'!$C$21,100)</f>
        <v>1000</v>
      </c>
      <c r="R498" s="20" t="n">
        <f aca="false">MROUND(O498*'Fuel &amp; Inputs'!$C$19*'Fuel &amp; Inputs'!$C$21,100)</f>
        <v>1600</v>
      </c>
      <c r="S498" s="20" t="n">
        <f aca="false">MROUND(M498*'Fuel &amp; Inputs'!$C$20*'Fuel &amp; Inputs'!$C$22,500)</f>
        <v>25500</v>
      </c>
      <c r="T498" s="20" t="n">
        <f aca="false">MROUND(N498*'Fuel &amp; Inputs'!$C$20*'Fuel &amp; Inputs'!$C$22,500)</f>
        <v>25500</v>
      </c>
      <c r="U498" s="20" t="n">
        <f aca="false">MROUND(O498*'Fuel &amp; Inputs'!$C$20*'Fuel &amp; Inputs'!$C$22,500)</f>
        <v>42000</v>
      </c>
    </row>
    <row r="499" customFormat="false" ht="15" hidden="false" customHeight="false" outlineLevel="0" collapsed="false">
      <c r="A499" s="23" t="n">
        <v>468</v>
      </c>
      <c r="B499" s="34" t="s">
        <v>1124</v>
      </c>
      <c r="C499" s="34" t="s">
        <v>1125</v>
      </c>
      <c r="D499" s="34" t="s">
        <v>1148</v>
      </c>
      <c r="E499" s="23" t="s">
        <v>228</v>
      </c>
      <c r="F499" s="23" t="s">
        <v>217</v>
      </c>
      <c r="G499" s="23" t="s">
        <v>217</v>
      </c>
      <c r="H499" s="23" t="s">
        <v>977</v>
      </c>
      <c r="I499" s="25" t="n">
        <v>45</v>
      </c>
      <c r="J499" s="35" t="n">
        <v>1.098</v>
      </c>
      <c r="K499" s="26" t="n">
        <f aca="false">IF(I499=0,0,IF(L499="Rs./km",MROUND(IF(H499="Petrol",'Fuel &amp; Inputs'!$C$5,'Fuel &amp; Inputs'!$C$4)/I499*J499,1),MROUND(I499*J499*IF(H499="Petrol",'Fuel &amp; Inputs'!$C$5,'Fuel &amp; Inputs'!$C$4),10)))</f>
        <v>10</v>
      </c>
      <c r="L499" s="23" t="s">
        <v>590</v>
      </c>
      <c r="M499" s="27" t="n">
        <v>250</v>
      </c>
      <c r="N499" s="26" t="n">
        <f aca="false">M499</f>
        <v>250</v>
      </c>
      <c r="O499" s="27" t="n">
        <v>410</v>
      </c>
      <c r="P499" s="26" t="n">
        <f aca="false">MROUND(M499*'Fuel &amp; Inputs'!$C$19*'Fuel &amp; Inputs'!$C$21,100)</f>
        <v>1000</v>
      </c>
      <c r="Q499" s="26" t="n">
        <f aca="false">MROUND(N499*'Fuel &amp; Inputs'!$C$19*'Fuel &amp; Inputs'!$C$21,100)</f>
        <v>1000</v>
      </c>
      <c r="R499" s="26" t="n">
        <f aca="false">MROUND(O499*'Fuel &amp; Inputs'!$C$19*'Fuel &amp; Inputs'!$C$21,100)</f>
        <v>1600</v>
      </c>
      <c r="S499" s="26" t="n">
        <f aca="false">MROUND(M499*'Fuel &amp; Inputs'!$C$20*'Fuel &amp; Inputs'!$C$22,500)</f>
        <v>25500</v>
      </c>
      <c r="T499" s="26" t="n">
        <f aca="false">MROUND(N499*'Fuel &amp; Inputs'!$C$20*'Fuel &amp; Inputs'!$C$22,500)</f>
        <v>25500</v>
      </c>
      <c r="U499" s="26" t="n">
        <f aca="false">MROUND(O499*'Fuel &amp; Inputs'!$C$20*'Fuel &amp; Inputs'!$C$22,500)</f>
        <v>42000</v>
      </c>
    </row>
    <row r="500" customFormat="false" ht="15" hidden="false" customHeight="false" outlineLevel="0" collapsed="false">
      <c r="A500" s="17" t="n">
        <v>469</v>
      </c>
      <c r="B500" s="32" t="s">
        <v>1124</v>
      </c>
      <c r="C500" s="32" t="s">
        <v>1125</v>
      </c>
      <c r="D500" s="32" t="s">
        <v>1126</v>
      </c>
      <c r="E500" s="17" t="s">
        <v>160</v>
      </c>
      <c r="F500" s="17" t="s">
        <v>1151</v>
      </c>
      <c r="G500" s="17" t="s">
        <v>1152</v>
      </c>
      <c r="H500" s="17" t="s">
        <v>977</v>
      </c>
      <c r="I500" s="19" t="n">
        <v>45</v>
      </c>
      <c r="J500" s="33" t="n">
        <v>1.098</v>
      </c>
      <c r="K500" s="20" t="n">
        <f aca="false">IF(I500=0,0,IF(L500="Rs./km",MROUND(IF(H500="Petrol",'Fuel &amp; Inputs'!$C$5,'Fuel &amp; Inputs'!$C$4)/I500*J500,1),MROUND(I500*J500*IF(H500="Petrol",'Fuel &amp; Inputs'!$C$5,'Fuel &amp; Inputs'!$C$4),10)))</f>
        <v>10</v>
      </c>
      <c r="L500" s="17" t="s">
        <v>590</v>
      </c>
      <c r="M500" s="21" t="n">
        <v>250</v>
      </c>
      <c r="N500" s="20" t="n">
        <f aca="false">M500</f>
        <v>250</v>
      </c>
      <c r="O500" s="21" t="n">
        <v>410</v>
      </c>
      <c r="P500" s="20" t="n">
        <f aca="false">MROUND(M500*'Fuel &amp; Inputs'!$C$19*'Fuel &amp; Inputs'!$C$21,100)</f>
        <v>1000</v>
      </c>
      <c r="Q500" s="20" t="n">
        <f aca="false">MROUND(N500*'Fuel &amp; Inputs'!$C$19*'Fuel &amp; Inputs'!$C$21,100)</f>
        <v>1000</v>
      </c>
      <c r="R500" s="20" t="n">
        <f aca="false">MROUND(O500*'Fuel &amp; Inputs'!$C$19*'Fuel &amp; Inputs'!$C$21,100)</f>
        <v>1600</v>
      </c>
      <c r="S500" s="20" t="n">
        <f aca="false">MROUND(M500*'Fuel &amp; Inputs'!$C$20*'Fuel &amp; Inputs'!$C$22,500)</f>
        <v>25500</v>
      </c>
      <c r="T500" s="20" t="n">
        <f aca="false">MROUND(N500*'Fuel &amp; Inputs'!$C$20*'Fuel &amp; Inputs'!$C$22,500)</f>
        <v>25500</v>
      </c>
      <c r="U500" s="20" t="n">
        <f aca="false">MROUND(O500*'Fuel &amp; Inputs'!$C$20*'Fuel &amp; Inputs'!$C$22,500)</f>
        <v>42000</v>
      </c>
    </row>
    <row r="501" customFormat="false" ht="15" hidden="false" customHeight="false" outlineLevel="0" collapsed="false">
      <c r="A501" s="23" t="n">
        <v>470</v>
      </c>
      <c r="B501" s="34" t="s">
        <v>1124</v>
      </c>
      <c r="C501" s="34" t="s">
        <v>1125</v>
      </c>
      <c r="D501" s="34" t="s">
        <v>1126</v>
      </c>
      <c r="E501" s="23" t="s">
        <v>160</v>
      </c>
      <c r="F501" s="23" t="s">
        <v>217</v>
      </c>
      <c r="G501" s="23" t="s">
        <v>217</v>
      </c>
      <c r="H501" s="23" t="s">
        <v>977</v>
      </c>
      <c r="I501" s="25" t="n">
        <v>45</v>
      </c>
      <c r="J501" s="35" t="n">
        <v>1.098</v>
      </c>
      <c r="K501" s="26" t="n">
        <f aca="false">IF(I501=0,0,IF(L501="Rs./km",MROUND(IF(H501="Petrol",'Fuel &amp; Inputs'!$C$5,'Fuel &amp; Inputs'!$C$4)/I501*J501,1),MROUND(I501*J501*IF(H501="Petrol",'Fuel &amp; Inputs'!$C$5,'Fuel &amp; Inputs'!$C$4),10)))</f>
        <v>10</v>
      </c>
      <c r="L501" s="23" t="s">
        <v>590</v>
      </c>
      <c r="M501" s="27" t="n">
        <v>250</v>
      </c>
      <c r="N501" s="26" t="n">
        <f aca="false">M501</f>
        <v>250</v>
      </c>
      <c r="O501" s="27" t="n">
        <v>410</v>
      </c>
      <c r="P501" s="26" t="n">
        <f aca="false">MROUND(M501*'Fuel &amp; Inputs'!$C$19*'Fuel &amp; Inputs'!$C$21,100)</f>
        <v>1000</v>
      </c>
      <c r="Q501" s="26" t="n">
        <f aca="false">MROUND(N501*'Fuel &amp; Inputs'!$C$19*'Fuel &amp; Inputs'!$C$21,100)</f>
        <v>1000</v>
      </c>
      <c r="R501" s="26" t="n">
        <f aca="false">MROUND(O501*'Fuel &amp; Inputs'!$C$19*'Fuel &amp; Inputs'!$C$21,100)</f>
        <v>1600</v>
      </c>
      <c r="S501" s="26" t="n">
        <f aca="false">MROUND(M501*'Fuel &amp; Inputs'!$C$20*'Fuel &amp; Inputs'!$C$22,500)</f>
        <v>25500</v>
      </c>
      <c r="T501" s="26" t="n">
        <f aca="false">MROUND(N501*'Fuel &amp; Inputs'!$C$20*'Fuel &amp; Inputs'!$C$22,500)</f>
        <v>25500</v>
      </c>
      <c r="U501" s="26" t="n">
        <f aca="false">MROUND(O501*'Fuel &amp; Inputs'!$C$20*'Fuel &amp; Inputs'!$C$22,500)</f>
        <v>42000</v>
      </c>
    </row>
    <row r="502" customFormat="false" ht="15" hidden="false" customHeight="false" outlineLevel="0" collapsed="false">
      <c r="A502" s="17" t="n">
        <v>471</v>
      </c>
      <c r="B502" s="32" t="s">
        <v>1124</v>
      </c>
      <c r="C502" s="32" t="s">
        <v>1125</v>
      </c>
      <c r="D502" s="32" t="s">
        <v>1126</v>
      </c>
      <c r="E502" s="17" t="s">
        <v>160</v>
      </c>
      <c r="F502" s="17" t="s">
        <v>217</v>
      </c>
      <c r="G502" s="17" t="s">
        <v>217</v>
      </c>
      <c r="H502" s="17" t="s">
        <v>977</v>
      </c>
      <c r="I502" s="19" t="n">
        <v>45</v>
      </c>
      <c r="J502" s="33" t="n">
        <v>1.098</v>
      </c>
      <c r="K502" s="20" t="n">
        <f aca="false">IF(I502=0,0,IF(L502="Rs./km",MROUND(IF(H502="Petrol",'Fuel &amp; Inputs'!$C$5,'Fuel &amp; Inputs'!$C$4)/I502*J502,1),MROUND(I502*J502*IF(H502="Petrol",'Fuel &amp; Inputs'!$C$5,'Fuel &amp; Inputs'!$C$4),10)))</f>
        <v>10</v>
      </c>
      <c r="L502" s="17" t="s">
        <v>590</v>
      </c>
      <c r="M502" s="21" t="n">
        <v>250</v>
      </c>
      <c r="N502" s="20" t="n">
        <f aca="false">M502</f>
        <v>250</v>
      </c>
      <c r="O502" s="21" t="n">
        <v>410</v>
      </c>
      <c r="P502" s="20" t="n">
        <f aca="false">MROUND(M502*'Fuel &amp; Inputs'!$C$19*'Fuel &amp; Inputs'!$C$21,100)</f>
        <v>1000</v>
      </c>
      <c r="Q502" s="20" t="n">
        <f aca="false">MROUND(N502*'Fuel &amp; Inputs'!$C$19*'Fuel &amp; Inputs'!$C$21,100)</f>
        <v>1000</v>
      </c>
      <c r="R502" s="20" t="n">
        <f aca="false">MROUND(O502*'Fuel &amp; Inputs'!$C$19*'Fuel &amp; Inputs'!$C$21,100)</f>
        <v>1600</v>
      </c>
      <c r="S502" s="20" t="n">
        <f aca="false">MROUND(M502*'Fuel &amp; Inputs'!$C$20*'Fuel &amp; Inputs'!$C$22,500)</f>
        <v>25500</v>
      </c>
      <c r="T502" s="20" t="n">
        <f aca="false">MROUND(N502*'Fuel &amp; Inputs'!$C$20*'Fuel &amp; Inputs'!$C$22,500)</f>
        <v>25500</v>
      </c>
      <c r="U502" s="20" t="n">
        <f aca="false">MROUND(O502*'Fuel &amp; Inputs'!$C$20*'Fuel &amp; Inputs'!$C$22,500)</f>
        <v>42000</v>
      </c>
    </row>
    <row r="503" customFormat="false" ht="15" hidden="false" customHeight="false" outlineLevel="0" collapsed="false">
      <c r="A503" s="23" t="n">
        <v>472</v>
      </c>
      <c r="B503" s="34" t="s">
        <v>1124</v>
      </c>
      <c r="C503" s="34" t="s">
        <v>1125</v>
      </c>
      <c r="D503" s="34" t="s">
        <v>1148</v>
      </c>
      <c r="E503" s="23" t="s">
        <v>160</v>
      </c>
      <c r="F503" s="23" t="s">
        <v>1153</v>
      </c>
      <c r="G503" s="23" t="s">
        <v>1154</v>
      </c>
      <c r="H503" s="23" t="s">
        <v>977</v>
      </c>
      <c r="I503" s="25" t="n">
        <v>45</v>
      </c>
      <c r="J503" s="35" t="n">
        <v>1.098</v>
      </c>
      <c r="K503" s="26" t="n">
        <f aca="false">IF(I503=0,0,IF(L503="Rs./km",MROUND(IF(H503="Petrol",'Fuel &amp; Inputs'!$C$5,'Fuel &amp; Inputs'!$C$4)/I503*J503,1),MROUND(I503*J503*IF(H503="Petrol",'Fuel &amp; Inputs'!$C$5,'Fuel &amp; Inputs'!$C$4),10)))</f>
        <v>10</v>
      </c>
      <c r="L503" s="23" t="s">
        <v>590</v>
      </c>
      <c r="M503" s="27" t="n">
        <v>250</v>
      </c>
      <c r="N503" s="26" t="n">
        <f aca="false">M503</f>
        <v>250</v>
      </c>
      <c r="O503" s="27" t="n">
        <v>410</v>
      </c>
      <c r="P503" s="26" t="n">
        <f aca="false">MROUND(M503*'Fuel &amp; Inputs'!$C$19*'Fuel &amp; Inputs'!$C$21,100)</f>
        <v>1000</v>
      </c>
      <c r="Q503" s="26" t="n">
        <f aca="false">MROUND(N503*'Fuel &amp; Inputs'!$C$19*'Fuel &amp; Inputs'!$C$21,100)</f>
        <v>1000</v>
      </c>
      <c r="R503" s="26" t="n">
        <f aca="false">MROUND(O503*'Fuel &amp; Inputs'!$C$19*'Fuel &amp; Inputs'!$C$21,100)</f>
        <v>1600</v>
      </c>
      <c r="S503" s="26" t="n">
        <f aca="false">MROUND(M503*'Fuel &amp; Inputs'!$C$20*'Fuel &amp; Inputs'!$C$22,500)</f>
        <v>25500</v>
      </c>
      <c r="T503" s="26" t="n">
        <f aca="false">MROUND(N503*'Fuel &amp; Inputs'!$C$20*'Fuel &amp; Inputs'!$C$22,500)</f>
        <v>25500</v>
      </c>
      <c r="U503" s="26" t="n">
        <f aca="false">MROUND(O503*'Fuel &amp; Inputs'!$C$20*'Fuel &amp; Inputs'!$C$22,500)</f>
        <v>42000</v>
      </c>
    </row>
    <row r="504" customFormat="false" ht="15" hidden="false" customHeight="false" outlineLevel="0" collapsed="false">
      <c r="A504" s="17" t="n">
        <v>473</v>
      </c>
      <c r="B504" s="32" t="s">
        <v>1124</v>
      </c>
      <c r="C504" s="32" t="s">
        <v>1125</v>
      </c>
      <c r="D504" s="32" t="s">
        <v>1148</v>
      </c>
      <c r="E504" s="17" t="s">
        <v>160</v>
      </c>
      <c r="F504" s="17" t="s">
        <v>217</v>
      </c>
      <c r="G504" s="17" t="s">
        <v>217</v>
      </c>
      <c r="H504" s="17" t="s">
        <v>977</v>
      </c>
      <c r="I504" s="19" t="n">
        <v>45</v>
      </c>
      <c r="J504" s="33" t="n">
        <v>1.098</v>
      </c>
      <c r="K504" s="20" t="n">
        <f aca="false">IF(I504=0,0,IF(L504="Rs./km",MROUND(IF(H504="Petrol",'Fuel &amp; Inputs'!$C$5,'Fuel &amp; Inputs'!$C$4)/I504*J504,1),MROUND(I504*J504*IF(H504="Petrol",'Fuel &amp; Inputs'!$C$5,'Fuel &amp; Inputs'!$C$4),10)))</f>
        <v>10</v>
      </c>
      <c r="L504" s="17" t="s">
        <v>590</v>
      </c>
      <c r="M504" s="21" t="n">
        <v>250</v>
      </c>
      <c r="N504" s="20" t="n">
        <f aca="false">M504</f>
        <v>250</v>
      </c>
      <c r="O504" s="21" t="n">
        <v>410</v>
      </c>
      <c r="P504" s="20" t="n">
        <f aca="false">MROUND(M504*'Fuel &amp; Inputs'!$C$19*'Fuel &amp; Inputs'!$C$21,100)</f>
        <v>1000</v>
      </c>
      <c r="Q504" s="20" t="n">
        <f aca="false">MROUND(N504*'Fuel &amp; Inputs'!$C$19*'Fuel &amp; Inputs'!$C$21,100)</f>
        <v>1000</v>
      </c>
      <c r="R504" s="20" t="n">
        <f aca="false">MROUND(O504*'Fuel &amp; Inputs'!$C$19*'Fuel &amp; Inputs'!$C$21,100)</f>
        <v>1600</v>
      </c>
      <c r="S504" s="20" t="n">
        <f aca="false">MROUND(M504*'Fuel &amp; Inputs'!$C$20*'Fuel &amp; Inputs'!$C$22,500)</f>
        <v>25500</v>
      </c>
      <c r="T504" s="20" t="n">
        <f aca="false">MROUND(N504*'Fuel &amp; Inputs'!$C$20*'Fuel &amp; Inputs'!$C$22,500)</f>
        <v>25500</v>
      </c>
      <c r="U504" s="20" t="n">
        <f aca="false">MROUND(O504*'Fuel &amp; Inputs'!$C$20*'Fuel &amp; Inputs'!$C$22,500)</f>
        <v>42000</v>
      </c>
    </row>
    <row r="505" customFormat="false" ht="15" hidden="false" customHeight="false" outlineLevel="0" collapsed="false">
      <c r="A505" s="23" t="n">
        <v>474</v>
      </c>
      <c r="B505" s="34" t="s">
        <v>1124</v>
      </c>
      <c r="C505" s="34" t="s">
        <v>1125</v>
      </c>
      <c r="D505" s="34" t="s">
        <v>1148</v>
      </c>
      <c r="E505" s="23" t="s">
        <v>160</v>
      </c>
      <c r="F505" s="23" t="s">
        <v>217</v>
      </c>
      <c r="G505" s="23" t="s">
        <v>217</v>
      </c>
      <c r="H505" s="23" t="s">
        <v>977</v>
      </c>
      <c r="I505" s="25" t="n">
        <v>45</v>
      </c>
      <c r="J505" s="35" t="n">
        <v>1.105</v>
      </c>
      <c r="K505" s="26" t="n">
        <f aca="false">IF(I505=0,0,IF(L505="Rs./km",MROUND(IF(H505="Petrol",'Fuel &amp; Inputs'!$C$5,'Fuel &amp; Inputs'!$C$4)/I505*J505,1),MROUND(I505*J505*IF(H505="Petrol",'Fuel &amp; Inputs'!$C$5,'Fuel &amp; Inputs'!$C$4),10)))</f>
        <v>10</v>
      </c>
      <c r="L505" s="23" t="s">
        <v>590</v>
      </c>
      <c r="M505" s="27" t="n">
        <v>250</v>
      </c>
      <c r="N505" s="26" t="n">
        <f aca="false">M505</f>
        <v>250</v>
      </c>
      <c r="O505" s="27" t="n">
        <v>410</v>
      </c>
      <c r="P505" s="26" t="n">
        <f aca="false">MROUND(M505*'Fuel &amp; Inputs'!$C$19*'Fuel &amp; Inputs'!$C$21,100)</f>
        <v>1000</v>
      </c>
      <c r="Q505" s="26" t="n">
        <f aca="false">MROUND(N505*'Fuel &amp; Inputs'!$C$19*'Fuel &amp; Inputs'!$C$21,100)</f>
        <v>1000</v>
      </c>
      <c r="R505" s="26" t="n">
        <f aca="false">MROUND(O505*'Fuel &amp; Inputs'!$C$19*'Fuel &amp; Inputs'!$C$21,100)</f>
        <v>1600</v>
      </c>
      <c r="S505" s="26" t="n">
        <f aca="false">MROUND(M505*'Fuel &amp; Inputs'!$C$20*'Fuel &amp; Inputs'!$C$22,500)</f>
        <v>25500</v>
      </c>
      <c r="T505" s="26" t="n">
        <f aca="false">MROUND(N505*'Fuel &amp; Inputs'!$C$20*'Fuel &amp; Inputs'!$C$22,500)</f>
        <v>25500</v>
      </c>
      <c r="U505" s="26" t="n">
        <f aca="false">MROUND(O505*'Fuel &amp; Inputs'!$C$20*'Fuel &amp; Inputs'!$C$22,500)</f>
        <v>42000</v>
      </c>
    </row>
    <row r="506" customFormat="false" ht="15" hidden="false" customHeight="false" outlineLevel="0" collapsed="false">
      <c r="A506" s="17" t="n">
        <v>475</v>
      </c>
      <c r="B506" s="32" t="s">
        <v>1124</v>
      </c>
      <c r="C506" s="32" t="s">
        <v>1125</v>
      </c>
      <c r="D506" s="32" t="s">
        <v>1148</v>
      </c>
      <c r="E506" s="17" t="s">
        <v>596</v>
      </c>
      <c r="F506" s="17" t="s">
        <v>1155</v>
      </c>
      <c r="G506" s="17" t="s">
        <v>1156</v>
      </c>
      <c r="H506" s="17" t="s">
        <v>977</v>
      </c>
      <c r="I506" s="19" t="n">
        <v>45</v>
      </c>
      <c r="J506" s="33" t="n">
        <v>1.105</v>
      </c>
      <c r="K506" s="20" t="n">
        <f aca="false">IF(I506=0,0,IF(L506="Rs./km",MROUND(IF(H506="Petrol",'Fuel &amp; Inputs'!$C$5,'Fuel &amp; Inputs'!$C$4)/I506*J506,1),MROUND(I506*J506*IF(H506="Petrol",'Fuel &amp; Inputs'!$C$5,'Fuel &amp; Inputs'!$C$4),10)))</f>
        <v>10</v>
      </c>
      <c r="L506" s="17" t="s">
        <v>590</v>
      </c>
      <c r="M506" s="21" t="n">
        <v>250</v>
      </c>
      <c r="N506" s="20" t="n">
        <f aca="false">M506</f>
        <v>250</v>
      </c>
      <c r="O506" s="21" t="n">
        <v>410</v>
      </c>
      <c r="P506" s="20" t="n">
        <f aca="false">MROUND(M506*'Fuel &amp; Inputs'!$C$19*'Fuel &amp; Inputs'!$C$21,100)</f>
        <v>1000</v>
      </c>
      <c r="Q506" s="20" t="n">
        <f aca="false">MROUND(N506*'Fuel &amp; Inputs'!$C$19*'Fuel &amp; Inputs'!$C$21,100)</f>
        <v>1000</v>
      </c>
      <c r="R506" s="20" t="n">
        <f aca="false">MROUND(O506*'Fuel &amp; Inputs'!$C$19*'Fuel &amp; Inputs'!$C$21,100)</f>
        <v>1600</v>
      </c>
      <c r="S506" s="20" t="n">
        <f aca="false">MROUND(M506*'Fuel &amp; Inputs'!$C$20*'Fuel &amp; Inputs'!$C$22,500)</f>
        <v>25500</v>
      </c>
      <c r="T506" s="20" t="n">
        <f aca="false">MROUND(N506*'Fuel &amp; Inputs'!$C$20*'Fuel &amp; Inputs'!$C$22,500)</f>
        <v>25500</v>
      </c>
      <c r="U506" s="20" t="n">
        <f aca="false">MROUND(O506*'Fuel &amp; Inputs'!$C$20*'Fuel &amp; Inputs'!$C$22,500)</f>
        <v>42000</v>
      </c>
    </row>
    <row r="507" customFormat="false" ht="15" hidden="false" customHeight="false" outlineLevel="0" collapsed="false">
      <c r="A507" s="23" t="n">
        <v>476</v>
      </c>
      <c r="B507" s="34" t="s">
        <v>1124</v>
      </c>
      <c r="C507" s="34" t="s">
        <v>1125</v>
      </c>
      <c r="D507" s="34" t="s">
        <v>1148</v>
      </c>
      <c r="E507" s="23" t="s">
        <v>596</v>
      </c>
      <c r="F507" s="23" t="s">
        <v>217</v>
      </c>
      <c r="G507" s="23" t="s">
        <v>217</v>
      </c>
      <c r="H507" s="23" t="s">
        <v>977</v>
      </c>
      <c r="I507" s="25" t="n">
        <v>45</v>
      </c>
      <c r="J507" s="35" t="n">
        <v>1.105</v>
      </c>
      <c r="K507" s="26" t="n">
        <f aca="false">IF(I507=0,0,IF(L507="Rs./km",MROUND(IF(H507="Petrol",'Fuel &amp; Inputs'!$C$5,'Fuel &amp; Inputs'!$C$4)/I507*J507,1),MROUND(I507*J507*IF(H507="Petrol",'Fuel &amp; Inputs'!$C$5,'Fuel &amp; Inputs'!$C$4),10)))</f>
        <v>10</v>
      </c>
      <c r="L507" s="23" t="s">
        <v>590</v>
      </c>
      <c r="M507" s="27" t="n">
        <v>250</v>
      </c>
      <c r="N507" s="26" t="n">
        <f aca="false">M507</f>
        <v>250</v>
      </c>
      <c r="O507" s="27" t="n">
        <v>410</v>
      </c>
      <c r="P507" s="26" t="n">
        <f aca="false">MROUND(M507*'Fuel &amp; Inputs'!$C$19*'Fuel &amp; Inputs'!$C$21,100)</f>
        <v>1000</v>
      </c>
      <c r="Q507" s="26" t="n">
        <f aca="false">MROUND(N507*'Fuel &amp; Inputs'!$C$19*'Fuel &amp; Inputs'!$C$21,100)</f>
        <v>1000</v>
      </c>
      <c r="R507" s="26" t="n">
        <f aca="false">MROUND(O507*'Fuel &amp; Inputs'!$C$19*'Fuel &amp; Inputs'!$C$21,100)</f>
        <v>1600</v>
      </c>
      <c r="S507" s="26" t="n">
        <f aca="false">MROUND(M507*'Fuel &amp; Inputs'!$C$20*'Fuel &amp; Inputs'!$C$22,500)</f>
        <v>25500</v>
      </c>
      <c r="T507" s="26" t="n">
        <f aca="false">MROUND(N507*'Fuel &amp; Inputs'!$C$20*'Fuel &amp; Inputs'!$C$22,500)</f>
        <v>25500</v>
      </c>
      <c r="U507" s="26" t="n">
        <f aca="false">MROUND(O507*'Fuel &amp; Inputs'!$C$20*'Fuel &amp; Inputs'!$C$22,500)</f>
        <v>42000</v>
      </c>
    </row>
    <row r="508" customFormat="false" ht="15" hidden="false" customHeight="false" outlineLevel="0" collapsed="false">
      <c r="A508" s="17" t="n">
        <v>477</v>
      </c>
      <c r="B508" s="32" t="s">
        <v>1124</v>
      </c>
      <c r="C508" s="32" t="s">
        <v>1125</v>
      </c>
      <c r="D508" s="32" t="s">
        <v>1148</v>
      </c>
      <c r="E508" s="17" t="s">
        <v>596</v>
      </c>
      <c r="F508" s="17" t="s">
        <v>217</v>
      </c>
      <c r="G508" s="17" t="s">
        <v>217</v>
      </c>
      <c r="H508" s="17" t="s">
        <v>977</v>
      </c>
      <c r="I508" s="19" t="n">
        <v>45</v>
      </c>
      <c r="J508" s="33" t="n">
        <v>1.14</v>
      </c>
      <c r="K508" s="20" t="n">
        <f aca="false">IF(I508=0,0,IF(L508="Rs./km",MROUND(IF(H508="Petrol",'Fuel &amp; Inputs'!$C$5,'Fuel &amp; Inputs'!$C$4)/I508*J508,1),MROUND(I508*J508*IF(H508="Petrol",'Fuel &amp; Inputs'!$C$5,'Fuel &amp; Inputs'!$C$4),10)))</f>
        <v>10</v>
      </c>
      <c r="L508" s="17" t="s">
        <v>590</v>
      </c>
      <c r="M508" s="21" t="n">
        <v>250</v>
      </c>
      <c r="N508" s="20" t="n">
        <f aca="false">M508</f>
        <v>250</v>
      </c>
      <c r="O508" s="21" t="n">
        <v>410</v>
      </c>
      <c r="P508" s="20" t="n">
        <f aca="false">MROUND(M508*'Fuel &amp; Inputs'!$C$19*'Fuel &amp; Inputs'!$C$21,100)</f>
        <v>1000</v>
      </c>
      <c r="Q508" s="20" t="n">
        <f aca="false">MROUND(N508*'Fuel &amp; Inputs'!$C$19*'Fuel &amp; Inputs'!$C$21,100)</f>
        <v>1000</v>
      </c>
      <c r="R508" s="20" t="n">
        <f aca="false">MROUND(O508*'Fuel &amp; Inputs'!$C$19*'Fuel &amp; Inputs'!$C$21,100)</f>
        <v>1600</v>
      </c>
      <c r="S508" s="20" t="n">
        <f aca="false">MROUND(M508*'Fuel &amp; Inputs'!$C$20*'Fuel &amp; Inputs'!$C$22,500)</f>
        <v>25500</v>
      </c>
      <c r="T508" s="20" t="n">
        <f aca="false">MROUND(N508*'Fuel &amp; Inputs'!$C$20*'Fuel &amp; Inputs'!$C$22,500)</f>
        <v>25500</v>
      </c>
      <c r="U508" s="20" t="n">
        <f aca="false">MROUND(O508*'Fuel &amp; Inputs'!$C$20*'Fuel &amp; Inputs'!$C$22,500)</f>
        <v>42000</v>
      </c>
    </row>
    <row r="509" customFormat="false" ht="15" hidden="false" customHeight="false" outlineLevel="0" collapsed="false">
      <c r="A509" s="23" t="n">
        <v>478</v>
      </c>
      <c r="B509" s="34" t="s">
        <v>1124</v>
      </c>
      <c r="C509" s="34" t="s">
        <v>1125</v>
      </c>
      <c r="D509" s="34" t="s">
        <v>1157</v>
      </c>
      <c r="E509" s="23" t="s">
        <v>659</v>
      </c>
      <c r="F509" s="23" t="s">
        <v>1158</v>
      </c>
      <c r="G509" s="23" t="s">
        <v>1159</v>
      </c>
      <c r="H509" s="23" t="s">
        <v>977</v>
      </c>
      <c r="I509" s="25" t="n">
        <v>45</v>
      </c>
      <c r="J509" s="35" t="n">
        <v>1.133</v>
      </c>
      <c r="K509" s="26" t="n">
        <f aca="false">IF(I509=0,0,IF(L509="Rs./km",MROUND(IF(H509="Petrol",'Fuel &amp; Inputs'!$C$5,'Fuel &amp; Inputs'!$C$4)/I509*J509,1),MROUND(I509*J509*IF(H509="Petrol",'Fuel &amp; Inputs'!$C$5,'Fuel &amp; Inputs'!$C$4),10)))</f>
        <v>10</v>
      </c>
      <c r="L509" s="23" t="s">
        <v>590</v>
      </c>
      <c r="M509" s="27" t="n">
        <v>220</v>
      </c>
      <c r="N509" s="26" t="n">
        <f aca="false">M509</f>
        <v>220</v>
      </c>
      <c r="O509" s="27" t="n">
        <v>360</v>
      </c>
      <c r="P509" s="26" t="n">
        <f aca="false">MROUND(M509*'Fuel &amp; Inputs'!$C$19*'Fuel &amp; Inputs'!$C$21,100)</f>
        <v>800</v>
      </c>
      <c r="Q509" s="26" t="n">
        <f aca="false">MROUND(N509*'Fuel &amp; Inputs'!$C$19*'Fuel &amp; Inputs'!$C$21,100)</f>
        <v>800</v>
      </c>
      <c r="R509" s="26" t="n">
        <f aca="false">MROUND(O509*'Fuel &amp; Inputs'!$C$19*'Fuel &amp; Inputs'!$C$21,100)</f>
        <v>1400</v>
      </c>
      <c r="S509" s="26" t="n">
        <f aca="false">MROUND(M509*'Fuel &amp; Inputs'!$C$20*'Fuel &amp; Inputs'!$C$22,500)</f>
        <v>22500</v>
      </c>
      <c r="T509" s="26" t="n">
        <f aca="false">MROUND(N509*'Fuel &amp; Inputs'!$C$20*'Fuel &amp; Inputs'!$C$22,500)</f>
        <v>22500</v>
      </c>
      <c r="U509" s="26" t="n">
        <f aca="false">MROUND(O509*'Fuel &amp; Inputs'!$C$20*'Fuel &amp; Inputs'!$C$22,500)</f>
        <v>36500</v>
      </c>
    </row>
    <row r="510" customFormat="false" ht="15" hidden="false" customHeight="false" outlineLevel="0" collapsed="false">
      <c r="A510" s="17" t="n">
        <v>479</v>
      </c>
      <c r="B510" s="32" t="s">
        <v>1124</v>
      </c>
      <c r="C510" s="32" t="s">
        <v>1125</v>
      </c>
      <c r="D510" s="32" t="s">
        <v>1160</v>
      </c>
      <c r="E510" s="17" t="s">
        <v>198</v>
      </c>
      <c r="F510" s="17" t="s">
        <v>1161</v>
      </c>
      <c r="G510" s="17" t="s">
        <v>1162</v>
      </c>
      <c r="H510" s="17" t="s">
        <v>977</v>
      </c>
      <c r="I510" s="19" t="n">
        <v>45</v>
      </c>
      <c r="J510" s="33" t="n">
        <v>1.14</v>
      </c>
      <c r="K510" s="20" t="n">
        <f aca="false">IF(I510=0,0,IF(L510="Rs./km",MROUND(IF(H510="Petrol",'Fuel &amp; Inputs'!$C$5,'Fuel &amp; Inputs'!$C$4)/I510*J510,1),MROUND(I510*J510*IF(H510="Petrol",'Fuel &amp; Inputs'!$C$5,'Fuel &amp; Inputs'!$C$4),10)))</f>
        <v>10</v>
      </c>
      <c r="L510" s="17" t="s">
        <v>590</v>
      </c>
      <c r="M510" s="21" t="n">
        <v>220</v>
      </c>
      <c r="N510" s="20" t="n">
        <f aca="false">M510</f>
        <v>220</v>
      </c>
      <c r="O510" s="21" t="n">
        <v>360</v>
      </c>
      <c r="P510" s="20" t="n">
        <f aca="false">MROUND(M510*'Fuel &amp; Inputs'!$C$19*'Fuel &amp; Inputs'!$C$21,100)</f>
        <v>800</v>
      </c>
      <c r="Q510" s="20" t="n">
        <f aca="false">MROUND(N510*'Fuel &amp; Inputs'!$C$19*'Fuel &amp; Inputs'!$C$21,100)</f>
        <v>800</v>
      </c>
      <c r="R510" s="20" t="n">
        <f aca="false">MROUND(O510*'Fuel &amp; Inputs'!$C$19*'Fuel &amp; Inputs'!$C$21,100)</f>
        <v>1400</v>
      </c>
      <c r="S510" s="20" t="n">
        <f aca="false">MROUND(M510*'Fuel &amp; Inputs'!$C$20*'Fuel &amp; Inputs'!$C$22,500)</f>
        <v>22500</v>
      </c>
      <c r="T510" s="20" t="n">
        <f aca="false">MROUND(N510*'Fuel &amp; Inputs'!$C$20*'Fuel &amp; Inputs'!$C$22,500)</f>
        <v>22500</v>
      </c>
      <c r="U510" s="20" t="n">
        <f aca="false">MROUND(O510*'Fuel &amp; Inputs'!$C$20*'Fuel &amp; Inputs'!$C$22,500)</f>
        <v>36500</v>
      </c>
    </row>
    <row r="511" customFormat="false" ht="15" hidden="false" customHeight="false" outlineLevel="0" collapsed="false">
      <c r="A511" s="23" t="n">
        <v>480</v>
      </c>
      <c r="B511" s="34" t="s">
        <v>1124</v>
      </c>
      <c r="C511" s="34" t="s">
        <v>1125</v>
      </c>
      <c r="D511" s="34" t="s">
        <v>1160</v>
      </c>
      <c r="E511" s="23" t="s">
        <v>198</v>
      </c>
      <c r="F511" s="23" t="s">
        <v>217</v>
      </c>
      <c r="G511" s="23" t="s">
        <v>217</v>
      </c>
      <c r="H511" s="23" t="s">
        <v>148</v>
      </c>
      <c r="I511" s="25" t="n">
        <v>10</v>
      </c>
      <c r="J511" s="35" t="n">
        <v>1</v>
      </c>
      <c r="K511" s="26" t="n">
        <f aca="false">IF(I511=0,0,IF(L511="Rs./km",MROUND(IF(H511="Petrol",'Fuel &amp; Inputs'!$C$5,'Fuel &amp; Inputs'!$C$4)/I511*J511,1),MROUND(I511*J511*IF(H511="Petrol",'Fuel &amp; Inputs'!$C$5,'Fuel &amp; Inputs'!$C$4),10)))</f>
        <v>3820</v>
      </c>
      <c r="L511" s="23" t="s">
        <v>149</v>
      </c>
      <c r="M511" s="27" t="n">
        <v>220</v>
      </c>
      <c r="N511" s="26" t="n">
        <f aca="false">M511</f>
        <v>220</v>
      </c>
      <c r="O511" s="27" t="n">
        <v>360</v>
      </c>
      <c r="P511" s="26" t="n">
        <f aca="false">MROUND(M511*'Fuel &amp; Inputs'!$C$19*'Fuel &amp; Inputs'!$C$21,100)</f>
        <v>800</v>
      </c>
      <c r="Q511" s="26" t="n">
        <f aca="false">MROUND(N511*'Fuel &amp; Inputs'!$C$19*'Fuel &amp; Inputs'!$C$21,100)</f>
        <v>800</v>
      </c>
      <c r="R511" s="26" t="n">
        <f aca="false">MROUND(O511*'Fuel &amp; Inputs'!$C$19*'Fuel &amp; Inputs'!$C$21,100)</f>
        <v>1400</v>
      </c>
      <c r="S511" s="26" t="n">
        <f aca="false">MROUND(M511*'Fuel &amp; Inputs'!$C$20*'Fuel &amp; Inputs'!$C$22,500)</f>
        <v>22500</v>
      </c>
      <c r="T511" s="26" t="n">
        <f aca="false">MROUND(N511*'Fuel &amp; Inputs'!$C$20*'Fuel &amp; Inputs'!$C$22,500)</f>
        <v>22500</v>
      </c>
      <c r="U511" s="26" t="n">
        <f aca="false">MROUND(O511*'Fuel &amp; Inputs'!$C$20*'Fuel &amp; Inputs'!$C$22,500)</f>
        <v>36500</v>
      </c>
    </row>
    <row r="512" customFormat="false" ht="15" hidden="false" customHeight="false" outlineLevel="0" collapsed="false">
      <c r="A512" s="17" t="n">
        <v>481</v>
      </c>
      <c r="B512" s="32" t="s">
        <v>1124</v>
      </c>
      <c r="C512" s="32" t="s">
        <v>1163</v>
      </c>
      <c r="D512" s="32" t="s">
        <v>1164</v>
      </c>
      <c r="E512" s="17" t="s">
        <v>198</v>
      </c>
      <c r="F512" s="17" t="s">
        <v>1165</v>
      </c>
      <c r="G512" s="17" t="s">
        <v>1166</v>
      </c>
      <c r="H512" s="17" t="s">
        <v>977</v>
      </c>
      <c r="I512" s="19" t="n">
        <v>45</v>
      </c>
      <c r="J512" s="33" t="n">
        <v>1.14</v>
      </c>
      <c r="K512" s="20" t="n">
        <f aca="false">IF(I512=0,0,IF(L512="Rs./km",MROUND(IF(H512="Petrol",'Fuel &amp; Inputs'!$C$5,'Fuel &amp; Inputs'!$C$4)/I512*J512,1),MROUND(I512*J512*IF(H512="Petrol",'Fuel &amp; Inputs'!$C$5,'Fuel &amp; Inputs'!$C$4),10)))</f>
        <v>10</v>
      </c>
      <c r="L512" s="17" t="s">
        <v>590</v>
      </c>
      <c r="M512" s="21" t="n">
        <v>220</v>
      </c>
      <c r="N512" s="20" t="n">
        <f aca="false">M512</f>
        <v>220</v>
      </c>
      <c r="O512" s="21" t="n">
        <v>360</v>
      </c>
      <c r="P512" s="20" t="n">
        <f aca="false">MROUND(M512*'Fuel &amp; Inputs'!$C$19*'Fuel &amp; Inputs'!$C$21,100)</f>
        <v>800</v>
      </c>
      <c r="Q512" s="20" t="n">
        <f aca="false">MROUND(N512*'Fuel &amp; Inputs'!$C$19*'Fuel &amp; Inputs'!$C$21,100)</f>
        <v>800</v>
      </c>
      <c r="R512" s="20" t="n">
        <f aca="false">MROUND(O512*'Fuel &amp; Inputs'!$C$19*'Fuel &amp; Inputs'!$C$21,100)</f>
        <v>1400</v>
      </c>
      <c r="S512" s="20" t="n">
        <f aca="false">MROUND(M512*'Fuel &amp; Inputs'!$C$20*'Fuel &amp; Inputs'!$C$22,500)</f>
        <v>22500</v>
      </c>
      <c r="T512" s="20" t="n">
        <f aca="false">MROUND(N512*'Fuel &amp; Inputs'!$C$20*'Fuel &amp; Inputs'!$C$22,500)</f>
        <v>22500</v>
      </c>
      <c r="U512" s="20" t="n">
        <f aca="false">MROUND(O512*'Fuel &amp; Inputs'!$C$20*'Fuel &amp; Inputs'!$C$22,500)</f>
        <v>36500</v>
      </c>
    </row>
    <row r="513" customFormat="false" ht="15" hidden="false" customHeight="false" outlineLevel="0" collapsed="false">
      <c r="A513" s="23" t="n">
        <v>482</v>
      </c>
      <c r="B513" s="34" t="s">
        <v>1124</v>
      </c>
      <c r="C513" s="34" t="s">
        <v>1167</v>
      </c>
      <c r="D513" s="34" t="s">
        <v>1168</v>
      </c>
      <c r="E513" s="23" t="s">
        <v>202</v>
      </c>
      <c r="F513" s="23" t="s">
        <v>1169</v>
      </c>
      <c r="G513" s="23" t="s">
        <v>1170</v>
      </c>
      <c r="H513" s="23" t="s">
        <v>977</v>
      </c>
      <c r="I513" s="25" t="n">
        <v>45</v>
      </c>
      <c r="J513" s="35" t="n">
        <v>1.154</v>
      </c>
      <c r="K513" s="26" t="n">
        <f aca="false">IF(I513=0,0,IF(L513="Rs./km",MROUND(IF(H513="Petrol",'Fuel &amp; Inputs'!$C$5,'Fuel &amp; Inputs'!$C$4)/I513*J513,1),MROUND(I513*J513*IF(H513="Petrol",'Fuel &amp; Inputs'!$C$5,'Fuel &amp; Inputs'!$C$4),10)))</f>
        <v>11</v>
      </c>
      <c r="L513" s="23" t="s">
        <v>590</v>
      </c>
      <c r="M513" s="27" t="n">
        <v>200</v>
      </c>
      <c r="N513" s="26" t="n">
        <f aca="false">M513</f>
        <v>200</v>
      </c>
      <c r="O513" s="27" t="n">
        <v>330</v>
      </c>
      <c r="P513" s="26" t="n">
        <f aca="false">MROUND(M513*'Fuel &amp; Inputs'!$C$19*'Fuel &amp; Inputs'!$C$21,100)</f>
        <v>800</v>
      </c>
      <c r="Q513" s="26" t="n">
        <f aca="false">MROUND(N513*'Fuel &amp; Inputs'!$C$19*'Fuel &amp; Inputs'!$C$21,100)</f>
        <v>800</v>
      </c>
      <c r="R513" s="26" t="n">
        <f aca="false">MROUND(O513*'Fuel &amp; Inputs'!$C$19*'Fuel &amp; Inputs'!$C$21,100)</f>
        <v>1300</v>
      </c>
      <c r="S513" s="26" t="n">
        <f aca="false">MROUND(M513*'Fuel &amp; Inputs'!$C$20*'Fuel &amp; Inputs'!$C$22,500)</f>
        <v>20500</v>
      </c>
      <c r="T513" s="26" t="n">
        <f aca="false">MROUND(N513*'Fuel &amp; Inputs'!$C$20*'Fuel &amp; Inputs'!$C$22,500)</f>
        <v>20500</v>
      </c>
      <c r="U513" s="26" t="n">
        <f aca="false">MROUND(O513*'Fuel &amp; Inputs'!$C$20*'Fuel &amp; Inputs'!$C$22,500)</f>
        <v>33500</v>
      </c>
    </row>
    <row r="514" customFormat="false" ht="23.85" hidden="false" customHeight="false" outlineLevel="0" collapsed="false">
      <c r="A514" s="17" t="n">
        <v>483</v>
      </c>
      <c r="B514" s="32" t="s">
        <v>1124</v>
      </c>
      <c r="C514" s="32" t="s">
        <v>1125</v>
      </c>
      <c r="D514" s="32" t="s">
        <v>1171</v>
      </c>
      <c r="E514" s="17" t="s">
        <v>271</v>
      </c>
      <c r="F514" s="17" t="s">
        <v>1172</v>
      </c>
      <c r="G514" s="17" t="s">
        <v>1173</v>
      </c>
      <c r="H514" s="17" t="s">
        <v>977</v>
      </c>
      <c r="I514" s="19" t="n">
        <v>45</v>
      </c>
      <c r="J514" s="33" t="n">
        <v>1.161</v>
      </c>
      <c r="K514" s="20" t="n">
        <f aca="false">IF(I514=0,0,IF(L514="Rs./km",MROUND(IF(H514="Petrol",'Fuel &amp; Inputs'!$C$5,'Fuel &amp; Inputs'!$C$4)/I514*J514,1),MROUND(I514*J514*IF(H514="Petrol",'Fuel &amp; Inputs'!$C$5,'Fuel &amp; Inputs'!$C$4),10)))</f>
        <v>11</v>
      </c>
      <c r="L514" s="17" t="s">
        <v>590</v>
      </c>
      <c r="M514" s="21" t="n">
        <v>200</v>
      </c>
      <c r="N514" s="20" t="n">
        <f aca="false">M514</f>
        <v>200</v>
      </c>
      <c r="O514" s="21" t="n">
        <v>330</v>
      </c>
      <c r="P514" s="20" t="n">
        <f aca="false">MROUND(M514*'Fuel &amp; Inputs'!$C$19*'Fuel &amp; Inputs'!$C$21,100)</f>
        <v>800</v>
      </c>
      <c r="Q514" s="20" t="n">
        <f aca="false">MROUND(N514*'Fuel &amp; Inputs'!$C$19*'Fuel &amp; Inputs'!$C$21,100)</f>
        <v>800</v>
      </c>
      <c r="R514" s="20" t="n">
        <f aca="false">MROUND(O514*'Fuel &amp; Inputs'!$C$19*'Fuel &amp; Inputs'!$C$21,100)</f>
        <v>1300</v>
      </c>
      <c r="S514" s="20" t="n">
        <f aca="false">MROUND(M514*'Fuel &amp; Inputs'!$C$20*'Fuel &amp; Inputs'!$C$22,500)</f>
        <v>20500</v>
      </c>
      <c r="T514" s="20" t="n">
        <f aca="false">MROUND(N514*'Fuel &amp; Inputs'!$C$20*'Fuel &amp; Inputs'!$C$22,500)</f>
        <v>20500</v>
      </c>
      <c r="U514" s="20" t="n">
        <f aca="false">MROUND(O514*'Fuel &amp; Inputs'!$C$20*'Fuel &amp; Inputs'!$C$22,500)</f>
        <v>33500</v>
      </c>
    </row>
    <row r="515" customFormat="false" ht="15" hidden="false" customHeight="false" outlineLevel="0" collapsed="false">
      <c r="A515" s="23" t="n">
        <v>484</v>
      </c>
      <c r="B515" s="34" t="s">
        <v>1124</v>
      </c>
      <c r="C515" s="34" t="s">
        <v>1125</v>
      </c>
      <c r="D515" s="34" t="s">
        <v>217</v>
      </c>
      <c r="E515" s="23" t="s">
        <v>217</v>
      </c>
      <c r="F515" s="23" t="s">
        <v>1174</v>
      </c>
      <c r="G515" s="23" t="s">
        <v>1175</v>
      </c>
      <c r="H515" s="23" t="s">
        <v>977</v>
      </c>
      <c r="I515" s="25" t="n">
        <v>45</v>
      </c>
      <c r="J515" s="35" t="n">
        <v>1</v>
      </c>
      <c r="K515" s="26" t="n">
        <f aca="false">IF(I515=0,0,IF(L515="Rs./km",MROUND(IF(H515="Petrol",'Fuel &amp; Inputs'!$C$5,'Fuel &amp; Inputs'!$C$4)/I515*J515,1),MROUND(I515*J515*IF(H515="Petrol",'Fuel &amp; Inputs'!$C$5,'Fuel &amp; Inputs'!$C$4),10)))</f>
        <v>9</v>
      </c>
      <c r="L515" s="23" t="s">
        <v>590</v>
      </c>
      <c r="M515" s="27" t="n">
        <v>170</v>
      </c>
      <c r="N515" s="26" t="n">
        <f aca="false">M515</f>
        <v>170</v>
      </c>
      <c r="O515" s="27" t="n">
        <v>290</v>
      </c>
      <c r="P515" s="26" t="n">
        <f aca="false">MROUND(M515*'Fuel &amp; Inputs'!$C$19*'Fuel &amp; Inputs'!$C$21,100)</f>
        <v>600</v>
      </c>
      <c r="Q515" s="26" t="n">
        <f aca="false">MROUND(N515*'Fuel &amp; Inputs'!$C$19*'Fuel &amp; Inputs'!$C$21,100)</f>
        <v>600</v>
      </c>
      <c r="R515" s="26" t="n">
        <f aca="false">MROUND(O515*'Fuel &amp; Inputs'!$C$19*'Fuel &amp; Inputs'!$C$21,100)</f>
        <v>1100</v>
      </c>
      <c r="S515" s="26" t="n">
        <f aca="false">MROUND(M515*'Fuel &amp; Inputs'!$C$20*'Fuel &amp; Inputs'!$C$22,500)</f>
        <v>17500</v>
      </c>
      <c r="T515" s="26" t="n">
        <f aca="false">MROUND(N515*'Fuel &amp; Inputs'!$C$20*'Fuel &amp; Inputs'!$C$22,500)</f>
        <v>17500</v>
      </c>
      <c r="U515" s="26" t="n">
        <f aca="false">MROUND(O515*'Fuel &amp; Inputs'!$C$20*'Fuel &amp; Inputs'!$C$22,500)</f>
        <v>29500</v>
      </c>
    </row>
    <row r="516" customFormat="false" ht="15" hidden="false" customHeight="false" outlineLevel="0" collapsed="false">
      <c r="A516" s="17" t="n">
        <v>485</v>
      </c>
      <c r="B516" s="32" t="s">
        <v>1124</v>
      </c>
      <c r="C516" s="32" t="s">
        <v>1125</v>
      </c>
      <c r="D516" s="32" t="s">
        <v>217</v>
      </c>
      <c r="E516" s="17" t="s">
        <v>217</v>
      </c>
      <c r="F516" s="17" t="s">
        <v>1176</v>
      </c>
      <c r="G516" s="17" t="s">
        <v>1177</v>
      </c>
      <c r="H516" s="17" t="s">
        <v>977</v>
      </c>
      <c r="I516" s="19" t="n">
        <v>45</v>
      </c>
      <c r="J516" s="33" t="n">
        <v>1</v>
      </c>
      <c r="K516" s="20" t="n">
        <f aca="false">IF(I516=0,0,IF(L516="Rs./km",MROUND(IF(H516="Petrol",'Fuel &amp; Inputs'!$C$5,'Fuel &amp; Inputs'!$C$4)/I516*J516,1),MROUND(I516*J516*IF(H516="Petrol",'Fuel &amp; Inputs'!$C$5,'Fuel &amp; Inputs'!$C$4),10)))</f>
        <v>9</v>
      </c>
      <c r="L516" s="17" t="s">
        <v>590</v>
      </c>
      <c r="M516" s="21" t="n">
        <v>170</v>
      </c>
      <c r="N516" s="20" t="n">
        <f aca="false">M516</f>
        <v>170</v>
      </c>
      <c r="O516" s="21" t="n">
        <v>290</v>
      </c>
      <c r="P516" s="20" t="n">
        <f aca="false">MROUND(M516*'Fuel &amp; Inputs'!$C$19*'Fuel &amp; Inputs'!$C$21,100)</f>
        <v>600</v>
      </c>
      <c r="Q516" s="20" t="n">
        <f aca="false">MROUND(N516*'Fuel &amp; Inputs'!$C$19*'Fuel &amp; Inputs'!$C$21,100)</f>
        <v>600</v>
      </c>
      <c r="R516" s="20" t="n">
        <f aca="false">MROUND(O516*'Fuel &amp; Inputs'!$C$19*'Fuel &amp; Inputs'!$C$21,100)</f>
        <v>1100</v>
      </c>
      <c r="S516" s="20" t="n">
        <f aca="false">MROUND(M516*'Fuel &amp; Inputs'!$C$20*'Fuel &amp; Inputs'!$C$22,500)</f>
        <v>17500</v>
      </c>
      <c r="T516" s="20" t="n">
        <f aca="false">MROUND(N516*'Fuel &amp; Inputs'!$C$20*'Fuel &amp; Inputs'!$C$22,500)</f>
        <v>17500</v>
      </c>
      <c r="U516" s="20" t="n">
        <f aca="false">MROUND(O516*'Fuel &amp; Inputs'!$C$20*'Fuel &amp; Inputs'!$C$22,500)</f>
        <v>29500</v>
      </c>
    </row>
    <row r="517" customFormat="false" ht="15" hidden="false" customHeight="false" outlineLevel="0" collapsed="false">
      <c r="A517" s="23" t="n">
        <v>486</v>
      </c>
      <c r="B517" s="34" t="s">
        <v>1124</v>
      </c>
      <c r="C517" s="34" t="s">
        <v>1125</v>
      </c>
      <c r="D517" s="34" t="s">
        <v>217</v>
      </c>
      <c r="E517" s="23" t="s">
        <v>217</v>
      </c>
      <c r="F517" s="23" t="s">
        <v>1178</v>
      </c>
      <c r="G517" s="23" t="s">
        <v>1179</v>
      </c>
      <c r="H517" s="23" t="s">
        <v>977</v>
      </c>
      <c r="I517" s="25" t="n">
        <v>45</v>
      </c>
      <c r="J517" s="35" t="n">
        <v>1</v>
      </c>
      <c r="K517" s="26" t="n">
        <f aca="false">IF(I517=0,0,IF(L517="Rs./km",MROUND(IF(H517="Petrol",'Fuel &amp; Inputs'!$C$5,'Fuel &amp; Inputs'!$C$4)/I517*J517,1),MROUND(I517*J517*IF(H517="Petrol",'Fuel &amp; Inputs'!$C$5,'Fuel &amp; Inputs'!$C$4),10)))</f>
        <v>9</v>
      </c>
      <c r="L517" s="23" t="s">
        <v>590</v>
      </c>
      <c r="M517" s="27" t="n">
        <v>170</v>
      </c>
      <c r="N517" s="26" t="n">
        <f aca="false">M517</f>
        <v>170</v>
      </c>
      <c r="O517" s="27" t="n">
        <v>290</v>
      </c>
      <c r="P517" s="26" t="n">
        <f aca="false">MROUND(M517*'Fuel &amp; Inputs'!$C$19*'Fuel &amp; Inputs'!$C$21,100)</f>
        <v>600</v>
      </c>
      <c r="Q517" s="26" t="n">
        <f aca="false">MROUND(N517*'Fuel &amp; Inputs'!$C$19*'Fuel &amp; Inputs'!$C$21,100)</f>
        <v>600</v>
      </c>
      <c r="R517" s="26" t="n">
        <f aca="false">MROUND(O517*'Fuel &amp; Inputs'!$C$19*'Fuel &amp; Inputs'!$C$21,100)</f>
        <v>1100</v>
      </c>
      <c r="S517" s="26" t="n">
        <f aca="false">MROUND(M517*'Fuel &amp; Inputs'!$C$20*'Fuel &amp; Inputs'!$C$22,500)</f>
        <v>17500</v>
      </c>
      <c r="T517" s="26" t="n">
        <f aca="false">MROUND(N517*'Fuel &amp; Inputs'!$C$20*'Fuel &amp; Inputs'!$C$22,500)</f>
        <v>17500</v>
      </c>
      <c r="U517" s="26" t="n">
        <f aca="false">MROUND(O517*'Fuel &amp; Inputs'!$C$20*'Fuel &amp; Inputs'!$C$22,500)</f>
        <v>29500</v>
      </c>
    </row>
    <row r="518" customFormat="false" ht="15" hidden="false" customHeight="false" outlineLevel="0" collapsed="false">
      <c r="A518" s="17" t="n">
        <v>487</v>
      </c>
      <c r="B518" s="32" t="s">
        <v>1124</v>
      </c>
      <c r="C518" s="32" t="s">
        <v>1125</v>
      </c>
      <c r="D518" s="32" t="s">
        <v>217</v>
      </c>
      <c r="E518" s="17" t="s">
        <v>217</v>
      </c>
      <c r="F518" s="17" t="s">
        <v>1180</v>
      </c>
      <c r="G518" s="17" t="s">
        <v>1181</v>
      </c>
      <c r="H518" s="17" t="s">
        <v>977</v>
      </c>
      <c r="I518" s="19" t="n">
        <v>45</v>
      </c>
      <c r="J518" s="33" t="n">
        <v>1</v>
      </c>
      <c r="K518" s="20" t="n">
        <f aca="false">IF(I518=0,0,IF(L518="Rs./km",MROUND(IF(H518="Petrol",'Fuel &amp; Inputs'!$C$5,'Fuel &amp; Inputs'!$C$4)/I518*J518,1),MROUND(I518*J518*IF(H518="Petrol",'Fuel &amp; Inputs'!$C$5,'Fuel &amp; Inputs'!$C$4),10)))</f>
        <v>9</v>
      </c>
      <c r="L518" s="17" t="s">
        <v>590</v>
      </c>
      <c r="M518" s="21" t="n">
        <v>170</v>
      </c>
      <c r="N518" s="20" t="n">
        <f aca="false">M518</f>
        <v>170</v>
      </c>
      <c r="O518" s="21" t="n">
        <v>290</v>
      </c>
      <c r="P518" s="20" t="n">
        <f aca="false">MROUND(M518*'Fuel &amp; Inputs'!$C$19*'Fuel &amp; Inputs'!$C$21,100)</f>
        <v>600</v>
      </c>
      <c r="Q518" s="20" t="n">
        <f aca="false">MROUND(N518*'Fuel &amp; Inputs'!$C$19*'Fuel &amp; Inputs'!$C$21,100)</f>
        <v>600</v>
      </c>
      <c r="R518" s="20" t="n">
        <f aca="false">MROUND(O518*'Fuel &amp; Inputs'!$C$19*'Fuel &amp; Inputs'!$C$21,100)</f>
        <v>1100</v>
      </c>
      <c r="S518" s="20" t="n">
        <f aca="false">MROUND(M518*'Fuel &amp; Inputs'!$C$20*'Fuel &amp; Inputs'!$C$22,500)</f>
        <v>17500</v>
      </c>
      <c r="T518" s="20" t="n">
        <f aca="false">MROUND(N518*'Fuel &amp; Inputs'!$C$20*'Fuel &amp; Inputs'!$C$22,500)</f>
        <v>17500</v>
      </c>
      <c r="U518" s="20" t="n">
        <f aca="false">MROUND(O518*'Fuel &amp; Inputs'!$C$20*'Fuel &amp; Inputs'!$C$22,500)</f>
        <v>29500</v>
      </c>
    </row>
    <row r="519" customFormat="false" ht="15" hidden="false" customHeight="false" outlineLevel="0" collapsed="false">
      <c r="A519" s="23" t="n">
        <v>488</v>
      </c>
      <c r="B519" s="34" t="s">
        <v>1124</v>
      </c>
      <c r="C519" s="34" t="s">
        <v>1125</v>
      </c>
      <c r="D519" s="34" t="s">
        <v>217</v>
      </c>
      <c r="E519" s="23" t="s">
        <v>165</v>
      </c>
      <c r="F519" s="23" t="s">
        <v>1182</v>
      </c>
      <c r="G519" s="23" t="s">
        <v>1183</v>
      </c>
      <c r="H519" s="23" t="s">
        <v>977</v>
      </c>
      <c r="I519" s="25" t="n">
        <v>45</v>
      </c>
      <c r="J519" s="35" t="n">
        <v>1.077</v>
      </c>
      <c r="K519" s="26" t="n">
        <f aca="false">IF(I519=0,0,IF(L519="Rs./km",MROUND(IF(H519="Petrol",'Fuel &amp; Inputs'!$C$5,'Fuel &amp; Inputs'!$C$4)/I519*J519,1),MROUND(I519*J519*IF(H519="Petrol",'Fuel &amp; Inputs'!$C$5,'Fuel &amp; Inputs'!$C$4),10)))</f>
        <v>10</v>
      </c>
      <c r="L519" s="23" t="s">
        <v>590</v>
      </c>
      <c r="M519" s="27" t="n">
        <v>170</v>
      </c>
      <c r="N519" s="26" t="n">
        <f aca="false">M519</f>
        <v>170</v>
      </c>
      <c r="O519" s="27" t="n">
        <v>290</v>
      </c>
      <c r="P519" s="26" t="n">
        <f aca="false">MROUND(M519*'Fuel &amp; Inputs'!$C$19*'Fuel &amp; Inputs'!$C$21,100)</f>
        <v>600</v>
      </c>
      <c r="Q519" s="26" t="n">
        <f aca="false">MROUND(N519*'Fuel &amp; Inputs'!$C$19*'Fuel &amp; Inputs'!$C$21,100)</f>
        <v>600</v>
      </c>
      <c r="R519" s="26" t="n">
        <f aca="false">MROUND(O519*'Fuel &amp; Inputs'!$C$19*'Fuel &amp; Inputs'!$C$21,100)</f>
        <v>1100</v>
      </c>
      <c r="S519" s="26" t="n">
        <f aca="false">MROUND(M519*'Fuel &amp; Inputs'!$C$20*'Fuel &amp; Inputs'!$C$22,500)</f>
        <v>17500</v>
      </c>
      <c r="T519" s="26" t="n">
        <f aca="false">MROUND(N519*'Fuel &amp; Inputs'!$C$20*'Fuel &amp; Inputs'!$C$22,500)</f>
        <v>17500</v>
      </c>
      <c r="U519" s="26" t="n">
        <f aca="false">MROUND(O519*'Fuel &amp; Inputs'!$C$20*'Fuel &amp; Inputs'!$C$22,500)</f>
        <v>29500</v>
      </c>
    </row>
    <row r="520" customFormat="false" ht="15" hidden="false" customHeight="false" outlineLevel="0" collapsed="false">
      <c r="A520" s="17" t="n">
        <v>489</v>
      </c>
      <c r="B520" s="32" t="s">
        <v>1124</v>
      </c>
      <c r="C520" s="32" t="s">
        <v>1125</v>
      </c>
      <c r="D520" s="32" t="s">
        <v>217</v>
      </c>
      <c r="E520" s="17" t="s">
        <v>168</v>
      </c>
      <c r="F520" s="17" t="s">
        <v>1184</v>
      </c>
      <c r="G520" s="17" t="s">
        <v>1185</v>
      </c>
      <c r="H520" s="17" t="s">
        <v>977</v>
      </c>
      <c r="I520" s="19" t="n">
        <v>45</v>
      </c>
      <c r="J520" s="33" t="n">
        <v>1.07</v>
      </c>
      <c r="K520" s="20" t="n">
        <f aca="false">IF(I520=0,0,IF(L520="Rs./km",MROUND(IF(H520="Petrol",'Fuel &amp; Inputs'!$C$5,'Fuel &amp; Inputs'!$C$4)/I520*J520,1),MROUND(I520*J520*IF(H520="Petrol",'Fuel &amp; Inputs'!$C$5,'Fuel &amp; Inputs'!$C$4),10)))</f>
        <v>10</v>
      </c>
      <c r="L520" s="17" t="s">
        <v>590</v>
      </c>
      <c r="M520" s="21" t="n">
        <v>170</v>
      </c>
      <c r="N520" s="20" t="n">
        <f aca="false">M520</f>
        <v>170</v>
      </c>
      <c r="O520" s="21" t="n">
        <v>290</v>
      </c>
      <c r="P520" s="20" t="n">
        <f aca="false">MROUND(M520*'Fuel &amp; Inputs'!$C$19*'Fuel &amp; Inputs'!$C$21,100)</f>
        <v>600</v>
      </c>
      <c r="Q520" s="20" t="n">
        <f aca="false">MROUND(N520*'Fuel &amp; Inputs'!$C$19*'Fuel &amp; Inputs'!$C$21,100)</f>
        <v>600</v>
      </c>
      <c r="R520" s="20" t="n">
        <f aca="false">MROUND(O520*'Fuel &amp; Inputs'!$C$19*'Fuel &amp; Inputs'!$C$21,100)</f>
        <v>1100</v>
      </c>
      <c r="S520" s="20" t="n">
        <f aca="false">MROUND(M520*'Fuel &amp; Inputs'!$C$20*'Fuel &amp; Inputs'!$C$22,500)</f>
        <v>17500</v>
      </c>
      <c r="T520" s="20" t="n">
        <f aca="false">MROUND(N520*'Fuel &amp; Inputs'!$C$20*'Fuel &amp; Inputs'!$C$22,500)</f>
        <v>17500</v>
      </c>
      <c r="U520" s="20" t="n">
        <f aca="false">MROUND(O520*'Fuel &amp; Inputs'!$C$20*'Fuel &amp; Inputs'!$C$22,500)</f>
        <v>29500</v>
      </c>
    </row>
    <row r="521" customFormat="false" ht="15" hidden="false" customHeight="false" outlineLevel="0" collapsed="false">
      <c r="A521" s="23" t="n">
        <v>490</v>
      </c>
      <c r="B521" s="34" t="s">
        <v>1124</v>
      </c>
      <c r="C521" s="34" t="s">
        <v>1125</v>
      </c>
      <c r="D521" s="34" t="s">
        <v>217</v>
      </c>
      <c r="E521" s="23" t="s">
        <v>165</v>
      </c>
      <c r="F521" s="23" t="s">
        <v>1186</v>
      </c>
      <c r="G521" s="23" t="s">
        <v>1187</v>
      </c>
      <c r="H521" s="23" t="s">
        <v>977</v>
      </c>
      <c r="I521" s="25" t="n">
        <v>45</v>
      </c>
      <c r="J521" s="35" t="n">
        <v>1.077</v>
      </c>
      <c r="K521" s="26" t="n">
        <f aca="false">IF(I521=0,0,IF(L521="Rs./km",MROUND(IF(H521="Petrol",'Fuel &amp; Inputs'!$C$5,'Fuel &amp; Inputs'!$C$4)/I521*J521,1),MROUND(I521*J521*IF(H521="Petrol",'Fuel &amp; Inputs'!$C$5,'Fuel &amp; Inputs'!$C$4),10)))</f>
        <v>10</v>
      </c>
      <c r="L521" s="23" t="s">
        <v>590</v>
      </c>
      <c r="M521" s="27" t="n">
        <v>170</v>
      </c>
      <c r="N521" s="26" t="n">
        <f aca="false">M521</f>
        <v>170</v>
      </c>
      <c r="O521" s="27" t="n">
        <v>290</v>
      </c>
      <c r="P521" s="26" t="n">
        <f aca="false">MROUND(M521*'Fuel &amp; Inputs'!$C$19*'Fuel &amp; Inputs'!$C$21,100)</f>
        <v>600</v>
      </c>
      <c r="Q521" s="26" t="n">
        <f aca="false">MROUND(N521*'Fuel &amp; Inputs'!$C$19*'Fuel &amp; Inputs'!$C$21,100)</f>
        <v>600</v>
      </c>
      <c r="R521" s="26" t="n">
        <f aca="false">MROUND(O521*'Fuel &amp; Inputs'!$C$19*'Fuel &amp; Inputs'!$C$21,100)</f>
        <v>1100</v>
      </c>
      <c r="S521" s="26" t="n">
        <f aca="false">MROUND(M521*'Fuel &amp; Inputs'!$C$20*'Fuel &amp; Inputs'!$C$22,500)</f>
        <v>17500</v>
      </c>
      <c r="T521" s="26" t="n">
        <f aca="false">MROUND(N521*'Fuel &amp; Inputs'!$C$20*'Fuel &amp; Inputs'!$C$22,500)</f>
        <v>17500</v>
      </c>
      <c r="U521" s="26" t="n">
        <f aca="false">MROUND(O521*'Fuel &amp; Inputs'!$C$20*'Fuel &amp; Inputs'!$C$22,500)</f>
        <v>29500</v>
      </c>
    </row>
    <row r="522" customFormat="false" ht="15" hidden="false" customHeight="false" outlineLevel="0" collapsed="false">
      <c r="A522" s="17" t="n">
        <v>491</v>
      </c>
      <c r="B522" s="32" t="s">
        <v>1124</v>
      </c>
      <c r="C522" s="32" t="s">
        <v>1125</v>
      </c>
      <c r="D522" s="32" t="s">
        <v>217</v>
      </c>
      <c r="E522" s="17" t="s">
        <v>160</v>
      </c>
      <c r="F522" s="17" t="s">
        <v>1188</v>
      </c>
      <c r="G522" s="17" t="s">
        <v>1189</v>
      </c>
      <c r="H522" s="17" t="s">
        <v>977</v>
      </c>
      <c r="I522" s="19" t="n">
        <v>45</v>
      </c>
      <c r="J522" s="33" t="n">
        <v>1.098</v>
      </c>
      <c r="K522" s="20" t="n">
        <f aca="false">IF(I522=0,0,IF(L522="Rs./km",MROUND(IF(H522="Petrol",'Fuel &amp; Inputs'!$C$5,'Fuel &amp; Inputs'!$C$4)/I522*J522,1),MROUND(I522*J522*IF(H522="Petrol",'Fuel &amp; Inputs'!$C$5,'Fuel &amp; Inputs'!$C$4),10)))</f>
        <v>10</v>
      </c>
      <c r="L522" s="17" t="s">
        <v>590</v>
      </c>
      <c r="M522" s="21" t="n">
        <v>170</v>
      </c>
      <c r="N522" s="20" t="n">
        <f aca="false">M522</f>
        <v>170</v>
      </c>
      <c r="O522" s="21" t="n">
        <v>290</v>
      </c>
      <c r="P522" s="20" t="n">
        <f aca="false">MROUND(M522*'Fuel &amp; Inputs'!$C$19*'Fuel &amp; Inputs'!$C$21,100)</f>
        <v>600</v>
      </c>
      <c r="Q522" s="20" t="n">
        <f aca="false">MROUND(N522*'Fuel &amp; Inputs'!$C$19*'Fuel &amp; Inputs'!$C$21,100)</f>
        <v>600</v>
      </c>
      <c r="R522" s="20" t="n">
        <f aca="false">MROUND(O522*'Fuel &amp; Inputs'!$C$19*'Fuel &amp; Inputs'!$C$21,100)</f>
        <v>1100</v>
      </c>
      <c r="S522" s="20" t="n">
        <f aca="false">MROUND(M522*'Fuel &amp; Inputs'!$C$20*'Fuel &amp; Inputs'!$C$22,500)</f>
        <v>17500</v>
      </c>
      <c r="T522" s="20" t="n">
        <f aca="false">MROUND(N522*'Fuel &amp; Inputs'!$C$20*'Fuel &amp; Inputs'!$C$22,500)</f>
        <v>17500</v>
      </c>
      <c r="U522" s="20" t="n">
        <f aca="false">MROUND(O522*'Fuel &amp; Inputs'!$C$20*'Fuel &amp; Inputs'!$C$22,500)</f>
        <v>29500</v>
      </c>
    </row>
    <row r="523" customFormat="false" ht="15" hidden="false" customHeight="false" outlineLevel="0" collapsed="false">
      <c r="A523" s="23" t="n">
        <v>492</v>
      </c>
      <c r="B523" s="34" t="s">
        <v>1124</v>
      </c>
      <c r="C523" s="34" t="s">
        <v>1125</v>
      </c>
      <c r="D523" s="34" t="s">
        <v>217</v>
      </c>
      <c r="E523" s="23" t="s">
        <v>217</v>
      </c>
      <c r="F523" s="23" t="s">
        <v>1190</v>
      </c>
      <c r="G523" s="23" t="s">
        <v>1191</v>
      </c>
      <c r="H523" s="23" t="s">
        <v>977</v>
      </c>
      <c r="I523" s="25" t="n">
        <v>45</v>
      </c>
      <c r="J523" s="35" t="n">
        <v>1</v>
      </c>
      <c r="K523" s="26" t="n">
        <f aca="false">IF(I523=0,0,IF(L523="Rs./km",MROUND(IF(H523="Petrol",'Fuel &amp; Inputs'!$C$5,'Fuel &amp; Inputs'!$C$4)/I523*J523,1),MROUND(I523*J523*IF(H523="Petrol",'Fuel &amp; Inputs'!$C$5,'Fuel &amp; Inputs'!$C$4),10)))</f>
        <v>9</v>
      </c>
      <c r="L523" s="23" t="s">
        <v>590</v>
      </c>
      <c r="M523" s="27" t="n">
        <v>170</v>
      </c>
      <c r="N523" s="26" t="n">
        <f aca="false">M523</f>
        <v>170</v>
      </c>
      <c r="O523" s="27" t="n">
        <v>290</v>
      </c>
      <c r="P523" s="26" t="n">
        <f aca="false">MROUND(M523*'Fuel &amp; Inputs'!$C$19*'Fuel &amp; Inputs'!$C$21,100)</f>
        <v>600</v>
      </c>
      <c r="Q523" s="26" t="n">
        <f aca="false">MROUND(N523*'Fuel &amp; Inputs'!$C$19*'Fuel &amp; Inputs'!$C$21,100)</f>
        <v>600</v>
      </c>
      <c r="R523" s="26" t="n">
        <f aca="false">MROUND(O523*'Fuel &amp; Inputs'!$C$19*'Fuel &amp; Inputs'!$C$21,100)</f>
        <v>1100</v>
      </c>
      <c r="S523" s="26" t="n">
        <f aca="false">MROUND(M523*'Fuel &amp; Inputs'!$C$20*'Fuel &amp; Inputs'!$C$22,500)</f>
        <v>17500</v>
      </c>
      <c r="T523" s="26" t="n">
        <f aca="false">MROUND(N523*'Fuel &amp; Inputs'!$C$20*'Fuel &amp; Inputs'!$C$22,500)</f>
        <v>17500</v>
      </c>
      <c r="U523" s="26" t="n">
        <f aca="false">MROUND(O523*'Fuel &amp; Inputs'!$C$20*'Fuel &amp; Inputs'!$C$22,500)</f>
        <v>29500</v>
      </c>
    </row>
    <row r="524" customFormat="false" ht="15" hidden="false" customHeight="false" outlineLevel="0" collapsed="false">
      <c r="A524" s="17" t="n">
        <v>493</v>
      </c>
      <c r="B524" s="32" t="s">
        <v>1124</v>
      </c>
      <c r="C524" s="32" t="s">
        <v>1125</v>
      </c>
      <c r="D524" s="32" t="s">
        <v>217</v>
      </c>
      <c r="E524" s="17" t="s">
        <v>596</v>
      </c>
      <c r="F524" s="17" t="s">
        <v>1192</v>
      </c>
      <c r="G524" s="17" t="s">
        <v>1193</v>
      </c>
      <c r="H524" s="17" t="s">
        <v>977</v>
      </c>
      <c r="I524" s="19" t="n">
        <v>45</v>
      </c>
      <c r="J524" s="33" t="n">
        <v>1.105</v>
      </c>
      <c r="K524" s="20" t="n">
        <f aca="false">IF(I524=0,0,IF(L524="Rs./km",MROUND(IF(H524="Petrol",'Fuel &amp; Inputs'!$C$5,'Fuel &amp; Inputs'!$C$4)/I524*J524,1),MROUND(I524*J524*IF(H524="Petrol",'Fuel &amp; Inputs'!$C$5,'Fuel &amp; Inputs'!$C$4),10)))</f>
        <v>10</v>
      </c>
      <c r="L524" s="17" t="s">
        <v>590</v>
      </c>
      <c r="M524" s="21" t="n">
        <v>170</v>
      </c>
      <c r="N524" s="20" t="n">
        <f aca="false">M524</f>
        <v>170</v>
      </c>
      <c r="O524" s="21" t="n">
        <v>290</v>
      </c>
      <c r="P524" s="20" t="n">
        <f aca="false">MROUND(M524*'Fuel &amp; Inputs'!$C$19*'Fuel &amp; Inputs'!$C$21,100)</f>
        <v>600</v>
      </c>
      <c r="Q524" s="20" t="n">
        <f aca="false">MROUND(N524*'Fuel &amp; Inputs'!$C$19*'Fuel &amp; Inputs'!$C$21,100)</f>
        <v>600</v>
      </c>
      <c r="R524" s="20" t="n">
        <f aca="false">MROUND(O524*'Fuel &amp; Inputs'!$C$19*'Fuel &amp; Inputs'!$C$21,100)</f>
        <v>1100</v>
      </c>
      <c r="S524" s="20" t="n">
        <f aca="false">MROUND(M524*'Fuel &amp; Inputs'!$C$20*'Fuel &amp; Inputs'!$C$22,500)</f>
        <v>17500</v>
      </c>
      <c r="T524" s="20" t="n">
        <f aca="false">MROUND(N524*'Fuel &amp; Inputs'!$C$20*'Fuel &amp; Inputs'!$C$22,500)</f>
        <v>17500</v>
      </c>
      <c r="U524" s="20" t="n">
        <f aca="false">MROUND(O524*'Fuel &amp; Inputs'!$C$20*'Fuel &amp; Inputs'!$C$22,500)</f>
        <v>29500</v>
      </c>
    </row>
    <row r="525" customFormat="false" ht="46.25" hidden="false" customHeight="false" outlineLevel="0" collapsed="false">
      <c r="A525" s="23" t="n">
        <v>494</v>
      </c>
      <c r="B525" s="34" t="s">
        <v>1124</v>
      </c>
      <c r="C525" s="34" t="s">
        <v>324</v>
      </c>
      <c r="D525" s="34" t="s">
        <v>217</v>
      </c>
      <c r="E525" s="23" t="s">
        <v>1194</v>
      </c>
      <c r="F525" s="23" t="s">
        <v>217</v>
      </c>
      <c r="G525" s="23" t="s">
        <v>1195</v>
      </c>
      <c r="H525" s="23" t="s">
        <v>977</v>
      </c>
      <c r="I525" s="25" t="n">
        <v>45</v>
      </c>
      <c r="J525" s="35" t="n">
        <v>1</v>
      </c>
      <c r="K525" s="26" t="n">
        <f aca="false">IF(I525=0,0,IF(L525="Rs./km",MROUND(IF(H525="Petrol",'Fuel &amp; Inputs'!$C$5,'Fuel &amp; Inputs'!$C$4)/I525*J525,1),MROUND(I525*J525*IF(H525="Petrol",'Fuel &amp; Inputs'!$C$5,'Fuel &amp; Inputs'!$C$4),10)))</f>
        <v>9</v>
      </c>
      <c r="L525" s="23" t="s">
        <v>590</v>
      </c>
      <c r="M525" s="27" t="n">
        <v>170</v>
      </c>
      <c r="N525" s="26" t="n">
        <f aca="false">M525</f>
        <v>170</v>
      </c>
      <c r="O525" s="27" t="n">
        <v>290</v>
      </c>
      <c r="P525" s="26" t="n">
        <f aca="false">MROUND(M525*'Fuel &amp; Inputs'!$C$19*'Fuel &amp; Inputs'!$C$21,100)</f>
        <v>600</v>
      </c>
      <c r="Q525" s="26" t="n">
        <f aca="false">MROUND(N525*'Fuel &amp; Inputs'!$C$19*'Fuel &amp; Inputs'!$C$21,100)</f>
        <v>600</v>
      </c>
      <c r="R525" s="26" t="n">
        <f aca="false">MROUND(O525*'Fuel &amp; Inputs'!$C$19*'Fuel &amp; Inputs'!$C$21,100)</f>
        <v>1100</v>
      </c>
      <c r="S525" s="26" t="n">
        <f aca="false">MROUND(M525*'Fuel &amp; Inputs'!$C$20*'Fuel &amp; Inputs'!$C$22,500)</f>
        <v>17500</v>
      </c>
      <c r="T525" s="26" t="n">
        <f aca="false">MROUND(N525*'Fuel &amp; Inputs'!$C$20*'Fuel &amp; Inputs'!$C$22,500)</f>
        <v>17500</v>
      </c>
      <c r="U525" s="26" t="n">
        <f aca="false">MROUND(O525*'Fuel &amp; Inputs'!$C$20*'Fuel &amp; Inputs'!$C$22,500)</f>
        <v>29500</v>
      </c>
    </row>
    <row r="526" customFormat="false" ht="15" hidden="false" customHeight="false" outlineLevel="0" collapsed="false">
      <c r="A526" s="17" t="n">
        <v>495</v>
      </c>
      <c r="B526" s="32" t="s">
        <v>1124</v>
      </c>
      <c r="C526" s="32" t="s">
        <v>1126</v>
      </c>
      <c r="D526" s="32" t="s">
        <v>217</v>
      </c>
      <c r="E526" s="17" t="s">
        <v>245</v>
      </c>
      <c r="F526" s="17" t="s">
        <v>1196</v>
      </c>
      <c r="G526" s="17" t="s">
        <v>1197</v>
      </c>
      <c r="H526" s="17" t="s">
        <v>977</v>
      </c>
      <c r="I526" s="19" t="n">
        <v>45</v>
      </c>
      <c r="J526" s="33" t="n">
        <v>1.063</v>
      </c>
      <c r="K526" s="20" t="n">
        <f aca="false">IF(I526=0,0,IF(L526="Rs./km",MROUND(IF(H526="Petrol",'Fuel &amp; Inputs'!$C$5,'Fuel &amp; Inputs'!$C$4)/I526*J526,1),MROUND(I526*J526*IF(H526="Petrol",'Fuel &amp; Inputs'!$C$5,'Fuel &amp; Inputs'!$C$4),10)))</f>
        <v>10</v>
      </c>
      <c r="L526" s="17" t="s">
        <v>590</v>
      </c>
      <c r="M526" s="21" t="n">
        <v>170</v>
      </c>
      <c r="N526" s="20" t="n">
        <f aca="false">M526</f>
        <v>170</v>
      </c>
      <c r="O526" s="21" t="n">
        <v>290</v>
      </c>
      <c r="P526" s="20" t="n">
        <f aca="false">MROUND(M526*'Fuel &amp; Inputs'!$C$19*'Fuel &amp; Inputs'!$C$21,100)</f>
        <v>600</v>
      </c>
      <c r="Q526" s="20" t="n">
        <f aca="false">MROUND(N526*'Fuel &amp; Inputs'!$C$19*'Fuel &amp; Inputs'!$C$21,100)</f>
        <v>600</v>
      </c>
      <c r="R526" s="20" t="n">
        <f aca="false">MROUND(O526*'Fuel &amp; Inputs'!$C$19*'Fuel &amp; Inputs'!$C$21,100)</f>
        <v>1100</v>
      </c>
      <c r="S526" s="20" t="n">
        <f aca="false">MROUND(M526*'Fuel &amp; Inputs'!$C$20*'Fuel &amp; Inputs'!$C$22,500)</f>
        <v>17500</v>
      </c>
      <c r="T526" s="20" t="n">
        <f aca="false">MROUND(N526*'Fuel &amp; Inputs'!$C$20*'Fuel &amp; Inputs'!$C$22,500)</f>
        <v>17500</v>
      </c>
      <c r="U526" s="20" t="n">
        <f aca="false">MROUND(O526*'Fuel &amp; Inputs'!$C$20*'Fuel &amp; Inputs'!$C$22,500)</f>
        <v>29500</v>
      </c>
    </row>
    <row r="527" customFormat="false" ht="46.25" hidden="false" customHeight="false" outlineLevel="0" collapsed="false">
      <c r="A527" s="23" t="n">
        <v>496</v>
      </c>
      <c r="B527" s="34" t="s">
        <v>1124</v>
      </c>
      <c r="C527" s="34" t="s">
        <v>324</v>
      </c>
      <c r="D527" s="34" t="s">
        <v>217</v>
      </c>
      <c r="E527" s="23" t="s">
        <v>1198</v>
      </c>
      <c r="F527" s="23" t="s">
        <v>217</v>
      </c>
      <c r="G527" s="23" t="s">
        <v>1199</v>
      </c>
      <c r="H527" s="23" t="s">
        <v>977</v>
      </c>
      <c r="I527" s="25" t="n">
        <v>45</v>
      </c>
      <c r="J527" s="35" t="n">
        <v>1</v>
      </c>
      <c r="K527" s="26" t="n">
        <f aca="false">IF(I527=0,0,IF(L527="Rs./km",MROUND(IF(H527="Petrol",'Fuel &amp; Inputs'!$C$5,'Fuel &amp; Inputs'!$C$4)/I527*J527,1),MROUND(I527*J527*IF(H527="Petrol",'Fuel &amp; Inputs'!$C$5,'Fuel &amp; Inputs'!$C$4),10)))</f>
        <v>9</v>
      </c>
      <c r="L527" s="23" t="s">
        <v>590</v>
      </c>
      <c r="M527" s="27" t="n">
        <v>170</v>
      </c>
      <c r="N527" s="26" t="n">
        <f aca="false">M527</f>
        <v>170</v>
      </c>
      <c r="O527" s="27" t="n">
        <v>290</v>
      </c>
      <c r="P527" s="26" t="n">
        <f aca="false">MROUND(M527*'Fuel &amp; Inputs'!$C$19*'Fuel &amp; Inputs'!$C$21,100)</f>
        <v>600</v>
      </c>
      <c r="Q527" s="26" t="n">
        <f aca="false">MROUND(N527*'Fuel &amp; Inputs'!$C$19*'Fuel &amp; Inputs'!$C$21,100)</f>
        <v>600</v>
      </c>
      <c r="R527" s="26" t="n">
        <f aca="false">MROUND(O527*'Fuel &amp; Inputs'!$C$19*'Fuel &amp; Inputs'!$C$21,100)</f>
        <v>1100</v>
      </c>
      <c r="S527" s="26" t="n">
        <f aca="false">MROUND(M527*'Fuel &amp; Inputs'!$C$20*'Fuel &amp; Inputs'!$C$22,500)</f>
        <v>17500</v>
      </c>
      <c r="T527" s="26" t="n">
        <f aca="false">MROUND(N527*'Fuel &amp; Inputs'!$C$20*'Fuel &amp; Inputs'!$C$22,500)</f>
        <v>17500</v>
      </c>
      <c r="U527" s="26" t="n">
        <f aca="false">MROUND(O527*'Fuel &amp; Inputs'!$C$20*'Fuel &amp; Inputs'!$C$22,500)</f>
        <v>29500</v>
      </c>
    </row>
    <row r="528" customFormat="false" ht="46.25" hidden="false" customHeight="false" outlineLevel="0" collapsed="false">
      <c r="A528" s="17" t="n">
        <v>497</v>
      </c>
      <c r="B528" s="32" t="s">
        <v>1124</v>
      </c>
      <c r="C528" s="32" t="s">
        <v>324</v>
      </c>
      <c r="D528" s="32" t="s">
        <v>217</v>
      </c>
      <c r="E528" s="17" t="s">
        <v>1200</v>
      </c>
      <c r="F528" s="17" t="s">
        <v>217</v>
      </c>
      <c r="G528" s="17" t="s">
        <v>1201</v>
      </c>
      <c r="H528" s="17" t="s">
        <v>977</v>
      </c>
      <c r="I528" s="19" t="n">
        <v>45</v>
      </c>
      <c r="J528" s="33" t="n">
        <v>1</v>
      </c>
      <c r="K528" s="20" t="n">
        <f aca="false">IF(I528=0,0,IF(L528="Rs./km",MROUND(IF(H528="Petrol",'Fuel &amp; Inputs'!$C$5,'Fuel &amp; Inputs'!$C$4)/I528*J528,1),MROUND(I528*J528*IF(H528="Petrol",'Fuel &amp; Inputs'!$C$5,'Fuel &amp; Inputs'!$C$4),10)))</f>
        <v>9</v>
      </c>
      <c r="L528" s="17" t="s">
        <v>590</v>
      </c>
      <c r="M528" s="21" t="n">
        <v>170</v>
      </c>
      <c r="N528" s="20" t="n">
        <f aca="false">M528</f>
        <v>170</v>
      </c>
      <c r="O528" s="21" t="n">
        <v>290</v>
      </c>
      <c r="P528" s="20" t="n">
        <f aca="false">MROUND(M528*'Fuel &amp; Inputs'!$C$19*'Fuel &amp; Inputs'!$C$21,100)</f>
        <v>600</v>
      </c>
      <c r="Q528" s="20" t="n">
        <f aca="false">MROUND(N528*'Fuel &amp; Inputs'!$C$19*'Fuel &amp; Inputs'!$C$21,100)</f>
        <v>600</v>
      </c>
      <c r="R528" s="20" t="n">
        <f aca="false">MROUND(O528*'Fuel &amp; Inputs'!$C$19*'Fuel &amp; Inputs'!$C$21,100)</f>
        <v>1100</v>
      </c>
      <c r="S528" s="20" t="n">
        <f aca="false">MROUND(M528*'Fuel &amp; Inputs'!$C$20*'Fuel &amp; Inputs'!$C$22,500)</f>
        <v>17500</v>
      </c>
      <c r="T528" s="20" t="n">
        <f aca="false">MROUND(N528*'Fuel &amp; Inputs'!$C$20*'Fuel &amp; Inputs'!$C$22,500)</f>
        <v>17500</v>
      </c>
      <c r="U528" s="20" t="n">
        <f aca="false">MROUND(O528*'Fuel &amp; Inputs'!$C$20*'Fuel &amp; Inputs'!$C$22,500)</f>
        <v>29500</v>
      </c>
    </row>
    <row r="529" customFormat="false" ht="15" hidden="false" customHeight="false" outlineLevel="0" collapsed="false">
      <c r="A529" s="23" t="n">
        <v>498</v>
      </c>
      <c r="B529" s="34" t="s">
        <v>1124</v>
      </c>
      <c r="C529" s="34" t="s">
        <v>324</v>
      </c>
      <c r="D529" s="34" t="s">
        <v>217</v>
      </c>
      <c r="E529" s="23" t="s">
        <v>217</v>
      </c>
      <c r="F529" s="23" t="s">
        <v>217</v>
      </c>
      <c r="G529" s="23" t="s">
        <v>1202</v>
      </c>
      <c r="H529" s="23" t="s">
        <v>977</v>
      </c>
      <c r="I529" s="25" t="n">
        <v>45</v>
      </c>
      <c r="J529" s="35" t="n">
        <v>1</v>
      </c>
      <c r="K529" s="26" t="n">
        <f aca="false">IF(I529=0,0,IF(L529="Rs./km",MROUND(IF(H529="Petrol",'Fuel &amp; Inputs'!$C$5,'Fuel &amp; Inputs'!$C$4)/I529*J529,1),MROUND(I529*J529*IF(H529="Petrol",'Fuel &amp; Inputs'!$C$5,'Fuel &amp; Inputs'!$C$4),10)))</f>
        <v>9</v>
      </c>
      <c r="L529" s="23" t="s">
        <v>590</v>
      </c>
      <c r="M529" s="27" t="n">
        <v>170</v>
      </c>
      <c r="N529" s="26" t="n">
        <f aca="false">M529</f>
        <v>170</v>
      </c>
      <c r="O529" s="27" t="n">
        <v>290</v>
      </c>
      <c r="P529" s="26" t="n">
        <f aca="false">MROUND(M529*'Fuel &amp; Inputs'!$C$19*'Fuel &amp; Inputs'!$C$21,100)</f>
        <v>600</v>
      </c>
      <c r="Q529" s="26" t="n">
        <f aca="false">MROUND(N529*'Fuel &amp; Inputs'!$C$19*'Fuel &amp; Inputs'!$C$21,100)</f>
        <v>600</v>
      </c>
      <c r="R529" s="26" t="n">
        <f aca="false">MROUND(O529*'Fuel &amp; Inputs'!$C$19*'Fuel &amp; Inputs'!$C$21,100)</f>
        <v>1100</v>
      </c>
      <c r="S529" s="26" t="n">
        <f aca="false">MROUND(M529*'Fuel &amp; Inputs'!$C$20*'Fuel &amp; Inputs'!$C$22,500)</f>
        <v>17500</v>
      </c>
      <c r="T529" s="26" t="n">
        <f aca="false">MROUND(N529*'Fuel &amp; Inputs'!$C$20*'Fuel &amp; Inputs'!$C$22,500)</f>
        <v>17500</v>
      </c>
      <c r="U529" s="26" t="n">
        <f aca="false">MROUND(O529*'Fuel &amp; Inputs'!$C$20*'Fuel &amp; Inputs'!$C$22,500)</f>
        <v>29500</v>
      </c>
    </row>
    <row r="530" customFormat="false" ht="15" hidden="false" customHeight="false" outlineLevel="0" collapsed="false">
      <c r="A530" s="17" t="n">
        <v>499</v>
      </c>
      <c r="B530" s="32" t="s">
        <v>1124</v>
      </c>
      <c r="C530" s="32" t="s">
        <v>324</v>
      </c>
      <c r="D530" s="32" t="s">
        <v>217</v>
      </c>
      <c r="E530" s="17" t="s">
        <v>217</v>
      </c>
      <c r="F530" s="17" t="s">
        <v>217</v>
      </c>
      <c r="G530" s="17" t="s">
        <v>1203</v>
      </c>
      <c r="H530" s="17" t="s">
        <v>977</v>
      </c>
      <c r="I530" s="19" t="n">
        <v>45</v>
      </c>
      <c r="J530" s="33" t="n">
        <v>1</v>
      </c>
      <c r="K530" s="20" t="n">
        <f aca="false">IF(I530=0,0,IF(L530="Rs./km",MROUND(IF(H530="Petrol",'Fuel &amp; Inputs'!$C$5,'Fuel &amp; Inputs'!$C$4)/I530*J530,1),MROUND(I530*J530*IF(H530="Petrol",'Fuel &amp; Inputs'!$C$5,'Fuel &amp; Inputs'!$C$4),10)))</f>
        <v>9</v>
      </c>
      <c r="L530" s="17" t="s">
        <v>590</v>
      </c>
      <c r="M530" s="21" t="n">
        <v>170</v>
      </c>
      <c r="N530" s="20" t="n">
        <f aca="false">M530</f>
        <v>170</v>
      </c>
      <c r="O530" s="21" t="n">
        <v>290</v>
      </c>
      <c r="P530" s="20" t="n">
        <f aca="false">MROUND(M530*'Fuel &amp; Inputs'!$C$19*'Fuel &amp; Inputs'!$C$21,100)</f>
        <v>600</v>
      </c>
      <c r="Q530" s="20" t="n">
        <f aca="false">MROUND(N530*'Fuel &amp; Inputs'!$C$19*'Fuel &amp; Inputs'!$C$21,100)</f>
        <v>600</v>
      </c>
      <c r="R530" s="20" t="n">
        <f aca="false">MROUND(O530*'Fuel &amp; Inputs'!$C$19*'Fuel &amp; Inputs'!$C$21,100)</f>
        <v>1100</v>
      </c>
      <c r="S530" s="20" t="n">
        <f aca="false">MROUND(M530*'Fuel &amp; Inputs'!$C$20*'Fuel &amp; Inputs'!$C$22,500)</f>
        <v>17500</v>
      </c>
      <c r="T530" s="20" t="n">
        <f aca="false">MROUND(N530*'Fuel &amp; Inputs'!$C$20*'Fuel &amp; Inputs'!$C$22,500)</f>
        <v>17500</v>
      </c>
      <c r="U530" s="20" t="n">
        <f aca="false">MROUND(O530*'Fuel &amp; Inputs'!$C$20*'Fuel &amp; Inputs'!$C$22,500)</f>
        <v>29500</v>
      </c>
    </row>
    <row r="531" customFormat="false" ht="15" hidden="false" customHeight="false" outlineLevel="0" collapsed="false">
      <c r="A531" s="23" t="n">
        <v>500</v>
      </c>
      <c r="B531" s="34" t="s">
        <v>1124</v>
      </c>
      <c r="C531" s="34" t="s">
        <v>324</v>
      </c>
      <c r="D531" s="34" t="s">
        <v>217</v>
      </c>
      <c r="E531" s="23" t="s">
        <v>217</v>
      </c>
      <c r="F531" s="23" t="s">
        <v>217</v>
      </c>
      <c r="G531" s="23" t="s">
        <v>1204</v>
      </c>
      <c r="H531" s="23" t="s">
        <v>977</v>
      </c>
      <c r="I531" s="25" t="n">
        <v>45</v>
      </c>
      <c r="J531" s="35" t="n">
        <v>1</v>
      </c>
      <c r="K531" s="26" t="n">
        <f aca="false">IF(I531=0,0,IF(L531="Rs./km",MROUND(IF(H531="Petrol",'Fuel &amp; Inputs'!$C$5,'Fuel &amp; Inputs'!$C$4)/I531*J531,1),MROUND(I531*J531*IF(H531="Petrol",'Fuel &amp; Inputs'!$C$5,'Fuel &amp; Inputs'!$C$4),10)))</f>
        <v>9</v>
      </c>
      <c r="L531" s="23" t="s">
        <v>590</v>
      </c>
      <c r="M531" s="27" t="n">
        <v>170</v>
      </c>
      <c r="N531" s="26" t="n">
        <f aca="false">M531</f>
        <v>170</v>
      </c>
      <c r="O531" s="27" t="n">
        <v>290</v>
      </c>
      <c r="P531" s="26" t="n">
        <f aca="false">MROUND(M531*'Fuel &amp; Inputs'!$C$19*'Fuel &amp; Inputs'!$C$21,100)</f>
        <v>600</v>
      </c>
      <c r="Q531" s="26" t="n">
        <f aca="false">MROUND(N531*'Fuel &amp; Inputs'!$C$19*'Fuel &amp; Inputs'!$C$21,100)</f>
        <v>600</v>
      </c>
      <c r="R531" s="26" t="n">
        <f aca="false">MROUND(O531*'Fuel &amp; Inputs'!$C$19*'Fuel &amp; Inputs'!$C$21,100)</f>
        <v>1100</v>
      </c>
      <c r="S531" s="26" t="n">
        <f aca="false">MROUND(M531*'Fuel &amp; Inputs'!$C$20*'Fuel &amp; Inputs'!$C$22,500)</f>
        <v>17500</v>
      </c>
      <c r="T531" s="26" t="n">
        <f aca="false">MROUND(N531*'Fuel &amp; Inputs'!$C$20*'Fuel &amp; Inputs'!$C$22,500)</f>
        <v>17500</v>
      </c>
      <c r="U531" s="26" t="n">
        <f aca="false">MROUND(O531*'Fuel &amp; Inputs'!$C$20*'Fuel &amp; Inputs'!$C$22,500)</f>
        <v>29500</v>
      </c>
    </row>
    <row r="532" customFormat="false" ht="15" hidden="false" customHeight="false" outlineLevel="0" collapsed="false">
      <c r="A532" s="17" t="n">
        <v>501</v>
      </c>
      <c r="B532" s="32" t="s">
        <v>1124</v>
      </c>
      <c r="C532" s="32" t="s">
        <v>324</v>
      </c>
      <c r="D532" s="32" t="s">
        <v>217</v>
      </c>
      <c r="E532" s="17" t="s">
        <v>217</v>
      </c>
      <c r="F532" s="17" t="s">
        <v>217</v>
      </c>
      <c r="G532" s="17" t="s">
        <v>1205</v>
      </c>
      <c r="H532" s="17" t="s">
        <v>977</v>
      </c>
      <c r="I532" s="19" t="n">
        <v>45</v>
      </c>
      <c r="J532" s="33" t="n">
        <v>1</v>
      </c>
      <c r="K532" s="20" t="n">
        <f aca="false">IF(I532=0,0,IF(L532="Rs./km",MROUND(IF(H532="Petrol",'Fuel &amp; Inputs'!$C$5,'Fuel &amp; Inputs'!$C$4)/I532*J532,1),MROUND(I532*J532*IF(H532="Petrol",'Fuel &amp; Inputs'!$C$5,'Fuel &amp; Inputs'!$C$4),10)))</f>
        <v>9</v>
      </c>
      <c r="L532" s="17" t="s">
        <v>590</v>
      </c>
      <c r="M532" s="21" t="n">
        <v>170</v>
      </c>
      <c r="N532" s="20" t="n">
        <f aca="false">M532</f>
        <v>170</v>
      </c>
      <c r="O532" s="21" t="n">
        <v>290</v>
      </c>
      <c r="P532" s="20" t="n">
        <f aca="false">MROUND(M532*'Fuel &amp; Inputs'!$C$19*'Fuel &amp; Inputs'!$C$21,100)</f>
        <v>600</v>
      </c>
      <c r="Q532" s="20" t="n">
        <f aca="false">MROUND(N532*'Fuel &amp; Inputs'!$C$19*'Fuel &amp; Inputs'!$C$21,100)</f>
        <v>600</v>
      </c>
      <c r="R532" s="20" t="n">
        <f aca="false">MROUND(O532*'Fuel &amp; Inputs'!$C$19*'Fuel &amp; Inputs'!$C$21,100)</f>
        <v>1100</v>
      </c>
      <c r="S532" s="20" t="n">
        <f aca="false">MROUND(M532*'Fuel &amp; Inputs'!$C$20*'Fuel &amp; Inputs'!$C$22,500)</f>
        <v>17500</v>
      </c>
      <c r="T532" s="20" t="n">
        <f aca="false">MROUND(N532*'Fuel &amp; Inputs'!$C$20*'Fuel &amp; Inputs'!$C$22,500)</f>
        <v>17500</v>
      </c>
      <c r="U532" s="20" t="n">
        <f aca="false">MROUND(O532*'Fuel &amp; Inputs'!$C$20*'Fuel &amp; Inputs'!$C$22,500)</f>
        <v>29500</v>
      </c>
    </row>
    <row r="533" customFormat="false" ht="35.05" hidden="false" customHeight="false" outlineLevel="0" collapsed="false">
      <c r="A533" s="23" t="n">
        <v>502</v>
      </c>
      <c r="B533" s="34" t="s">
        <v>1124</v>
      </c>
      <c r="C533" s="34" t="s">
        <v>324</v>
      </c>
      <c r="D533" s="34" t="s">
        <v>217</v>
      </c>
      <c r="E533" s="23" t="s">
        <v>1206</v>
      </c>
      <c r="F533" s="23" t="s">
        <v>217</v>
      </c>
      <c r="G533" s="23" t="s">
        <v>1207</v>
      </c>
      <c r="H533" s="23" t="s">
        <v>977</v>
      </c>
      <c r="I533" s="25" t="n">
        <v>45</v>
      </c>
      <c r="J533" s="35" t="n">
        <v>1</v>
      </c>
      <c r="K533" s="26" t="n">
        <f aca="false">IF(I533=0,0,IF(L533="Rs./km",MROUND(IF(H533="Petrol",'Fuel &amp; Inputs'!$C$5,'Fuel &amp; Inputs'!$C$4)/I533*J533,1),MROUND(I533*J533*IF(H533="Petrol",'Fuel &amp; Inputs'!$C$5,'Fuel &amp; Inputs'!$C$4),10)))</f>
        <v>9</v>
      </c>
      <c r="L533" s="23" t="s">
        <v>590</v>
      </c>
      <c r="M533" s="27" t="n">
        <v>170</v>
      </c>
      <c r="N533" s="26" t="n">
        <f aca="false">M533</f>
        <v>170</v>
      </c>
      <c r="O533" s="27" t="n">
        <v>290</v>
      </c>
      <c r="P533" s="26" t="n">
        <f aca="false">MROUND(M533*'Fuel &amp; Inputs'!$C$19*'Fuel &amp; Inputs'!$C$21,100)</f>
        <v>600</v>
      </c>
      <c r="Q533" s="26" t="n">
        <f aca="false">MROUND(N533*'Fuel &amp; Inputs'!$C$19*'Fuel &amp; Inputs'!$C$21,100)</f>
        <v>600</v>
      </c>
      <c r="R533" s="26" t="n">
        <f aca="false">MROUND(O533*'Fuel &amp; Inputs'!$C$19*'Fuel &amp; Inputs'!$C$21,100)</f>
        <v>1100</v>
      </c>
      <c r="S533" s="26" t="n">
        <f aca="false">MROUND(M533*'Fuel &amp; Inputs'!$C$20*'Fuel &amp; Inputs'!$C$22,500)</f>
        <v>17500</v>
      </c>
      <c r="T533" s="26" t="n">
        <f aca="false">MROUND(N533*'Fuel &amp; Inputs'!$C$20*'Fuel &amp; Inputs'!$C$22,500)</f>
        <v>17500</v>
      </c>
      <c r="U533" s="26" t="n">
        <f aca="false">MROUND(O533*'Fuel &amp; Inputs'!$C$20*'Fuel &amp; Inputs'!$C$22,500)</f>
        <v>29500</v>
      </c>
    </row>
    <row r="534" customFormat="false" ht="46.25" hidden="false" customHeight="false" outlineLevel="0" collapsed="false">
      <c r="A534" s="17" t="n">
        <v>503</v>
      </c>
      <c r="B534" s="32" t="s">
        <v>1124</v>
      </c>
      <c r="C534" s="32" t="s">
        <v>324</v>
      </c>
      <c r="D534" s="32" t="s">
        <v>217</v>
      </c>
      <c r="E534" s="17" t="s">
        <v>1208</v>
      </c>
      <c r="F534" s="17" t="s">
        <v>217</v>
      </c>
      <c r="G534" s="17" t="s">
        <v>1209</v>
      </c>
      <c r="H534" s="17" t="s">
        <v>977</v>
      </c>
      <c r="I534" s="19" t="n">
        <v>45</v>
      </c>
      <c r="J534" s="33" t="n">
        <v>1</v>
      </c>
      <c r="K534" s="20" t="n">
        <f aca="false">IF(I534=0,0,IF(L534="Rs./km",MROUND(IF(H534="Petrol",'Fuel &amp; Inputs'!$C$5,'Fuel &amp; Inputs'!$C$4)/I534*J534,1),MROUND(I534*J534*IF(H534="Petrol",'Fuel &amp; Inputs'!$C$5,'Fuel &amp; Inputs'!$C$4),10)))</f>
        <v>9</v>
      </c>
      <c r="L534" s="17" t="s">
        <v>590</v>
      </c>
      <c r="M534" s="21" t="n">
        <v>170</v>
      </c>
      <c r="N534" s="20" t="n">
        <f aca="false">M534</f>
        <v>170</v>
      </c>
      <c r="O534" s="21" t="n">
        <v>290</v>
      </c>
      <c r="P534" s="20" t="n">
        <f aca="false">MROUND(M534*'Fuel &amp; Inputs'!$C$19*'Fuel &amp; Inputs'!$C$21,100)</f>
        <v>600</v>
      </c>
      <c r="Q534" s="20" t="n">
        <f aca="false">MROUND(N534*'Fuel &amp; Inputs'!$C$19*'Fuel &amp; Inputs'!$C$21,100)</f>
        <v>600</v>
      </c>
      <c r="R534" s="20" t="n">
        <f aca="false">MROUND(O534*'Fuel &amp; Inputs'!$C$19*'Fuel &amp; Inputs'!$C$21,100)</f>
        <v>1100</v>
      </c>
      <c r="S534" s="20" t="n">
        <f aca="false">MROUND(M534*'Fuel &amp; Inputs'!$C$20*'Fuel &amp; Inputs'!$C$22,500)</f>
        <v>17500</v>
      </c>
      <c r="T534" s="20" t="n">
        <f aca="false">MROUND(N534*'Fuel &amp; Inputs'!$C$20*'Fuel &amp; Inputs'!$C$22,500)</f>
        <v>17500</v>
      </c>
      <c r="U534" s="20" t="n">
        <f aca="false">MROUND(O534*'Fuel &amp; Inputs'!$C$20*'Fuel &amp; Inputs'!$C$22,500)</f>
        <v>29500</v>
      </c>
    </row>
    <row r="535" customFormat="false" ht="15" hidden="false" customHeight="false" outlineLevel="0" collapsed="false">
      <c r="A535" s="23" t="n">
        <v>504</v>
      </c>
      <c r="B535" s="34" t="s">
        <v>1124</v>
      </c>
      <c r="C535" s="34" t="s">
        <v>1210</v>
      </c>
      <c r="D535" s="34" t="s">
        <v>217</v>
      </c>
      <c r="E535" s="23" t="s">
        <v>217</v>
      </c>
      <c r="F535" s="23" t="s">
        <v>1211</v>
      </c>
      <c r="G535" s="23" t="s">
        <v>1212</v>
      </c>
      <c r="H535" s="23" t="s">
        <v>977</v>
      </c>
      <c r="I535" s="25" t="n">
        <v>45</v>
      </c>
      <c r="J535" s="35" t="n">
        <v>1</v>
      </c>
      <c r="K535" s="26" t="n">
        <f aca="false">IF(I535=0,0,IF(L535="Rs./km",MROUND(IF(H535="Petrol",'Fuel &amp; Inputs'!$C$5,'Fuel &amp; Inputs'!$C$4)/I535*J535,1),MROUND(I535*J535*IF(H535="Petrol",'Fuel &amp; Inputs'!$C$5,'Fuel &amp; Inputs'!$C$4),10)))</f>
        <v>9</v>
      </c>
      <c r="L535" s="23" t="s">
        <v>590</v>
      </c>
      <c r="M535" s="27" t="n">
        <v>170</v>
      </c>
      <c r="N535" s="26" t="n">
        <f aca="false">M535</f>
        <v>170</v>
      </c>
      <c r="O535" s="27" t="n">
        <v>290</v>
      </c>
      <c r="P535" s="26" t="n">
        <f aca="false">MROUND(M535*'Fuel &amp; Inputs'!$C$19*'Fuel &amp; Inputs'!$C$21,100)</f>
        <v>600</v>
      </c>
      <c r="Q535" s="26" t="n">
        <f aca="false">MROUND(N535*'Fuel &amp; Inputs'!$C$19*'Fuel &amp; Inputs'!$C$21,100)</f>
        <v>600</v>
      </c>
      <c r="R535" s="26" t="n">
        <f aca="false">MROUND(O535*'Fuel &amp; Inputs'!$C$19*'Fuel &amp; Inputs'!$C$21,100)</f>
        <v>1100</v>
      </c>
      <c r="S535" s="26" t="n">
        <f aca="false">MROUND(M535*'Fuel &amp; Inputs'!$C$20*'Fuel &amp; Inputs'!$C$22,500)</f>
        <v>17500</v>
      </c>
      <c r="T535" s="26" t="n">
        <f aca="false">MROUND(N535*'Fuel &amp; Inputs'!$C$20*'Fuel &amp; Inputs'!$C$22,500)</f>
        <v>17500</v>
      </c>
      <c r="U535" s="26" t="n">
        <f aca="false">MROUND(O535*'Fuel &amp; Inputs'!$C$20*'Fuel &amp; Inputs'!$C$22,500)</f>
        <v>29500</v>
      </c>
    </row>
    <row r="536" customFormat="false" ht="46.25" hidden="false" customHeight="false" outlineLevel="0" collapsed="false">
      <c r="A536" s="17" t="n">
        <v>505</v>
      </c>
      <c r="B536" s="32" t="s">
        <v>1124</v>
      </c>
      <c r="C536" s="32" t="s">
        <v>1167</v>
      </c>
      <c r="D536" s="32" t="s">
        <v>217</v>
      </c>
      <c r="E536" s="17" t="s">
        <v>1213</v>
      </c>
      <c r="F536" s="17" t="s">
        <v>217</v>
      </c>
      <c r="G536" s="17" t="s">
        <v>1214</v>
      </c>
      <c r="H536" s="17" t="s">
        <v>977</v>
      </c>
      <c r="I536" s="19" t="n">
        <v>45</v>
      </c>
      <c r="J536" s="33" t="n">
        <v>1</v>
      </c>
      <c r="K536" s="20" t="n">
        <f aca="false">IF(I536=0,0,IF(L536="Rs./km",MROUND(IF(H536="Petrol",'Fuel &amp; Inputs'!$C$5,'Fuel &amp; Inputs'!$C$4)/I536*J536,1),MROUND(I536*J536*IF(H536="Petrol",'Fuel &amp; Inputs'!$C$5,'Fuel &amp; Inputs'!$C$4),10)))</f>
        <v>9</v>
      </c>
      <c r="L536" s="17" t="s">
        <v>590</v>
      </c>
      <c r="M536" s="21" t="n">
        <v>170</v>
      </c>
      <c r="N536" s="20" t="n">
        <f aca="false">M536</f>
        <v>170</v>
      </c>
      <c r="O536" s="21" t="n">
        <v>290</v>
      </c>
      <c r="P536" s="20" t="n">
        <f aca="false">MROUND(M536*'Fuel &amp; Inputs'!$C$19*'Fuel &amp; Inputs'!$C$21,100)</f>
        <v>600</v>
      </c>
      <c r="Q536" s="20" t="n">
        <f aca="false">MROUND(N536*'Fuel &amp; Inputs'!$C$19*'Fuel &amp; Inputs'!$C$21,100)</f>
        <v>600</v>
      </c>
      <c r="R536" s="20" t="n">
        <f aca="false">MROUND(O536*'Fuel &amp; Inputs'!$C$19*'Fuel &amp; Inputs'!$C$21,100)</f>
        <v>1100</v>
      </c>
      <c r="S536" s="20" t="n">
        <f aca="false">MROUND(M536*'Fuel &amp; Inputs'!$C$20*'Fuel &amp; Inputs'!$C$22,500)</f>
        <v>17500</v>
      </c>
      <c r="T536" s="20" t="n">
        <f aca="false">MROUND(N536*'Fuel &amp; Inputs'!$C$20*'Fuel &amp; Inputs'!$C$22,500)</f>
        <v>17500</v>
      </c>
      <c r="U536" s="20" t="n">
        <f aca="false">MROUND(O536*'Fuel &amp; Inputs'!$C$20*'Fuel &amp; Inputs'!$C$22,500)</f>
        <v>29500</v>
      </c>
    </row>
    <row r="537" customFormat="false" ht="15" hidden="false" customHeight="true" outlineLevel="0" collapsed="false">
      <c r="A537" s="31" t="s">
        <v>1215</v>
      </c>
      <c r="B537" s="31"/>
      <c r="C537" s="31"/>
      <c r="D537" s="31"/>
      <c r="E537" s="31"/>
      <c r="F537" s="31"/>
      <c r="G537" s="31"/>
      <c r="H537" s="31"/>
      <c r="I537" s="31"/>
      <c r="J537" s="31"/>
      <c r="K537" s="31"/>
      <c r="L537" s="31"/>
      <c r="M537" s="31"/>
      <c r="N537" s="31"/>
      <c r="O537" s="31"/>
      <c r="P537" s="31"/>
      <c r="Q537" s="31"/>
      <c r="R537" s="31"/>
      <c r="S537" s="31"/>
      <c r="T537" s="31"/>
      <c r="U537" s="31"/>
    </row>
    <row r="538" customFormat="false" ht="23.85" hidden="false" customHeight="false" outlineLevel="0" collapsed="false">
      <c r="A538" s="23" t="n">
        <v>506</v>
      </c>
      <c r="B538" s="34" t="s">
        <v>122</v>
      </c>
      <c r="C538" s="34" t="s">
        <v>950</v>
      </c>
      <c r="D538" s="34" t="s">
        <v>1215</v>
      </c>
      <c r="E538" s="23" t="s">
        <v>245</v>
      </c>
      <c r="F538" s="23" t="s">
        <v>1216</v>
      </c>
      <c r="G538" s="23" t="s">
        <v>1083</v>
      </c>
      <c r="H538" s="23" t="s">
        <v>148</v>
      </c>
      <c r="I538" s="25" t="n">
        <v>6</v>
      </c>
      <c r="J538" s="35" t="n">
        <v>1.063</v>
      </c>
      <c r="K538" s="26" t="n">
        <f aca="false">IF(I538=0,0,IF(L538="Rs./km",MROUND(IF(H538="Petrol",'Fuel &amp; Inputs'!$C$5,'Fuel &amp; Inputs'!$C$4)/I538*J538,1),MROUND(I538*J538*IF(H538="Petrol",'Fuel &amp; Inputs'!$C$5,'Fuel &amp; Inputs'!$C$4),10)))</f>
        <v>2440</v>
      </c>
      <c r="L538" s="23" t="s">
        <v>149</v>
      </c>
      <c r="M538" s="27" t="n">
        <v>870</v>
      </c>
      <c r="N538" s="26" t="n">
        <f aca="false">MROUND(M538+'Fuel &amp; Inputs'!$C$13,50)</f>
        <v>1650</v>
      </c>
      <c r="O538" s="27" t="n">
        <v>1610</v>
      </c>
      <c r="P538" s="26" t="n">
        <f aca="false">MROUND(M538*'Fuel &amp; Inputs'!$C$19*'Fuel &amp; Inputs'!$C$21,100)</f>
        <v>3300</v>
      </c>
      <c r="Q538" s="26" t="n">
        <f aca="false">MROUND(N538*'Fuel &amp; Inputs'!$C$19*'Fuel &amp; Inputs'!$C$21,100)</f>
        <v>6300</v>
      </c>
      <c r="R538" s="26" t="n">
        <f aca="false">MROUND(O538*'Fuel &amp; Inputs'!$C$19*'Fuel &amp; Inputs'!$C$21,100)</f>
        <v>6100</v>
      </c>
      <c r="S538" s="26" t="n">
        <f aca="false">MROUND(M538*'Fuel &amp; Inputs'!$C$20*'Fuel &amp; Inputs'!$C$22,500)</f>
        <v>88500</v>
      </c>
      <c r="T538" s="26" t="n">
        <f aca="false">MROUND(N538*'Fuel &amp; Inputs'!$C$20*'Fuel &amp; Inputs'!$C$22,500)</f>
        <v>168500</v>
      </c>
      <c r="U538" s="26" t="n">
        <f aca="false">MROUND(O538*'Fuel &amp; Inputs'!$C$20*'Fuel &amp; Inputs'!$C$22,500)</f>
        <v>164000</v>
      </c>
    </row>
    <row r="539" customFormat="false" ht="23.85" hidden="false" customHeight="false" outlineLevel="0" collapsed="false">
      <c r="A539" s="17" t="n">
        <v>507</v>
      </c>
      <c r="B539" s="32" t="s">
        <v>122</v>
      </c>
      <c r="C539" s="32" t="s">
        <v>950</v>
      </c>
      <c r="D539" s="32" t="s">
        <v>1215</v>
      </c>
      <c r="E539" s="17" t="s">
        <v>245</v>
      </c>
      <c r="F539" s="17" t="s">
        <v>1217</v>
      </c>
      <c r="G539" s="17" t="s">
        <v>1081</v>
      </c>
      <c r="H539" s="17" t="s">
        <v>148</v>
      </c>
      <c r="I539" s="19" t="n">
        <v>6</v>
      </c>
      <c r="J539" s="33" t="n">
        <v>1.063</v>
      </c>
      <c r="K539" s="20" t="n">
        <f aca="false">IF(I539=0,0,IF(L539="Rs./km",MROUND(IF(H539="Petrol",'Fuel &amp; Inputs'!$C$5,'Fuel &amp; Inputs'!$C$4)/I539*J539,1),MROUND(I539*J539*IF(H539="Petrol",'Fuel &amp; Inputs'!$C$5,'Fuel &amp; Inputs'!$C$4),10)))</f>
        <v>2440</v>
      </c>
      <c r="L539" s="17" t="s">
        <v>149</v>
      </c>
      <c r="M539" s="21" t="n">
        <v>870</v>
      </c>
      <c r="N539" s="20" t="n">
        <f aca="false">MROUND(M539+'Fuel &amp; Inputs'!$C$13,50)</f>
        <v>1650</v>
      </c>
      <c r="O539" s="21" t="n">
        <v>1610</v>
      </c>
      <c r="P539" s="20" t="n">
        <f aca="false">MROUND(M539*'Fuel &amp; Inputs'!$C$19*'Fuel &amp; Inputs'!$C$21,100)</f>
        <v>3300</v>
      </c>
      <c r="Q539" s="20" t="n">
        <f aca="false">MROUND(N539*'Fuel &amp; Inputs'!$C$19*'Fuel &amp; Inputs'!$C$21,100)</f>
        <v>6300</v>
      </c>
      <c r="R539" s="20" t="n">
        <f aca="false">MROUND(O539*'Fuel &amp; Inputs'!$C$19*'Fuel &amp; Inputs'!$C$21,100)</f>
        <v>6100</v>
      </c>
      <c r="S539" s="20" t="n">
        <f aca="false">MROUND(M539*'Fuel &amp; Inputs'!$C$20*'Fuel &amp; Inputs'!$C$22,500)</f>
        <v>88500</v>
      </c>
      <c r="T539" s="20" t="n">
        <f aca="false">MROUND(N539*'Fuel &amp; Inputs'!$C$20*'Fuel &amp; Inputs'!$C$22,500)</f>
        <v>168500</v>
      </c>
      <c r="U539" s="20" t="n">
        <f aca="false">MROUND(O539*'Fuel &amp; Inputs'!$C$20*'Fuel &amp; Inputs'!$C$22,500)</f>
        <v>164000</v>
      </c>
    </row>
    <row r="540" customFormat="false" ht="23.85" hidden="false" customHeight="false" outlineLevel="0" collapsed="false">
      <c r="A540" s="23" t="n">
        <v>508</v>
      </c>
      <c r="B540" s="34" t="s">
        <v>122</v>
      </c>
      <c r="C540" s="34" t="s">
        <v>953</v>
      </c>
      <c r="D540" s="34" t="s">
        <v>1215</v>
      </c>
      <c r="E540" s="23" t="s">
        <v>245</v>
      </c>
      <c r="F540" s="23" t="s">
        <v>1218</v>
      </c>
      <c r="G540" s="23" t="s">
        <v>217</v>
      </c>
      <c r="H540" s="23" t="s">
        <v>148</v>
      </c>
      <c r="I540" s="25" t="n">
        <v>6</v>
      </c>
      <c r="J540" s="35" t="n">
        <v>1.063</v>
      </c>
      <c r="K540" s="26" t="n">
        <f aca="false">IF(I540=0,0,IF(L540="Rs./km",MROUND(IF(H540="Petrol",'Fuel &amp; Inputs'!$C$5,'Fuel &amp; Inputs'!$C$4)/I540*J540,1),MROUND(I540*J540*IF(H540="Petrol",'Fuel &amp; Inputs'!$C$5,'Fuel &amp; Inputs'!$C$4),10)))</f>
        <v>2440</v>
      </c>
      <c r="L540" s="23" t="s">
        <v>149</v>
      </c>
      <c r="M540" s="27" t="n">
        <v>870</v>
      </c>
      <c r="N540" s="26" t="n">
        <f aca="false">MROUND(M540+'Fuel &amp; Inputs'!$C$13,50)</f>
        <v>1650</v>
      </c>
      <c r="O540" s="27" t="n">
        <v>1610</v>
      </c>
      <c r="P540" s="26" t="n">
        <f aca="false">MROUND(M540*'Fuel &amp; Inputs'!$C$19*'Fuel &amp; Inputs'!$C$21,100)</f>
        <v>3300</v>
      </c>
      <c r="Q540" s="26" t="n">
        <f aca="false">MROUND(N540*'Fuel &amp; Inputs'!$C$19*'Fuel &amp; Inputs'!$C$21,100)</f>
        <v>6300</v>
      </c>
      <c r="R540" s="26" t="n">
        <f aca="false">MROUND(O540*'Fuel &amp; Inputs'!$C$19*'Fuel &amp; Inputs'!$C$21,100)</f>
        <v>6100</v>
      </c>
      <c r="S540" s="26" t="n">
        <f aca="false">MROUND(M540*'Fuel &amp; Inputs'!$C$20*'Fuel &amp; Inputs'!$C$22,500)</f>
        <v>88500</v>
      </c>
      <c r="T540" s="26" t="n">
        <f aca="false">MROUND(N540*'Fuel &amp; Inputs'!$C$20*'Fuel &amp; Inputs'!$C$22,500)</f>
        <v>168500</v>
      </c>
      <c r="U540" s="26" t="n">
        <f aca="false">MROUND(O540*'Fuel &amp; Inputs'!$C$20*'Fuel &amp; Inputs'!$C$22,500)</f>
        <v>164000</v>
      </c>
    </row>
    <row r="541" customFormat="false" ht="23.85" hidden="false" customHeight="false" outlineLevel="0" collapsed="false">
      <c r="A541" s="17" t="n">
        <v>509</v>
      </c>
      <c r="B541" s="32" t="s">
        <v>122</v>
      </c>
      <c r="C541" s="32" t="s">
        <v>1219</v>
      </c>
      <c r="D541" s="32" t="s">
        <v>1215</v>
      </c>
      <c r="E541" s="17" t="s">
        <v>245</v>
      </c>
      <c r="F541" s="17" t="s">
        <v>1220</v>
      </c>
      <c r="G541" s="17" t="s">
        <v>1077</v>
      </c>
      <c r="H541" s="17" t="s">
        <v>148</v>
      </c>
      <c r="I541" s="19" t="n">
        <v>6</v>
      </c>
      <c r="J541" s="33" t="n">
        <v>1.063</v>
      </c>
      <c r="K541" s="20" t="n">
        <f aca="false">IF(I541=0,0,IF(L541="Rs./km",MROUND(IF(H541="Petrol",'Fuel &amp; Inputs'!$C$5,'Fuel &amp; Inputs'!$C$4)/I541*J541,1),MROUND(I541*J541*IF(H541="Petrol",'Fuel &amp; Inputs'!$C$5,'Fuel &amp; Inputs'!$C$4),10)))</f>
        <v>2440</v>
      </c>
      <c r="L541" s="17" t="s">
        <v>149</v>
      </c>
      <c r="M541" s="21" t="n">
        <v>870</v>
      </c>
      <c r="N541" s="20" t="n">
        <f aca="false">MROUND(M541+'Fuel &amp; Inputs'!$C$13,50)</f>
        <v>1650</v>
      </c>
      <c r="O541" s="21" t="n">
        <v>1610</v>
      </c>
      <c r="P541" s="20" t="n">
        <f aca="false">MROUND(M541*'Fuel &amp; Inputs'!$C$19*'Fuel &amp; Inputs'!$C$21,100)</f>
        <v>3300</v>
      </c>
      <c r="Q541" s="20" t="n">
        <f aca="false">MROUND(N541*'Fuel &amp; Inputs'!$C$19*'Fuel &amp; Inputs'!$C$21,100)</f>
        <v>6300</v>
      </c>
      <c r="R541" s="20" t="n">
        <f aca="false">MROUND(O541*'Fuel &amp; Inputs'!$C$19*'Fuel &amp; Inputs'!$C$21,100)</f>
        <v>6100</v>
      </c>
      <c r="S541" s="20" t="n">
        <f aca="false">MROUND(M541*'Fuel &amp; Inputs'!$C$20*'Fuel &amp; Inputs'!$C$22,500)</f>
        <v>88500</v>
      </c>
      <c r="T541" s="20" t="n">
        <f aca="false">MROUND(N541*'Fuel &amp; Inputs'!$C$20*'Fuel &amp; Inputs'!$C$22,500)</f>
        <v>168500</v>
      </c>
      <c r="U541" s="20" t="n">
        <f aca="false">MROUND(O541*'Fuel &amp; Inputs'!$C$20*'Fuel &amp; Inputs'!$C$22,500)</f>
        <v>164000</v>
      </c>
    </row>
    <row r="542" customFormat="false" ht="23.85" hidden="false" customHeight="false" outlineLevel="0" collapsed="false">
      <c r="A542" s="23" t="n">
        <v>510</v>
      </c>
      <c r="B542" s="34" t="s">
        <v>122</v>
      </c>
      <c r="C542" s="34" t="s">
        <v>1219</v>
      </c>
      <c r="D542" s="34" t="s">
        <v>1215</v>
      </c>
      <c r="E542" s="23" t="s">
        <v>217</v>
      </c>
      <c r="F542" s="23" t="s">
        <v>1221</v>
      </c>
      <c r="G542" s="23" t="s">
        <v>217</v>
      </c>
      <c r="H542" s="23" t="s">
        <v>148</v>
      </c>
      <c r="I542" s="25" t="n">
        <v>6</v>
      </c>
      <c r="J542" s="35" t="n">
        <v>1</v>
      </c>
      <c r="K542" s="26" t="n">
        <f aca="false">IF(I542=0,0,IF(L542="Rs./km",MROUND(IF(H542="Petrol",'Fuel &amp; Inputs'!$C$5,'Fuel &amp; Inputs'!$C$4)/I542*J542,1),MROUND(I542*J542*IF(H542="Petrol",'Fuel &amp; Inputs'!$C$5,'Fuel &amp; Inputs'!$C$4),10)))</f>
        <v>2290</v>
      </c>
      <c r="L542" s="23" t="s">
        <v>149</v>
      </c>
      <c r="M542" s="27" t="n">
        <v>550</v>
      </c>
      <c r="N542" s="26" t="n">
        <f aca="false">MROUND(M542+'Fuel &amp; Inputs'!$C$13,50)</f>
        <v>1350</v>
      </c>
      <c r="O542" s="27" t="n">
        <v>1010</v>
      </c>
      <c r="P542" s="26" t="n">
        <f aca="false">MROUND(M542*'Fuel &amp; Inputs'!$C$19*'Fuel &amp; Inputs'!$C$21,100)</f>
        <v>2100</v>
      </c>
      <c r="Q542" s="26" t="n">
        <f aca="false">MROUND(N542*'Fuel &amp; Inputs'!$C$19*'Fuel &amp; Inputs'!$C$21,100)</f>
        <v>5100</v>
      </c>
      <c r="R542" s="26" t="n">
        <f aca="false">MROUND(O542*'Fuel &amp; Inputs'!$C$19*'Fuel &amp; Inputs'!$C$21,100)</f>
        <v>3800</v>
      </c>
      <c r="S542" s="26" t="n">
        <f aca="false">MROUND(M542*'Fuel &amp; Inputs'!$C$20*'Fuel &amp; Inputs'!$C$22,500)</f>
        <v>56000</v>
      </c>
      <c r="T542" s="26" t="n">
        <f aca="false">MROUND(N542*'Fuel &amp; Inputs'!$C$20*'Fuel &amp; Inputs'!$C$22,500)</f>
        <v>137500</v>
      </c>
      <c r="U542" s="26" t="n">
        <f aca="false">MROUND(O542*'Fuel &amp; Inputs'!$C$20*'Fuel &amp; Inputs'!$C$22,500)</f>
        <v>103000</v>
      </c>
    </row>
    <row r="543" customFormat="false" ht="23.85" hidden="false" customHeight="false" outlineLevel="0" collapsed="false">
      <c r="A543" s="17" t="n">
        <v>511</v>
      </c>
      <c r="B543" s="32" t="s">
        <v>122</v>
      </c>
      <c r="C543" s="32" t="s">
        <v>1219</v>
      </c>
      <c r="D543" s="32" t="s">
        <v>1215</v>
      </c>
      <c r="E543" s="17" t="s">
        <v>217</v>
      </c>
      <c r="F543" s="17" t="s">
        <v>1222</v>
      </c>
      <c r="G543" s="17" t="s">
        <v>217</v>
      </c>
      <c r="H543" s="17" t="s">
        <v>148</v>
      </c>
      <c r="I543" s="19" t="n">
        <v>6</v>
      </c>
      <c r="J543" s="33" t="n">
        <v>1</v>
      </c>
      <c r="K543" s="20" t="n">
        <f aca="false">IF(I543=0,0,IF(L543="Rs./km",MROUND(IF(H543="Petrol",'Fuel &amp; Inputs'!$C$5,'Fuel &amp; Inputs'!$C$4)/I543*J543,1),MROUND(I543*J543*IF(H543="Petrol",'Fuel &amp; Inputs'!$C$5,'Fuel &amp; Inputs'!$C$4),10)))</f>
        <v>2290</v>
      </c>
      <c r="L543" s="17" t="s">
        <v>149</v>
      </c>
      <c r="M543" s="21" t="n">
        <v>550</v>
      </c>
      <c r="N543" s="20" t="n">
        <f aca="false">MROUND(M543+'Fuel &amp; Inputs'!$C$13,50)</f>
        <v>1350</v>
      </c>
      <c r="O543" s="21" t="n">
        <v>1010</v>
      </c>
      <c r="P543" s="20" t="n">
        <f aca="false">MROUND(M543*'Fuel &amp; Inputs'!$C$19*'Fuel &amp; Inputs'!$C$21,100)</f>
        <v>2100</v>
      </c>
      <c r="Q543" s="20" t="n">
        <f aca="false">MROUND(N543*'Fuel &amp; Inputs'!$C$19*'Fuel &amp; Inputs'!$C$21,100)</f>
        <v>5100</v>
      </c>
      <c r="R543" s="20" t="n">
        <f aca="false">MROUND(O543*'Fuel &amp; Inputs'!$C$19*'Fuel &amp; Inputs'!$C$21,100)</f>
        <v>3800</v>
      </c>
      <c r="S543" s="20" t="n">
        <f aca="false">MROUND(M543*'Fuel &amp; Inputs'!$C$20*'Fuel &amp; Inputs'!$C$22,500)</f>
        <v>56000</v>
      </c>
      <c r="T543" s="20" t="n">
        <f aca="false">MROUND(N543*'Fuel &amp; Inputs'!$C$20*'Fuel &amp; Inputs'!$C$22,500)</f>
        <v>137500</v>
      </c>
      <c r="U543" s="20" t="n">
        <f aca="false">MROUND(O543*'Fuel &amp; Inputs'!$C$20*'Fuel &amp; Inputs'!$C$22,500)</f>
        <v>103000</v>
      </c>
    </row>
    <row r="544" customFormat="false" ht="23.85" hidden="false" customHeight="false" outlineLevel="0" collapsed="false">
      <c r="A544" s="23" t="n">
        <v>512</v>
      </c>
      <c r="B544" s="34" t="s">
        <v>122</v>
      </c>
      <c r="C544" s="34" t="s">
        <v>1219</v>
      </c>
      <c r="D544" s="34" t="s">
        <v>1215</v>
      </c>
      <c r="E544" s="23" t="s">
        <v>217</v>
      </c>
      <c r="F544" s="23" t="s">
        <v>1223</v>
      </c>
      <c r="G544" s="23" t="s">
        <v>217</v>
      </c>
      <c r="H544" s="23" t="s">
        <v>148</v>
      </c>
      <c r="I544" s="25" t="n">
        <v>6</v>
      </c>
      <c r="J544" s="35" t="n">
        <v>1</v>
      </c>
      <c r="K544" s="26" t="n">
        <f aca="false">IF(I544=0,0,IF(L544="Rs./km",MROUND(IF(H544="Petrol",'Fuel &amp; Inputs'!$C$5,'Fuel &amp; Inputs'!$C$4)/I544*J544,1),MROUND(I544*J544*IF(H544="Petrol",'Fuel &amp; Inputs'!$C$5,'Fuel &amp; Inputs'!$C$4),10)))</f>
        <v>2290</v>
      </c>
      <c r="L544" s="23" t="s">
        <v>149</v>
      </c>
      <c r="M544" s="27" t="n">
        <v>550</v>
      </c>
      <c r="N544" s="26" t="n">
        <f aca="false">MROUND(M544+'Fuel &amp; Inputs'!$C$13,50)</f>
        <v>1350</v>
      </c>
      <c r="O544" s="27" t="n">
        <v>1010</v>
      </c>
      <c r="P544" s="26" t="n">
        <f aca="false">MROUND(M544*'Fuel &amp; Inputs'!$C$19*'Fuel &amp; Inputs'!$C$21,100)</f>
        <v>2100</v>
      </c>
      <c r="Q544" s="26" t="n">
        <f aca="false">MROUND(N544*'Fuel &amp; Inputs'!$C$19*'Fuel &amp; Inputs'!$C$21,100)</f>
        <v>5100</v>
      </c>
      <c r="R544" s="26" t="n">
        <f aca="false">MROUND(O544*'Fuel &amp; Inputs'!$C$19*'Fuel &amp; Inputs'!$C$21,100)</f>
        <v>3800</v>
      </c>
      <c r="S544" s="26" t="n">
        <f aca="false">MROUND(M544*'Fuel &amp; Inputs'!$C$20*'Fuel &amp; Inputs'!$C$22,500)</f>
        <v>56000</v>
      </c>
      <c r="T544" s="26" t="n">
        <f aca="false">MROUND(N544*'Fuel &amp; Inputs'!$C$20*'Fuel &amp; Inputs'!$C$22,500)</f>
        <v>137500</v>
      </c>
      <c r="U544" s="26" t="n">
        <f aca="false">MROUND(O544*'Fuel &amp; Inputs'!$C$20*'Fuel &amp; Inputs'!$C$22,500)</f>
        <v>103000</v>
      </c>
    </row>
    <row r="545" customFormat="false" ht="23.85" hidden="false" customHeight="false" outlineLevel="0" collapsed="false">
      <c r="A545" s="17" t="n">
        <v>513</v>
      </c>
      <c r="B545" s="32" t="s">
        <v>122</v>
      </c>
      <c r="C545" s="32" t="s">
        <v>1219</v>
      </c>
      <c r="D545" s="32" t="s">
        <v>1215</v>
      </c>
      <c r="E545" s="17" t="s">
        <v>217</v>
      </c>
      <c r="F545" s="17" t="s">
        <v>1224</v>
      </c>
      <c r="G545" s="17" t="s">
        <v>217</v>
      </c>
      <c r="H545" s="17" t="s">
        <v>148</v>
      </c>
      <c r="I545" s="19" t="n">
        <v>6</v>
      </c>
      <c r="J545" s="33" t="n">
        <v>1</v>
      </c>
      <c r="K545" s="20" t="n">
        <f aca="false">IF(I545=0,0,IF(L545="Rs./km",MROUND(IF(H545="Petrol",'Fuel &amp; Inputs'!$C$5,'Fuel &amp; Inputs'!$C$4)/I545*J545,1),MROUND(I545*J545*IF(H545="Petrol",'Fuel &amp; Inputs'!$C$5,'Fuel &amp; Inputs'!$C$4),10)))</f>
        <v>2290</v>
      </c>
      <c r="L545" s="17" t="s">
        <v>149</v>
      </c>
      <c r="M545" s="21" t="n">
        <v>550</v>
      </c>
      <c r="N545" s="20" t="n">
        <f aca="false">MROUND(M545+'Fuel &amp; Inputs'!$C$13,50)</f>
        <v>1350</v>
      </c>
      <c r="O545" s="21" t="n">
        <v>1010</v>
      </c>
      <c r="P545" s="20" t="n">
        <f aca="false">MROUND(M545*'Fuel &amp; Inputs'!$C$19*'Fuel &amp; Inputs'!$C$21,100)</f>
        <v>2100</v>
      </c>
      <c r="Q545" s="20" t="n">
        <f aca="false">MROUND(N545*'Fuel &amp; Inputs'!$C$19*'Fuel &amp; Inputs'!$C$21,100)</f>
        <v>5100</v>
      </c>
      <c r="R545" s="20" t="n">
        <f aca="false">MROUND(O545*'Fuel &amp; Inputs'!$C$19*'Fuel &amp; Inputs'!$C$21,100)</f>
        <v>3800</v>
      </c>
      <c r="S545" s="20" t="n">
        <f aca="false">MROUND(M545*'Fuel &amp; Inputs'!$C$20*'Fuel &amp; Inputs'!$C$22,500)</f>
        <v>56000</v>
      </c>
      <c r="T545" s="20" t="n">
        <f aca="false">MROUND(N545*'Fuel &amp; Inputs'!$C$20*'Fuel &amp; Inputs'!$C$22,500)</f>
        <v>137500</v>
      </c>
      <c r="U545" s="20" t="n">
        <f aca="false">MROUND(O545*'Fuel &amp; Inputs'!$C$20*'Fuel &amp; Inputs'!$C$22,500)</f>
        <v>103000</v>
      </c>
    </row>
    <row r="546" customFormat="false" ht="23.85" hidden="false" customHeight="false" outlineLevel="0" collapsed="false">
      <c r="A546" s="23" t="n">
        <v>514</v>
      </c>
      <c r="B546" s="34" t="s">
        <v>122</v>
      </c>
      <c r="C546" s="34" t="s">
        <v>1219</v>
      </c>
      <c r="D546" s="34" t="s">
        <v>1215</v>
      </c>
      <c r="E546" s="23" t="s">
        <v>217</v>
      </c>
      <c r="F546" s="23" t="s">
        <v>1225</v>
      </c>
      <c r="G546" s="23" t="s">
        <v>217</v>
      </c>
      <c r="H546" s="23" t="s">
        <v>148</v>
      </c>
      <c r="I546" s="25" t="n">
        <v>6</v>
      </c>
      <c r="J546" s="35" t="n">
        <v>1</v>
      </c>
      <c r="K546" s="26" t="n">
        <f aca="false">IF(I546=0,0,IF(L546="Rs./km",MROUND(IF(H546="Petrol",'Fuel &amp; Inputs'!$C$5,'Fuel &amp; Inputs'!$C$4)/I546*J546,1),MROUND(I546*J546*IF(H546="Petrol",'Fuel &amp; Inputs'!$C$5,'Fuel &amp; Inputs'!$C$4),10)))</f>
        <v>2290</v>
      </c>
      <c r="L546" s="23" t="s">
        <v>149</v>
      </c>
      <c r="M546" s="27" t="n">
        <v>550</v>
      </c>
      <c r="N546" s="26" t="n">
        <f aca="false">MROUND(M546+'Fuel &amp; Inputs'!$C$13,50)</f>
        <v>1350</v>
      </c>
      <c r="O546" s="27" t="n">
        <v>1010</v>
      </c>
      <c r="P546" s="26" t="n">
        <f aca="false">MROUND(M546*'Fuel &amp; Inputs'!$C$19*'Fuel &amp; Inputs'!$C$21,100)</f>
        <v>2100</v>
      </c>
      <c r="Q546" s="26" t="n">
        <f aca="false">MROUND(N546*'Fuel &amp; Inputs'!$C$19*'Fuel &amp; Inputs'!$C$21,100)</f>
        <v>5100</v>
      </c>
      <c r="R546" s="26" t="n">
        <f aca="false">MROUND(O546*'Fuel &amp; Inputs'!$C$19*'Fuel &amp; Inputs'!$C$21,100)</f>
        <v>3800</v>
      </c>
      <c r="S546" s="26" t="n">
        <f aca="false">MROUND(M546*'Fuel &amp; Inputs'!$C$20*'Fuel &amp; Inputs'!$C$22,500)</f>
        <v>56000</v>
      </c>
      <c r="T546" s="26" t="n">
        <f aca="false">MROUND(N546*'Fuel &amp; Inputs'!$C$20*'Fuel &amp; Inputs'!$C$22,500)</f>
        <v>137500</v>
      </c>
      <c r="U546" s="26" t="n">
        <f aca="false">MROUND(O546*'Fuel &amp; Inputs'!$C$20*'Fuel &amp; Inputs'!$C$22,500)</f>
        <v>103000</v>
      </c>
    </row>
    <row r="547" customFormat="false" ht="23.85" hidden="false" customHeight="false" outlineLevel="0" collapsed="false">
      <c r="A547" s="17" t="n">
        <v>515</v>
      </c>
      <c r="B547" s="32" t="s">
        <v>122</v>
      </c>
      <c r="C547" s="32" t="s">
        <v>1219</v>
      </c>
      <c r="D547" s="32" t="s">
        <v>1215</v>
      </c>
      <c r="E547" s="17" t="s">
        <v>217</v>
      </c>
      <c r="F547" s="17" t="s">
        <v>1226</v>
      </c>
      <c r="G547" s="17" t="s">
        <v>217</v>
      </c>
      <c r="H547" s="17" t="s">
        <v>148</v>
      </c>
      <c r="I547" s="19" t="n">
        <v>6</v>
      </c>
      <c r="J547" s="33" t="n">
        <v>1</v>
      </c>
      <c r="K547" s="20" t="n">
        <f aca="false">IF(I547=0,0,IF(L547="Rs./km",MROUND(IF(H547="Petrol",'Fuel &amp; Inputs'!$C$5,'Fuel &amp; Inputs'!$C$4)/I547*J547,1),MROUND(I547*J547*IF(H547="Petrol",'Fuel &amp; Inputs'!$C$5,'Fuel &amp; Inputs'!$C$4),10)))</f>
        <v>2290</v>
      </c>
      <c r="L547" s="17" t="s">
        <v>149</v>
      </c>
      <c r="M547" s="21" t="n">
        <v>550</v>
      </c>
      <c r="N547" s="20" t="n">
        <f aca="false">MROUND(M547+'Fuel &amp; Inputs'!$C$13,50)</f>
        <v>1350</v>
      </c>
      <c r="O547" s="21" t="n">
        <v>1010</v>
      </c>
      <c r="P547" s="20" t="n">
        <f aca="false">MROUND(M547*'Fuel &amp; Inputs'!$C$19*'Fuel &amp; Inputs'!$C$21,100)</f>
        <v>2100</v>
      </c>
      <c r="Q547" s="20" t="n">
        <f aca="false">MROUND(N547*'Fuel &amp; Inputs'!$C$19*'Fuel &amp; Inputs'!$C$21,100)</f>
        <v>5100</v>
      </c>
      <c r="R547" s="20" t="n">
        <f aca="false">MROUND(O547*'Fuel &amp; Inputs'!$C$19*'Fuel &amp; Inputs'!$C$21,100)</f>
        <v>3800</v>
      </c>
      <c r="S547" s="20" t="n">
        <f aca="false">MROUND(M547*'Fuel &amp; Inputs'!$C$20*'Fuel &amp; Inputs'!$C$22,500)</f>
        <v>56000</v>
      </c>
      <c r="T547" s="20" t="n">
        <f aca="false">MROUND(N547*'Fuel &amp; Inputs'!$C$20*'Fuel &amp; Inputs'!$C$22,500)</f>
        <v>137500</v>
      </c>
      <c r="U547" s="20" t="n">
        <f aca="false">MROUND(O547*'Fuel &amp; Inputs'!$C$20*'Fuel &amp; Inputs'!$C$22,500)</f>
        <v>103000</v>
      </c>
    </row>
    <row r="548" customFormat="false" ht="15" hidden="false" customHeight="true" outlineLevel="0" collapsed="false">
      <c r="A548" s="31" t="s">
        <v>1227</v>
      </c>
      <c r="B548" s="31"/>
      <c r="C548" s="31"/>
      <c r="D548" s="31"/>
      <c r="E548" s="31"/>
      <c r="F548" s="31"/>
      <c r="G548" s="31"/>
      <c r="H548" s="31"/>
      <c r="I548" s="31"/>
      <c r="J548" s="31"/>
      <c r="K548" s="31"/>
      <c r="L548" s="31"/>
      <c r="M548" s="31"/>
      <c r="N548" s="31"/>
      <c r="O548" s="31"/>
      <c r="P548" s="31"/>
      <c r="Q548" s="31"/>
      <c r="R548" s="31"/>
      <c r="S548" s="31"/>
      <c r="T548" s="31"/>
      <c r="U548" s="31"/>
    </row>
    <row r="549" customFormat="false" ht="23.85" hidden="false" customHeight="false" outlineLevel="0" collapsed="false">
      <c r="A549" s="23" t="n">
        <v>516</v>
      </c>
      <c r="B549" s="34" t="s">
        <v>1228</v>
      </c>
      <c r="C549" s="34" t="s">
        <v>1229</v>
      </c>
      <c r="D549" s="34" t="s">
        <v>217</v>
      </c>
      <c r="E549" s="23" t="s">
        <v>217</v>
      </c>
      <c r="F549" s="23" t="s">
        <v>1230</v>
      </c>
      <c r="G549" s="23" t="s">
        <v>217</v>
      </c>
      <c r="H549" s="23" t="s">
        <v>148</v>
      </c>
      <c r="I549" s="25" t="n">
        <v>4</v>
      </c>
      <c r="J549" s="35" t="n">
        <v>1</v>
      </c>
      <c r="K549" s="26" t="n">
        <f aca="false">IF(I549=0,0,IF(L549="Rs./km",MROUND(IF(H549="Petrol",'Fuel &amp; Inputs'!$C$5,'Fuel &amp; Inputs'!$C$4)/I549*J549,1),MROUND(I549*J549*IF(H549="Petrol",'Fuel &amp; Inputs'!$C$5,'Fuel &amp; Inputs'!$C$4),10)))</f>
        <v>1530</v>
      </c>
      <c r="L549" s="23" t="s">
        <v>149</v>
      </c>
      <c r="M549" s="27" t="n">
        <v>900</v>
      </c>
      <c r="N549" s="26" t="n">
        <f aca="false">MROUND(M549+'Fuel &amp; Inputs'!$C$13,50)</f>
        <v>1700</v>
      </c>
      <c r="O549" s="27" t="n">
        <v>1770</v>
      </c>
      <c r="P549" s="26" t="n">
        <f aca="false">MROUND(M549*'Fuel &amp; Inputs'!$C$19*'Fuel &amp; Inputs'!$C$21,100)</f>
        <v>3400</v>
      </c>
      <c r="Q549" s="26" t="n">
        <f aca="false">MROUND(N549*'Fuel &amp; Inputs'!$C$19*'Fuel &amp; Inputs'!$C$21,100)</f>
        <v>6500</v>
      </c>
      <c r="R549" s="26" t="n">
        <f aca="false">MROUND(O549*'Fuel &amp; Inputs'!$C$19*'Fuel &amp; Inputs'!$C$21,100)</f>
        <v>6700</v>
      </c>
      <c r="S549" s="26" t="n">
        <f aca="false">MROUND(M549*'Fuel &amp; Inputs'!$C$20*'Fuel &amp; Inputs'!$C$22,500)</f>
        <v>92000</v>
      </c>
      <c r="T549" s="26" t="n">
        <f aca="false">MROUND(N549*'Fuel &amp; Inputs'!$C$20*'Fuel &amp; Inputs'!$C$22,500)</f>
        <v>173500</v>
      </c>
      <c r="U549" s="26" t="n">
        <f aca="false">MROUND(O549*'Fuel &amp; Inputs'!$C$20*'Fuel &amp; Inputs'!$C$22,500)</f>
        <v>180500</v>
      </c>
    </row>
    <row r="550" customFormat="false" ht="23.85" hidden="false" customHeight="false" outlineLevel="0" collapsed="false">
      <c r="A550" s="17" t="n">
        <v>517</v>
      </c>
      <c r="B550" s="32" t="s">
        <v>1228</v>
      </c>
      <c r="C550" s="32" t="s">
        <v>1231</v>
      </c>
      <c r="D550" s="32" t="s">
        <v>217</v>
      </c>
      <c r="E550" s="17" t="s">
        <v>217</v>
      </c>
      <c r="F550" s="17" t="s">
        <v>1232</v>
      </c>
      <c r="G550" s="17" t="s">
        <v>217</v>
      </c>
      <c r="H550" s="17" t="s">
        <v>148</v>
      </c>
      <c r="I550" s="19" t="n">
        <v>4</v>
      </c>
      <c r="J550" s="33" t="n">
        <v>1</v>
      </c>
      <c r="K550" s="20" t="n">
        <f aca="false">IF(I550=0,0,IF(L550="Rs./km",MROUND(IF(H550="Petrol",'Fuel &amp; Inputs'!$C$5,'Fuel &amp; Inputs'!$C$4)/I550*J550,1),MROUND(I550*J550*IF(H550="Petrol",'Fuel &amp; Inputs'!$C$5,'Fuel &amp; Inputs'!$C$4),10)))</f>
        <v>1530</v>
      </c>
      <c r="L550" s="17" t="s">
        <v>149</v>
      </c>
      <c r="M550" s="21" t="n">
        <v>900</v>
      </c>
      <c r="N550" s="20" t="n">
        <f aca="false">MROUND(M550+'Fuel &amp; Inputs'!$C$13,50)</f>
        <v>1700</v>
      </c>
      <c r="O550" s="21" t="n">
        <v>1770</v>
      </c>
      <c r="P550" s="20" t="n">
        <f aca="false">MROUND(M550*'Fuel &amp; Inputs'!$C$19*'Fuel &amp; Inputs'!$C$21,100)</f>
        <v>3400</v>
      </c>
      <c r="Q550" s="20" t="n">
        <f aca="false">MROUND(N550*'Fuel &amp; Inputs'!$C$19*'Fuel &amp; Inputs'!$C$21,100)</f>
        <v>6500</v>
      </c>
      <c r="R550" s="20" t="n">
        <f aca="false">MROUND(O550*'Fuel &amp; Inputs'!$C$19*'Fuel &amp; Inputs'!$C$21,100)</f>
        <v>6700</v>
      </c>
      <c r="S550" s="20" t="n">
        <f aca="false">MROUND(M550*'Fuel &amp; Inputs'!$C$20*'Fuel &amp; Inputs'!$C$22,500)</f>
        <v>92000</v>
      </c>
      <c r="T550" s="20" t="n">
        <f aca="false">MROUND(N550*'Fuel &amp; Inputs'!$C$20*'Fuel &amp; Inputs'!$C$22,500)</f>
        <v>173500</v>
      </c>
      <c r="U550" s="20" t="n">
        <f aca="false">MROUND(O550*'Fuel &amp; Inputs'!$C$20*'Fuel &amp; Inputs'!$C$22,500)</f>
        <v>180500</v>
      </c>
    </row>
    <row r="551" customFormat="false" ht="23.85" hidden="false" customHeight="false" outlineLevel="0" collapsed="false">
      <c r="A551" s="23" t="n">
        <v>518</v>
      </c>
      <c r="B551" s="34" t="s">
        <v>1228</v>
      </c>
      <c r="C551" s="34" t="s">
        <v>1231</v>
      </c>
      <c r="D551" s="34" t="s">
        <v>217</v>
      </c>
      <c r="E551" s="23" t="s">
        <v>217</v>
      </c>
      <c r="F551" s="23" t="s">
        <v>1233</v>
      </c>
      <c r="G551" s="23" t="s">
        <v>217</v>
      </c>
      <c r="H551" s="23" t="s">
        <v>148</v>
      </c>
      <c r="I551" s="25" t="n">
        <v>4</v>
      </c>
      <c r="J551" s="35" t="n">
        <v>1</v>
      </c>
      <c r="K551" s="26" t="n">
        <f aca="false">IF(I551=0,0,IF(L551="Rs./km",MROUND(IF(H551="Petrol",'Fuel &amp; Inputs'!$C$5,'Fuel &amp; Inputs'!$C$4)/I551*J551,1),MROUND(I551*J551*IF(H551="Petrol",'Fuel &amp; Inputs'!$C$5,'Fuel &amp; Inputs'!$C$4),10)))</f>
        <v>1530</v>
      </c>
      <c r="L551" s="23" t="s">
        <v>149</v>
      </c>
      <c r="M551" s="27" t="n">
        <v>900</v>
      </c>
      <c r="N551" s="26" t="n">
        <f aca="false">MROUND(M551+'Fuel &amp; Inputs'!$C$13,50)</f>
        <v>1700</v>
      </c>
      <c r="O551" s="27" t="n">
        <v>1770</v>
      </c>
      <c r="P551" s="26" t="n">
        <f aca="false">MROUND(M551*'Fuel &amp; Inputs'!$C$19*'Fuel &amp; Inputs'!$C$21,100)</f>
        <v>3400</v>
      </c>
      <c r="Q551" s="26" t="n">
        <f aca="false">MROUND(N551*'Fuel &amp; Inputs'!$C$19*'Fuel &amp; Inputs'!$C$21,100)</f>
        <v>6500</v>
      </c>
      <c r="R551" s="26" t="n">
        <f aca="false">MROUND(O551*'Fuel &amp; Inputs'!$C$19*'Fuel &amp; Inputs'!$C$21,100)</f>
        <v>6700</v>
      </c>
      <c r="S551" s="26" t="n">
        <f aca="false">MROUND(M551*'Fuel &amp; Inputs'!$C$20*'Fuel &amp; Inputs'!$C$22,500)</f>
        <v>92000</v>
      </c>
      <c r="T551" s="26" t="n">
        <f aca="false">MROUND(N551*'Fuel &amp; Inputs'!$C$20*'Fuel &amp; Inputs'!$C$22,500)</f>
        <v>173500</v>
      </c>
      <c r="U551" s="26" t="n">
        <f aca="false">MROUND(O551*'Fuel &amp; Inputs'!$C$20*'Fuel &amp; Inputs'!$C$22,500)</f>
        <v>180500</v>
      </c>
    </row>
    <row r="553" customFormat="false" ht="15" hidden="false" customHeight="false" outlineLevel="0" collapsed="false">
      <c r="B553" s="30" t="s">
        <v>1234</v>
      </c>
    </row>
  </sheetData>
  <mergeCells count="29">
    <mergeCell ref="A5:U5"/>
    <mergeCell ref="A30:U30"/>
    <mergeCell ref="A40:U40"/>
    <mergeCell ref="A57:U57"/>
    <mergeCell ref="A61:U61"/>
    <mergeCell ref="A81:U81"/>
    <mergeCell ref="A154:U154"/>
    <mergeCell ref="A165:U165"/>
    <mergeCell ref="A182:U182"/>
    <mergeCell ref="A208:U208"/>
    <mergeCell ref="A220:U220"/>
    <mergeCell ref="A225:U225"/>
    <mergeCell ref="A228:U228"/>
    <mergeCell ref="A233:U233"/>
    <mergeCell ref="A242:U242"/>
    <mergeCell ref="A245:U245"/>
    <mergeCell ref="A271:U271"/>
    <mergeCell ref="A275:U275"/>
    <mergeCell ref="A287:U287"/>
    <mergeCell ref="A301:U301"/>
    <mergeCell ref="A390:U390"/>
    <mergeCell ref="A397:U397"/>
    <mergeCell ref="A401:U401"/>
    <mergeCell ref="A408:U408"/>
    <mergeCell ref="A450:U450"/>
    <mergeCell ref="A470:U470"/>
    <mergeCell ref="A483:U483"/>
    <mergeCell ref="A537:U537"/>
    <mergeCell ref="A548:U5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4"/>
    <col collapsed="false" customWidth="true" hidden="false" outlineLevel="0" max="3" min="3" style="1" width="26"/>
    <col collapsed="false" customWidth="true" hidden="false" outlineLevel="0" max="4" min="4" style="1" width="20"/>
    <col collapsed="false" customWidth="true" hidden="false" outlineLevel="0" max="5" min="5" style="1" width="38"/>
    <col collapsed="false" customWidth="true" hidden="false" outlineLevel="0" max="7" min="6" style="1" width="7"/>
    <col collapsed="false" customWidth="true" hidden="false" outlineLevel="0" max="10" min="8" style="1" width="10"/>
    <col collapsed="false" customWidth="true" hidden="false" outlineLevel="0" max="11" min="11" style="1" width="13"/>
    <col collapsed="false" customWidth="true" hidden="false" outlineLevel="0" max="12" min="12" style="1" width="10"/>
    <col collapsed="false" customWidth="true" hidden="false" outlineLevel="0" max="13" min="13" style="1" width="36"/>
  </cols>
  <sheetData>
    <row r="1" customFormat="false" ht="17.25" hidden="false" customHeight="true" outlineLevel="0" collapsed="false">
      <c r="A1" s="7" t="s">
        <v>1235</v>
      </c>
    </row>
    <row r="2" customFormat="false" ht="15" hidden="false" customHeight="true" outlineLevel="0" collapsed="false">
      <c r="A2" s="11" t="s">
        <v>1236</v>
      </c>
    </row>
    <row r="4" customFormat="false" ht="15" hidden="false" customHeight="true" outlineLevel="0" collapsed="false">
      <c r="A4" s="31" t="s">
        <v>1237</v>
      </c>
      <c r="B4" s="31"/>
      <c r="C4" s="31"/>
      <c r="D4" s="31"/>
      <c r="E4" s="31"/>
      <c r="F4" s="31"/>
      <c r="G4" s="31"/>
      <c r="H4" s="31"/>
      <c r="I4" s="31"/>
      <c r="J4" s="31"/>
      <c r="K4" s="31"/>
      <c r="L4" s="31"/>
      <c r="M4" s="31"/>
    </row>
    <row r="5" customFormat="false" ht="25.5" hidden="false" customHeight="true" outlineLevel="0" collapsed="false">
      <c r="A5" s="16" t="s">
        <v>52</v>
      </c>
      <c r="B5" s="16" t="s">
        <v>1238</v>
      </c>
      <c r="C5" s="16" t="s">
        <v>1239</v>
      </c>
      <c r="D5" s="16" t="s">
        <v>1240</v>
      </c>
      <c r="E5" s="16" t="s">
        <v>1241</v>
      </c>
      <c r="F5" s="16" t="s">
        <v>1242</v>
      </c>
      <c r="G5" s="16" t="s">
        <v>1243</v>
      </c>
      <c r="H5" s="16" t="s">
        <v>1244</v>
      </c>
      <c r="I5" s="16" t="s">
        <v>1245</v>
      </c>
      <c r="J5" s="16" t="s">
        <v>1246</v>
      </c>
      <c r="K5" s="16" t="s">
        <v>1247</v>
      </c>
      <c r="L5" s="16" t="s">
        <v>1248</v>
      </c>
      <c r="M5" s="16" t="s">
        <v>1249</v>
      </c>
    </row>
    <row r="6" customFormat="false" ht="15" hidden="false" customHeight="true" outlineLevel="0" collapsed="false">
      <c r="A6" s="17" t="n">
        <v>1</v>
      </c>
      <c r="B6" s="18" t="s">
        <v>1250</v>
      </c>
      <c r="C6" s="32" t="s">
        <v>1251</v>
      </c>
      <c r="D6" s="32" t="s">
        <v>1252</v>
      </c>
      <c r="E6" s="32" t="s">
        <v>1253</v>
      </c>
      <c r="F6" s="19" t="n">
        <v>1.4</v>
      </c>
      <c r="G6" s="36" t="n">
        <v>8</v>
      </c>
      <c r="H6" s="20" t="n">
        <f aca="false">MROUND(F6*G6*IF(ISNUMBER(SEARCH("Diesel",D6)),'Fuel &amp; Inputs'!$C$4,IF(ISNUMBER(SEARCH("Petrol",D6)),'Fuel &amp; Inputs'!$C$5,0)),10)</f>
        <v>4640</v>
      </c>
      <c r="I6" s="21" t="n">
        <v>2500</v>
      </c>
      <c r="J6" s="20" t="n">
        <f aca="false">'Fuel &amp; Inputs'!$C$14</f>
        <v>3500</v>
      </c>
      <c r="K6" s="20" t="n">
        <f aca="false">I6+J6</f>
        <v>6000</v>
      </c>
      <c r="L6" s="20" t="n">
        <f aca="false">MROUND(K6+H6,100)</f>
        <v>10600</v>
      </c>
      <c r="M6" s="22" t="s">
        <v>1254</v>
      </c>
    </row>
    <row r="7" customFormat="false" ht="15" hidden="false" customHeight="true" outlineLevel="0" collapsed="false">
      <c r="A7" s="23" t="n">
        <v>2</v>
      </c>
      <c r="B7" s="24" t="s">
        <v>1250</v>
      </c>
      <c r="C7" s="34" t="s">
        <v>1255</v>
      </c>
      <c r="D7" s="34" t="s">
        <v>1256</v>
      </c>
      <c r="E7" s="34" t="s">
        <v>1257</v>
      </c>
      <c r="F7" s="25" t="n">
        <v>2.2</v>
      </c>
      <c r="G7" s="37" t="n">
        <v>8</v>
      </c>
      <c r="H7" s="26" t="n">
        <f aca="false">MROUND(F7*G7*IF(ISNUMBER(SEARCH("Diesel",D7)),'Fuel &amp; Inputs'!$C$4,IF(ISNUMBER(SEARCH("Petrol",D7)),'Fuel &amp; Inputs'!$C$5,0)),10)</f>
        <v>6720</v>
      </c>
      <c r="I7" s="27" t="n">
        <v>3500</v>
      </c>
      <c r="J7" s="26" t="n">
        <f aca="false">'Fuel &amp; Inputs'!$C$14</f>
        <v>3500</v>
      </c>
      <c r="K7" s="26" t="n">
        <f aca="false">I7+J7</f>
        <v>7000</v>
      </c>
      <c r="L7" s="26" t="n">
        <f aca="false">MROUND(K7+H7,100)</f>
        <v>13700</v>
      </c>
      <c r="M7" s="28" t="s">
        <v>1258</v>
      </c>
    </row>
    <row r="8" customFormat="false" ht="15" hidden="false" customHeight="true" outlineLevel="0" collapsed="false">
      <c r="A8" s="17" t="n">
        <v>3</v>
      </c>
      <c r="B8" s="18" t="s">
        <v>1250</v>
      </c>
      <c r="C8" s="32" t="s">
        <v>1259</v>
      </c>
      <c r="D8" s="32" t="s">
        <v>1256</v>
      </c>
      <c r="E8" s="32" t="s">
        <v>1260</v>
      </c>
      <c r="F8" s="19" t="n">
        <v>2.9</v>
      </c>
      <c r="G8" s="36" t="n">
        <v>8</v>
      </c>
      <c r="H8" s="20" t="n">
        <f aca="false">MROUND(F8*G8*IF(ISNUMBER(SEARCH("Diesel",D8)),'Fuel &amp; Inputs'!$C$4,IF(ISNUMBER(SEARCH("Petrol",D8)),'Fuel &amp; Inputs'!$C$5,0)),10)</f>
        <v>8860</v>
      </c>
      <c r="I8" s="21" t="n">
        <v>4800</v>
      </c>
      <c r="J8" s="20" t="n">
        <f aca="false">'Fuel &amp; Inputs'!$C$14</f>
        <v>3500</v>
      </c>
      <c r="K8" s="20" t="n">
        <f aca="false">I8+J8</f>
        <v>8300</v>
      </c>
      <c r="L8" s="20" t="n">
        <f aca="false">MROUND(K8+H8,100)</f>
        <v>17200</v>
      </c>
      <c r="M8" s="22" t="s">
        <v>1261</v>
      </c>
    </row>
    <row r="9" customFormat="false" ht="15" hidden="false" customHeight="true" outlineLevel="0" collapsed="false">
      <c r="A9" s="23" t="n">
        <v>4</v>
      </c>
      <c r="B9" s="24" t="s">
        <v>1250</v>
      </c>
      <c r="C9" s="34" t="s">
        <v>1262</v>
      </c>
      <c r="D9" s="34" t="s">
        <v>1256</v>
      </c>
      <c r="E9" s="34" t="s">
        <v>1263</v>
      </c>
      <c r="F9" s="25" t="n">
        <v>4</v>
      </c>
      <c r="G9" s="37" t="n">
        <v>8</v>
      </c>
      <c r="H9" s="26" t="n">
        <f aca="false">MROUND(F9*G9*IF(ISNUMBER(SEARCH("Diesel",D9)),'Fuel &amp; Inputs'!$C$4,IF(ISNUMBER(SEARCH("Petrol",D9)),'Fuel &amp; Inputs'!$C$5,0)),10)</f>
        <v>12220</v>
      </c>
      <c r="I9" s="27" t="n">
        <v>6000</v>
      </c>
      <c r="J9" s="26" t="n">
        <f aca="false">'Fuel &amp; Inputs'!$C$14</f>
        <v>3500</v>
      </c>
      <c r="K9" s="26" t="n">
        <f aca="false">I9+J9</f>
        <v>9500</v>
      </c>
      <c r="L9" s="26" t="n">
        <f aca="false">MROUND(K9+H9,100)</f>
        <v>21700</v>
      </c>
      <c r="M9" s="28" t="s">
        <v>1264</v>
      </c>
    </row>
    <row r="10" customFormat="false" ht="15" hidden="false" customHeight="true" outlineLevel="0" collapsed="false">
      <c r="A10" s="17" t="n">
        <v>5</v>
      </c>
      <c r="B10" s="18" t="s">
        <v>1250</v>
      </c>
      <c r="C10" s="32" t="s">
        <v>1265</v>
      </c>
      <c r="D10" s="32" t="s">
        <v>1256</v>
      </c>
      <c r="E10" s="32" t="s">
        <v>1266</v>
      </c>
      <c r="F10" s="19" t="n">
        <v>7.5</v>
      </c>
      <c r="G10" s="36" t="n">
        <v>8</v>
      </c>
      <c r="H10" s="20" t="n">
        <f aca="false">MROUND(F10*G10*IF(ISNUMBER(SEARCH("Diesel",D10)),'Fuel &amp; Inputs'!$C$4,IF(ISNUMBER(SEARCH("Petrol",D10)),'Fuel &amp; Inputs'!$C$5,0)),10)</f>
        <v>22920</v>
      </c>
      <c r="I10" s="21" t="n">
        <v>10000</v>
      </c>
      <c r="J10" s="20" t="n">
        <f aca="false">'Fuel &amp; Inputs'!$C$14</f>
        <v>3500</v>
      </c>
      <c r="K10" s="20" t="n">
        <f aca="false">I10+J10</f>
        <v>13500</v>
      </c>
      <c r="L10" s="20" t="n">
        <f aca="false">MROUND(K10+H10,100)</f>
        <v>36400</v>
      </c>
      <c r="M10" s="22" t="s">
        <v>1267</v>
      </c>
    </row>
    <row r="11" customFormat="false" ht="15" hidden="false" customHeight="true" outlineLevel="0" collapsed="false">
      <c r="A11" s="23" t="n">
        <v>6</v>
      </c>
      <c r="B11" s="24" t="s">
        <v>1250</v>
      </c>
      <c r="C11" s="34" t="s">
        <v>1268</v>
      </c>
      <c r="D11" s="34" t="s">
        <v>1256</v>
      </c>
      <c r="E11" s="34" t="s">
        <v>1269</v>
      </c>
      <c r="F11" s="25" t="n">
        <v>12</v>
      </c>
      <c r="G11" s="37" t="n">
        <v>8</v>
      </c>
      <c r="H11" s="26" t="n">
        <f aca="false">MROUND(F11*G11*IF(ISNUMBER(SEARCH("Diesel",D11)),'Fuel &amp; Inputs'!$C$4,IF(ISNUMBER(SEARCH("Petrol",D11)),'Fuel &amp; Inputs'!$C$5,0)),10)</f>
        <v>36670</v>
      </c>
      <c r="I11" s="27" t="n">
        <v>15000</v>
      </c>
      <c r="J11" s="26" t="n">
        <f aca="false">'Fuel &amp; Inputs'!$C$14</f>
        <v>3500</v>
      </c>
      <c r="K11" s="26" t="n">
        <f aca="false">I11+J11</f>
        <v>18500</v>
      </c>
      <c r="L11" s="26" t="n">
        <f aca="false">MROUND(K11+H11,100)</f>
        <v>55200</v>
      </c>
      <c r="M11" s="28" t="s">
        <v>1270</v>
      </c>
    </row>
    <row r="12" customFormat="false" ht="15" hidden="false" customHeight="true" outlineLevel="0" collapsed="false">
      <c r="A12" s="17" t="n">
        <v>7</v>
      </c>
      <c r="B12" s="18" t="s">
        <v>1250</v>
      </c>
      <c r="C12" s="32" t="s">
        <v>1271</v>
      </c>
      <c r="D12" s="32" t="s">
        <v>1256</v>
      </c>
      <c r="E12" s="32" t="s">
        <v>1272</v>
      </c>
      <c r="F12" s="19" t="n">
        <v>19</v>
      </c>
      <c r="G12" s="36" t="n">
        <v>8</v>
      </c>
      <c r="H12" s="20" t="n">
        <f aca="false">MROUND(F12*G12*IF(ISNUMBER(SEARCH("Diesel",D12)),'Fuel &amp; Inputs'!$C$4,IF(ISNUMBER(SEARCH("Petrol",D12)),'Fuel &amp; Inputs'!$C$5,0)),10)</f>
        <v>58060</v>
      </c>
      <c r="I12" s="21" t="n">
        <v>22000</v>
      </c>
      <c r="J12" s="20" t="n">
        <f aca="false">'Fuel &amp; Inputs'!$C$14</f>
        <v>3500</v>
      </c>
      <c r="K12" s="20" t="n">
        <f aca="false">I12+J12</f>
        <v>25500</v>
      </c>
      <c r="L12" s="20" t="n">
        <f aca="false">MROUND(K12+H12,100)</f>
        <v>83600</v>
      </c>
      <c r="M12" s="22" t="s">
        <v>1270</v>
      </c>
    </row>
    <row r="13" customFormat="false" ht="15" hidden="false" customHeight="true" outlineLevel="0" collapsed="false">
      <c r="A13" s="23" t="n">
        <v>8</v>
      </c>
      <c r="B13" s="24" t="s">
        <v>1250</v>
      </c>
      <c r="C13" s="34" t="s">
        <v>1273</v>
      </c>
      <c r="D13" s="34" t="s">
        <v>1256</v>
      </c>
      <c r="E13" s="34" t="s">
        <v>1274</v>
      </c>
      <c r="F13" s="25" t="n">
        <v>24</v>
      </c>
      <c r="G13" s="37" t="n">
        <v>8</v>
      </c>
      <c r="H13" s="26" t="n">
        <f aca="false">MROUND(F13*G13*IF(ISNUMBER(SEARCH("Diesel",D13)),'Fuel &amp; Inputs'!$C$4,IF(ISNUMBER(SEARCH("Petrol",D13)),'Fuel &amp; Inputs'!$C$5,0)),10)</f>
        <v>73340</v>
      </c>
      <c r="I13" s="27" t="n">
        <v>28000</v>
      </c>
      <c r="J13" s="26" t="n">
        <f aca="false">'Fuel &amp; Inputs'!$C$14</f>
        <v>3500</v>
      </c>
      <c r="K13" s="26" t="n">
        <f aca="false">I13+J13</f>
        <v>31500</v>
      </c>
      <c r="L13" s="26" t="n">
        <f aca="false">MROUND(K13+H13,100)</f>
        <v>104800</v>
      </c>
      <c r="M13" s="28" t="s">
        <v>1275</v>
      </c>
    </row>
    <row r="14" customFormat="false" ht="15" hidden="false" customHeight="true" outlineLevel="0" collapsed="false">
      <c r="A14" s="17" t="n">
        <v>9</v>
      </c>
      <c r="B14" s="18" t="s">
        <v>1250</v>
      </c>
      <c r="C14" s="32" t="s">
        <v>1276</v>
      </c>
      <c r="D14" s="32" t="s">
        <v>1256</v>
      </c>
      <c r="E14" s="32" t="s">
        <v>1277</v>
      </c>
      <c r="F14" s="19" t="n">
        <v>38</v>
      </c>
      <c r="G14" s="36" t="n">
        <v>8</v>
      </c>
      <c r="H14" s="20" t="n">
        <f aca="false">MROUND(F14*G14*IF(ISNUMBER(SEARCH("Diesel",D14)),'Fuel &amp; Inputs'!$C$4,IF(ISNUMBER(SEARCH("Petrol",D14)),'Fuel &amp; Inputs'!$C$5,0)),10)</f>
        <v>116130</v>
      </c>
      <c r="I14" s="21" t="n">
        <v>40000</v>
      </c>
      <c r="J14" s="20" t="n">
        <f aca="false">'Fuel &amp; Inputs'!$C$14</f>
        <v>3500</v>
      </c>
      <c r="K14" s="20" t="n">
        <f aca="false">I14+J14</f>
        <v>43500</v>
      </c>
      <c r="L14" s="20" t="n">
        <f aca="false">MROUND(K14+H14,100)</f>
        <v>159600</v>
      </c>
      <c r="M14" s="22" t="s">
        <v>1278</v>
      </c>
    </row>
    <row r="15" customFormat="false" ht="15" hidden="false" customHeight="true" outlineLevel="0" collapsed="false">
      <c r="A15" s="23" t="n">
        <v>10</v>
      </c>
      <c r="B15" s="24" t="s">
        <v>1279</v>
      </c>
      <c r="C15" s="34" t="s">
        <v>1280</v>
      </c>
      <c r="D15" s="34" t="s">
        <v>1281</v>
      </c>
      <c r="E15" s="34" t="s">
        <v>1282</v>
      </c>
      <c r="F15" s="25" t="n">
        <v>0</v>
      </c>
      <c r="G15" s="37" t="n">
        <v>8</v>
      </c>
      <c r="H15" s="26" t="n">
        <f aca="false">MROUND(F15*G15*IF(ISNUMBER(SEARCH("Diesel",D15)),'Fuel &amp; Inputs'!$C$4,IF(ISNUMBER(SEARCH("Petrol",D15)),'Fuel &amp; Inputs'!$C$5,0)),10)</f>
        <v>0</v>
      </c>
      <c r="I15" s="27" t="n">
        <v>1300</v>
      </c>
      <c r="J15" s="26" t="n">
        <f aca="false">'Fuel &amp; Inputs'!$C$14</f>
        <v>3500</v>
      </c>
      <c r="K15" s="26" t="n">
        <f aca="false">I15+J15</f>
        <v>4800</v>
      </c>
      <c r="L15" s="26" t="n">
        <f aca="false">MROUND(K15+H15,100)</f>
        <v>4800</v>
      </c>
      <c r="M15" s="28" t="s">
        <v>1283</v>
      </c>
    </row>
    <row r="16" customFormat="false" ht="15" hidden="false" customHeight="true" outlineLevel="0" collapsed="false">
      <c r="A16" s="17" t="n">
        <v>11</v>
      </c>
      <c r="B16" s="18" t="s">
        <v>1279</v>
      </c>
      <c r="C16" s="32" t="s">
        <v>1284</v>
      </c>
      <c r="D16" s="32" t="s">
        <v>1252</v>
      </c>
      <c r="E16" s="32" t="s">
        <v>1285</v>
      </c>
      <c r="F16" s="19" t="n">
        <v>1.2</v>
      </c>
      <c r="G16" s="36" t="n">
        <v>6</v>
      </c>
      <c r="H16" s="20" t="n">
        <f aca="false">MROUND(F16*G16*IF(ISNUMBER(SEARCH("Diesel",D16)),'Fuel &amp; Inputs'!$C$4,IF(ISNUMBER(SEARCH("Petrol",D16)),'Fuel &amp; Inputs'!$C$5,0)),10)</f>
        <v>2980</v>
      </c>
      <c r="I16" s="21" t="n">
        <v>2400</v>
      </c>
      <c r="J16" s="20" t="n">
        <f aca="false">'Fuel &amp; Inputs'!$C$14</f>
        <v>3500</v>
      </c>
      <c r="K16" s="20" t="n">
        <f aca="false">I16+J16</f>
        <v>5900</v>
      </c>
      <c r="L16" s="20" t="n">
        <f aca="false">MROUND(K16+H16,100)</f>
        <v>8900</v>
      </c>
      <c r="M16" s="22" t="s">
        <v>1286</v>
      </c>
    </row>
    <row r="17" customFormat="false" ht="15" hidden="false" customHeight="true" outlineLevel="0" collapsed="false">
      <c r="A17" s="23" t="n">
        <v>12</v>
      </c>
      <c r="B17" s="24" t="s">
        <v>1279</v>
      </c>
      <c r="C17" s="34" t="s">
        <v>1287</v>
      </c>
      <c r="D17" s="34" t="s">
        <v>1288</v>
      </c>
      <c r="E17" s="34" t="s">
        <v>1289</v>
      </c>
      <c r="F17" s="25" t="n">
        <v>0</v>
      </c>
      <c r="G17" s="37" t="n">
        <v>8</v>
      </c>
      <c r="H17" s="26" t="n">
        <f aca="false">MROUND(F17*G17*IF(ISNUMBER(SEARCH("Diesel",D17)),'Fuel &amp; Inputs'!$C$4,IF(ISNUMBER(SEARCH("Petrol",D17)),'Fuel &amp; Inputs'!$C$5,0)),10)</f>
        <v>0</v>
      </c>
      <c r="I17" s="27" t="n">
        <v>4500</v>
      </c>
      <c r="J17" s="26" t="n">
        <f aca="false">'Fuel &amp; Inputs'!$C$14</f>
        <v>3500</v>
      </c>
      <c r="K17" s="26" t="n">
        <f aca="false">I17+J17</f>
        <v>8000</v>
      </c>
      <c r="L17" s="26" t="n">
        <f aca="false">MROUND(K17+H17,100)</f>
        <v>8000</v>
      </c>
      <c r="M17" s="28" t="s">
        <v>1286</v>
      </c>
    </row>
    <row r="18" customFormat="false" ht="15" hidden="false" customHeight="true" outlineLevel="0" collapsed="false">
      <c r="A18" s="17" t="n">
        <v>13</v>
      </c>
      <c r="B18" s="18" t="s">
        <v>1279</v>
      </c>
      <c r="C18" s="32" t="s">
        <v>1290</v>
      </c>
      <c r="D18" s="32" t="s">
        <v>1256</v>
      </c>
      <c r="E18" s="32" t="s">
        <v>1291</v>
      </c>
      <c r="F18" s="19" t="n">
        <v>5.5</v>
      </c>
      <c r="G18" s="36" t="n">
        <v>6</v>
      </c>
      <c r="H18" s="20" t="n">
        <f aca="false">MROUND(F18*G18*IF(ISNUMBER(SEARCH("Diesel",D18)),'Fuel &amp; Inputs'!$C$4,IF(ISNUMBER(SEARCH("Petrol",D18)),'Fuel &amp; Inputs'!$C$5,0)),10)</f>
        <v>12610</v>
      </c>
      <c r="I18" s="21" t="n">
        <v>11000</v>
      </c>
      <c r="J18" s="20" t="n">
        <f aca="false">'Fuel &amp; Inputs'!$C$14</f>
        <v>3500</v>
      </c>
      <c r="K18" s="20" t="n">
        <f aca="false">I18+J18</f>
        <v>14500</v>
      </c>
      <c r="L18" s="20" t="n">
        <f aca="false">MROUND(K18+H18,100)</f>
        <v>27100</v>
      </c>
      <c r="M18" s="22" t="s">
        <v>1292</v>
      </c>
    </row>
    <row r="19" customFormat="false" ht="15" hidden="false" customHeight="true" outlineLevel="0" collapsed="false">
      <c r="A19" s="23" t="n">
        <v>14</v>
      </c>
      <c r="B19" s="24" t="s">
        <v>1279</v>
      </c>
      <c r="C19" s="34" t="s">
        <v>1293</v>
      </c>
      <c r="D19" s="34" t="s">
        <v>1256</v>
      </c>
      <c r="E19" s="34" t="s">
        <v>1294</v>
      </c>
      <c r="F19" s="25" t="n">
        <v>11</v>
      </c>
      <c r="G19" s="37" t="n">
        <v>6</v>
      </c>
      <c r="H19" s="26" t="n">
        <f aca="false">MROUND(F19*G19*IF(ISNUMBER(SEARCH("Diesel",D19)),'Fuel &amp; Inputs'!$C$4,IF(ISNUMBER(SEARCH("Petrol",D19)),'Fuel &amp; Inputs'!$C$5,0)),10)</f>
        <v>25210</v>
      </c>
      <c r="I19" s="27" t="n">
        <v>18000</v>
      </c>
      <c r="J19" s="26" t="n">
        <f aca="false">'Fuel &amp; Inputs'!$C$14</f>
        <v>3500</v>
      </c>
      <c r="K19" s="26" t="n">
        <f aca="false">I19+J19</f>
        <v>21500</v>
      </c>
      <c r="L19" s="26" t="n">
        <f aca="false">MROUND(K19+H19,100)</f>
        <v>46700</v>
      </c>
      <c r="M19" s="28" t="s">
        <v>1292</v>
      </c>
    </row>
    <row r="20" customFormat="false" ht="23.25" hidden="false" customHeight="true" outlineLevel="0" collapsed="false">
      <c r="A20" s="17" t="n">
        <v>15</v>
      </c>
      <c r="B20" s="18" t="s">
        <v>1295</v>
      </c>
      <c r="C20" s="32" t="s">
        <v>1296</v>
      </c>
      <c r="D20" s="32" t="s">
        <v>1297</v>
      </c>
      <c r="E20" s="32" t="s">
        <v>1298</v>
      </c>
      <c r="F20" s="19" t="n">
        <v>0</v>
      </c>
      <c r="G20" s="36" t="n">
        <v>0</v>
      </c>
      <c r="H20" s="20" t="n">
        <f aca="false">MROUND(F20*G20*IF(ISNUMBER(SEARCH("Diesel",D20)),'Fuel &amp; Inputs'!$C$4,IF(ISNUMBER(SEARCH("Petrol",D20)),'Fuel &amp; Inputs'!$C$5,0)),10)</f>
        <v>0</v>
      </c>
      <c r="I20" s="21" t="n">
        <v>4000</v>
      </c>
      <c r="J20" s="20" t="n">
        <f aca="false">'Fuel &amp; Inputs'!$C$14</f>
        <v>3500</v>
      </c>
      <c r="K20" s="20" t="n">
        <f aca="false">I20+J20</f>
        <v>7500</v>
      </c>
      <c r="L20" s="20" t="n">
        <f aca="false">MROUND(K20+H20,100)</f>
        <v>7500</v>
      </c>
      <c r="M20" s="22" t="s">
        <v>1299</v>
      </c>
    </row>
    <row r="21" customFormat="false" ht="15" hidden="false" customHeight="true" outlineLevel="0" collapsed="false">
      <c r="A21" s="23" t="n">
        <v>16</v>
      </c>
      <c r="B21" s="24" t="s">
        <v>1300</v>
      </c>
      <c r="C21" s="34" t="s">
        <v>1301</v>
      </c>
      <c r="D21" s="34" t="s">
        <v>1302</v>
      </c>
      <c r="E21" s="34" t="s">
        <v>1303</v>
      </c>
      <c r="F21" s="25" t="n">
        <v>0</v>
      </c>
      <c r="G21" s="37" t="n">
        <v>8</v>
      </c>
      <c r="H21" s="26" t="n">
        <f aca="false">MROUND(F21*G21*IF(ISNUMBER(SEARCH("Diesel",D21)),'Fuel &amp; Inputs'!$C$4,IF(ISNUMBER(SEARCH("Petrol",D21)),'Fuel &amp; Inputs'!$C$5,0)),10)</f>
        <v>0</v>
      </c>
      <c r="I21" s="27" t="n">
        <v>1800</v>
      </c>
      <c r="J21" s="26" t="n">
        <f aca="false">'Fuel &amp; Inputs'!$C$15</f>
        <v>5000</v>
      </c>
      <c r="K21" s="26" t="n">
        <f aca="false">I21+J21</f>
        <v>6800</v>
      </c>
      <c r="L21" s="26" t="n">
        <f aca="false">MROUND(K21+H21,100)</f>
        <v>6800</v>
      </c>
      <c r="M21" s="28" t="s">
        <v>1283</v>
      </c>
    </row>
    <row r="22" customFormat="false" ht="15" hidden="false" customHeight="true" outlineLevel="0" collapsed="false">
      <c r="A22" s="17" t="n">
        <v>17</v>
      </c>
      <c r="B22" s="18" t="s">
        <v>1304</v>
      </c>
      <c r="C22" s="32" t="s">
        <v>1305</v>
      </c>
      <c r="D22" s="32" t="s">
        <v>1252</v>
      </c>
      <c r="E22" s="32" t="s">
        <v>1306</v>
      </c>
      <c r="F22" s="19" t="n">
        <v>1.8</v>
      </c>
      <c r="G22" s="36" t="n">
        <v>5</v>
      </c>
      <c r="H22" s="20" t="n">
        <f aca="false">MROUND(F22*G22*IF(ISNUMBER(SEARCH("Diesel",D22)),'Fuel &amp; Inputs'!$C$4,IF(ISNUMBER(SEARCH("Petrol",D22)),'Fuel &amp; Inputs'!$C$5,0)),10)</f>
        <v>3730</v>
      </c>
      <c r="I22" s="21" t="n">
        <v>5500</v>
      </c>
      <c r="J22" s="20" t="n">
        <f aca="false">'Fuel &amp; Inputs'!$C$15</f>
        <v>5000</v>
      </c>
      <c r="K22" s="20" t="n">
        <f aca="false">I22+J22</f>
        <v>10500</v>
      </c>
      <c r="L22" s="20" t="n">
        <f aca="false">MROUND(K22+H22,100)</f>
        <v>14200</v>
      </c>
      <c r="M22" s="22" t="s">
        <v>1307</v>
      </c>
    </row>
    <row r="23" customFormat="false" ht="15" hidden="false" customHeight="true" outlineLevel="0" collapsed="false">
      <c r="A23" s="23" t="n">
        <v>18</v>
      </c>
      <c r="B23" s="24" t="s">
        <v>1304</v>
      </c>
      <c r="C23" s="34" t="s">
        <v>1308</v>
      </c>
      <c r="D23" s="34" t="s">
        <v>1256</v>
      </c>
      <c r="E23" s="34" t="s">
        <v>1309</v>
      </c>
      <c r="F23" s="25" t="n">
        <v>2.5</v>
      </c>
      <c r="G23" s="37" t="n">
        <v>5</v>
      </c>
      <c r="H23" s="26" t="n">
        <f aca="false">MROUND(F23*G23*IF(ISNUMBER(SEARCH("Diesel",D23)),'Fuel &amp; Inputs'!$C$4,IF(ISNUMBER(SEARCH("Petrol",D23)),'Fuel &amp; Inputs'!$C$5,0)),10)</f>
        <v>4780</v>
      </c>
      <c r="I23" s="27" t="n">
        <v>6500</v>
      </c>
      <c r="J23" s="26" t="n">
        <f aca="false">'Fuel &amp; Inputs'!$C$15</f>
        <v>5000</v>
      </c>
      <c r="K23" s="26" t="n">
        <f aca="false">I23+J23</f>
        <v>11500</v>
      </c>
      <c r="L23" s="26" t="n">
        <f aca="false">MROUND(K23+H23,100)</f>
        <v>16300</v>
      </c>
      <c r="M23" s="28" t="s">
        <v>1310</v>
      </c>
    </row>
    <row r="24" customFormat="false" ht="15" hidden="false" customHeight="true" outlineLevel="0" collapsed="false">
      <c r="A24" s="17" t="n">
        <v>19</v>
      </c>
      <c r="B24" s="18" t="s">
        <v>1304</v>
      </c>
      <c r="C24" s="32" t="s">
        <v>1311</v>
      </c>
      <c r="D24" s="32" t="s">
        <v>1256</v>
      </c>
      <c r="E24" s="32" t="s">
        <v>1312</v>
      </c>
      <c r="F24" s="19" t="n">
        <v>4</v>
      </c>
      <c r="G24" s="36" t="n">
        <v>5</v>
      </c>
      <c r="H24" s="20" t="n">
        <f aca="false">MROUND(F24*G24*IF(ISNUMBER(SEARCH("Diesel",D24)),'Fuel &amp; Inputs'!$C$4,IF(ISNUMBER(SEARCH("Petrol",D24)),'Fuel &amp; Inputs'!$C$5,0)),10)</f>
        <v>7640</v>
      </c>
      <c r="I24" s="21" t="n">
        <v>9000</v>
      </c>
      <c r="J24" s="20" t="n">
        <f aca="false">'Fuel &amp; Inputs'!$C$15</f>
        <v>5000</v>
      </c>
      <c r="K24" s="20" t="n">
        <f aca="false">I24+J24</f>
        <v>14000</v>
      </c>
      <c r="L24" s="20" t="n">
        <f aca="false">MROUND(K24+H24,100)</f>
        <v>21600</v>
      </c>
      <c r="M24" s="22" t="s">
        <v>1313</v>
      </c>
    </row>
    <row r="25" customFormat="false" ht="15" hidden="false" customHeight="true" outlineLevel="0" collapsed="false">
      <c r="A25" s="23" t="n">
        <v>20</v>
      </c>
      <c r="B25" s="24" t="s">
        <v>1314</v>
      </c>
      <c r="C25" s="34" t="s">
        <v>1315</v>
      </c>
      <c r="D25" s="34" t="s">
        <v>1316</v>
      </c>
      <c r="E25" s="34" t="s">
        <v>1317</v>
      </c>
      <c r="F25" s="25" t="n">
        <v>0</v>
      </c>
      <c r="G25" s="37" t="n">
        <v>0</v>
      </c>
      <c r="H25" s="26" t="n">
        <f aca="false">MROUND(F25*G25*IF(ISNUMBER(SEARCH("Diesel",D25)),'Fuel &amp; Inputs'!$C$4,IF(ISNUMBER(SEARCH("Petrol",D25)),'Fuel &amp; Inputs'!$C$5,0)),10)</f>
        <v>0</v>
      </c>
      <c r="I25" s="27" t="n">
        <v>3800</v>
      </c>
      <c r="J25" s="26" t="n">
        <f aca="false">'Fuel &amp; Inputs'!$C$15</f>
        <v>5000</v>
      </c>
      <c r="K25" s="26" t="n">
        <f aca="false">I25+J25</f>
        <v>8800</v>
      </c>
      <c r="L25" s="26" t="n">
        <f aca="false">MROUND(K25+H25,100)</f>
        <v>8800</v>
      </c>
      <c r="M25" s="28" t="s">
        <v>1318</v>
      </c>
    </row>
    <row r="26" customFormat="false" ht="15" hidden="false" customHeight="true" outlineLevel="0" collapsed="false">
      <c r="A26" s="31" t="s">
        <v>1319</v>
      </c>
      <c r="B26" s="31"/>
      <c r="C26" s="31"/>
      <c r="D26" s="31"/>
      <c r="E26" s="31"/>
      <c r="F26" s="31"/>
      <c r="G26" s="31"/>
      <c r="H26" s="31"/>
      <c r="I26" s="31"/>
      <c r="J26" s="31"/>
      <c r="K26" s="31"/>
      <c r="L26" s="31"/>
      <c r="M26" s="31"/>
    </row>
    <row r="27" customFormat="false" ht="25.5" hidden="false" customHeight="true" outlineLevel="0" collapsed="false">
      <c r="A27" s="16" t="s">
        <v>52</v>
      </c>
      <c r="B27" s="16" t="s">
        <v>1238</v>
      </c>
      <c r="C27" s="16" t="s">
        <v>1239</v>
      </c>
      <c r="D27" s="16" t="s">
        <v>1240</v>
      </c>
      <c r="E27" s="16" t="s">
        <v>1241</v>
      </c>
      <c r="F27" s="16" t="s">
        <v>1242</v>
      </c>
      <c r="G27" s="16" t="s">
        <v>1243</v>
      </c>
      <c r="H27" s="16" t="s">
        <v>1244</v>
      </c>
      <c r="I27" s="16" t="s">
        <v>1245</v>
      </c>
      <c r="J27" s="16" t="s">
        <v>1246</v>
      </c>
      <c r="K27" s="16" t="s">
        <v>1247</v>
      </c>
      <c r="L27" s="16" t="s">
        <v>1248</v>
      </c>
      <c r="M27" s="16" t="s">
        <v>1249</v>
      </c>
    </row>
    <row r="28" customFormat="false" ht="15" hidden="false" customHeight="true" outlineLevel="0" collapsed="false">
      <c r="A28" s="17" t="n">
        <v>21</v>
      </c>
      <c r="B28" s="18" t="s">
        <v>1320</v>
      </c>
      <c r="C28" s="32" t="s">
        <v>1321</v>
      </c>
      <c r="D28" s="32" t="s">
        <v>1252</v>
      </c>
      <c r="E28" s="32" t="s">
        <v>1322</v>
      </c>
      <c r="F28" s="19" t="n">
        <v>0.9</v>
      </c>
      <c r="G28" s="36" t="n">
        <v>5</v>
      </c>
      <c r="H28" s="20" t="n">
        <f aca="false">MROUND(F28*G28*IF(ISNUMBER(SEARCH("Diesel",D28)),'Fuel &amp; Inputs'!$C$4,IF(ISNUMBER(SEARCH("Petrol",D28)),'Fuel &amp; Inputs'!$C$5,0)),10)</f>
        <v>1860</v>
      </c>
      <c r="I28" s="21" t="n">
        <v>2000</v>
      </c>
      <c r="J28" s="20" t="n">
        <f aca="false">'Fuel &amp; Inputs'!$C$14</f>
        <v>3500</v>
      </c>
      <c r="K28" s="20" t="n">
        <f aca="false">I28+J28</f>
        <v>5500</v>
      </c>
      <c r="L28" s="20" t="n">
        <f aca="false">MROUND(K28+H28,100)</f>
        <v>7400</v>
      </c>
      <c r="M28" s="22" t="s">
        <v>1323</v>
      </c>
    </row>
    <row r="29" customFormat="false" ht="15" hidden="false" customHeight="true" outlineLevel="0" collapsed="false">
      <c r="A29" s="23" t="n">
        <v>22</v>
      </c>
      <c r="B29" s="24" t="s">
        <v>1320</v>
      </c>
      <c r="C29" s="34" t="s">
        <v>1324</v>
      </c>
      <c r="D29" s="34" t="s">
        <v>1256</v>
      </c>
      <c r="E29" s="34" t="s">
        <v>1325</v>
      </c>
      <c r="F29" s="25" t="n">
        <v>1.3</v>
      </c>
      <c r="G29" s="37" t="n">
        <v>5</v>
      </c>
      <c r="H29" s="26" t="n">
        <f aca="false">MROUND(F29*G29*IF(ISNUMBER(SEARCH("Diesel",D29)),'Fuel &amp; Inputs'!$C$4,IF(ISNUMBER(SEARCH("Petrol",D29)),'Fuel &amp; Inputs'!$C$5,0)),10)</f>
        <v>2480</v>
      </c>
      <c r="I29" s="27" t="n">
        <v>3000</v>
      </c>
      <c r="J29" s="26" t="n">
        <f aca="false">'Fuel &amp; Inputs'!$C$14</f>
        <v>3500</v>
      </c>
      <c r="K29" s="26" t="n">
        <f aca="false">I29+J29</f>
        <v>6500</v>
      </c>
      <c r="L29" s="26" t="n">
        <f aca="false">MROUND(K29+H29,100)</f>
        <v>9000</v>
      </c>
      <c r="M29" s="28" t="s">
        <v>1323</v>
      </c>
    </row>
    <row r="30" customFormat="false" ht="15" hidden="false" customHeight="true" outlineLevel="0" collapsed="false">
      <c r="A30" s="17" t="n">
        <v>23</v>
      </c>
      <c r="B30" s="18" t="s">
        <v>1320</v>
      </c>
      <c r="C30" s="32" t="s">
        <v>1326</v>
      </c>
      <c r="D30" s="32" t="s">
        <v>1256</v>
      </c>
      <c r="E30" s="32" t="s">
        <v>1327</v>
      </c>
      <c r="F30" s="19" t="n">
        <v>1.6</v>
      </c>
      <c r="G30" s="36" t="n">
        <v>5</v>
      </c>
      <c r="H30" s="20" t="n">
        <f aca="false">MROUND(F30*G30*IF(ISNUMBER(SEARCH("Diesel",D30)),'Fuel &amp; Inputs'!$C$4,IF(ISNUMBER(SEARCH("Petrol",D30)),'Fuel &amp; Inputs'!$C$5,0)),10)</f>
        <v>3060</v>
      </c>
      <c r="I30" s="21" t="n">
        <v>4500</v>
      </c>
      <c r="J30" s="20" t="n">
        <f aca="false">'Fuel &amp; Inputs'!$C$14</f>
        <v>3500</v>
      </c>
      <c r="K30" s="20" t="n">
        <f aca="false">I30+J30</f>
        <v>8000</v>
      </c>
      <c r="L30" s="20" t="n">
        <f aca="false">MROUND(K30+H30,100)</f>
        <v>11100</v>
      </c>
      <c r="M30" s="22" t="s">
        <v>1328</v>
      </c>
    </row>
    <row r="31" customFormat="false" ht="15" hidden="false" customHeight="true" outlineLevel="0" collapsed="false">
      <c r="A31" s="23" t="n">
        <v>24</v>
      </c>
      <c r="B31" s="24" t="s">
        <v>1329</v>
      </c>
      <c r="C31" s="34" t="s">
        <v>1330</v>
      </c>
      <c r="D31" s="34" t="s">
        <v>1331</v>
      </c>
      <c r="E31" s="34" t="s">
        <v>1332</v>
      </c>
      <c r="F31" s="25" t="n">
        <v>0</v>
      </c>
      <c r="G31" s="37" t="n">
        <v>4</v>
      </c>
      <c r="H31" s="26" t="n">
        <f aca="false">MROUND(F31*G31*IF(ISNUMBER(SEARCH("Diesel",D31)),'Fuel &amp; Inputs'!$C$4,IF(ISNUMBER(SEARCH("Petrol",D31)),'Fuel &amp; Inputs'!$C$5,0)),10)</f>
        <v>0</v>
      </c>
      <c r="I31" s="27" t="n">
        <v>1200</v>
      </c>
      <c r="J31" s="26" t="n">
        <f aca="false">'Fuel &amp; Inputs'!$C$14</f>
        <v>3500</v>
      </c>
      <c r="K31" s="26" t="n">
        <f aca="false">I31+J31</f>
        <v>4700</v>
      </c>
      <c r="L31" s="26" t="n">
        <f aca="false">MROUND(K31+H31,100)</f>
        <v>4700</v>
      </c>
      <c r="M31" s="28" t="s">
        <v>1333</v>
      </c>
    </row>
    <row r="32" customFormat="false" ht="15" hidden="false" customHeight="true" outlineLevel="0" collapsed="false">
      <c r="A32" s="17" t="n">
        <v>25</v>
      </c>
      <c r="B32" s="18" t="s">
        <v>1329</v>
      </c>
      <c r="C32" s="32" t="s">
        <v>1334</v>
      </c>
      <c r="D32" s="32" t="s">
        <v>1335</v>
      </c>
      <c r="E32" s="32" t="s">
        <v>1336</v>
      </c>
      <c r="F32" s="19" t="n">
        <v>1</v>
      </c>
      <c r="G32" s="36" t="n">
        <v>4</v>
      </c>
      <c r="H32" s="20" t="n">
        <f aca="false">MROUND(F32*G32*IF(ISNUMBER(SEARCH("Diesel",D32)),'Fuel &amp; Inputs'!$C$4,IF(ISNUMBER(SEARCH("Petrol",D32)),'Fuel &amp; Inputs'!$C$5,0)),10)</f>
        <v>1660</v>
      </c>
      <c r="I32" s="21" t="n">
        <v>1700</v>
      </c>
      <c r="J32" s="20" t="n">
        <f aca="false">'Fuel &amp; Inputs'!$C$14</f>
        <v>3500</v>
      </c>
      <c r="K32" s="20" t="n">
        <f aca="false">I32+J32</f>
        <v>5200</v>
      </c>
      <c r="L32" s="20" t="n">
        <f aca="false">MROUND(K32+H32,100)</f>
        <v>6900</v>
      </c>
      <c r="M32" s="22" t="s">
        <v>1333</v>
      </c>
    </row>
    <row r="33" customFormat="false" ht="15" hidden="false" customHeight="true" outlineLevel="0" collapsed="false">
      <c r="A33" s="23" t="n">
        <v>26</v>
      </c>
      <c r="B33" s="24" t="s">
        <v>1329</v>
      </c>
      <c r="C33" s="34" t="s">
        <v>1337</v>
      </c>
      <c r="D33" s="34" t="s">
        <v>217</v>
      </c>
      <c r="E33" s="34" t="s">
        <v>1338</v>
      </c>
      <c r="F33" s="25" t="n">
        <v>0</v>
      </c>
      <c r="G33" s="37" t="n">
        <v>0</v>
      </c>
      <c r="H33" s="26" t="n">
        <f aca="false">MROUND(F33*G33*IF(ISNUMBER(SEARCH("Diesel",D33)),'Fuel &amp; Inputs'!$C$4,IF(ISNUMBER(SEARCH("Petrol",D33)),'Fuel &amp; Inputs'!$C$5,0)),10)</f>
        <v>0</v>
      </c>
      <c r="I33" s="27" t="n">
        <v>500</v>
      </c>
      <c r="J33" s="27" t="n">
        <v>0</v>
      </c>
      <c r="K33" s="26" t="n">
        <f aca="false">I33+J33</f>
        <v>500</v>
      </c>
      <c r="L33" s="26" t="n">
        <f aca="false">MROUND(K33+H33,100)</f>
        <v>500</v>
      </c>
      <c r="M33" s="28" t="s">
        <v>1339</v>
      </c>
    </row>
    <row r="34" customFormat="false" ht="15" hidden="false" customHeight="true" outlineLevel="0" collapsed="false">
      <c r="A34" s="17" t="n">
        <v>27</v>
      </c>
      <c r="B34" s="18" t="s">
        <v>1340</v>
      </c>
      <c r="C34" s="32" t="s">
        <v>1341</v>
      </c>
      <c r="D34" s="32" t="s">
        <v>1342</v>
      </c>
      <c r="E34" s="32" t="s">
        <v>1343</v>
      </c>
      <c r="F34" s="19" t="n">
        <v>0</v>
      </c>
      <c r="G34" s="36" t="n">
        <v>4</v>
      </c>
      <c r="H34" s="20" t="n">
        <f aca="false">MROUND(F34*G34*IF(ISNUMBER(SEARCH("Diesel",D34)),'Fuel &amp; Inputs'!$C$4,IF(ISNUMBER(SEARCH("Petrol",D34)),'Fuel &amp; Inputs'!$C$5,0)),10)</f>
        <v>0</v>
      </c>
      <c r="I34" s="21" t="n">
        <v>3500</v>
      </c>
      <c r="J34" s="20" t="n">
        <f aca="false">'Fuel &amp; Inputs'!$C$14</f>
        <v>3500</v>
      </c>
      <c r="K34" s="20" t="n">
        <f aca="false">I34+J34</f>
        <v>7000</v>
      </c>
      <c r="L34" s="20" t="n">
        <f aca="false">MROUND(K34+H34,100)</f>
        <v>7000</v>
      </c>
      <c r="M34" s="22" t="s">
        <v>1344</v>
      </c>
    </row>
    <row r="35" customFormat="false" ht="15" hidden="false" customHeight="true" outlineLevel="0" collapsed="false">
      <c r="A35" s="23" t="n">
        <v>28</v>
      </c>
      <c r="B35" s="24" t="s">
        <v>1340</v>
      </c>
      <c r="C35" s="34" t="s">
        <v>1345</v>
      </c>
      <c r="D35" s="34" t="s">
        <v>1346</v>
      </c>
      <c r="E35" s="34" t="s">
        <v>1347</v>
      </c>
      <c r="F35" s="25" t="n">
        <v>0</v>
      </c>
      <c r="G35" s="37" t="n">
        <v>4</v>
      </c>
      <c r="H35" s="26" t="n">
        <f aca="false">MROUND(F35*G35*IF(ISNUMBER(SEARCH("Diesel",D35)),'Fuel &amp; Inputs'!$C$4,IF(ISNUMBER(SEARCH("Petrol",D35)),'Fuel &amp; Inputs'!$C$5,0)),10)</f>
        <v>0</v>
      </c>
      <c r="I35" s="27" t="n">
        <v>4500</v>
      </c>
      <c r="J35" s="26" t="n">
        <f aca="false">'Fuel &amp; Inputs'!$C$14</f>
        <v>3500</v>
      </c>
      <c r="K35" s="26" t="n">
        <f aca="false">I35+J35</f>
        <v>8000</v>
      </c>
      <c r="L35" s="26" t="n">
        <f aca="false">MROUND(K35+H35,100)</f>
        <v>8000</v>
      </c>
      <c r="M35" s="28" t="s">
        <v>1348</v>
      </c>
    </row>
    <row r="36" customFormat="false" ht="15" hidden="false" customHeight="true" outlineLevel="0" collapsed="false">
      <c r="A36" s="17" t="n">
        <v>29</v>
      </c>
      <c r="B36" s="18" t="s">
        <v>1340</v>
      </c>
      <c r="C36" s="32" t="s">
        <v>1349</v>
      </c>
      <c r="D36" s="32" t="s">
        <v>1350</v>
      </c>
      <c r="E36" s="32" t="s">
        <v>1351</v>
      </c>
      <c r="F36" s="19" t="n">
        <v>0</v>
      </c>
      <c r="G36" s="36" t="n">
        <v>4</v>
      </c>
      <c r="H36" s="20" t="n">
        <f aca="false">MROUND(F36*G36*IF(ISNUMBER(SEARCH("Diesel",D36)),'Fuel &amp; Inputs'!$C$4,IF(ISNUMBER(SEARCH("Petrol",D36)),'Fuel &amp; Inputs'!$C$5,0)),10)</f>
        <v>0</v>
      </c>
      <c r="I36" s="21" t="n">
        <v>6000</v>
      </c>
      <c r="J36" s="20" t="n">
        <f aca="false">'Fuel &amp; Inputs'!$C$14</f>
        <v>3500</v>
      </c>
      <c r="K36" s="20" t="n">
        <f aca="false">I36+J36</f>
        <v>9500</v>
      </c>
      <c r="L36" s="20" t="n">
        <f aca="false">MROUND(K36+H36,100)</f>
        <v>9500</v>
      </c>
      <c r="M36" s="22" t="s">
        <v>1352</v>
      </c>
    </row>
    <row r="37" customFormat="false" ht="15" hidden="false" customHeight="true" outlineLevel="0" collapsed="false">
      <c r="A37" s="23" t="n">
        <v>30</v>
      </c>
      <c r="B37" s="24" t="s">
        <v>1353</v>
      </c>
      <c r="C37" s="34" t="s">
        <v>1354</v>
      </c>
      <c r="D37" s="34" t="s">
        <v>1355</v>
      </c>
      <c r="E37" s="34" t="s">
        <v>1356</v>
      </c>
      <c r="F37" s="25" t="n">
        <v>0</v>
      </c>
      <c r="G37" s="37" t="n">
        <v>4</v>
      </c>
      <c r="H37" s="26" t="n">
        <f aca="false">MROUND(F37*G37*IF(ISNUMBER(SEARCH("Diesel",D37)),'Fuel &amp; Inputs'!$C$4,IF(ISNUMBER(SEARCH("Petrol",D37)),'Fuel &amp; Inputs'!$C$5,0)),10)</f>
        <v>0</v>
      </c>
      <c r="I37" s="27" t="n">
        <v>2500</v>
      </c>
      <c r="J37" s="26" t="n">
        <f aca="false">'Fuel &amp; Inputs'!$C$14</f>
        <v>3500</v>
      </c>
      <c r="K37" s="26" t="n">
        <f aca="false">I37+J37</f>
        <v>6000</v>
      </c>
      <c r="L37" s="26" t="n">
        <f aca="false">MROUND(K37+H37,100)</f>
        <v>6000</v>
      </c>
      <c r="M37" s="28" t="s">
        <v>1352</v>
      </c>
    </row>
    <row r="38" customFormat="false" ht="15" hidden="false" customHeight="true" outlineLevel="0" collapsed="false">
      <c r="A38" s="17" t="n">
        <v>31</v>
      </c>
      <c r="B38" s="18" t="s">
        <v>1357</v>
      </c>
      <c r="C38" s="32" t="s">
        <v>1341</v>
      </c>
      <c r="D38" s="32" t="s">
        <v>1342</v>
      </c>
      <c r="E38" s="32" t="s">
        <v>1358</v>
      </c>
      <c r="F38" s="19" t="n">
        <v>0</v>
      </c>
      <c r="G38" s="36" t="n">
        <v>4</v>
      </c>
      <c r="H38" s="20" t="n">
        <f aca="false">MROUND(F38*G38*IF(ISNUMBER(SEARCH("Diesel",D38)),'Fuel &amp; Inputs'!$C$4,IF(ISNUMBER(SEARCH("Petrol",D38)),'Fuel &amp; Inputs'!$C$5,0)),10)</f>
        <v>0</v>
      </c>
      <c r="I38" s="21" t="n">
        <v>3500</v>
      </c>
      <c r="J38" s="20" t="n">
        <f aca="false">'Fuel &amp; Inputs'!$C$14</f>
        <v>3500</v>
      </c>
      <c r="K38" s="20" t="n">
        <f aca="false">I38+J38</f>
        <v>7000</v>
      </c>
      <c r="L38" s="20" t="n">
        <f aca="false">MROUND(K38+H38,100)</f>
        <v>7000</v>
      </c>
      <c r="M38" s="22" t="s">
        <v>1359</v>
      </c>
    </row>
    <row r="39" customFormat="false" ht="15" hidden="false" customHeight="true" outlineLevel="0" collapsed="false">
      <c r="A39" s="23" t="n">
        <v>32</v>
      </c>
      <c r="B39" s="24" t="s">
        <v>1357</v>
      </c>
      <c r="C39" s="34" t="s">
        <v>1345</v>
      </c>
      <c r="D39" s="34" t="s">
        <v>1346</v>
      </c>
      <c r="E39" s="34" t="s">
        <v>1360</v>
      </c>
      <c r="F39" s="25" t="n">
        <v>0</v>
      </c>
      <c r="G39" s="37" t="n">
        <v>4</v>
      </c>
      <c r="H39" s="26" t="n">
        <f aca="false">MROUND(F39*G39*IF(ISNUMBER(SEARCH("Diesel",D39)),'Fuel &amp; Inputs'!$C$4,IF(ISNUMBER(SEARCH("Petrol",D39)),'Fuel &amp; Inputs'!$C$5,0)),10)</f>
        <v>0</v>
      </c>
      <c r="I39" s="27" t="n">
        <v>4500</v>
      </c>
      <c r="J39" s="26" t="n">
        <f aca="false">'Fuel &amp; Inputs'!$C$14</f>
        <v>3500</v>
      </c>
      <c r="K39" s="26" t="n">
        <f aca="false">I39+J39</f>
        <v>8000</v>
      </c>
      <c r="L39" s="26" t="n">
        <f aca="false">MROUND(K39+H39,100)</f>
        <v>8000</v>
      </c>
      <c r="M39" s="28" t="s">
        <v>1361</v>
      </c>
    </row>
    <row r="40" customFormat="false" ht="15" hidden="false" customHeight="true" outlineLevel="0" collapsed="false">
      <c r="A40" s="17" t="n">
        <v>33</v>
      </c>
      <c r="B40" s="18" t="s">
        <v>1357</v>
      </c>
      <c r="C40" s="32" t="s">
        <v>1362</v>
      </c>
      <c r="D40" s="32" t="s">
        <v>1350</v>
      </c>
      <c r="E40" s="32" t="s">
        <v>1363</v>
      </c>
      <c r="F40" s="19" t="n">
        <v>0</v>
      </c>
      <c r="G40" s="36" t="n">
        <v>4</v>
      </c>
      <c r="H40" s="20" t="n">
        <f aca="false">MROUND(F40*G40*IF(ISNUMBER(SEARCH("Diesel",D40)),'Fuel &amp; Inputs'!$C$4,IF(ISNUMBER(SEARCH("Petrol",D40)),'Fuel &amp; Inputs'!$C$5,0)),10)</f>
        <v>0</v>
      </c>
      <c r="I40" s="21" t="n">
        <v>6000</v>
      </c>
      <c r="J40" s="20" t="n">
        <f aca="false">'Fuel &amp; Inputs'!$C$14</f>
        <v>3500</v>
      </c>
      <c r="K40" s="20" t="n">
        <f aca="false">I40+J40</f>
        <v>9500</v>
      </c>
      <c r="L40" s="20" t="n">
        <f aca="false">MROUND(K40+H40,100)</f>
        <v>9500</v>
      </c>
      <c r="M40" s="22" t="s">
        <v>1364</v>
      </c>
    </row>
    <row r="41" customFormat="false" ht="15" hidden="false" customHeight="true" outlineLevel="0" collapsed="false">
      <c r="A41" s="23" t="n">
        <v>34</v>
      </c>
      <c r="B41" s="24" t="s">
        <v>1365</v>
      </c>
      <c r="C41" s="34" t="s">
        <v>1366</v>
      </c>
      <c r="D41" s="34" t="s">
        <v>1335</v>
      </c>
      <c r="E41" s="34" t="s">
        <v>1367</v>
      </c>
      <c r="F41" s="25" t="n">
        <v>1</v>
      </c>
      <c r="G41" s="37" t="n">
        <v>4</v>
      </c>
      <c r="H41" s="26" t="n">
        <f aca="false">MROUND(F41*G41*IF(ISNUMBER(SEARCH("Diesel",D41)),'Fuel &amp; Inputs'!$C$4,IF(ISNUMBER(SEARCH("Petrol",D41)),'Fuel &amp; Inputs'!$C$5,0)),10)</f>
        <v>1660</v>
      </c>
      <c r="I41" s="27" t="n">
        <v>3800</v>
      </c>
      <c r="J41" s="26" t="n">
        <f aca="false">'Fuel &amp; Inputs'!$C$14</f>
        <v>3500</v>
      </c>
      <c r="K41" s="26" t="n">
        <f aca="false">I41+J41</f>
        <v>7300</v>
      </c>
      <c r="L41" s="26" t="n">
        <f aca="false">MROUND(K41+H41,100)</f>
        <v>9000</v>
      </c>
      <c r="M41" s="28" t="s">
        <v>1328</v>
      </c>
    </row>
    <row r="42" customFormat="false" ht="15" hidden="false" customHeight="true" outlineLevel="0" collapsed="false">
      <c r="A42" s="17" t="n">
        <v>35</v>
      </c>
      <c r="B42" s="18" t="s">
        <v>1368</v>
      </c>
      <c r="C42" s="32" t="s">
        <v>1369</v>
      </c>
      <c r="D42" s="32" t="s">
        <v>1370</v>
      </c>
      <c r="E42" s="32" t="s">
        <v>1371</v>
      </c>
      <c r="F42" s="19" t="n">
        <v>0</v>
      </c>
      <c r="G42" s="36" t="n">
        <v>4</v>
      </c>
      <c r="H42" s="20" t="n">
        <f aca="false">MROUND(F42*G42*IF(ISNUMBER(SEARCH("Diesel",D42)),'Fuel &amp; Inputs'!$C$4,IF(ISNUMBER(SEARCH("Petrol",D42)),'Fuel &amp; Inputs'!$C$5,0)),10)</f>
        <v>0</v>
      </c>
      <c r="I42" s="21" t="n">
        <v>1000</v>
      </c>
      <c r="J42" s="21" t="n">
        <v>0</v>
      </c>
      <c r="K42" s="20" t="n">
        <f aca="false">I42+J42</f>
        <v>1000</v>
      </c>
      <c r="L42" s="20" t="n">
        <f aca="false">MROUND(K42+H42,100)</f>
        <v>1000</v>
      </c>
      <c r="M42" s="22" t="s">
        <v>1372</v>
      </c>
    </row>
    <row r="43" customFormat="false" ht="15" hidden="false" customHeight="true" outlineLevel="0" collapsed="false">
      <c r="A43" s="23" t="n">
        <v>36</v>
      </c>
      <c r="B43" s="24" t="s">
        <v>1368</v>
      </c>
      <c r="C43" s="34" t="s">
        <v>1373</v>
      </c>
      <c r="D43" s="34" t="s">
        <v>1355</v>
      </c>
      <c r="E43" s="34" t="s">
        <v>1374</v>
      </c>
      <c r="F43" s="25" t="n">
        <v>0</v>
      </c>
      <c r="G43" s="37" t="n">
        <v>4</v>
      </c>
      <c r="H43" s="26" t="n">
        <f aca="false">MROUND(F43*G43*IF(ISNUMBER(SEARCH("Diesel",D43)),'Fuel &amp; Inputs'!$C$4,IF(ISNUMBER(SEARCH("Petrol",D43)),'Fuel &amp; Inputs'!$C$5,0)),10)</f>
        <v>0</v>
      </c>
      <c r="I43" s="27" t="n">
        <v>1500</v>
      </c>
      <c r="J43" s="27" t="n">
        <v>0</v>
      </c>
      <c r="K43" s="26" t="n">
        <f aca="false">I43+J43</f>
        <v>1500</v>
      </c>
      <c r="L43" s="26" t="n">
        <f aca="false">MROUND(K43+H43,100)</f>
        <v>1500</v>
      </c>
      <c r="M43" s="28" t="s">
        <v>1352</v>
      </c>
    </row>
    <row r="44" customFormat="false" ht="15" hidden="false" customHeight="true" outlineLevel="0" collapsed="false">
      <c r="A44" s="17" t="n">
        <v>37</v>
      </c>
      <c r="B44" s="18" t="s">
        <v>1375</v>
      </c>
      <c r="C44" s="32" t="s">
        <v>1376</v>
      </c>
      <c r="D44" s="32" t="s">
        <v>1377</v>
      </c>
      <c r="E44" s="32" t="s">
        <v>1378</v>
      </c>
      <c r="F44" s="19" t="n">
        <v>0</v>
      </c>
      <c r="G44" s="36" t="n">
        <v>4</v>
      </c>
      <c r="H44" s="20" t="n">
        <f aca="false">MROUND(F44*G44*IF(ISNUMBER(SEARCH("Diesel",D44)),'Fuel &amp; Inputs'!$C$4,IF(ISNUMBER(SEARCH("Petrol",D44)),'Fuel &amp; Inputs'!$C$5,0)),10)</f>
        <v>0</v>
      </c>
      <c r="I44" s="21" t="n">
        <v>2700</v>
      </c>
      <c r="J44" s="20" t="n">
        <f aca="false">'Fuel &amp; Inputs'!$C$14</f>
        <v>3500</v>
      </c>
      <c r="K44" s="20" t="n">
        <f aca="false">I44+J44</f>
        <v>6200</v>
      </c>
      <c r="L44" s="20" t="n">
        <f aca="false">MROUND(K44+H44,100)</f>
        <v>6200</v>
      </c>
      <c r="M44" s="22" t="s">
        <v>1379</v>
      </c>
    </row>
    <row r="45" customFormat="false" ht="15" hidden="false" customHeight="true" outlineLevel="0" collapsed="false">
      <c r="A45" s="23" t="n">
        <v>38</v>
      </c>
      <c r="B45" s="24" t="s">
        <v>1380</v>
      </c>
      <c r="C45" s="34" t="s">
        <v>1381</v>
      </c>
      <c r="D45" s="34" t="s">
        <v>1382</v>
      </c>
      <c r="E45" s="34" t="s">
        <v>1383</v>
      </c>
      <c r="F45" s="25" t="n">
        <v>0</v>
      </c>
      <c r="G45" s="37" t="n">
        <v>4</v>
      </c>
      <c r="H45" s="26" t="n">
        <f aca="false">MROUND(F45*G45*IF(ISNUMBER(SEARCH("Diesel",D45)),'Fuel &amp; Inputs'!$C$4,IF(ISNUMBER(SEARCH("Petrol",D45)),'Fuel &amp; Inputs'!$C$5,0)),10)</f>
        <v>0</v>
      </c>
      <c r="I45" s="27" t="n">
        <v>2600</v>
      </c>
      <c r="J45" s="27" t="n">
        <v>0</v>
      </c>
      <c r="K45" s="26" t="n">
        <f aca="false">I45+J45</f>
        <v>2600</v>
      </c>
      <c r="L45" s="26" t="n">
        <f aca="false">MROUND(K45+H45,100)</f>
        <v>2600</v>
      </c>
      <c r="M45" s="28" t="s">
        <v>1384</v>
      </c>
    </row>
    <row r="46" customFormat="false" ht="15" hidden="false" customHeight="true" outlineLevel="0" collapsed="false">
      <c r="A46" s="31" t="s">
        <v>1385</v>
      </c>
      <c r="B46" s="31"/>
      <c r="C46" s="31"/>
      <c r="D46" s="31"/>
      <c r="E46" s="31"/>
      <c r="F46" s="31"/>
      <c r="G46" s="31"/>
      <c r="H46" s="31"/>
      <c r="I46" s="31"/>
      <c r="J46" s="31"/>
      <c r="K46" s="31"/>
      <c r="L46" s="31"/>
      <c r="M46" s="31"/>
    </row>
    <row r="47" customFormat="false" ht="25.5" hidden="false" customHeight="true" outlineLevel="0" collapsed="false">
      <c r="A47" s="16" t="s">
        <v>52</v>
      </c>
      <c r="B47" s="16" t="s">
        <v>1238</v>
      </c>
      <c r="C47" s="16" t="s">
        <v>1239</v>
      </c>
      <c r="D47" s="16" t="s">
        <v>1240</v>
      </c>
      <c r="E47" s="16" t="s">
        <v>1241</v>
      </c>
      <c r="F47" s="16" t="s">
        <v>1242</v>
      </c>
      <c r="G47" s="16" t="s">
        <v>1243</v>
      </c>
      <c r="H47" s="16" t="s">
        <v>1244</v>
      </c>
      <c r="I47" s="16" t="s">
        <v>1245</v>
      </c>
      <c r="J47" s="16" t="s">
        <v>1246</v>
      </c>
      <c r="K47" s="16" t="s">
        <v>1247</v>
      </c>
      <c r="L47" s="16" t="s">
        <v>1248</v>
      </c>
      <c r="M47" s="16" t="s">
        <v>1249</v>
      </c>
    </row>
    <row r="48" customFormat="false" ht="15" hidden="false" customHeight="true" outlineLevel="0" collapsed="false">
      <c r="A48" s="17" t="n">
        <v>39</v>
      </c>
      <c r="B48" s="18" t="s">
        <v>1386</v>
      </c>
      <c r="C48" s="32" t="s">
        <v>1387</v>
      </c>
      <c r="D48" s="32" t="s">
        <v>1388</v>
      </c>
      <c r="E48" s="32" t="s">
        <v>1389</v>
      </c>
      <c r="F48" s="19" t="n">
        <v>1.8</v>
      </c>
      <c r="G48" s="36" t="n">
        <v>3</v>
      </c>
      <c r="H48" s="20" t="n">
        <f aca="false">MROUND(F48*G48*IF(ISNUMBER(SEARCH("Diesel",D48)),'Fuel &amp; Inputs'!$C$4,IF(ISNUMBER(SEARCH("Petrol",D48)),'Fuel &amp; Inputs'!$C$5,0)),10)</f>
        <v>2240</v>
      </c>
      <c r="I48" s="21" t="n">
        <v>4500</v>
      </c>
      <c r="J48" s="20" t="n">
        <f aca="false">'Fuel &amp; Inputs'!$C$14</f>
        <v>3500</v>
      </c>
      <c r="K48" s="20" t="n">
        <f aca="false">I48+J48</f>
        <v>8000</v>
      </c>
      <c r="L48" s="20" t="n">
        <f aca="false">MROUND(K48+H48,100)</f>
        <v>10200</v>
      </c>
      <c r="M48" s="22" t="s">
        <v>1390</v>
      </c>
    </row>
    <row r="49" customFormat="false" ht="15" hidden="false" customHeight="true" outlineLevel="0" collapsed="false">
      <c r="A49" s="23" t="n">
        <v>40</v>
      </c>
      <c r="B49" s="24" t="s">
        <v>1386</v>
      </c>
      <c r="C49" s="34" t="s">
        <v>1391</v>
      </c>
      <c r="D49" s="34" t="s">
        <v>1388</v>
      </c>
      <c r="E49" s="34" t="s">
        <v>1392</v>
      </c>
      <c r="F49" s="25" t="n">
        <v>2</v>
      </c>
      <c r="G49" s="37" t="n">
        <v>3</v>
      </c>
      <c r="H49" s="26" t="n">
        <f aca="false">MROUND(F49*G49*IF(ISNUMBER(SEARCH("Diesel",D49)),'Fuel &amp; Inputs'!$C$4,IF(ISNUMBER(SEARCH("Petrol",D49)),'Fuel &amp; Inputs'!$C$5,0)),10)</f>
        <v>2480</v>
      </c>
      <c r="I49" s="27" t="n">
        <v>5500</v>
      </c>
      <c r="J49" s="26" t="n">
        <f aca="false">'Fuel &amp; Inputs'!$C$14</f>
        <v>3500</v>
      </c>
      <c r="K49" s="26" t="n">
        <f aca="false">I49+J49</f>
        <v>9000</v>
      </c>
      <c r="L49" s="26" t="n">
        <f aca="false">MROUND(K49+H49,100)</f>
        <v>11500</v>
      </c>
      <c r="M49" s="28" t="s">
        <v>1390</v>
      </c>
    </row>
    <row r="50" customFormat="false" ht="15" hidden="false" customHeight="true" outlineLevel="0" collapsed="false">
      <c r="A50" s="17" t="n">
        <v>41</v>
      </c>
      <c r="B50" s="18" t="s">
        <v>1386</v>
      </c>
      <c r="C50" s="32" t="s">
        <v>1393</v>
      </c>
      <c r="D50" s="32" t="s">
        <v>1256</v>
      </c>
      <c r="E50" s="32" t="s">
        <v>1394</v>
      </c>
      <c r="F50" s="19" t="n">
        <v>2.5</v>
      </c>
      <c r="G50" s="36" t="n">
        <v>3</v>
      </c>
      <c r="H50" s="20" t="n">
        <f aca="false">MROUND(F50*G50*IF(ISNUMBER(SEARCH("Diesel",D50)),'Fuel &amp; Inputs'!$C$4,IF(ISNUMBER(SEARCH("Petrol",D50)),'Fuel &amp; Inputs'!$C$5,0)),10)</f>
        <v>2870</v>
      </c>
      <c r="I50" s="21" t="n">
        <v>7500</v>
      </c>
      <c r="J50" s="20" t="n">
        <f aca="false">'Fuel &amp; Inputs'!$C$14</f>
        <v>3500</v>
      </c>
      <c r="K50" s="20" t="n">
        <f aca="false">I50+J50</f>
        <v>11000</v>
      </c>
      <c r="L50" s="20" t="n">
        <f aca="false">MROUND(K50+H50,100)</f>
        <v>13900</v>
      </c>
      <c r="M50" s="22" t="s">
        <v>1390</v>
      </c>
    </row>
    <row r="51" customFormat="false" ht="15" hidden="false" customHeight="true" outlineLevel="0" collapsed="false">
      <c r="A51" s="23" t="n">
        <v>42</v>
      </c>
      <c r="B51" s="24" t="s">
        <v>1395</v>
      </c>
      <c r="C51" s="34" t="s">
        <v>1396</v>
      </c>
      <c r="D51" s="34" t="s">
        <v>1252</v>
      </c>
      <c r="E51" s="34" t="s">
        <v>1397</v>
      </c>
      <c r="F51" s="25" t="n">
        <v>1.5</v>
      </c>
      <c r="G51" s="37" t="n">
        <v>3</v>
      </c>
      <c r="H51" s="26" t="n">
        <f aca="false">MROUND(F51*G51*IF(ISNUMBER(SEARCH("Diesel",D51)),'Fuel &amp; Inputs'!$C$4,IF(ISNUMBER(SEARCH("Petrol",D51)),'Fuel &amp; Inputs'!$C$5,0)),10)</f>
        <v>1860</v>
      </c>
      <c r="I51" s="27" t="n">
        <v>3500</v>
      </c>
      <c r="J51" s="26" t="n">
        <f aca="false">'Fuel &amp; Inputs'!$C$14</f>
        <v>3500</v>
      </c>
      <c r="K51" s="26" t="n">
        <f aca="false">I51+J51</f>
        <v>7000</v>
      </c>
      <c r="L51" s="26" t="n">
        <f aca="false">MROUND(K51+H51,100)</f>
        <v>8900</v>
      </c>
      <c r="M51" s="28" t="s">
        <v>1398</v>
      </c>
    </row>
    <row r="52" customFormat="false" ht="23.25" hidden="false" customHeight="true" outlineLevel="0" collapsed="false">
      <c r="A52" s="17" t="n">
        <v>43</v>
      </c>
      <c r="B52" s="18" t="s">
        <v>1399</v>
      </c>
      <c r="C52" s="32" t="s">
        <v>1400</v>
      </c>
      <c r="D52" s="32" t="s">
        <v>1401</v>
      </c>
      <c r="E52" s="32" t="s">
        <v>1402</v>
      </c>
      <c r="F52" s="19" t="n">
        <v>0</v>
      </c>
      <c r="G52" s="36" t="n">
        <v>2</v>
      </c>
      <c r="H52" s="20" t="n">
        <f aca="false">MROUND(F52*G52*IF(ISNUMBER(SEARCH("Diesel",D52)),'Fuel &amp; Inputs'!$C$4,IF(ISNUMBER(SEARCH("Petrol",D52)),'Fuel &amp; Inputs'!$C$5,0)),10)</f>
        <v>0</v>
      </c>
      <c r="I52" s="21" t="n">
        <v>3000</v>
      </c>
      <c r="J52" s="20" t="n">
        <f aca="false">'Fuel &amp; Inputs'!$C$14</f>
        <v>3500</v>
      </c>
      <c r="K52" s="20" t="n">
        <f aca="false">I52+J52</f>
        <v>6500</v>
      </c>
      <c r="L52" s="20" t="n">
        <f aca="false">MROUND(K52+H52,100)</f>
        <v>6500</v>
      </c>
      <c r="M52" s="22" t="s">
        <v>1403</v>
      </c>
    </row>
    <row r="53" customFormat="false" ht="23.25" hidden="false" customHeight="true" outlineLevel="0" collapsed="false">
      <c r="A53" s="23" t="n">
        <v>44</v>
      </c>
      <c r="B53" s="24" t="s">
        <v>1399</v>
      </c>
      <c r="C53" s="34" t="s">
        <v>1404</v>
      </c>
      <c r="D53" s="34" t="s">
        <v>1405</v>
      </c>
      <c r="E53" s="34" t="s">
        <v>1406</v>
      </c>
      <c r="F53" s="25" t="n">
        <v>0</v>
      </c>
      <c r="G53" s="37" t="n">
        <v>2</v>
      </c>
      <c r="H53" s="26" t="n">
        <f aca="false">MROUND(F53*G53*IF(ISNUMBER(SEARCH("Diesel",D53)),'Fuel &amp; Inputs'!$C$4,IF(ISNUMBER(SEARCH("Petrol",D53)),'Fuel &amp; Inputs'!$C$5,0)),10)</f>
        <v>0</v>
      </c>
      <c r="I53" s="27" t="n">
        <v>4500</v>
      </c>
      <c r="J53" s="26" t="n">
        <f aca="false">'Fuel &amp; Inputs'!$C$14</f>
        <v>3500</v>
      </c>
      <c r="K53" s="26" t="n">
        <f aca="false">I53+J53</f>
        <v>8000</v>
      </c>
      <c r="L53" s="26" t="n">
        <f aca="false">MROUND(K53+H53,100)</f>
        <v>8000</v>
      </c>
      <c r="M53" s="28" t="s">
        <v>1403</v>
      </c>
    </row>
    <row r="54" customFormat="false" ht="23.25" hidden="false" customHeight="true" outlineLevel="0" collapsed="false">
      <c r="A54" s="17" t="n">
        <v>45</v>
      </c>
      <c r="B54" s="18" t="s">
        <v>1399</v>
      </c>
      <c r="C54" s="32" t="s">
        <v>1407</v>
      </c>
      <c r="D54" s="32" t="s">
        <v>1408</v>
      </c>
      <c r="E54" s="32" t="s">
        <v>1409</v>
      </c>
      <c r="F54" s="19" t="n">
        <v>0</v>
      </c>
      <c r="G54" s="36" t="n">
        <v>2</v>
      </c>
      <c r="H54" s="20" t="n">
        <f aca="false">MROUND(F54*G54*IF(ISNUMBER(SEARCH("Diesel",D54)),'Fuel &amp; Inputs'!$C$4,IF(ISNUMBER(SEARCH("Petrol",D54)),'Fuel &amp; Inputs'!$C$5,0)),10)</f>
        <v>0</v>
      </c>
      <c r="I54" s="21" t="n">
        <v>7000</v>
      </c>
      <c r="J54" s="20" t="n">
        <f aca="false">'Fuel &amp; Inputs'!$C$14</f>
        <v>3500</v>
      </c>
      <c r="K54" s="20" t="n">
        <f aca="false">I54+J54</f>
        <v>10500</v>
      </c>
      <c r="L54" s="20" t="n">
        <f aca="false">MROUND(K54+H54,100)</f>
        <v>10500</v>
      </c>
      <c r="M54" s="22" t="s">
        <v>1352</v>
      </c>
    </row>
    <row r="55" customFormat="false" ht="15" hidden="false" customHeight="true" outlineLevel="0" collapsed="false">
      <c r="A55" s="23" t="n">
        <v>46</v>
      </c>
      <c r="B55" s="24" t="s">
        <v>1410</v>
      </c>
      <c r="C55" s="34" t="s">
        <v>1411</v>
      </c>
      <c r="D55" s="34" t="s">
        <v>1252</v>
      </c>
      <c r="E55" s="34" t="s">
        <v>1412</v>
      </c>
      <c r="F55" s="25" t="n">
        <v>1.2</v>
      </c>
      <c r="G55" s="37" t="n">
        <v>2</v>
      </c>
      <c r="H55" s="26" t="n">
        <f aca="false">MROUND(F55*G55*IF(ISNUMBER(SEARCH("Diesel",D55)),'Fuel &amp; Inputs'!$C$4,IF(ISNUMBER(SEARCH("Petrol",D55)),'Fuel &amp; Inputs'!$C$5,0)),10)</f>
        <v>990</v>
      </c>
      <c r="I55" s="27" t="n">
        <v>5500</v>
      </c>
      <c r="J55" s="26" t="n">
        <f aca="false">'Fuel &amp; Inputs'!$C$14</f>
        <v>3500</v>
      </c>
      <c r="K55" s="26" t="n">
        <f aca="false">I55+J55</f>
        <v>9000</v>
      </c>
      <c r="L55" s="26" t="n">
        <f aca="false">MROUND(K55+H55,100)</f>
        <v>10000</v>
      </c>
      <c r="M55" s="28" t="s">
        <v>1413</v>
      </c>
    </row>
    <row r="56" customFormat="false" ht="23.25" hidden="false" customHeight="true" outlineLevel="0" collapsed="false">
      <c r="A56" s="17" t="n">
        <v>47</v>
      </c>
      <c r="B56" s="18" t="s">
        <v>1414</v>
      </c>
      <c r="C56" s="32" t="s">
        <v>1415</v>
      </c>
      <c r="D56" s="32" t="s">
        <v>1416</v>
      </c>
      <c r="E56" s="32" t="s">
        <v>1417</v>
      </c>
      <c r="F56" s="19" t="n">
        <v>1.2</v>
      </c>
      <c r="G56" s="36" t="n">
        <v>4</v>
      </c>
      <c r="H56" s="20" t="n">
        <f aca="false">MROUND(F56*G56*IF(ISNUMBER(SEARCH("Diesel",D56)),'Fuel &amp; Inputs'!$C$4,IF(ISNUMBER(SEARCH("Petrol",D56)),'Fuel &amp; Inputs'!$C$5,0)),10)</f>
        <v>1990</v>
      </c>
      <c r="I56" s="21" t="n">
        <v>2500</v>
      </c>
      <c r="J56" s="20" t="n">
        <f aca="false">'Fuel &amp; Inputs'!$C$14</f>
        <v>3500</v>
      </c>
      <c r="K56" s="20" t="n">
        <f aca="false">I56+J56</f>
        <v>6000</v>
      </c>
      <c r="L56" s="20" t="n">
        <f aca="false">MROUND(K56+H56,100)</f>
        <v>8000</v>
      </c>
      <c r="M56" s="22" t="s">
        <v>1418</v>
      </c>
    </row>
    <row r="57" customFormat="false" ht="15" hidden="false" customHeight="true" outlineLevel="0" collapsed="false">
      <c r="A57" s="23" t="n">
        <v>48</v>
      </c>
      <c r="B57" s="24" t="s">
        <v>1419</v>
      </c>
      <c r="C57" s="34" t="s">
        <v>1420</v>
      </c>
      <c r="D57" s="34" t="s">
        <v>1252</v>
      </c>
      <c r="E57" s="34" t="s">
        <v>1421</v>
      </c>
      <c r="F57" s="25" t="n">
        <v>1</v>
      </c>
      <c r="G57" s="37" t="n">
        <v>4</v>
      </c>
      <c r="H57" s="26" t="n">
        <f aca="false">MROUND(F57*G57*IF(ISNUMBER(SEARCH("Diesel",D57)),'Fuel &amp; Inputs'!$C$4,IF(ISNUMBER(SEARCH("Petrol",D57)),'Fuel &amp; Inputs'!$C$5,0)),10)</f>
        <v>1660</v>
      </c>
      <c r="I57" s="27" t="n">
        <v>3500</v>
      </c>
      <c r="J57" s="26" t="n">
        <f aca="false">'Fuel &amp; Inputs'!$C$14</f>
        <v>3500</v>
      </c>
      <c r="K57" s="26" t="n">
        <f aca="false">I57+J57</f>
        <v>7000</v>
      </c>
      <c r="L57" s="26" t="n">
        <f aca="false">MROUND(K57+H57,100)</f>
        <v>8700</v>
      </c>
      <c r="M57" s="28" t="s">
        <v>1422</v>
      </c>
    </row>
    <row r="58" customFormat="false" ht="23.25" hidden="false" customHeight="true" outlineLevel="0" collapsed="false">
      <c r="A58" s="17" t="n">
        <v>49</v>
      </c>
      <c r="B58" s="18" t="s">
        <v>1423</v>
      </c>
      <c r="C58" s="32" t="s">
        <v>1424</v>
      </c>
      <c r="D58" s="32" t="s">
        <v>1256</v>
      </c>
      <c r="E58" s="32" t="s">
        <v>1425</v>
      </c>
      <c r="F58" s="19" t="n">
        <v>1.5</v>
      </c>
      <c r="G58" s="36" t="n">
        <v>4</v>
      </c>
      <c r="H58" s="20" t="n">
        <f aca="false">MROUND(F58*G58*IF(ISNUMBER(SEARCH("Diesel",D58)),'Fuel &amp; Inputs'!$C$4,IF(ISNUMBER(SEARCH("Petrol",D58)),'Fuel &amp; Inputs'!$C$5,0)),10)</f>
        <v>2290</v>
      </c>
      <c r="I58" s="21" t="n">
        <v>6000</v>
      </c>
      <c r="J58" s="20" t="n">
        <f aca="false">'Fuel &amp; Inputs'!$C$14</f>
        <v>3500</v>
      </c>
      <c r="K58" s="20" t="n">
        <f aca="false">I58+J58</f>
        <v>9500</v>
      </c>
      <c r="L58" s="20" t="n">
        <f aca="false">MROUND(K58+H58,100)</f>
        <v>11800</v>
      </c>
      <c r="M58" s="22" t="s">
        <v>1352</v>
      </c>
    </row>
    <row r="59" customFormat="false" ht="15" hidden="false" customHeight="true" outlineLevel="0" collapsed="false">
      <c r="A59" s="23" t="n">
        <v>50</v>
      </c>
      <c r="B59" s="24" t="s">
        <v>1426</v>
      </c>
      <c r="C59" s="34" t="s">
        <v>1427</v>
      </c>
      <c r="D59" s="34" t="s">
        <v>1256</v>
      </c>
      <c r="E59" s="34" t="s">
        <v>1428</v>
      </c>
      <c r="F59" s="25" t="n">
        <v>1.8</v>
      </c>
      <c r="G59" s="37" t="n">
        <v>4</v>
      </c>
      <c r="H59" s="26" t="n">
        <f aca="false">MROUND(F59*G59*IF(ISNUMBER(SEARCH("Diesel",D59)),'Fuel &amp; Inputs'!$C$4,IF(ISNUMBER(SEARCH("Petrol",D59)),'Fuel &amp; Inputs'!$C$5,0)),10)</f>
        <v>2750</v>
      </c>
      <c r="I59" s="27" t="n">
        <v>6500</v>
      </c>
      <c r="J59" s="26" t="n">
        <f aca="false">'Fuel &amp; Inputs'!$C$14</f>
        <v>3500</v>
      </c>
      <c r="K59" s="26" t="n">
        <f aca="false">I59+J59</f>
        <v>10000</v>
      </c>
      <c r="L59" s="26" t="n">
        <f aca="false">MROUND(K59+H59,100)</f>
        <v>12800</v>
      </c>
      <c r="M59" s="28" t="s">
        <v>1429</v>
      </c>
    </row>
    <row r="60" customFormat="false" ht="15" hidden="false" customHeight="true" outlineLevel="0" collapsed="false">
      <c r="A60" s="31" t="s">
        <v>1430</v>
      </c>
      <c r="B60" s="31"/>
      <c r="C60" s="31"/>
      <c r="D60" s="31"/>
      <c r="E60" s="31"/>
      <c r="F60" s="31"/>
      <c r="G60" s="31"/>
      <c r="H60" s="31"/>
      <c r="I60" s="31"/>
      <c r="J60" s="31"/>
      <c r="K60" s="31"/>
      <c r="L60" s="31"/>
      <c r="M60" s="31"/>
    </row>
    <row r="61" customFormat="false" ht="25.5" hidden="false" customHeight="true" outlineLevel="0" collapsed="false">
      <c r="A61" s="16" t="s">
        <v>52</v>
      </c>
      <c r="B61" s="16" t="s">
        <v>1238</v>
      </c>
      <c r="C61" s="16" t="s">
        <v>1239</v>
      </c>
      <c r="D61" s="16" t="s">
        <v>1240</v>
      </c>
      <c r="E61" s="16" t="s">
        <v>1241</v>
      </c>
      <c r="F61" s="16" t="s">
        <v>1242</v>
      </c>
      <c r="G61" s="16" t="s">
        <v>1243</v>
      </c>
      <c r="H61" s="16" t="s">
        <v>1244</v>
      </c>
      <c r="I61" s="16" t="s">
        <v>1245</v>
      </c>
      <c r="J61" s="16" t="s">
        <v>1246</v>
      </c>
      <c r="K61" s="16" t="s">
        <v>1247</v>
      </c>
      <c r="L61" s="16" t="s">
        <v>1248</v>
      </c>
      <c r="M61" s="16" t="s">
        <v>1249</v>
      </c>
    </row>
    <row r="62" customFormat="false" ht="23.25" hidden="false" customHeight="true" outlineLevel="0" collapsed="false">
      <c r="A62" s="17" t="n">
        <v>51</v>
      </c>
      <c r="B62" s="18" t="s">
        <v>1431</v>
      </c>
      <c r="C62" s="32" t="s">
        <v>1432</v>
      </c>
      <c r="D62" s="32" t="s">
        <v>1433</v>
      </c>
      <c r="E62" s="32" t="s">
        <v>1434</v>
      </c>
      <c r="F62" s="19" t="n">
        <v>0.9</v>
      </c>
      <c r="G62" s="36" t="n">
        <v>6</v>
      </c>
      <c r="H62" s="20" t="n">
        <f aca="false">MROUND(F62*G62*IF(ISNUMBER(SEARCH("Diesel",D62)),'Fuel &amp; Inputs'!$C$4,IF(ISNUMBER(SEARCH("Petrol",D62)),'Fuel &amp; Inputs'!$C$5,0)),10)</f>
        <v>2240</v>
      </c>
      <c r="I62" s="21" t="n">
        <v>1800</v>
      </c>
      <c r="J62" s="20" t="n">
        <f aca="false">'Fuel &amp; Inputs'!$C$14</f>
        <v>3500</v>
      </c>
      <c r="K62" s="20" t="n">
        <f aca="false">I62+J62</f>
        <v>5300</v>
      </c>
      <c r="L62" s="20" t="n">
        <f aca="false">MROUND(K62+H62,100)</f>
        <v>7500</v>
      </c>
      <c r="M62" s="22" t="s">
        <v>1435</v>
      </c>
    </row>
    <row r="63" customFormat="false" ht="23.25" hidden="false" customHeight="true" outlineLevel="0" collapsed="false">
      <c r="A63" s="23" t="n">
        <v>52</v>
      </c>
      <c r="B63" s="24" t="s">
        <v>1431</v>
      </c>
      <c r="C63" s="34" t="s">
        <v>1436</v>
      </c>
      <c r="D63" s="34" t="s">
        <v>1437</v>
      </c>
      <c r="E63" s="34" t="s">
        <v>1438</v>
      </c>
      <c r="F63" s="25" t="n">
        <v>1.2</v>
      </c>
      <c r="G63" s="37" t="n">
        <v>6</v>
      </c>
      <c r="H63" s="26" t="n">
        <f aca="false">MROUND(F63*G63*IF(ISNUMBER(SEARCH("Diesel",D63)),'Fuel &amp; Inputs'!$C$4,IF(ISNUMBER(SEARCH("Petrol",D63)),'Fuel &amp; Inputs'!$C$5,0)),10)</f>
        <v>2980</v>
      </c>
      <c r="I63" s="27" t="n">
        <v>2600</v>
      </c>
      <c r="J63" s="26" t="n">
        <f aca="false">'Fuel &amp; Inputs'!$C$14</f>
        <v>3500</v>
      </c>
      <c r="K63" s="26" t="n">
        <f aca="false">I63+J63</f>
        <v>6100</v>
      </c>
      <c r="L63" s="26" t="n">
        <f aca="false">MROUND(K63+H63,100)</f>
        <v>9100</v>
      </c>
      <c r="M63" s="28" t="s">
        <v>1328</v>
      </c>
    </row>
    <row r="64" customFormat="false" ht="15" hidden="false" customHeight="true" outlineLevel="0" collapsed="false">
      <c r="A64" s="17" t="n">
        <v>53</v>
      </c>
      <c r="B64" s="18" t="s">
        <v>1431</v>
      </c>
      <c r="C64" s="32" t="s">
        <v>1439</v>
      </c>
      <c r="D64" s="32" t="s">
        <v>1256</v>
      </c>
      <c r="E64" s="32" t="s">
        <v>1440</v>
      </c>
      <c r="F64" s="19" t="n">
        <v>1.6</v>
      </c>
      <c r="G64" s="36" t="n">
        <v>6</v>
      </c>
      <c r="H64" s="20" t="n">
        <f aca="false">MROUND(F64*G64*IF(ISNUMBER(SEARCH("Diesel",D64)),'Fuel &amp; Inputs'!$C$4,IF(ISNUMBER(SEARCH("Petrol",D64)),'Fuel &amp; Inputs'!$C$5,0)),10)</f>
        <v>3670</v>
      </c>
      <c r="I64" s="21" t="n">
        <v>4300</v>
      </c>
      <c r="J64" s="20" t="n">
        <f aca="false">'Fuel &amp; Inputs'!$C$14</f>
        <v>3500</v>
      </c>
      <c r="K64" s="20" t="n">
        <f aca="false">I64+J64</f>
        <v>7800</v>
      </c>
      <c r="L64" s="20" t="n">
        <f aca="false">MROUND(K64+H64,100)</f>
        <v>11500</v>
      </c>
      <c r="M64" s="22" t="s">
        <v>1328</v>
      </c>
    </row>
    <row r="65" customFormat="false" ht="15" hidden="false" customHeight="true" outlineLevel="0" collapsed="false">
      <c r="A65" s="23" t="n">
        <v>54</v>
      </c>
      <c r="B65" s="24" t="s">
        <v>1431</v>
      </c>
      <c r="C65" s="34" t="s">
        <v>1441</v>
      </c>
      <c r="D65" s="34" t="s">
        <v>1256</v>
      </c>
      <c r="E65" s="34" t="s">
        <v>1442</v>
      </c>
      <c r="F65" s="25" t="n">
        <v>3</v>
      </c>
      <c r="G65" s="37" t="n">
        <v>6</v>
      </c>
      <c r="H65" s="26" t="n">
        <f aca="false">MROUND(F65*G65*IF(ISNUMBER(SEARCH("Diesel",D65)),'Fuel &amp; Inputs'!$C$4,IF(ISNUMBER(SEARCH("Petrol",D65)),'Fuel &amp; Inputs'!$C$5,0)),10)</f>
        <v>6880</v>
      </c>
      <c r="I65" s="27" t="n">
        <v>6500</v>
      </c>
      <c r="J65" s="26" t="n">
        <f aca="false">'Fuel &amp; Inputs'!$C$14</f>
        <v>3500</v>
      </c>
      <c r="K65" s="26" t="n">
        <f aca="false">I65+J65</f>
        <v>10000</v>
      </c>
      <c r="L65" s="26" t="n">
        <f aca="false">MROUND(K65+H65,100)</f>
        <v>16900</v>
      </c>
      <c r="M65" s="28" t="s">
        <v>1443</v>
      </c>
    </row>
    <row r="66" customFormat="false" ht="15" hidden="false" customHeight="true" outlineLevel="0" collapsed="false">
      <c r="A66" s="17" t="n">
        <v>55</v>
      </c>
      <c r="B66" s="18" t="s">
        <v>1444</v>
      </c>
      <c r="C66" s="32" t="s">
        <v>1445</v>
      </c>
      <c r="D66" s="32" t="s">
        <v>1256</v>
      </c>
      <c r="E66" s="32" t="s">
        <v>1446</v>
      </c>
      <c r="F66" s="19" t="n">
        <v>1.4</v>
      </c>
      <c r="G66" s="36" t="n">
        <v>6</v>
      </c>
      <c r="H66" s="20" t="n">
        <f aca="false">MROUND(F66*G66*IF(ISNUMBER(SEARCH("Diesel",D66)),'Fuel &amp; Inputs'!$C$4,IF(ISNUMBER(SEARCH("Petrol",D66)),'Fuel &amp; Inputs'!$C$5,0)),10)</f>
        <v>3210</v>
      </c>
      <c r="I66" s="21" t="n">
        <v>3700</v>
      </c>
      <c r="J66" s="20" t="n">
        <f aca="false">'Fuel &amp; Inputs'!$C$14</f>
        <v>3500</v>
      </c>
      <c r="K66" s="20" t="n">
        <f aca="false">I66+J66</f>
        <v>7200</v>
      </c>
      <c r="L66" s="20" t="n">
        <f aca="false">MROUND(K66+H66,100)</f>
        <v>10400</v>
      </c>
      <c r="M66" s="22" t="s">
        <v>1328</v>
      </c>
    </row>
    <row r="67" customFormat="false" ht="15" hidden="false" customHeight="true" outlineLevel="0" collapsed="false">
      <c r="A67" s="23" t="n">
        <v>56</v>
      </c>
      <c r="B67" s="24" t="s">
        <v>1447</v>
      </c>
      <c r="C67" s="34" t="s">
        <v>1448</v>
      </c>
      <c r="D67" s="34" t="s">
        <v>1449</v>
      </c>
      <c r="E67" s="34" t="s">
        <v>1450</v>
      </c>
      <c r="F67" s="25" t="n">
        <v>0</v>
      </c>
      <c r="G67" s="37" t="n">
        <v>8</v>
      </c>
      <c r="H67" s="26" t="n">
        <f aca="false">MROUND(F67*G67*IF(ISNUMBER(SEARCH("Diesel",D67)),'Fuel &amp; Inputs'!$C$4,IF(ISNUMBER(SEARCH("Petrol",D67)),'Fuel &amp; Inputs'!$C$5,0)),10)</f>
        <v>0</v>
      </c>
      <c r="I67" s="27" t="n">
        <v>800</v>
      </c>
      <c r="J67" s="27" t="n">
        <v>0</v>
      </c>
      <c r="K67" s="26" t="n">
        <f aca="false">I67+J67</f>
        <v>800</v>
      </c>
      <c r="L67" s="26" t="n">
        <f aca="false">MROUND(K67+H67,100)</f>
        <v>800</v>
      </c>
      <c r="M67" s="28" t="s">
        <v>1328</v>
      </c>
    </row>
    <row r="68" customFormat="false" ht="15" hidden="false" customHeight="true" outlineLevel="0" collapsed="false">
      <c r="A68" s="17" t="n">
        <v>57</v>
      </c>
      <c r="B68" s="18" t="s">
        <v>1447</v>
      </c>
      <c r="C68" s="32" t="s">
        <v>1451</v>
      </c>
      <c r="D68" s="32" t="s">
        <v>1452</v>
      </c>
      <c r="E68" s="32" t="s">
        <v>1453</v>
      </c>
      <c r="F68" s="19" t="n">
        <v>0</v>
      </c>
      <c r="G68" s="36" t="n">
        <v>8</v>
      </c>
      <c r="H68" s="20" t="n">
        <f aca="false">MROUND(F68*G68*IF(ISNUMBER(SEARCH("Diesel",D68)),'Fuel &amp; Inputs'!$C$4,IF(ISNUMBER(SEARCH("Petrol",D68)),'Fuel &amp; Inputs'!$C$5,0)),10)</f>
        <v>0</v>
      </c>
      <c r="I68" s="21" t="n">
        <v>1300</v>
      </c>
      <c r="J68" s="21" t="n">
        <v>0</v>
      </c>
      <c r="K68" s="20" t="n">
        <f aca="false">I68+J68</f>
        <v>1300</v>
      </c>
      <c r="L68" s="20" t="n">
        <f aca="false">MROUND(K68+H68,100)</f>
        <v>1300</v>
      </c>
      <c r="M68" s="22" t="s">
        <v>1328</v>
      </c>
    </row>
    <row r="69" customFormat="false" ht="15" hidden="false" customHeight="true" outlineLevel="0" collapsed="false">
      <c r="A69" s="23" t="n">
        <v>58</v>
      </c>
      <c r="B69" s="24" t="s">
        <v>1447</v>
      </c>
      <c r="C69" s="34" t="s">
        <v>1454</v>
      </c>
      <c r="D69" s="34" t="s">
        <v>1342</v>
      </c>
      <c r="E69" s="34" t="s">
        <v>1455</v>
      </c>
      <c r="F69" s="25" t="n">
        <v>0</v>
      </c>
      <c r="G69" s="37" t="n">
        <v>8</v>
      </c>
      <c r="H69" s="26" t="n">
        <f aca="false">MROUND(F69*G69*IF(ISNUMBER(SEARCH("Diesel",D69)),'Fuel &amp; Inputs'!$C$4,IF(ISNUMBER(SEARCH("Petrol",D69)),'Fuel &amp; Inputs'!$C$5,0)),10)</f>
        <v>0</v>
      </c>
      <c r="I69" s="27" t="n">
        <v>2100</v>
      </c>
      <c r="J69" s="27" t="n">
        <v>0</v>
      </c>
      <c r="K69" s="26" t="n">
        <f aca="false">I69+J69</f>
        <v>2100</v>
      </c>
      <c r="L69" s="26" t="n">
        <f aca="false">MROUND(K69+H69,100)</f>
        <v>2100</v>
      </c>
      <c r="M69" s="28" t="s">
        <v>1328</v>
      </c>
    </row>
    <row r="70" customFormat="false" ht="15" hidden="false" customHeight="true" outlineLevel="0" collapsed="false">
      <c r="A70" s="17" t="n">
        <v>59</v>
      </c>
      <c r="B70" s="18" t="s">
        <v>1447</v>
      </c>
      <c r="C70" s="32" t="s">
        <v>1456</v>
      </c>
      <c r="D70" s="32" t="s">
        <v>1457</v>
      </c>
      <c r="E70" s="32" t="s">
        <v>1458</v>
      </c>
      <c r="F70" s="19" t="n">
        <v>0</v>
      </c>
      <c r="G70" s="36" t="n">
        <v>8</v>
      </c>
      <c r="H70" s="20" t="n">
        <f aca="false">MROUND(F70*G70*IF(ISNUMBER(SEARCH("Diesel",D70)),'Fuel &amp; Inputs'!$C$4,IF(ISNUMBER(SEARCH("Petrol",D70)),'Fuel &amp; Inputs'!$C$5,0)),10)</f>
        <v>0</v>
      </c>
      <c r="I70" s="21" t="n">
        <v>3300</v>
      </c>
      <c r="J70" s="21" t="n">
        <v>0</v>
      </c>
      <c r="K70" s="20" t="n">
        <f aca="false">I70+J70</f>
        <v>3300</v>
      </c>
      <c r="L70" s="20" t="n">
        <f aca="false">MROUND(K70+H70,100)</f>
        <v>3300</v>
      </c>
      <c r="M70" s="22" t="s">
        <v>1328</v>
      </c>
    </row>
    <row r="71" customFormat="false" ht="15" hidden="false" customHeight="true" outlineLevel="0" collapsed="false">
      <c r="A71" s="23" t="n">
        <v>60</v>
      </c>
      <c r="B71" s="24" t="s">
        <v>1447</v>
      </c>
      <c r="C71" s="34" t="s">
        <v>1459</v>
      </c>
      <c r="D71" s="34" t="s">
        <v>1460</v>
      </c>
      <c r="E71" s="34" t="s">
        <v>1461</v>
      </c>
      <c r="F71" s="25" t="n">
        <v>0</v>
      </c>
      <c r="G71" s="37" t="n">
        <v>8</v>
      </c>
      <c r="H71" s="26" t="n">
        <f aca="false">MROUND(F71*G71*IF(ISNUMBER(SEARCH("Diesel",D71)),'Fuel &amp; Inputs'!$C$4,IF(ISNUMBER(SEARCH("Petrol",D71)),'Fuel &amp; Inputs'!$C$5,0)),10)</f>
        <v>0</v>
      </c>
      <c r="I71" s="27" t="n">
        <v>6000</v>
      </c>
      <c r="J71" s="26" t="n">
        <f aca="false">'Fuel &amp; Inputs'!$C$14</f>
        <v>3500</v>
      </c>
      <c r="K71" s="26" t="n">
        <f aca="false">I71+J71</f>
        <v>9500</v>
      </c>
      <c r="L71" s="26" t="n">
        <f aca="false">MROUND(K71+H71,100)</f>
        <v>9500</v>
      </c>
      <c r="M71" s="28" t="s">
        <v>1328</v>
      </c>
    </row>
    <row r="72" customFormat="false" ht="15" hidden="false" customHeight="true" outlineLevel="0" collapsed="false">
      <c r="A72" s="17" t="n">
        <v>61</v>
      </c>
      <c r="B72" s="18" t="s">
        <v>1462</v>
      </c>
      <c r="C72" s="32" t="s">
        <v>1463</v>
      </c>
      <c r="D72" s="32" t="s">
        <v>1464</v>
      </c>
      <c r="E72" s="32" t="s">
        <v>1465</v>
      </c>
      <c r="F72" s="19" t="n">
        <v>0</v>
      </c>
      <c r="G72" s="36" t="n">
        <v>4</v>
      </c>
      <c r="H72" s="20" t="n">
        <f aca="false">MROUND(F72*G72*IF(ISNUMBER(SEARCH("Diesel",D72)),'Fuel &amp; Inputs'!$C$4,IF(ISNUMBER(SEARCH("Petrol",D72)),'Fuel &amp; Inputs'!$C$5,0)),10)</f>
        <v>0</v>
      </c>
      <c r="I72" s="21" t="n">
        <v>1500</v>
      </c>
      <c r="J72" s="21" t="n">
        <v>0</v>
      </c>
      <c r="K72" s="20" t="n">
        <f aca="false">I72+J72</f>
        <v>1500</v>
      </c>
      <c r="L72" s="20" t="n">
        <f aca="false">MROUND(K72+H72,100)</f>
        <v>1500</v>
      </c>
      <c r="M72" s="22" t="s">
        <v>1352</v>
      </c>
    </row>
    <row r="73" customFormat="false" ht="15" hidden="false" customHeight="true" outlineLevel="0" collapsed="false">
      <c r="A73" s="23" t="n">
        <v>62</v>
      </c>
      <c r="B73" s="24" t="s">
        <v>1462</v>
      </c>
      <c r="C73" s="34" t="s">
        <v>1466</v>
      </c>
      <c r="D73" s="34" t="s">
        <v>1252</v>
      </c>
      <c r="E73" s="34" t="s">
        <v>1467</v>
      </c>
      <c r="F73" s="25" t="n">
        <v>0.9</v>
      </c>
      <c r="G73" s="37" t="n">
        <v>4</v>
      </c>
      <c r="H73" s="26" t="n">
        <f aca="false">MROUND(F73*G73*IF(ISNUMBER(SEARCH("Diesel",D73)),'Fuel &amp; Inputs'!$C$4,IF(ISNUMBER(SEARCH("Petrol",D73)),'Fuel &amp; Inputs'!$C$5,0)),10)</f>
        <v>1490</v>
      </c>
      <c r="I73" s="27" t="n">
        <v>3000</v>
      </c>
      <c r="J73" s="26" t="n">
        <f aca="false">'Fuel &amp; Inputs'!$C$14</f>
        <v>3500</v>
      </c>
      <c r="K73" s="26" t="n">
        <f aca="false">I73+J73</f>
        <v>6500</v>
      </c>
      <c r="L73" s="26" t="n">
        <f aca="false">MROUND(K73+H73,100)</f>
        <v>8000</v>
      </c>
      <c r="M73" s="28" t="s">
        <v>1352</v>
      </c>
    </row>
    <row r="74" customFormat="false" ht="15" hidden="false" customHeight="true" outlineLevel="0" collapsed="false">
      <c r="A74" s="17" t="n">
        <v>63</v>
      </c>
      <c r="B74" s="18" t="s">
        <v>1462</v>
      </c>
      <c r="C74" s="32" t="s">
        <v>1468</v>
      </c>
      <c r="D74" s="32" t="s">
        <v>1256</v>
      </c>
      <c r="E74" s="32" t="s">
        <v>1469</v>
      </c>
      <c r="F74" s="19" t="n">
        <v>1.5</v>
      </c>
      <c r="G74" s="36" t="n">
        <v>4</v>
      </c>
      <c r="H74" s="20" t="n">
        <f aca="false">MROUND(F74*G74*IF(ISNUMBER(SEARCH("Diesel",D74)),'Fuel &amp; Inputs'!$C$4,IF(ISNUMBER(SEARCH("Petrol",D74)),'Fuel &amp; Inputs'!$C$5,0)),10)</f>
        <v>2290</v>
      </c>
      <c r="I74" s="21" t="n">
        <v>5000</v>
      </c>
      <c r="J74" s="20" t="n">
        <f aca="false">'Fuel &amp; Inputs'!$C$14</f>
        <v>3500</v>
      </c>
      <c r="K74" s="20" t="n">
        <f aca="false">I74+J74</f>
        <v>8500</v>
      </c>
      <c r="L74" s="20" t="n">
        <f aca="false">MROUND(K74+H74,100)</f>
        <v>10800</v>
      </c>
      <c r="M74" s="22" t="s">
        <v>1352</v>
      </c>
    </row>
    <row r="75" customFormat="false" ht="15" hidden="false" customHeight="true" outlineLevel="0" collapsed="false">
      <c r="A75" s="23" t="n">
        <v>64</v>
      </c>
      <c r="B75" s="24" t="s">
        <v>1462</v>
      </c>
      <c r="C75" s="34" t="s">
        <v>1470</v>
      </c>
      <c r="D75" s="34" t="s">
        <v>1471</v>
      </c>
      <c r="E75" s="34" t="s">
        <v>1472</v>
      </c>
      <c r="F75" s="25" t="n">
        <v>0</v>
      </c>
      <c r="G75" s="37" t="n">
        <v>2</v>
      </c>
      <c r="H75" s="26" t="n">
        <f aca="false">MROUND(F75*G75*IF(ISNUMBER(SEARCH("Diesel",D75)),'Fuel &amp; Inputs'!$C$4,IF(ISNUMBER(SEARCH("Petrol",D75)),'Fuel &amp; Inputs'!$C$5,0)),10)</f>
        <v>0</v>
      </c>
      <c r="I75" s="27" t="n">
        <v>1500</v>
      </c>
      <c r="J75" s="27" t="n">
        <v>0</v>
      </c>
      <c r="K75" s="26" t="n">
        <f aca="false">I75+J75</f>
        <v>1500</v>
      </c>
      <c r="L75" s="26" t="n">
        <f aca="false">MROUND(K75+H75,100)</f>
        <v>1500</v>
      </c>
      <c r="M75" s="28" t="s">
        <v>1473</v>
      </c>
    </row>
    <row r="76" customFormat="false" ht="15" hidden="false" customHeight="true" outlineLevel="0" collapsed="false">
      <c r="A76" s="17" t="n">
        <v>65</v>
      </c>
      <c r="B76" s="18" t="s">
        <v>1462</v>
      </c>
      <c r="C76" s="32" t="s">
        <v>1474</v>
      </c>
      <c r="D76" s="32" t="s">
        <v>1475</v>
      </c>
      <c r="E76" s="32" t="s">
        <v>1476</v>
      </c>
      <c r="F76" s="19" t="n">
        <v>0</v>
      </c>
      <c r="G76" s="36" t="n">
        <v>8</v>
      </c>
      <c r="H76" s="20" t="n">
        <f aca="false">MROUND(F76*G76*IF(ISNUMBER(SEARCH("Diesel",D76)),'Fuel &amp; Inputs'!$C$4,IF(ISNUMBER(SEARCH("Petrol",D76)),'Fuel &amp; Inputs'!$C$5,0)),10)</f>
        <v>0</v>
      </c>
      <c r="I76" s="21" t="n">
        <v>1200</v>
      </c>
      <c r="J76" s="21" t="n">
        <v>0</v>
      </c>
      <c r="K76" s="20" t="n">
        <f aca="false">I76+J76</f>
        <v>1200</v>
      </c>
      <c r="L76" s="20" t="n">
        <f aca="false">MROUND(K76+H76,100)</f>
        <v>1200</v>
      </c>
      <c r="M76" s="22" t="s">
        <v>1352</v>
      </c>
    </row>
    <row r="77" customFormat="false" ht="23.25" hidden="false" customHeight="true" outlineLevel="0" collapsed="false">
      <c r="A77" s="23" t="n">
        <v>66</v>
      </c>
      <c r="B77" s="24" t="s">
        <v>1477</v>
      </c>
      <c r="C77" s="34" t="s">
        <v>1478</v>
      </c>
      <c r="D77" s="34" t="s">
        <v>1256</v>
      </c>
      <c r="E77" s="34" t="s">
        <v>1479</v>
      </c>
      <c r="F77" s="25" t="n">
        <v>0.8</v>
      </c>
      <c r="G77" s="37" t="n">
        <v>12</v>
      </c>
      <c r="H77" s="26" t="n">
        <f aca="false">MROUND(F77*G77*IF(ISNUMBER(SEARCH("Diesel",D77)),'Fuel &amp; Inputs'!$C$4,IF(ISNUMBER(SEARCH("Petrol",D77)),'Fuel &amp; Inputs'!$C$5,0)),10)</f>
        <v>3670</v>
      </c>
      <c r="I77" s="27" t="n">
        <v>6000</v>
      </c>
      <c r="J77" s="26" t="n">
        <f aca="false">'Fuel &amp; Inputs'!$C$14</f>
        <v>3500</v>
      </c>
      <c r="K77" s="26" t="n">
        <f aca="false">I77+J77</f>
        <v>9500</v>
      </c>
      <c r="L77" s="26" t="n">
        <f aca="false">MROUND(K77+H77,100)</f>
        <v>13200</v>
      </c>
      <c r="M77" s="28" t="s">
        <v>1328</v>
      </c>
    </row>
    <row r="78" customFormat="false" ht="15" hidden="false" customHeight="true" outlineLevel="0" collapsed="false">
      <c r="A78" s="17" t="n">
        <v>67</v>
      </c>
      <c r="B78" s="18" t="s">
        <v>1477</v>
      </c>
      <c r="C78" s="32" t="s">
        <v>1480</v>
      </c>
      <c r="D78" s="32" t="s">
        <v>1256</v>
      </c>
      <c r="E78" s="32" t="s">
        <v>1481</v>
      </c>
      <c r="F78" s="19" t="n">
        <v>2</v>
      </c>
      <c r="G78" s="36" t="n">
        <v>12</v>
      </c>
      <c r="H78" s="20" t="n">
        <f aca="false">MROUND(F78*G78*IF(ISNUMBER(SEARCH("Diesel",D78)),'Fuel &amp; Inputs'!$C$4,IF(ISNUMBER(SEARCH("Petrol",D78)),'Fuel &amp; Inputs'!$C$5,0)),10)</f>
        <v>9170</v>
      </c>
      <c r="I78" s="21" t="n">
        <v>8000</v>
      </c>
      <c r="J78" s="20" t="n">
        <f aca="false">'Fuel &amp; Inputs'!$C$14</f>
        <v>3500</v>
      </c>
      <c r="K78" s="20" t="n">
        <f aca="false">I78+J78</f>
        <v>11500</v>
      </c>
      <c r="L78" s="20" t="n">
        <f aca="false">MROUND(K78+H78,100)</f>
        <v>20700</v>
      </c>
      <c r="M78" s="22" t="s">
        <v>1328</v>
      </c>
    </row>
    <row r="79" customFormat="false" ht="15" hidden="false" customHeight="true" outlineLevel="0" collapsed="false">
      <c r="A79" s="23" t="n">
        <v>68</v>
      </c>
      <c r="B79" s="24" t="s">
        <v>1477</v>
      </c>
      <c r="C79" s="34" t="s">
        <v>1482</v>
      </c>
      <c r="D79" s="34" t="s">
        <v>1483</v>
      </c>
      <c r="E79" s="34" t="s">
        <v>1484</v>
      </c>
      <c r="F79" s="25" t="n">
        <v>0</v>
      </c>
      <c r="G79" s="37" t="n">
        <v>12</v>
      </c>
      <c r="H79" s="26" t="n">
        <f aca="false">MROUND(F79*G79*IF(ISNUMBER(SEARCH("Diesel",D79)),'Fuel &amp; Inputs'!$C$4,IF(ISNUMBER(SEARCH("Petrol",D79)),'Fuel &amp; Inputs'!$C$5,0)),10)</f>
        <v>0</v>
      </c>
      <c r="I79" s="27" t="n">
        <v>600</v>
      </c>
      <c r="J79" s="27" t="n">
        <v>0</v>
      </c>
      <c r="K79" s="26" t="n">
        <f aca="false">I79+J79</f>
        <v>600</v>
      </c>
      <c r="L79" s="26" t="n">
        <f aca="false">MROUND(K79+H79,100)</f>
        <v>600</v>
      </c>
      <c r="M79" s="28" t="s">
        <v>1352</v>
      </c>
    </row>
    <row r="80" customFormat="false" ht="15" hidden="false" customHeight="true" outlineLevel="0" collapsed="false">
      <c r="A80" s="31" t="s">
        <v>1485</v>
      </c>
      <c r="B80" s="31"/>
      <c r="C80" s="31"/>
      <c r="D80" s="31"/>
      <c r="E80" s="31"/>
      <c r="F80" s="31"/>
      <c r="G80" s="31"/>
      <c r="H80" s="31"/>
      <c r="I80" s="31"/>
      <c r="J80" s="31"/>
      <c r="K80" s="31"/>
      <c r="L80" s="31"/>
      <c r="M80" s="31"/>
    </row>
    <row r="81" customFormat="false" ht="25.5" hidden="false" customHeight="true" outlineLevel="0" collapsed="false">
      <c r="A81" s="16" t="s">
        <v>52</v>
      </c>
      <c r="B81" s="16" t="s">
        <v>1238</v>
      </c>
      <c r="C81" s="16" t="s">
        <v>1239</v>
      </c>
      <c r="D81" s="16" t="s">
        <v>1240</v>
      </c>
      <c r="E81" s="16" t="s">
        <v>1241</v>
      </c>
      <c r="F81" s="16" t="s">
        <v>1242</v>
      </c>
      <c r="G81" s="16" t="s">
        <v>1243</v>
      </c>
      <c r="H81" s="16" t="s">
        <v>1244</v>
      </c>
      <c r="I81" s="16" t="s">
        <v>1245</v>
      </c>
      <c r="J81" s="16" t="s">
        <v>1246</v>
      </c>
      <c r="K81" s="16" t="s">
        <v>1247</v>
      </c>
      <c r="L81" s="16" t="s">
        <v>1248</v>
      </c>
      <c r="M81" s="16" t="s">
        <v>1249</v>
      </c>
    </row>
    <row r="82" customFormat="false" ht="15" hidden="false" customHeight="true" outlineLevel="0" collapsed="false">
      <c r="A82" s="17" t="n">
        <v>69</v>
      </c>
      <c r="B82" s="18" t="s">
        <v>1486</v>
      </c>
      <c r="C82" s="32" t="s">
        <v>1487</v>
      </c>
      <c r="D82" s="32" t="s">
        <v>1488</v>
      </c>
      <c r="E82" s="32" t="s">
        <v>1489</v>
      </c>
      <c r="F82" s="19" t="n">
        <v>0</v>
      </c>
      <c r="G82" s="36" t="n">
        <v>4</v>
      </c>
      <c r="H82" s="20" t="n">
        <f aca="false">MROUND(F82*G82*IF(ISNUMBER(SEARCH("Diesel",D82)),'Fuel &amp; Inputs'!$C$4,IF(ISNUMBER(SEARCH("Petrol",D82)),'Fuel &amp; Inputs'!$C$5,0)),10)</f>
        <v>0</v>
      </c>
      <c r="I82" s="21" t="n">
        <v>800</v>
      </c>
      <c r="J82" s="21" t="n">
        <v>0</v>
      </c>
      <c r="K82" s="20" t="n">
        <f aca="false">I82+J82</f>
        <v>800</v>
      </c>
      <c r="L82" s="20" t="n">
        <f aca="false">MROUND(K82+H82,100)</f>
        <v>800</v>
      </c>
      <c r="M82" s="22" t="s">
        <v>1328</v>
      </c>
    </row>
    <row r="83" customFormat="false" ht="15" hidden="false" customHeight="true" outlineLevel="0" collapsed="false">
      <c r="A83" s="23" t="n">
        <v>70</v>
      </c>
      <c r="B83" s="24" t="s">
        <v>1486</v>
      </c>
      <c r="C83" s="34" t="s">
        <v>1490</v>
      </c>
      <c r="D83" s="34" t="s">
        <v>1491</v>
      </c>
      <c r="E83" s="34" t="s">
        <v>1492</v>
      </c>
      <c r="F83" s="25" t="n">
        <v>0</v>
      </c>
      <c r="G83" s="37" t="n">
        <v>4</v>
      </c>
      <c r="H83" s="26" t="n">
        <f aca="false">MROUND(F83*G83*IF(ISNUMBER(SEARCH("Diesel",D83)),'Fuel &amp; Inputs'!$C$4,IF(ISNUMBER(SEARCH("Petrol",D83)),'Fuel &amp; Inputs'!$C$5,0)),10)</f>
        <v>0</v>
      </c>
      <c r="I83" s="27" t="n">
        <v>1100</v>
      </c>
      <c r="J83" s="27" t="n">
        <v>0</v>
      </c>
      <c r="K83" s="26" t="n">
        <f aca="false">I83+J83</f>
        <v>1100</v>
      </c>
      <c r="L83" s="26" t="n">
        <f aca="false">MROUND(K83+H83,100)</f>
        <v>1100</v>
      </c>
      <c r="M83" s="28" t="s">
        <v>1328</v>
      </c>
    </row>
    <row r="84" customFormat="false" ht="15" hidden="false" customHeight="true" outlineLevel="0" collapsed="false">
      <c r="A84" s="17" t="n">
        <v>71</v>
      </c>
      <c r="B84" s="18" t="s">
        <v>1493</v>
      </c>
      <c r="C84" s="32" t="s">
        <v>1494</v>
      </c>
      <c r="D84" s="32" t="s">
        <v>1495</v>
      </c>
      <c r="E84" s="32" t="s">
        <v>1496</v>
      </c>
      <c r="F84" s="19" t="n">
        <v>0</v>
      </c>
      <c r="G84" s="36" t="n">
        <v>4</v>
      </c>
      <c r="H84" s="20" t="n">
        <f aca="false">MROUND(F84*G84*IF(ISNUMBER(SEARCH("Diesel",D84)),'Fuel &amp; Inputs'!$C$4,IF(ISNUMBER(SEARCH("Petrol",D84)),'Fuel &amp; Inputs'!$C$5,0)),10)</f>
        <v>0</v>
      </c>
      <c r="I84" s="21" t="n">
        <v>550</v>
      </c>
      <c r="J84" s="21" t="n">
        <v>0</v>
      </c>
      <c r="K84" s="20" t="n">
        <f aca="false">I84+J84</f>
        <v>550</v>
      </c>
      <c r="L84" s="20" t="n">
        <f aca="false">MROUND(K84+H84,100)</f>
        <v>600</v>
      </c>
      <c r="M84" s="22" t="s">
        <v>1328</v>
      </c>
    </row>
    <row r="85" customFormat="false" ht="15" hidden="false" customHeight="true" outlineLevel="0" collapsed="false">
      <c r="A85" s="23" t="n">
        <v>72</v>
      </c>
      <c r="B85" s="24" t="s">
        <v>1493</v>
      </c>
      <c r="C85" s="34" t="s">
        <v>1497</v>
      </c>
      <c r="D85" s="34" t="s">
        <v>1342</v>
      </c>
      <c r="E85" s="34" t="s">
        <v>1498</v>
      </c>
      <c r="F85" s="25" t="n">
        <v>0</v>
      </c>
      <c r="G85" s="37" t="n">
        <v>4</v>
      </c>
      <c r="H85" s="26" t="n">
        <f aca="false">MROUND(F85*G85*IF(ISNUMBER(SEARCH("Diesel",D85)),'Fuel &amp; Inputs'!$C$4,IF(ISNUMBER(SEARCH("Petrol",D85)),'Fuel &amp; Inputs'!$C$5,0)),10)</f>
        <v>0</v>
      </c>
      <c r="I85" s="27" t="n">
        <v>950</v>
      </c>
      <c r="J85" s="27" t="n">
        <v>0</v>
      </c>
      <c r="K85" s="26" t="n">
        <f aca="false">I85+J85</f>
        <v>950</v>
      </c>
      <c r="L85" s="26" t="n">
        <f aca="false">MROUND(K85+H85,100)</f>
        <v>1000</v>
      </c>
      <c r="M85" s="28" t="s">
        <v>1328</v>
      </c>
    </row>
    <row r="86" customFormat="false" ht="15" hidden="false" customHeight="true" outlineLevel="0" collapsed="false">
      <c r="A86" s="17" t="n">
        <v>73</v>
      </c>
      <c r="B86" s="18" t="s">
        <v>1499</v>
      </c>
      <c r="C86" s="32" t="s">
        <v>1500</v>
      </c>
      <c r="D86" s="32" t="s">
        <v>1501</v>
      </c>
      <c r="E86" s="32" t="s">
        <v>1502</v>
      </c>
      <c r="F86" s="19" t="n">
        <v>0</v>
      </c>
      <c r="G86" s="36" t="n">
        <v>4</v>
      </c>
      <c r="H86" s="20" t="n">
        <f aca="false">MROUND(F86*G86*IF(ISNUMBER(SEARCH("Diesel",D86)),'Fuel &amp; Inputs'!$C$4,IF(ISNUMBER(SEARCH("Petrol",D86)),'Fuel &amp; Inputs'!$C$5,0)),10)</f>
        <v>0</v>
      </c>
      <c r="I86" s="21" t="n">
        <v>450</v>
      </c>
      <c r="J86" s="21" t="n">
        <v>0</v>
      </c>
      <c r="K86" s="20" t="n">
        <f aca="false">I86+J86</f>
        <v>450</v>
      </c>
      <c r="L86" s="20" t="n">
        <f aca="false">MROUND(K86+H86,100)</f>
        <v>500</v>
      </c>
      <c r="M86" s="22" t="s">
        <v>1503</v>
      </c>
    </row>
    <row r="87" customFormat="false" ht="15" hidden="false" customHeight="true" outlineLevel="0" collapsed="false">
      <c r="A87" s="23" t="n">
        <v>74</v>
      </c>
      <c r="B87" s="24" t="s">
        <v>1504</v>
      </c>
      <c r="C87" s="34" t="s">
        <v>1505</v>
      </c>
      <c r="D87" s="34" t="s">
        <v>1452</v>
      </c>
      <c r="E87" s="34" t="s">
        <v>1506</v>
      </c>
      <c r="F87" s="25" t="n">
        <v>0</v>
      </c>
      <c r="G87" s="37" t="n">
        <v>4</v>
      </c>
      <c r="H87" s="26" t="n">
        <f aca="false">MROUND(F87*G87*IF(ISNUMBER(SEARCH("Diesel",D87)),'Fuel &amp; Inputs'!$C$4,IF(ISNUMBER(SEARCH("Petrol",D87)),'Fuel &amp; Inputs'!$C$5,0)),10)</f>
        <v>0</v>
      </c>
      <c r="I87" s="27" t="n">
        <v>4000</v>
      </c>
      <c r="J87" s="26" t="n">
        <f aca="false">'Fuel &amp; Inputs'!$C$14</f>
        <v>3500</v>
      </c>
      <c r="K87" s="26" t="n">
        <f aca="false">I87+J87</f>
        <v>7500</v>
      </c>
      <c r="L87" s="26" t="n">
        <f aca="false">MROUND(K87+H87,100)</f>
        <v>7500</v>
      </c>
      <c r="M87" s="28" t="s">
        <v>1507</v>
      </c>
    </row>
    <row r="88" customFormat="false" ht="15" hidden="false" customHeight="true" outlineLevel="0" collapsed="false">
      <c r="A88" s="17" t="n">
        <v>75</v>
      </c>
      <c r="B88" s="18" t="s">
        <v>1508</v>
      </c>
      <c r="C88" s="32" t="s">
        <v>1509</v>
      </c>
      <c r="D88" s="32" t="s">
        <v>1483</v>
      </c>
      <c r="E88" s="32" t="s">
        <v>1510</v>
      </c>
      <c r="F88" s="19" t="n">
        <v>0</v>
      </c>
      <c r="G88" s="36" t="n">
        <v>4</v>
      </c>
      <c r="H88" s="20" t="n">
        <f aca="false">MROUND(F88*G88*IF(ISNUMBER(SEARCH("Diesel",D88)),'Fuel &amp; Inputs'!$C$4,IF(ISNUMBER(SEARCH("Petrol",D88)),'Fuel &amp; Inputs'!$C$5,0)),10)</f>
        <v>0</v>
      </c>
      <c r="I88" s="21" t="n">
        <v>3500</v>
      </c>
      <c r="J88" s="20" t="n">
        <f aca="false">'Fuel &amp; Inputs'!$C$14</f>
        <v>3500</v>
      </c>
      <c r="K88" s="20" t="n">
        <f aca="false">I88+J88</f>
        <v>7000</v>
      </c>
      <c r="L88" s="20" t="n">
        <f aca="false">MROUND(K88+H88,100)</f>
        <v>7000</v>
      </c>
      <c r="M88" s="22" t="s">
        <v>1511</v>
      </c>
    </row>
    <row r="89" customFormat="false" ht="15" hidden="false" customHeight="true" outlineLevel="0" collapsed="false">
      <c r="A89" s="23" t="n">
        <v>76</v>
      </c>
      <c r="B89" s="24" t="s">
        <v>1512</v>
      </c>
      <c r="C89" s="34" t="s">
        <v>1513</v>
      </c>
      <c r="D89" s="34" t="s">
        <v>1483</v>
      </c>
      <c r="E89" s="34" t="s">
        <v>1514</v>
      </c>
      <c r="F89" s="25" t="n">
        <v>0</v>
      </c>
      <c r="G89" s="37" t="n">
        <v>8</v>
      </c>
      <c r="H89" s="26" t="n">
        <f aca="false">MROUND(F89*G89*IF(ISNUMBER(SEARCH("Diesel",D89)),'Fuel &amp; Inputs'!$C$4,IF(ISNUMBER(SEARCH("Petrol",D89)),'Fuel &amp; Inputs'!$C$5,0)),10)</f>
        <v>0</v>
      </c>
      <c r="I89" s="27" t="n">
        <v>500</v>
      </c>
      <c r="J89" s="27" t="n">
        <v>0</v>
      </c>
      <c r="K89" s="26" t="n">
        <f aca="false">I89+J89</f>
        <v>500</v>
      </c>
      <c r="L89" s="26" t="n">
        <f aca="false">MROUND(K89+H89,100)</f>
        <v>500</v>
      </c>
      <c r="M89" s="28" t="s">
        <v>1515</v>
      </c>
    </row>
    <row r="91" customFormat="false" ht="15" hidden="false" customHeight="true" outlineLevel="0" collapsed="false">
      <c r="B91" s="11" t="s">
        <v>1516</v>
      </c>
    </row>
  </sheetData>
  <mergeCells count="5">
    <mergeCell ref="A4:M4"/>
    <mergeCell ref="A26:M26"/>
    <mergeCell ref="A46:M46"/>
    <mergeCell ref="A60:M60"/>
    <mergeCell ref="A80:M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22"/>
    <col collapsed="false" customWidth="true" hidden="false" outlineLevel="0" max="5" min="4" style="1" width="16"/>
    <col collapsed="false" customWidth="true" hidden="false" outlineLevel="0" max="6" min="6" style="1" width="14"/>
    <col collapsed="false" customWidth="true" hidden="false" outlineLevel="0" max="7" min="7" style="1" width="52"/>
    <col collapsed="false" customWidth="true" hidden="false" outlineLevel="0" max="8" min="8" style="1" width="14"/>
  </cols>
  <sheetData>
    <row r="1" customFormat="false" ht="17.25" hidden="false" customHeight="true" outlineLevel="0" collapsed="false">
      <c r="A1" s="7" t="s">
        <v>1517</v>
      </c>
    </row>
    <row r="2" customFormat="false" ht="15" hidden="false" customHeight="true" outlineLevel="0" collapsed="false">
      <c r="A2" s="11" t="s">
        <v>1518</v>
      </c>
    </row>
    <row r="4" customFormat="false" ht="15" hidden="false" customHeight="true" outlineLevel="0" collapsed="false">
      <c r="A4" s="8" t="s">
        <v>1519</v>
      </c>
    </row>
    <row r="5" customFormat="false" ht="15" hidden="false" customHeight="true" outlineLevel="0" collapsed="false">
      <c r="A5" s="9" t="s">
        <v>1520</v>
      </c>
    </row>
    <row r="6" customFormat="false" ht="15" hidden="false" customHeight="true" outlineLevel="0" collapsed="false">
      <c r="A6" s="9" t="s">
        <v>1521</v>
      </c>
    </row>
    <row r="7" customFormat="false" ht="15" hidden="false" customHeight="true" outlineLevel="0" collapsed="false">
      <c r="A7" s="9" t="s">
        <v>1522</v>
      </c>
    </row>
    <row r="8" customFormat="false" ht="15" hidden="false" customHeight="true" outlineLevel="0" collapsed="false">
      <c r="A8" s="9" t="s">
        <v>1523</v>
      </c>
    </row>
    <row r="10" customFormat="false" ht="15" hidden="false" customHeight="true" outlineLevel="0" collapsed="false">
      <c r="A10" s="8" t="s">
        <v>1524</v>
      </c>
    </row>
    <row r="11" customFormat="false" ht="15" hidden="false" customHeight="true" outlineLevel="0" collapsed="false">
      <c r="A11" s="16" t="s">
        <v>53</v>
      </c>
      <c r="B11" s="16" t="s">
        <v>1525</v>
      </c>
      <c r="C11" s="16" t="s">
        <v>1526</v>
      </c>
      <c r="D11" s="16" t="s">
        <v>1527</v>
      </c>
      <c r="E11" s="16" t="s">
        <v>1528</v>
      </c>
      <c r="F11" s="16" t="s">
        <v>1529</v>
      </c>
      <c r="G11" s="16" t="s">
        <v>1530</v>
      </c>
      <c r="H11" s="16" t="s">
        <v>1531</v>
      </c>
    </row>
    <row r="12" customFormat="false" ht="15" hidden="false" customHeight="true" outlineLevel="0" collapsed="false">
      <c r="A12" s="32" t="s">
        <v>68</v>
      </c>
      <c r="B12" s="38" t="n">
        <f aca="false">'Fleet Price Sheet'!G5</f>
        <v>4150</v>
      </c>
      <c r="C12" s="21" t="n">
        <v>2500</v>
      </c>
      <c r="D12" s="21" t="n">
        <v>3500</v>
      </c>
      <c r="E12" s="21" t="n">
        <v>6050</v>
      </c>
      <c r="F12" s="39" t="n">
        <f aca="false">(B12-C12)/C12</f>
        <v>0.66</v>
      </c>
      <c r="G12" s="39" t="n">
        <f aca="false">(E12-B12)/E12</f>
        <v>0.31404958677686</v>
      </c>
      <c r="H12" s="17" t="str">
        <f aca="false">IF(B12&gt;E12*0.88,"UPPER",IF(B12&lt;C12*1.1,"LOWER","MID-MARKET"))</f>
        <v>MID-MARKET</v>
      </c>
    </row>
    <row r="13" customFormat="false" ht="15" hidden="false" customHeight="true" outlineLevel="0" collapsed="false">
      <c r="A13" s="34" t="s">
        <v>70</v>
      </c>
      <c r="B13" s="40" t="n">
        <f aca="false">'Fleet Price Sheet'!G6</f>
        <v>8450</v>
      </c>
      <c r="C13" s="27" t="n">
        <v>5000</v>
      </c>
      <c r="D13" s="27" t="n">
        <v>8500</v>
      </c>
      <c r="E13" s="27" t="n">
        <v>15760</v>
      </c>
      <c r="F13" s="41" t="n">
        <f aca="false">(B13-C13)/C13</f>
        <v>0.69</v>
      </c>
      <c r="G13" s="41" t="n">
        <f aca="false">(E13-B13)/E13</f>
        <v>0.463832487309645</v>
      </c>
      <c r="H13" s="23" t="str">
        <f aca="false">IF(B13&gt;E13*0.88,"UPPER",IF(B13&lt;C13*1.1,"LOWER","MID-MARKET"))</f>
        <v>MID-MARKET</v>
      </c>
    </row>
    <row r="14" customFormat="false" ht="15" hidden="false" customHeight="true" outlineLevel="0" collapsed="false">
      <c r="A14" s="32" t="s">
        <v>72</v>
      </c>
      <c r="B14" s="38" t="n">
        <f aca="false">'Fleet Price Sheet'!G7</f>
        <v>4850</v>
      </c>
      <c r="C14" s="21" t="n">
        <v>3500</v>
      </c>
      <c r="D14" s="21" t="n">
        <v>4500</v>
      </c>
      <c r="E14" s="21" t="n">
        <v>5500</v>
      </c>
      <c r="F14" s="39" t="n">
        <f aca="false">(B14-C14)/C14</f>
        <v>0.385714285714286</v>
      </c>
      <c r="G14" s="39" t="n">
        <f aca="false">(E14-B14)/E14</f>
        <v>0.118181818181818</v>
      </c>
      <c r="H14" s="17" t="str">
        <f aca="false">IF(B14&gt;E14*0.88,"UPPER",IF(B14&lt;C14*1.1,"LOWER","MID-MARKET"))</f>
        <v>UPPER</v>
      </c>
    </row>
    <row r="15" customFormat="false" ht="15" hidden="false" customHeight="true" outlineLevel="0" collapsed="false">
      <c r="A15" s="34" t="s">
        <v>74</v>
      </c>
      <c r="B15" s="40" t="n">
        <f aca="false">'Fleet Price Sheet'!G8</f>
        <v>5300</v>
      </c>
      <c r="C15" s="27" t="n">
        <v>4500</v>
      </c>
      <c r="D15" s="27" t="n">
        <v>5200</v>
      </c>
      <c r="E15" s="27" t="n">
        <v>6000</v>
      </c>
      <c r="F15" s="41" t="n">
        <f aca="false">(B15-C15)/C15</f>
        <v>0.177777777777778</v>
      </c>
      <c r="G15" s="41" t="n">
        <f aca="false">(E15-B15)/E15</f>
        <v>0.116666666666667</v>
      </c>
      <c r="H15" s="23" t="str">
        <f aca="false">IF(B15&gt;E15*0.88,"UPPER",IF(B15&lt;C15*1.1,"LOWER","MID-MARKET"))</f>
        <v>UPPER</v>
      </c>
    </row>
    <row r="16" customFormat="false" ht="15" hidden="false" customHeight="true" outlineLevel="0" collapsed="false">
      <c r="A16" s="32" t="s">
        <v>76</v>
      </c>
      <c r="B16" s="38" t="n">
        <f aca="false">'Fleet Price Sheet'!G9</f>
        <v>4600</v>
      </c>
      <c r="C16" s="21" t="n">
        <v>2500</v>
      </c>
      <c r="D16" s="21" t="n">
        <v>3500</v>
      </c>
      <c r="E16" s="21" t="n">
        <v>5230</v>
      </c>
      <c r="F16" s="39" t="n">
        <f aca="false">(B16-C16)/C16</f>
        <v>0.84</v>
      </c>
      <c r="G16" s="39" t="n">
        <f aca="false">(E16-B16)/E16</f>
        <v>0.120458891013384</v>
      </c>
      <c r="H16" s="17" t="str">
        <f aca="false">IF(B16&gt;E16*0.88,"UPPER",IF(B16&lt;C16*1.1,"LOWER","MID-MARKET"))</f>
        <v>MID-MARKET</v>
      </c>
    </row>
    <row r="17" customFormat="false" ht="15" hidden="false" customHeight="true" outlineLevel="0" collapsed="false">
      <c r="A17" s="34" t="s">
        <v>78</v>
      </c>
      <c r="B17" s="40" t="n">
        <f aca="false">'Fleet Price Sheet'!G10</f>
        <v>3900</v>
      </c>
      <c r="C17" s="27" t="n">
        <v>3000</v>
      </c>
      <c r="D17" s="27" t="n">
        <v>4000</v>
      </c>
      <c r="E17" s="27" t="n">
        <v>5000</v>
      </c>
      <c r="F17" s="41" t="n">
        <f aca="false">(B17-C17)/C17</f>
        <v>0.3</v>
      </c>
      <c r="G17" s="41" t="n">
        <f aca="false">(E17-B17)/E17</f>
        <v>0.22</v>
      </c>
      <c r="H17" s="23" t="str">
        <f aca="false">IF(B17&gt;E17*0.88,"UPPER",IF(B17&lt;C17*1.1,"LOWER","MID-MARKET"))</f>
        <v>MID-MARKET</v>
      </c>
    </row>
    <row r="18" customFormat="false" ht="15" hidden="false" customHeight="true" outlineLevel="0" collapsed="false">
      <c r="A18" s="32" t="s">
        <v>80</v>
      </c>
      <c r="B18" s="38" t="n">
        <f aca="false">'Fleet Price Sheet'!G11</f>
        <v>3950</v>
      </c>
      <c r="C18" s="21" t="n">
        <v>3000</v>
      </c>
      <c r="D18" s="21" t="n">
        <v>3800</v>
      </c>
      <c r="E18" s="21" t="n">
        <v>4500</v>
      </c>
      <c r="F18" s="39" t="n">
        <f aca="false">(B18-C18)/C18</f>
        <v>0.316666666666667</v>
      </c>
      <c r="G18" s="39" t="n">
        <f aca="false">(E18-B18)/E18</f>
        <v>0.122222222222222</v>
      </c>
      <c r="H18" s="17" t="str">
        <f aca="false">IF(B18&gt;E18*0.88,"UPPER",IF(B18&lt;C18*1.1,"LOWER","MID-MARKET"))</f>
        <v>MID-MARKET</v>
      </c>
    </row>
    <row r="19" customFormat="false" ht="15" hidden="false" customHeight="true" outlineLevel="0" collapsed="false">
      <c r="A19" s="34" t="s">
        <v>82</v>
      </c>
      <c r="B19" s="40" t="n">
        <f aca="false">'Fleet Price Sheet'!G12</f>
        <v>9650</v>
      </c>
      <c r="C19" s="27" t="n">
        <v>7000</v>
      </c>
      <c r="D19" s="27" t="n">
        <v>8500</v>
      </c>
      <c r="E19" s="27" t="n">
        <v>11000</v>
      </c>
      <c r="F19" s="41" t="n">
        <f aca="false">(B19-C19)/C19</f>
        <v>0.378571428571429</v>
      </c>
      <c r="G19" s="41" t="n">
        <f aca="false">(E19-B19)/E19</f>
        <v>0.122727272727273</v>
      </c>
      <c r="H19" s="23" t="str">
        <f aca="false">IF(B19&gt;E19*0.88,"UPPER",IF(B19&lt;C19*1.1,"LOWER","MID-MARKET"))</f>
        <v>MID-MARKET</v>
      </c>
    </row>
    <row r="20" customFormat="false" ht="15" hidden="false" customHeight="true" outlineLevel="0" collapsed="false">
      <c r="A20" s="32" t="s">
        <v>84</v>
      </c>
      <c r="B20" s="38" t="n">
        <f aca="false">'Fleet Price Sheet'!G13</f>
        <v>2700</v>
      </c>
      <c r="C20" s="21" t="n">
        <v>2000</v>
      </c>
      <c r="D20" s="21" t="n">
        <v>2500</v>
      </c>
      <c r="E20" s="21" t="n">
        <v>3060</v>
      </c>
      <c r="F20" s="39" t="n">
        <f aca="false">(B20-C20)/C20</f>
        <v>0.35</v>
      </c>
      <c r="G20" s="39" t="n">
        <f aca="false">(E20-B20)/E20</f>
        <v>0.117647058823529</v>
      </c>
      <c r="H20" s="17" t="str">
        <f aca="false">IF(B20&gt;E20*0.88,"UPPER",IF(B20&lt;C20*1.1,"LOWER","MID-MARKET"))</f>
        <v>UPPER</v>
      </c>
    </row>
    <row r="21" customFormat="false" ht="15" hidden="false" customHeight="true" outlineLevel="0" collapsed="false">
      <c r="A21" s="34" t="s">
        <v>86</v>
      </c>
      <c r="B21" s="40" t="n">
        <f aca="false">'Fleet Price Sheet'!G14</f>
        <v>8050</v>
      </c>
      <c r="C21" s="27" t="n">
        <v>7000</v>
      </c>
      <c r="D21" s="27" t="n">
        <v>8500</v>
      </c>
      <c r="E21" s="27" t="n">
        <v>10000</v>
      </c>
      <c r="F21" s="41" t="n">
        <f aca="false">(B21-C21)/C21</f>
        <v>0.15</v>
      </c>
      <c r="G21" s="41" t="n">
        <f aca="false">(E21-B21)/E21</f>
        <v>0.195</v>
      </c>
      <c r="H21" s="23" t="str">
        <f aca="false">IF(B21&gt;E21*0.88,"UPPER",IF(B21&lt;C21*1.1,"LOWER","MID-MARKET"))</f>
        <v>MID-MARKET</v>
      </c>
    </row>
    <row r="22" customFormat="false" ht="15" hidden="false" customHeight="true" outlineLevel="0" collapsed="false">
      <c r="A22" s="32" t="s">
        <v>88</v>
      </c>
      <c r="B22" s="38" t="n">
        <f aca="false">'Fleet Price Sheet'!G15</f>
        <v>3500</v>
      </c>
      <c r="C22" s="21" t="n">
        <v>2500</v>
      </c>
      <c r="D22" s="21" t="n">
        <v>3200</v>
      </c>
      <c r="E22" s="21" t="n">
        <v>4000</v>
      </c>
      <c r="F22" s="39" t="n">
        <f aca="false">(B22-C22)/C22</f>
        <v>0.4</v>
      </c>
      <c r="G22" s="39" t="n">
        <f aca="false">(E22-B22)/E22</f>
        <v>0.125</v>
      </c>
      <c r="H22" s="17" t="str">
        <f aca="false">IF(B22&gt;E22*0.88,"UPPER",IF(B22&lt;C22*1.1,"LOWER","MID-MARKET"))</f>
        <v>MID-MARKET</v>
      </c>
    </row>
    <row r="23" customFormat="false" ht="15" hidden="false" customHeight="true" outlineLevel="0" collapsed="false">
      <c r="A23" s="34" t="s">
        <v>90</v>
      </c>
      <c r="B23" s="40" t="n">
        <f aca="false">'Fleet Price Sheet'!G16</f>
        <v>8800</v>
      </c>
      <c r="C23" s="27" t="n">
        <v>8000</v>
      </c>
      <c r="D23" s="27" t="n">
        <v>9500</v>
      </c>
      <c r="E23" s="27" t="n">
        <v>11660</v>
      </c>
      <c r="F23" s="41" t="n">
        <f aca="false">(B23-C23)/C23</f>
        <v>0.1</v>
      </c>
      <c r="G23" s="41" t="n">
        <f aca="false">(E23-B23)/E23</f>
        <v>0.245283018867925</v>
      </c>
      <c r="H23" s="23" t="str">
        <f aca="false">IF(B23&gt;E23*0.88,"UPPER",IF(B23&lt;C23*1.1,"LOWER","MID-MARKET"))</f>
        <v>MID-MARKET</v>
      </c>
    </row>
    <row r="24" customFormat="false" ht="15" hidden="false" customHeight="true" outlineLevel="0" collapsed="false">
      <c r="A24" s="32" t="s">
        <v>92</v>
      </c>
      <c r="B24" s="38" t="n">
        <f aca="false">'Fleet Price Sheet'!G17</f>
        <v>5000</v>
      </c>
      <c r="C24" s="21" t="n">
        <v>4000</v>
      </c>
      <c r="D24" s="21" t="n">
        <v>5000</v>
      </c>
      <c r="E24" s="21" t="n">
        <v>6610</v>
      </c>
      <c r="F24" s="39" t="n">
        <f aca="false">(B24-C24)/C24</f>
        <v>0.25</v>
      </c>
      <c r="G24" s="39" t="n">
        <f aca="false">(E24-B24)/E24</f>
        <v>0.24357034795764</v>
      </c>
      <c r="H24" s="17" t="str">
        <f aca="false">IF(B24&gt;E24*0.88,"UPPER",IF(B24&lt;C24*1.1,"LOWER","MID-MARKET"))</f>
        <v>MID-MARKET</v>
      </c>
    </row>
    <row r="25" customFormat="false" ht="15" hidden="false" customHeight="true" outlineLevel="0" collapsed="false">
      <c r="A25" s="34" t="s">
        <v>94</v>
      </c>
      <c r="B25" s="40" t="n">
        <f aca="false">'Fleet Price Sheet'!G18</f>
        <v>4850</v>
      </c>
      <c r="C25" s="27" t="n">
        <v>3500</v>
      </c>
      <c r="D25" s="27" t="n">
        <v>4500</v>
      </c>
      <c r="E25" s="27" t="n">
        <v>5500</v>
      </c>
      <c r="F25" s="41" t="n">
        <f aca="false">(B25-C25)/C25</f>
        <v>0.385714285714286</v>
      </c>
      <c r="G25" s="41" t="n">
        <f aca="false">(E25-B25)/E25</f>
        <v>0.118181818181818</v>
      </c>
      <c r="H25" s="23" t="str">
        <f aca="false">IF(B25&gt;E25*0.88,"UPPER",IF(B25&lt;C25*1.1,"LOWER","MID-MARKET"))</f>
        <v>UPPER</v>
      </c>
    </row>
    <row r="26" customFormat="false" ht="15" hidden="false" customHeight="true" outlineLevel="0" collapsed="false">
      <c r="A26" s="32" t="s">
        <v>96</v>
      </c>
      <c r="B26" s="38" t="n">
        <f aca="false">'Fleet Price Sheet'!G19</f>
        <v>9350</v>
      </c>
      <c r="C26" s="21" t="n">
        <v>8500</v>
      </c>
      <c r="D26" s="21" t="n">
        <v>10000</v>
      </c>
      <c r="E26" s="21" t="n">
        <v>11000</v>
      </c>
      <c r="F26" s="39" t="n">
        <f aca="false">(B26-C26)/C26</f>
        <v>0.1</v>
      </c>
      <c r="G26" s="39" t="n">
        <f aca="false">(E26-B26)/E26</f>
        <v>0.15</v>
      </c>
      <c r="H26" s="17" t="str">
        <f aca="false">IF(B26&gt;E26*0.88,"UPPER",IF(B26&lt;C26*1.1,"LOWER","MID-MARKET"))</f>
        <v>MID-MARKET</v>
      </c>
    </row>
    <row r="27" customFormat="false" ht="15" hidden="false" customHeight="true" outlineLevel="0" collapsed="false">
      <c r="A27" s="34" t="s">
        <v>98</v>
      </c>
      <c r="B27" s="40" t="n">
        <f aca="false">'Fleet Price Sheet'!G20</f>
        <v>1750</v>
      </c>
      <c r="C27" s="27" t="n">
        <v>1200</v>
      </c>
      <c r="D27" s="27" t="n">
        <v>1500</v>
      </c>
      <c r="E27" s="27" t="n">
        <v>2000</v>
      </c>
      <c r="F27" s="41" t="n">
        <f aca="false">(B27-C27)/C27</f>
        <v>0.458333333333333</v>
      </c>
      <c r="G27" s="41" t="n">
        <f aca="false">(E27-B27)/E27</f>
        <v>0.125</v>
      </c>
      <c r="H27" s="23" t="str">
        <f aca="false">IF(B27&gt;E27*0.88,"UPPER",IF(B27&lt;C27*1.1,"LOWER","MID-MARKET"))</f>
        <v>MID-MARKET</v>
      </c>
    </row>
    <row r="28" customFormat="false" ht="15" hidden="false" customHeight="true" outlineLevel="0" collapsed="false">
      <c r="A28" s="32" t="s">
        <v>100</v>
      </c>
      <c r="B28" s="38" t="n">
        <f aca="false">'Fleet Price Sheet'!G21</f>
        <v>1600</v>
      </c>
      <c r="C28" s="21" t="n">
        <v>950</v>
      </c>
      <c r="D28" s="21" t="n">
        <v>1300</v>
      </c>
      <c r="E28" s="21" t="n">
        <v>1800</v>
      </c>
      <c r="F28" s="39" t="n">
        <f aca="false">(B28-C28)/C28</f>
        <v>0.68421052631579</v>
      </c>
      <c r="G28" s="39" t="n">
        <f aca="false">(E28-B28)/E28</f>
        <v>0.111111111111111</v>
      </c>
      <c r="H28" s="17" t="str">
        <f aca="false">IF(B28&gt;E28*0.88,"UPPER",IF(B28&lt;C28*1.1,"LOWER","MID-MARKET"))</f>
        <v>UPPER</v>
      </c>
    </row>
    <row r="29" customFormat="false" ht="15" hidden="false" customHeight="true" outlineLevel="0" collapsed="false">
      <c r="A29" s="34" t="s">
        <v>102</v>
      </c>
      <c r="B29" s="40" t="n">
        <f aca="false">'Fleet Price Sheet'!G22</f>
        <v>1400</v>
      </c>
      <c r="C29" s="27" t="n">
        <v>900</v>
      </c>
      <c r="D29" s="27" t="n">
        <v>1200</v>
      </c>
      <c r="E29" s="27" t="n">
        <v>1600</v>
      </c>
      <c r="F29" s="41" t="n">
        <f aca="false">(B29-C29)/C29</f>
        <v>0.555555555555556</v>
      </c>
      <c r="G29" s="41" t="n">
        <f aca="false">(E29-B29)/E29</f>
        <v>0.125</v>
      </c>
      <c r="H29" s="23" t="str">
        <f aca="false">IF(B29&gt;E29*0.88,"UPPER",IF(B29&lt;C29*1.1,"LOWER","MID-MARKET"))</f>
        <v>MID-MARKET</v>
      </c>
    </row>
    <row r="30" customFormat="false" ht="15" hidden="false" customHeight="true" outlineLevel="0" collapsed="false">
      <c r="A30" s="32" t="s">
        <v>104</v>
      </c>
      <c r="B30" s="38" t="n">
        <f aca="false">'Fleet Price Sheet'!G23</f>
        <v>1150</v>
      </c>
      <c r="C30" s="21" t="n">
        <v>700</v>
      </c>
      <c r="D30" s="21" t="n">
        <v>1000</v>
      </c>
      <c r="E30" s="21" t="n">
        <v>1300</v>
      </c>
      <c r="F30" s="39" t="n">
        <f aca="false">(B30-C30)/C30</f>
        <v>0.642857142857143</v>
      </c>
      <c r="G30" s="39" t="n">
        <f aca="false">(E30-B30)/E30</f>
        <v>0.115384615384615</v>
      </c>
      <c r="H30" s="17" t="str">
        <f aca="false">IF(B30&gt;E30*0.88,"UPPER",IF(B30&lt;C30*1.1,"LOWER","MID-MARKET"))</f>
        <v>UPPER</v>
      </c>
    </row>
    <row r="31" customFormat="false" ht="15" hidden="false" customHeight="true" outlineLevel="0" collapsed="false">
      <c r="A31" s="34" t="s">
        <v>106</v>
      </c>
      <c r="B31" s="40" t="n">
        <f aca="false">'Fleet Price Sheet'!G24</f>
        <v>3250</v>
      </c>
      <c r="C31" s="27" t="n">
        <v>2000</v>
      </c>
      <c r="D31" s="27" t="n">
        <v>2800</v>
      </c>
      <c r="E31" s="27" t="n">
        <v>3700</v>
      </c>
      <c r="F31" s="41" t="n">
        <f aca="false">(B31-C31)/C31</f>
        <v>0.625</v>
      </c>
      <c r="G31" s="41" t="n">
        <f aca="false">(E31-B31)/E31</f>
        <v>0.121621621621622</v>
      </c>
      <c r="H31" s="23" t="str">
        <f aca="false">IF(B31&gt;E31*0.88,"UPPER",IF(B31&lt;C31*1.1,"LOWER","MID-MARKET"))</f>
        <v>MID-MARKET</v>
      </c>
    </row>
    <row r="32" customFormat="false" ht="15" hidden="false" customHeight="true" outlineLevel="0" collapsed="false">
      <c r="A32" s="32" t="s">
        <v>108</v>
      </c>
      <c r="B32" s="38" t="n">
        <f aca="false">'Fleet Price Sheet'!G25</f>
        <v>1300</v>
      </c>
      <c r="C32" s="21" t="n">
        <v>1200</v>
      </c>
      <c r="D32" s="21" t="n">
        <v>1700</v>
      </c>
      <c r="E32" s="21" t="n">
        <v>2200</v>
      </c>
      <c r="F32" s="39" t="n">
        <f aca="false">(B32-C32)/C32</f>
        <v>0.0833333333333333</v>
      </c>
      <c r="G32" s="39" t="n">
        <f aca="false">(E32-B32)/E32</f>
        <v>0.409090909090909</v>
      </c>
      <c r="H32" s="17" t="str">
        <f aca="false">IF(B32&gt;E32*0.88,"UPPER",IF(B32&lt;C32*1.1,"LOWER","MID-MARKET"))</f>
        <v>LOWER</v>
      </c>
    </row>
    <row r="33" customFormat="false" ht="15" hidden="false" customHeight="true" outlineLevel="0" collapsed="false">
      <c r="A33" s="34" t="s">
        <v>110</v>
      </c>
      <c r="B33" s="40" t="n">
        <f aca="false">'Fleet Price Sheet'!G26</f>
        <v>2200</v>
      </c>
      <c r="C33" s="27" t="n">
        <v>2000</v>
      </c>
      <c r="D33" s="27" t="n">
        <v>2600</v>
      </c>
      <c r="E33" s="27" t="n">
        <v>3200</v>
      </c>
      <c r="F33" s="41" t="n">
        <f aca="false">(B33-C33)/C33</f>
        <v>0.1</v>
      </c>
      <c r="G33" s="41" t="n">
        <f aca="false">(E33-B33)/E33</f>
        <v>0.3125</v>
      </c>
      <c r="H33" s="23" t="str">
        <f aca="false">IF(B33&gt;E33*0.88,"UPPER",IF(B33&lt;C33*1.1,"LOWER","MID-MARKET"))</f>
        <v>MID-MARKET</v>
      </c>
    </row>
    <row r="34" customFormat="false" ht="15" hidden="false" customHeight="true" outlineLevel="0" collapsed="false">
      <c r="A34" s="32" t="s">
        <v>112</v>
      </c>
      <c r="B34" s="38" t="n">
        <f aca="false">'Fleet Price Sheet'!G27</f>
        <v>2450</v>
      </c>
      <c r="C34" s="21" t="n">
        <v>1500</v>
      </c>
      <c r="D34" s="21" t="n">
        <v>2200</v>
      </c>
      <c r="E34" s="21" t="n">
        <v>2800</v>
      </c>
      <c r="F34" s="39" t="n">
        <f aca="false">(B34-C34)/C34</f>
        <v>0.633333333333333</v>
      </c>
      <c r="G34" s="39" t="n">
        <f aca="false">(E34-B34)/E34</f>
        <v>0.125</v>
      </c>
      <c r="H34" s="17" t="str">
        <f aca="false">IF(B34&gt;E34*0.88,"UPPER",IF(B34&lt;C34*1.1,"LOWER","MID-MARKET"))</f>
        <v>MID-MARKET</v>
      </c>
    </row>
    <row r="35" customFormat="false" ht="15" hidden="false" customHeight="true" outlineLevel="0" collapsed="false">
      <c r="A35" s="34" t="s">
        <v>114</v>
      </c>
      <c r="B35" s="40" t="n">
        <f aca="false">'Fleet Price Sheet'!G28</f>
        <v>9550</v>
      </c>
      <c r="C35" s="27" t="n">
        <v>5500</v>
      </c>
      <c r="D35" s="27" t="n">
        <v>7500</v>
      </c>
      <c r="E35" s="27" t="n">
        <v>12100</v>
      </c>
      <c r="F35" s="41" t="n">
        <f aca="false">(B35-C35)/C35</f>
        <v>0.736363636363636</v>
      </c>
      <c r="G35" s="41" t="n">
        <f aca="false">(E35-B35)/E35</f>
        <v>0.210743801652893</v>
      </c>
      <c r="H35" s="23" t="str">
        <f aca="false">IF(B35&gt;E35*0.88,"UPPER",IF(B35&lt;C35*1.1,"LOWER","MID-MARKET"))</f>
        <v>MID-MARKET</v>
      </c>
    </row>
    <row r="36" customFormat="false" ht="15" hidden="false" customHeight="true" outlineLevel="0" collapsed="false">
      <c r="A36" s="32" t="s">
        <v>116</v>
      </c>
      <c r="B36" s="38" t="n">
        <f aca="false">'Fleet Price Sheet'!G29</f>
        <v>2950</v>
      </c>
      <c r="C36" s="21" t="n">
        <v>1800</v>
      </c>
      <c r="D36" s="21" t="n">
        <v>2300</v>
      </c>
      <c r="E36" s="21" t="n">
        <v>4940</v>
      </c>
      <c r="F36" s="39" t="n">
        <f aca="false">(B36-C36)/C36</f>
        <v>0.638888888888889</v>
      </c>
      <c r="G36" s="39" t="n">
        <f aca="false">(E36-B36)/E36</f>
        <v>0.402834008097166</v>
      </c>
      <c r="H36" s="17" t="str">
        <f aca="false">IF(B36&gt;E36*0.88,"UPPER",IF(B36&lt;C36*1.1,"LOWER","MID-MARKET"))</f>
        <v>MID-MARKET</v>
      </c>
    </row>
    <row r="37" customFormat="false" ht="15" hidden="false" customHeight="true" outlineLevel="0" collapsed="false">
      <c r="A37" s="34" t="s">
        <v>118</v>
      </c>
      <c r="B37" s="40" t="n">
        <f aca="false">'Fleet Price Sheet'!G30</f>
        <v>2100</v>
      </c>
      <c r="C37" s="27" t="n">
        <v>1200</v>
      </c>
      <c r="D37" s="27" t="n">
        <v>1800</v>
      </c>
      <c r="E37" s="27" t="n">
        <v>2400</v>
      </c>
      <c r="F37" s="41" t="n">
        <f aca="false">(B37-C37)/C37</f>
        <v>0.75</v>
      </c>
      <c r="G37" s="41" t="n">
        <f aca="false">(E37-B37)/E37</f>
        <v>0.125</v>
      </c>
      <c r="H37" s="23" t="str">
        <f aca="false">IF(B37&gt;E37*0.88,"UPPER",IF(B37&lt;C37*1.1,"LOWER","MID-MARKET"))</f>
        <v>MID-MARKET</v>
      </c>
    </row>
    <row r="38" customFormat="false" ht="15" hidden="false" customHeight="true" outlineLevel="0" collapsed="false">
      <c r="A38" s="32" t="s">
        <v>120</v>
      </c>
      <c r="B38" s="38" t="n">
        <f aca="false">'Fleet Price Sheet'!G31</f>
        <v>500</v>
      </c>
      <c r="C38" s="21" t="n">
        <v>250</v>
      </c>
      <c r="D38" s="21" t="n">
        <v>350</v>
      </c>
      <c r="E38" s="21" t="n">
        <v>550</v>
      </c>
      <c r="F38" s="39" t="n">
        <f aca="false">(B38-C38)/C38</f>
        <v>1</v>
      </c>
      <c r="G38" s="39" t="n">
        <f aca="false">(E38-B38)/E38</f>
        <v>0.0909090909090909</v>
      </c>
      <c r="H38" s="17" t="str">
        <f aca="false">IF(B38&gt;E38*0.88,"UPPER",IF(B38&lt;C38*1.1,"LOWER","MID-MARKET"))</f>
        <v>UPPER</v>
      </c>
    </row>
    <row r="39" customFormat="false" ht="15" hidden="false" customHeight="true" outlineLevel="0" collapsed="false">
      <c r="A39" s="34" t="s">
        <v>122</v>
      </c>
      <c r="B39" s="40" t="n">
        <f aca="false">'Fleet Price Sheet'!G32</f>
        <v>1750</v>
      </c>
      <c r="C39" s="27" t="n">
        <v>1200</v>
      </c>
      <c r="D39" s="27" t="n">
        <v>1600</v>
      </c>
      <c r="E39" s="27" t="n">
        <v>2000</v>
      </c>
      <c r="F39" s="41" t="n">
        <f aca="false">(B39-C39)/C39</f>
        <v>0.458333333333333</v>
      </c>
      <c r="G39" s="41" t="n">
        <f aca="false">(E39-B39)/E39</f>
        <v>0.125</v>
      </c>
      <c r="H39" s="23" t="str">
        <f aca="false">IF(B39&gt;E39*0.88,"UPPER",IF(B39&lt;C39*1.1,"LOWER","MID-MARKET"))</f>
        <v>MID-MARKET</v>
      </c>
    </row>
    <row r="40" customFormat="false" ht="15" hidden="false" customHeight="true" outlineLevel="0" collapsed="false">
      <c r="A40" s="32" t="s">
        <v>124</v>
      </c>
      <c r="B40" s="38" t="n">
        <f aca="false">'Fleet Price Sheet'!G33</f>
        <v>3050</v>
      </c>
      <c r="C40" s="21" t="n">
        <v>2000</v>
      </c>
      <c r="D40" s="21" t="n">
        <v>3000</v>
      </c>
      <c r="E40" s="21" t="n">
        <v>3800</v>
      </c>
      <c r="F40" s="39" t="n">
        <f aca="false">(B40-C40)/C40</f>
        <v>0.525</v>
      </c>
      <c r="G40" s="39" t="n">
        <f aca="false">(E40-B40)/E40</f>
        <v>0.197368421052632</v>
      </c>
      <c r="H40" s="17" t="str">
        <f aca="false">IF(B40&gt;E40*0.88,"UPPER",IF(B40&lt;C40*1.1,"LOWER","MID-MARKET"))</f>
        <v>MID-MARKET</v>
      </c>
    </row>
    <row r="42" customFormat="false" ht="15" hidden="false" customHeight="true" outlineLevel="0" collapsed="false">
      <c r="A42" s="8" t="s">
        <v>1532</v>
      </c>
    </row>
    <row r="43" customFormat="false" ht="21.75" hidden="false" customHeight="true" outlineLevel="0" collapsed="false">
      <c r="A43" s="16" t="s">
        <v>1533</v>
      </c>
      <c r="B43" s="16" t="s">
        <v>1534</v>
      </c>
      <c r="C43" s="16" t="s">
        <v>1535</v>
      </c>
      <c r="D43" s="16" t="s">
        <v>1536</v>
      </c>
      <c r="E43" s="16" t="s">
        <v>1537</v>
      </c>
      <c r="F43" s="16" t="s">
        <v>1538</v>
      </c>
      <c r="G43" s="16" t="s">
        <v>1539</v>
      </c>
    </row>
    <row r="44" customFormat="false" ht="21.75" hidden="false" customHeight="true" outlineLevel="0" collapsed="false">
      <c r="A44" s="32" t="s">
        <v>1540</v>
      </c>
      <c r="B44" s="21" t="n">
        <v>4000</v>
      </c>
      <c r="C44" s="32" t="s">
        <v>1541</v>
      </c>
      <c r="D44" s="42"/>
      <c r="E44" s="42"/>
      <c r="F44" s="42"/>
      <c r="G44" s="22" t="s">
        <v>1542</v>
      </c>
    </row>
    <row r="45" customFormat="false" ht="15" hidden="false" customHeight="true" outlineLevel="0" collapsed="false">
      <c r="A45" s="34" t="s">
        <v>1543</v>
      </c>
      <c r="B45" s="27" t="n">
        <v>6000</v>
      </c>
      <c r="C45" s="34" t="s">
        <v>1541</v>
      </c>
      <c r="D45" s="43"/>
      <c r="E45" s="43"/>
      <c r="F45" s="43"/>
      <c r="G45" s="28" t="s">
        <v>1544</v>
      </c>
    </row>
    <row r="46" customFormat="false" ht="15" hidden="false" customHeight="true" outlineLevel="0" collapsed="false">
      <c r="A46" s="32" t="s">
        <v>1545</v>
      </c>
      <c r="B46" s="21" t="n">
        <v>8000</v>
      </c>
      <c r="C46" s="32" t="s">
        <v>1541</v>
      </c>
      <c r="D46" s="42"/>
      <c r="E46" s="42"/>
      <c r="F46" s="42"/>
      <c r="G46" s="22" t="s">
        <v>1546</v>
      </c>
    </row>
    <row r="47" customFormat="false" ht="15" hidden="false" customHeight="true" outlineLevel="0" collapsed="false">
      <c r="A47" s="34" t="s">
        <v>1547</v>
      </c>
      <c r="B47" s="27" t="n">
        <v>11000</v>
      </c>
      <c r="C47" s="34" t="s">
        <v>1541</v>
      </c>
      <c r="D47" s="43"/>
      <c r="E47" s="43"/>
      <c r="F47" s="43"/>
      <c r="G47" s="28" t="s">
        <v>1548</v>
      </c>
    </row>
    <row r="48" customFormat="false" ht="21.75" hidden="false" customHeight="true" outlineLevel="0" collapsed="false">
      <c r="A48" s="32" t="s">
        <v>1549</v>
      </c>
      <c r="B48" s="21" t="n">
        <v>6000</v>
      </c>
      <c r="C48" s="32" t="s">
        <v>1541</v>
      </c>
      <c r="D48" s="42"/>
      <c r="E48" s="42"/>
      <c r="F48" s="42"/>
      <c r="G48" s="22" t="s">
        <v>1550</v>
      </c>
    </row>
    <row r="49" customFormat="false" ht="15" hidden="false" customHeight="true" outlineLevel="0" collapsed="false">
      <c r="A49" s="34" t="s">
        <v>1551</v>
      </c>
      <c r="B49" s="27" t="n">
        <v>3500</v>
      </c>
      <c r="C49" s="34" t="s">
        <v>1541</v>
      </c>
      <c r="D49" s="43"/>
      <c r="E49" s="43"/>
      <c r="F49" s="43"/>
      <c r="G49" s="28" t="s">
        <v>1552</v>
      </c>
    </row>
    <row r="50" customFormat="false" ht="15" hidden="false" customHeight="true" outlineLevel="0" collapsed="false">
      <c r="A50" s="32" t="s">
        <v>1553</v>
      </c>
      <c r="B50" s="21" t="n">
        <v>10000</v>
      </c>
      <c r="C50" s="32" t="s">
        <v>1541</v>
      </c>
      <c r="D50" s="42"/>
      <c r="E50" s="42"/>
      <c r="F50" s="42"/>
      <c r="G50" s="22" t="s">
        <v>1554</v>
      </c>
    </row>
    <row r="51" customFormat="false" ht="15" hidden="false" customHeight="true" outlineLevel="0" collapsed="false">
      <c r="A51" s="34" t="s">
        <v>1555</v>
      </c>
      <c r="B51" s="27" t="n">
        <v>4000</v>
      </c>
      <c r="C51" s="34" t="s">
        <v>1541</v>
      </c>
      <c r="D51" s="43"/>
      <c r="E51" s="43"/>
      <c r="F51" s="43"/>
      <c r="G51" s="28" t="s">
        <v>1556</v>
      </c>
    </row>
    <row r="52" customFormat="false" ht="15" hidden="false" customHeight="true" outlineLevel="0" collapsed="false">
      <c r="A52" s="32" t="s">
        <v>1557</v>
      </c>
      <c r="B52" s="21" t="n">
        <v>3000</v>
      </c>
      <c r="C52" s="32" t="s">
        <v>1541</v>
      </c>
      <c r="D52" s="42"/>
      <c r="E52" s="42"/>
      <c r="F52" s="42"/>
      <c r="G52" s="22" t="s">
        <v>1558</v>
      </c>
    </row>
    <row r="53" customFormat="false" ht="15" hidden="false" customHeight="true" outlineLevel="0" collapsed="false">
      <c r="A53" s="34" t="s">
        <v>1559</v>
      </c>
      <c r="B53" s="27" t="n">
        <v>5500</v>
      </c>
      <c r="C53" s="34" t="s">
        <v>1541</v>
      </c>
      <c r="D53" s="43"/>
      <c r="E53" s="43"/>
      <c r="F53" s="43"/>
      <c r="G53" s="28" t="s">
        <v>1560</v>
      </c>
    </row>
    <row r="54" customFormat="false" ht="15" hidden="false" customHeight="true" outlineLevel="0" collapsed="false">
      <c r="A54" s="32" t="s">
        <v>1561</v>
      </c>
      <c r="B54" s="21" t="n">
        <v>6000</v>
      </c>
      <c r="C54" s="32" t="s">
        <v>1541</v>
      </c>
      <c r="D54" s="42"/>
      <c r="E54" s="42"/>
      <c r="F54" s="42"/>
      <c r="G54" s="22" t="s">
        <v>1562</v>
      </c>
    </row>
    <row r="55" customFormat="false" ht="15" hidden="false" customHeight="true" outlineLevel="0" collapsed="false">
      <c r="A55" s="34" t="s">
        <v>1563</v>
      </c>
      <c r="B55" s="27" t="n">
        <v>5000</v>
      </c>
      <c r="C55" s="34" t="s">
        <v>1541</v>
      </c>
      <c r="D55" s="43"/>
      <c r="E55" s="43"/>
      <c r="F55" s="43"/>
      <c r="G55" s="28" t="s">
        <v>1564</v>
      </c>
    </row>
    <row r="56" customFormat="false" ht="15" hidden="false" customHeight="true" outlineLevel="0" collapsed="false">
      <c r="A56" s="32" t="s">
        <v>1565</v>
      </c>
      <c r="B56" s="21" t="n">
        <v>250</v>
      </c>
      <c r="C56" s="32" t="s">
        <v>1541</v>
      </c>
      <c r="D56" s="42"/>
      <c r="E56" s="42"/>
      <c r="F56" s="42"/>
      <c r="G56" s="22" t="s">
        <v>1566</v>
      </c>
    </row>
    <row r="57" customFormat="false" ht="15" hidden="false" customHeight="true" outlineLevel="0" collapsed="false">
      <c r="A57" s="34" t="s">
        <v>1567</v>
      </c>
      <c r="B57" s="44" t="s">
        <v>1568</v>
      </c>
      <c r="C57" s="34" t="s">
        <v>1569</v>
      </c>
      <c r="D57" s="43"/>
      <c r="E57" s="43"/>
      <c r="F57" s="43"/>
      <c r="G57" s="28" t="s">
        <v>1570</v>
      </c>
    </row>
    <row r="58" customFormat="false" ht="23.25" hidden="false" customHeight="true" outlineLevel="0" collapsed="false">
      <c r="A58" s="32" t="s">
        <v>1571</v>
      </c>
      <c r="B58" s="45" t="s">
        <v>1568</v>
      </c>
      <c r="C58" s="32" t="s">
        <v>1572</v>
      </c>
      <c r="D58" s="42"/>
      <c r="E58" s="42"/>
      <c r="F58" s="42"/>
      <c r="G58" s="22" t="s">
        <v>1573</v>
      </c>
    </row>
    <row r="60" customFormat="false" ht="15" hidden="false" customHeight="true" outlineLevel="0" collapsed="false">
      <c r="A60" s="8" t="s">
        <v>1574</v>
      </c>
    </row>
    <row r="61" customFormat="false" ht="45.75" hidden="false" customHeight="true" outlineLevel="0" collapsed="false">
      <c r="A61" s="6" t="s">
        <v>1575</v>
      </c>
    </row>
    <row r="62" customFormat="false" ht="57" hidden="false" customHeight="true" outlineLevel="0" collapsed="false">
      <c r="A62" s="6" t="s">
        <v>1576</v>
      </c>
    </row>
    <row r="63" customFormat="false" ht="90.75" hidden="false" customHeight="true" outlineLevel="0" collapsed="false">
      <c r="A63" s="6" t="s">
        <v>1577</v>
      </c>
    </row>
    <row r="64" customFormat="false" ht="90.75" hidden="false" customHeight="true" outlineLevel="0" collapsed="false">
      <c r="A64" s="6" t="s">
        <v>1578</v>
      </c>
    </row>
    <row r="65" customFormat="false" ht="57" hidden="false" customHeight="true" outlineLevel="0" collapsed="false">
      <c r="A65" s="6" t="s">
        <v>1579</v>
      </c>
    </row>
    <row r="66" customFormat="false" ht="57" hidden="false" customHeight="true" outlineLevel="0" collapsed="false">
      <c r="A66" s="6" t="s">
        <v>1580</v>
      </c>
    </row>
    <row r="67" customFormat="false" ht="45.75" hidden="false" customHeight="true" outlineLevel="0" collapsed="false">
      <c r="A67" s="6" t="s">
        <v>1581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2026-07-04T09:29:24Z</dcterms:created>
  <dc:creator>openpyxl</dc:creator>
  <dc:description/>
  <dc:language>en-US</dc:language>
  <cp:lastModifiedBy/>
  <dcterms:modified xsi:type="dcterms:W3CDTF">2026-07-04T09:39:13Z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