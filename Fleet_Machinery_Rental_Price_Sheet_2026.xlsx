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uel &amp; Inputs" sheetId="2" state="visible" r:id="rId4"/>
    <sheet name="Fleet Price Sheet" sheetId="3" state="visible" r:id="rId5"/>
    <sheet name="Fleet — Per Unit" sheetId="4" state="visible" r:id="rId6"/>
    <sheet name="Machinery Price Sheet" sheetId="5" state="visible" r:id="rId7"/>
    <sheet name="Market Analysi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<sst xmlns="http://schemas.openxmlformats.org/spreadsheetml/2006/main" count="5410" uniqueCount="1589">
  <si>
    <t xml:space="preserve">FLEET &amp; MACHINERY RENTAL PRICE SHEET — 2026 (3-TIER: DRY / DRY+OPERATOR / WET)</t>
  </si>
  <si>
    <t xml:space="preserve">Market: Sri Lanka  |  Currency: LKR, EXCLUDING 18% VAT  |  Prepared 04-Jul-2026</t>
  </si>
  <si>
    <t xml:space="preserve">RATE DEFINITIONS</t>
  </si>
  <si>
    <t xml:space="preserve">DRY — Bare machine/vehicle only. Client supplies fuel, operator/driver, lubricants; tolls, fines, operator food at client cost.</t>
  </si>
  <si>
    <t xml:space="preserve">DRY + OPERATOR (dry with driver) — Machine + our trained operator/driver. Fuel &amp; lubricants supplied by client. Fleet: DRY + Rs.800/hr operator charge-out. Machinery: DRY + Rs.3,500/day operator (Rs.5,000/day skilled welder/cutter).</t>
  </si>
  <si>
    <t xml:space="preserve">WET (fully wet) — Machine + operator + fuel + routine consumables &amp; normal maintenance. Fleet WET = market-engineered 2026 rate card (validated vs SLLDC &amp; private market). Machinery WET = DRY+OPERATOR + fuel for stated duty hours/day at current CPC price.</t>
  </si>
  <si>
    <t xml:space="preserve">FUEL BASIS (edit on 'Fuel &amp; Inputs' — every rate recalculates)</t>
  </si>
  <si>
    <t xml:space="preserve">CPC/Ceypetco effective 29-Jun-2026: Auto Diesel Rs.382/L  •  Petrol 92 Rs.414/L.  (Super Diesel Rs.478, Petrol 95 Rs.495, Kerosene Rs.285 — eff. 30-May-2026, reference only.)</t>
  </si>
  <si>
    <t xml:space="preserve">2026 context: Middle-East conflict (Feb-26) + LKR depreciation pushed Auto Diesel from Rs.286 (Jan) to Rs.407 (30-May peak); cut back to Rs.382 on 29-Jun-26. Previous workbook v7 used Rs.478 — that is the SUPER Diesel price; corrected here.</t>
  </si>
  <si>
    <t xml:space="preserve">Because Auto Diesel Rs.382 equals the March-2026 engineering basis, the engineering cost floors behind the fleet WET card remain valid at today's pump price.</t>
  </si>
  <si>
    <t xml:space="preserve">BILLING RULES</t>
  </si>
  <si>
    <t xml:space="preserve">Fleet: hourly card. Daily = hourly x 4 hrs min x 0.95 (5% volume disc). Monthly = hourly x 120 hrs min x 0.85 (15% disc). Extra hours at hourly rate.</t>
  </si>
  <si>
    <t xml:space="preserve">Machinery: per-day hire, minimum 1 day, standard 8-hr working day; stated 'duty hrs/day' is the engine-running assumption inside the WET rate. Extra running: bill L/hr x CPC price. Diamond blades/core bits on cutters billed per mm cut / per core at cost + 15%.</t>
  </si>
  <si>
    <t xml:space="preserve">Age adjustment on fleet units (per unit, on top of card): 2020+ =100%, 2015-19 =92%, 2010-14 =82%, 2005-09 =72%, 2000-04 =65%, pre-2000 =58%.</t>
  </si>
  <si>
    <t xml:space="preserve">FUEL ESCALATION CLAUSE (recommended on every WET contract)</t>
  </si>
  <si>
    <t xml:space="preserve">"WET rates are based on CPC Auto Diesel Rs.382/L (29-Jun-2026). For every Rs.10/L movement in the CPC price, the WET rate adjusts by the machine's typical consumption (L/hr) x Rs.10." CPC revised prices 3 times Feb–Jun 2026 — do not quote WET without this clause.</t>
  </si>
  <si>
    <t xml:space="preserve">EXTRAS AT COST: transport / mobilisation (trailer one-way), tolls, fines, operator meals &amp; lodging out-station. 15-day advance payment standard. Add 18% VAT on all rates.</t>
  </si>
  <si>
    <t xml:space="preserve">SHEETS: Fuel &amp; Inputs (editable drivers) • Fleet Price Sheet (29 categories x 3 tiers, hourly/daily/monthly) • Machinery Price Sheet (76 items, 5 groups, capacities+efficiency+fuel) • Market Analysis (SL market position &amp; findings).</t>
  </si>
  <si>
    <t xml:space="preserve">GLOBAL INPUTS — edit BLUE cells; all rates in the workbook recalculate</t>
  </si>
  <si>
    <t xml:space="preserve">FUEL PRICES (CPC/Ceypetco pump prices)</t>
  </si>
  <si>
    <t xml:space="preserve">Auto Diesel (Rs./litre)</t>
  </si>
  <si>
    <t xml:space="preserve">CPC effective 29-Jun-2026 (cut of Rs.25)</t>
  </si>
  <si>
    <t xml:space="preserve">Petrol 92 Octane (Rs./litre)</t>
  </si>
  <si>
    <t xml:space="preserve">CPC effective 29-Jun-2026 (cut of Rs.20)</t>
  </si>
  <si>
    <t xml:space="preserve">Super Diesel Euro-4 (Rs./litre)</t>
  </si>
  <si>
    <t xml:space="preserve">Reference — eff. 30-May-2026</t>
  </si>
  <si>
    <t xml:space="preserve">Petrol 95 Octane (Rs./litre)</t>
  </si>
  <si>
    <t xml:space="preserve">Kerosene (Rs./litre)</t>
  </si>
  <si>
    <t xml:space="preserve">OPERATOR / DRIVER</t>
  </si>
  <si>
    <t xml:space="preserve">Fleet operator/driver cost (Rs./hour)</t>
  </si>
  <si>
    <t xml:space="preserve">Management input, Apr-2026</t>
  </si>
  <si>
    <t xml:space="preserve">Loading on operator (EPF/ETF, meals, admin)</t>
  </si>
  <si>
    <t xml:space="preserve">23% loading -&gt; charge-out</t>
  </si>
  <si>
    <t xml:space="preserve">Fleet operator charge-out (Rs./hour)</t>
  </si>
  <si>
    <t xml:space="preserve">cost x loading, rounded to 50</t>
  </si>
  <si>
    <t xml:space="preserve">Machinery operator (Rs./day, 8-hr)</t>
  </si>
  <si>
    <t xml:space="preserve">Semi-skilled plant operator, SL 2026</t>
  </si>
  <si>
    <t xml:space="preserve">Skilled welder / gas cutter (Rs./day)</t>
  </si>
  <si>
    <t xml:space="preserve">For welding plant &amp; gas cutting sets</t>
  </si>
  <si>
    <t xml:space="preserve">BILLING FACTORS</t>
  </si>
  <si>
    <t xml:space="preserve">Machinery standard working day (hrs)</t>
  </si>
  <si>
    <t xml:space="preserve">Duty hrs per item set on Machinery sheet</t>
  </si>
  <si>
    <t xml:space="preserve">Fleet daily minimum (hrs)</t>
  </si>
  <si>
    <t xml:space="preserve">Fleet monthly minimum (hrs)</t>
  </si>
  <si>
    <t xml:space="preserve">Daily volume factor</t>
  </si>
  <si>
    <t xml:space="preserve">5% discount on hourly x 4</t>
  </si>
  <si>
    <t xml:space="preserve">Monthly volume factor</t>
  </si>
  <si>
    <t xml:space="preserve">15% discount on hourly x 120</t>
  </si>
  <si>
    <t xml:space="preserve">VAT (add on all rates)</t>
  </si>
  <si>
    <t xml:space="preserve">Standard SL rate 2026</t>
  </si>
  <si>
    <t xml:space="preserve">FLEET PRICE SHEET 2026 — DRY  /  DRY + OPERATOR  /  WET   (Rs., excl. 18% VAT)</t>
  </si>
  <si>
    <t xml:space="preserve">WET = machine+operator+fuel+maintenance (market-engineered card). DRY+OPERATOR = DRY + operator charge-out (Fuel &amp; Inputs C13). Fuel Rs./hr at CPC Auto Diesel eff. 29-Jun-2026 (motorcycle: Petrol 92). Daily = hourly x 4 x 0.95 • Monthly = hourly x 120 x 0.85. Apply per-unit age factors.</t>
  </si>
  <si>
    <t xml:space="preserve">#</t>
  </si>
  <si>
    <t xml:space="preserve">Category</t>
  </si>
  <si>
    <t xml:space="preserve">Fuel
L/hr (typ)</t>
  </si>
  <si>
    <t xml:space="preserve">Fuel cost
Rs./hr</t>
  </si>
  <si>
    <t xml:space="preserve">DRY
Rs./hr</t>
  </si>
  <si>
    <t xml:space="preserve">DRY+OPERATOR
Rs./hr</t>
  </si>
  <si>
    <t xml:space="preserve">WET
Rs./hr</t>
  </si>
  <si>
    <t xml:space="preserve">Fuel recovery
in WET (Rs./hr)</t>
  </si>
  <si>
    <t xml:space="preserve">Margin
check</t>
  </si>
  <si>
    <t xml:space="preserve">DRY
Rs./day (4h)</t>
  </si>
  <si>
    <t xml:space="preserve">DRY+OP
Rs./day (4h)</t>
  </si>
  <si>
    <t xml:space="preserve">WET
Rs./day (4h)</t>
  </si>
  <si>
    <t xml:space="preserve">DRY
Rs./month (120h)</t>
  </si>
  <si>
    <t xml:space="preserve">DRY+OP
Rs./month (120h)</t>
  </si>
  <si>
    <t xml:space="preserve">WET
Rs./month (120h)</t>
  </si>
  <si>
    <t xml:space="preserve">Market basis (LOW • HIGH source)</t>
  </si>
  <si>
    <t xml:space="preserve">Backhoe Loader</t>
  </si>
  <si>
    <t xml:space="preserve">LOW: small private/Wedabima • HIGH: SLLDC JCB 3CX</t>
  </si>
  <si>
    <t xml:space="preserve">Wheel Loader</t>
  </si>
  <si>
    <t xml:space="preserve">LOW: used private • HIGH: SLLDC Doosan Mega 250</t>
  </si>
  <si>
    <t xml:space="preserve">Truck Mixer</t>
  </si>
  <si>
    <t xml:space="preserve">LOW: TATA mixer private • HIGH: large operators</t>
  </si>
  <si>
    <t xml:space="preserve">Self Loader Mixer</t>
  </si>
  <si>
    <t xml:space="preserve">LOW: FIORI/Ajax private • HIGH: large operators</t>
  </si>
  <si>
    <t xml:space="preserve">Static Roller</t>
  </si>
  <si>
    <t xml:space="preserve">LOW: private 10T • HIGH: SLLDC HAMM HD12vv</t>
  </si>
  <si>
    <t xml:space="preserve">Vibrating Roller</t>
  </si>
  <si>
    <t xml:space="preserve">LOW: BOMAG private • HIGH: large private 10T</t>
  </si>
  <si>
    <t xml:space="preserve">Pneumatic Roller</t>
  </si>
  <si>
    <t xml:space="preserve">LOW: Sakai/Dynapac private • HIGH: premium</t>
  </si>
  <si>
    <t xml:space="preserve">Motor Grader</t>
  </si>
  <si>
    <t xml:space="preserve">LOW: used CAT private • HIGH: premium/SLLDC class</t>
  </si>
  <si>
    <t xml:space="preserve">Skid Steer</t>
  </si>
  <si>
    <t xml:space="preserve">LOW: small private • HIGH: SLLDC Bobcat</t>
  </si>
  <si>
    <t xml:space="preserve">Asphalt Paver</t>
  </si>
  <si>
    <t xml:space="preserve">LOW: SUMITOMO private • HIGH: VOLVO premium</t>
  </si>
  <si>
    <t xml:space="preserve">Bitumen Bowser</t>
  </si>
  <si>
    <t xml:space="preserve">LOW: private 4-cu • HIGH: large insulated</t>
  </si>
  <si>
    <t xml:space="preserve">Mobile Crane</t>
  </si>
  <si>
    <t xml:space="preserve">LOW: private 25T • HIGH: SLLDC Kobelco RK250</t>
  </si>
  <si>
    <t xml:space="preserve">Boom Truck</t>
  </si>
  <si>
    <t xml:space="preserve">LOW: Califolink private • HIGH: SLLDC 17T 3T-crane</t>
  </si>
  <si>
    <t xml:space="preserve">Prime Mover / Low-bed</t>
  </si>
  <si>
    <t xml:space="preserve">LOW: HINO/TATA private • HIGH: premium lowbed</t>
  </si>
  <si>
    <t xml:space="preserve">Concrete Pump Truck</t>
  </si>
  <si>
    <t xml:space="preserve">LOW: Sany private • HIGH: premium operators</t>
  </si>
  <si>
    <t xml:space="preserve">Double Cab (Pickup)</t>
  </si>
  <si>
    <t xml:space="preserve">LOW: Hilux long-term • HIGH: Malkey/Lanka Rent</t>
  </si>
  <si>
    <t xml:space="preserve">Van</t>
  </si>
  <si>
    <t xml:space="preserve">LOW: Liteace private • HIGH: KDH200 premium</t>
  </si>
  <si>
    <t xml:space="preserve">Crew Cab</t>
  </si>
  <si>
    <t xml:space="preserve">LOW: JMC private • HIGH: ISUZU premium</t>
  </si>
  <si>
    <t xml:space="preserve">Single Cab</t>
  </si>
  <si>
    <t xml:space="preserve">LOW: Tata Ace • HIGH: Mahindra BMT premium</t>
  </si>
  <si>
    <t xml:space="preserve">Dump Truck (Tipper)</t>
  </si>
  <si>
    <t xml:space="preserve">LOW: ikman monthly • HIGH: premium TATA LPK1618</t>
  </si>
  <si>
    <t xml:space="preserve">Trailer (towed)</t>
  </si>
  <si>
    <t xml:space="preserve">LOW: tractor trailer private • HIGH: premium</t>
  </si>
  <si>
    <t xml:space="preserve">Lorry Trailer (towed)</t>
  </si>
  <si>
    <t xml:space="preserve">LOW: private Tantri • HIGH: Tantri TFB40</t>
  </si>
  <si>
    <t xml:space="preserve">Diesel Bowser</t>
  </si>
  <si>
    <t xml:space="preserve">LOW: private fuel bowser • HIGH: large premium</t>
  </si>
  <si>
    <t xml:space="preserve">Excavator (20T class)</t>
  </si>
  <si>
    <t xml:space="preserve">LOW: 20T Hyundai private • HIGH: SLLDC Doosan DX200</t>
  </si>
  <si>
    <t xml:space="preserve">Water Bowser</t>
  </si>
  <si>
    <t xml:space="preserve">LOW: small private • HIGH: SLLDC 6,000L equiv.</t>
  </si>
  <si>
    <t xml:space="preserve">Farm Tractor</t>
  </si>
  <si>
    <t xml:space="preserve">LOW: MASSEY/TAFE private • HIGH: MAHINDRA premium</t>
  </si>
  <si>
    <t xml:space="preserve">Motor Bicycle (self-ride)</t>
  </si>
  <si>
    <t xml:space="preserve">LOW: staff rental • HIGH: daily hire</t>
  </si>
  <si>
    <t xml:space="preserve">Tractor Bowser</t>
  </si>
  <si>
    <t xml:space="preserve">LOW: private combo • HIGH: premium combo</t>
  </si>
  <si>
    <t xml:space="preserve">Forklift (3T)</t>
  </si>
  <si>
    <t xml:space="preserve">LOW: private 3T • HIGH: premium/specialist</t>
  </si>
  <si>
    <t xml:space="preserve">Notes: trailers are towed (no engine/operator) — DRY+OPERATOR = DRY; motorcycle is self-ride, WET includes Petrol-92 for staff duty use. 'Margin check' = does the WET-vs-DRY+OPERATOR gap cover fuel at today's CPC price? THIN rows: attach the fuel escalation clause (README) and/or bill fuel actuals via the timesheet calculator.</t>
  </si>
  <si>
    <t xml:space="preserve">FLEET — UNIT-BY-UNIT PRICE LIST 2026 (518 units) — DRY / DRY + OPERATOR / WET   (Rs., excl. 18% VAT)</t>
  </si>
  <si>
    <t xml:space="preserve">Consumption strictly in L/hr (machinery, working hour) or L/km (road vehicles) at three duty scenarios: ECON = light duty / good roads, TYP = normal site duty, HEAVY = hard duty / full load. Fuel Rs. rate = consumption x age factor x CPC price (Auto Diesel Rs.382 / Petrol-92 Rs.414, eff. 29-Jun-2026) — bare fuel cost only, no operator/lubricants/margin. DRY &amp; WET carried per unit from the engineered card (age &amp; size adjusted); DRY+OPERATOR = DRY + operator charge-out (Fuel &amp; Inputs C13; trailers towed, motorcycles self-ride). Daily = hourly x 4 x 0.95 • Monthly = hourly x 120 x 0.85.</t>
  </si>
  <si>
    <t xml:space="preserve">Brand</t>
  </si>
  <si>
    <t xml:space="preserve">Model</t>
  </si>
  <si>
    <t xml:space="preserve">Year</t>
  </si>
  <si>
    <t xml:space="preserve">E&amp;C No.</t>
  </si>
  <si>
    <t xml:space="preserve">Reg No.</t>
  </si>
  <si>
    <t xml:space="preserve">Fuel</t>
  </si>
  <si>
    <t xml:space="preserve">Cons.
unit</t>
  </si>
  <si>
    <t xml:space="preserve">Cons.
ECON</t>
  </si>
  <si>
    <t xml:space="preserve">Cons.
TYP</t>
  </si>
  <si>
    <t xml:space="preserve">Cons.
HEAVY</t>
  </si>
  <si>
    <t xml:space="preserve">Age
factor</t>
  </si>
  <si>
    <t xml:space="preserve">Fuel Rs.
ECON</t>
  </si>
  <si>
    <t xml:space="preserve">Fuel Rs.
TYP</t>
  </si>
  <si>
    <t xml:space="preserve">Fuel Rs.
HEAVY</t>
  </si>
  <si>
    <t xml:space="preserve">Rate
unit</t>
  </si>
  <si>
    <t xml:space="preserve">DRY
Rs./mo (120h)</t>
  </si>
  <si>
    <t xml:space="preserve">DRY+OP
Rs./mo (120h)</t>
  </si>
  <si>
    <t xml:space="preserve">WET
Rs./mo (120h)</t>
  </si>
  <si>
    <t xml:space="preserve">BACKHOE LOADER</t>
  </si>
  <si>
    <t xml:space="preserve">BOB CAT</t>
  </si>
  <si>
    <t xml:space="preserve">B760</t>
  </si>
  <si>
    <t xml:space="preserve">2021</t>
  </si>
  <si>
    <t xml:space="preserve">LB-22</t>
  </si>
  <si>
    <t xml:space="preserve">ZB-2586</t>
  </si>
  <si>
    <t xml:space="preserve">Diesel</t>
  </si>
  <si>
    <t xml:space="preserve">L/hr</t>
  </si>
  <si>
    <t xml:space="preserve">Rs./hr</t>
  </si>
  <si>
    <t xml:space="preserve">LB-23</t>
  </si>
  <si>
    <t xml:space="preserve">ZB-2587</t>
  </si>
  <si>
    <t xml:space="preserve">LB-24</t>
  </si>
  <si>
    <t xml:space="preserve">ZB-2583</t>
  </si>
  <si>
    <t xml:space="preserve">J.C.B</t>
  </si>
  <si>
    <t xml:space="preserve">3DX</t>
  </si>
  <si>
    <t xml:space="preserve">2020</t>
  </si>
  <si>
    <t xml:space="preserve">LB-16</t>
  </si>
  <si>
    <t xml:space="preserve">ZB-1547</t>
  </si>
  <si>
    <t xml:space="preserve">JCB</t>
  </si>
  <si>
    <t xml:space="preserve">2012</t>
  </si>
  <si>
    <t xml:space="preserve">LB-02</t>
  </si>
  <si>
    <t xml:space="preserve">ZA-2963</t>
  </si>
  <si>
    <t xml:space="preserve">LB-03</t>
  </si>
  <si>
    <t xml:space="preserve">ZA-2964</t>
  </si>
  <si>
    <t xml:space="preserve">2015</t>
  </si>
  <si>
    <t xml:space="preserve">LB-09</t>
  </si>
  <si>
    <t xml:space="preserve">ZA-6069</t>
  </si>
  <si>
    <t xml:space="preserve">2016</t>
  </si>
  <si>
    <t xml:space="preserve">LB-11</t>
  </si>
  <si>
    <t xml:space="preserve">ZA-7092</t>
  </si>
  <si>
    <t xml:space="preserve">LB-13</t>
  </si>
  <si>
    <t xml:space="preserve">ZA-7965</t>
  </si>
  <si>
    <t xml:space="preserve">570ST</t>
  </si>
  <si>
    <t xml:space="preserve">2019</t>
  </si>
  <si>
    <t xml:space="preserve">LB-15</t>
  </si>
  <si>
    <t xml:space="preserve">ZB-1047</t>
  </si>
  <si>
    <t xml:space="preserve">JCB 3DX</t>
  </si>
  <si>
    <t xml:space="preserve">LB-10</t>
  </si>
  <si>
    <t xml:space="preserve">ZA-7034</t>
  </si>
  <si>
    <t xml:space="preserve">LB-14</t>
  </si>
  <si>
    <t xml:space="preserve">ZA-7968</t>
  </si>
  <si>
    <t xml:space="preserve">LB-12</t>
  </si>
  <si>
    <t xml:space="preserve">ZA-8337</t>
  </si>
  <si>
    <t xml:space="preserve">LB-17</t>
  </si>
  <si>
    <t xml:space="preserve">ZB-1546</t>
  </si>
  <si>
    <t xml:space="preserve">LB-18</t>
  </si>
  <si>
    <t xml:space="preserve">ZB-1548</t>
  </si>
  <si>
    <t xml:space="preserve">LB-08</t>
  </si>
  <si>
    <t xml:space="preserve">ZA-6068</t>
  </si>
  <si>
    <t xml:space="preserve">LB-19</t>
  </si>
  <si>
    <t xml:space="preserve">ZB-1978</t>
  </si>
  <si>
    <t xml:space="preserve">LB-01</t>
  </si>
  <si>
    <t xml:space="preserve">ZA-2609</t>
  </si>
  <si>
    <t xml:space="preserve">LB-20</t>
  </si>
  <si>
    <t xml:space="preserve">ZB-1979</t>
  </si>
  <si>
    <t xml:space="preserve">LB-21</t>
  </si>
  <si>
    <t xml:space="preserve">ZB-1980</t>
  </si>
  <si>
    <t xml:space="preserve">2006</t>
  </si>
  <si>
    <t xml:space="preserve">LB-05</t>
  </si>
  <si>
    <t xml:space="preserve">RS-0483</t>
  </si>
  <si>
    <t xml:space="preserve">JCB 3CX</t>
  </si>
  <si>
    <t xml:space="preserve">2004</t>
  </si>
  <si>
    <t xml:space="preserve">LB-07</t>
  </si>
  <si>
    <t xml:space="preserve">ZA-2608</t>
  </si>
  <si>
    <t xml:space="preserve">3CX</t>
  </si>
  <si>
    <t xml:space="preserve">2002</t>
  </si>
  <si>
    <t xml:space="preserve">LB-06</t>
  </si>
  <si>
    <t xml:space="preserve">ZA-0447</t>
  </si>
  <si>
    <t xml:space="preserve">SLP3CX</t>
  </si>
  <si>
    <t xml:space="preserve">1999</t>
  </si>
  <si>
    <t xml:space="preserve">LB-04</t>
  </si>
  <si>
    <t xml:space="preserve">RS-0401</t>
  </si>
  <si>
    <t xml:space="preserve">WHEEL LOADER</t>
  </si>
  <si>
    <t xml:space="preserve">SHANTUI</t>
  </si>
  <si>
    <t xml:space="preserve">SL-50WN</t>
  </si>
  <si>
    <t xml:space="preserve">LD-09</t>
  </si>
  <si>
    <t xml:space="preserve">—</t>
  </si>
  <si>
    <t xml:space="preserve">KOMATSU</t>
  </si>
  <si>
    <t xml:space="preserve">WA-80SS</t>
  </si>
  <si>
    <t xml:space="preserve">LD-07</t>
  </si>
  <si>
    <t xml:space="preserve">WA150</t>
  </si>
  <si>
    <t xml:space="preserve">2014</t>
  </si>
  <si>
    <t xml:space="preserve">LD-05</t>
  </si>
  <si>
    <t xml:space="preserve">SANTUI</t>
  </si>
  <si>
    <t xml:space="preserve">SL30W</t>
  </si>
  <si>
    <t xml:space="preserve">LD-08</t>
  </si>
  <si>
    <t xml:space="preserve">924F</t>
  </si>
  <si>
    <t xml:space="preserve">2013</t>
  </si>
  <si>
    <t xml:space="preserve">LD-04</t>
  </si>
  <si>
    <t xml:space="preserve">510</t>
  </si>
  <si>
    <t xml:space="preserve">LD-06</t>
  </si>
  <si>
    <t xml:space="preserve">ZA-3116</t>
  </si>
  <si>
    <t xml:space="preserve">WA100</t>
  </si>
  <si>
    <t xml:space="preserve">LD-03</t>
  </si>
  <si>
    <t xml:space="preserve">CAT</t>
  </si>
  <si>
    <t xml:space="preserve">CAT910</t>
  </si>
  <si>
    <t xml:space="preserve">2010</t>
  </si>
  <si>
    <t xml:space="preserve">LD-02</t>
  </si>
  <si>
    <t xml:space="preserve">910E</t>
  </si>
  <si>
    <t xml:space="preserve">2009</t>
  </si>
  <si>
    <t xml:space="preserve">LD-01</t>
  </si>
  <si>
    <t xml:space="preserve">TRUCK MIXER</t>
  </si>
  <si>
    <t xml:space="preserve">TATA</t>
  </si>
  <si>
    <t xml:space="preserve">LPK 1618</t>
  </si>
  <si>
    <t xml:space="preserve">2017</t>
  </si>
  <si>
    <t xml:space="preserve">TM-18</t>
  </si>
  <si>
    <t xml:space="preserve">ZA-8511</t>
  </si>
  <si>
    <t xml:space="preserve">LPK 2518</t>
  </si>
  <si>
    <t xml:space="preserve">TM-19</t>
  </si>
  <si>
    <t xml:space="preserve">ZA-8445</t>
  </si>
  <si>
    <t xml:space="preserve">TM-15</t>
  </si>
  <si>
    <t xml:space="preserve">ZA-7925</t>
  </si>
  <si>
    <t xml:space="preserve">ELCHER</t>
  </si>
  <si>
    <t xml:space="preserve">TERRA 16</t>
  </si>
  <si>
    <t xml:space="preserve">TM-11</t>
  </si>
  <si>
    <t xml:space="preserve">ZA-7291</t>
  </si>
  <si>
    <t xml:space="preserve">TM-12</t>
  </si>
  <si>
    <t xml:space="preserve">ZA-7290</t>
  </si>
  <si>
    <t xml:space="preserve">TM-14</t>
  </si>
  <si>
    <t xml:space="preserve">ZA-7810</t>
  </si>
  <si>
    <t xml:space="preserve">TM-16</t>
  </si>
  <si>
    <t xml:space="preserve">ZA-8033</t>
  </si>
  <si>
    <t xml:space="preserve">TM-21</t>
  </si>
  <si>
    <t xml:space="preserve">ZA-0050</t>
  </si>
  <si>
    <t xml:space="preserve">ASHOK LEYLAND</t>
  </si>
  <si>
    <t xml:space="preserve">TUSKER SUPER 1613</t>
  </si>
  <si>
    <t xml:space="preserve">TM-10</t>
  </si>
  <si>
    <t xml:space="preserve">ZA-6395</t>
  </si>
  <si>
    <t xml:space="preserve">MITSUBISHI</t>
  </si>
  <si>
    <t xml:space="preserve">KK-FE73EB CANTER</t>
  </si>
  <si>
    <t xml:space="preserve">2003</t>
  </si>
  <si>
    <t xml:space="preserve">TM-09</t>
  </si>
  <si>
    <t xml:space="preserve">ZA-6255</t>
  </si>
  <si>
    <t xml:space="preserve">ISUZU</t>
  </si>
  <si>
    <t xml:space="preserve">KK-NRR35C4 FORWARD</t>
  </si>
  <si>
    <t xml:space="preserve">2000</t>
  </si>
  <si>
    <t xml:space="preserve">TM-04</t>
  </si>
  <si>
    <t xml:space="preserve">LL-0690</t>
  </si>
  <si>
    <t xml:space="preserve">KC-NRR33C20</t>
  </si>
  <si>
    <t xml:space="preserve">1996</t>
  </si>
  <si>
    <t xml:space="preserve">TM-03</t>
  </si>
  <si>
    <t xml:space="preserve">LK-5047</t>
  </si>
  <si>
    <t xml:space="preserve">TM-08</t>
  </si>
  <si>
    <t xml:space="preserve">LJ-8055</t>
  </si>
  <si>
    <t xml:space="preserve">KC-FH217C</t>
  </si>
  <si>
    <t xml:space="preserve">TM-01</t>
  </si>
  <si>
    <t xml:space="preserve">LK-5048</t>
  </si>
  <si>
    <t xml:space="preserve">KC-FE517BN</t>
  </si>
  <si>
    <t xml:space="preserve">TM-05</t>
  </si>
  <si>
    <t xml:space="preserve">LH-5474</t>
  </si>
  <si>
    <t xml:space="preserve">U.FE315BN</t>
  </si>
  <si>
    <t xml:space="preserve">1991</t>
  </si>
  <si>
    <t xml:space="preserve">TM-06</t>
  </si>
  <si>
    <t xml:space="preserve">LH-5475</t>
  </si>
  <si>
    <t xml:space="preserve">SELF LOADER MIXER</t>
  </si>
  <si>
    <t xml:space="preserve">FIORI</t>
  </si>
  <si>
    <t xml:space="preserve">BF08H01307</t>
  </si>
  <si>
    <t xml:space="preserve">2018</t>
  </si>
  <si>
    <t xml:space="preserve">TM-20</t>
  </si>
  <si>
    <t xml:space="preserve">Fiori</t>
  </si>
  <si>
    <t xml:space="preserve">8FO8H01246</t>
  </si>
  <si>
    <t xml:space="preserve">TM-13</t>
  </si>
  <si>
    <t xml:space="preserve">8FO8H01252</t>
  </si>
  <si>
    <t xml:space="preserve">TM-17</t>
  </si>
  <si>
    <t xml:space="preserve">STATIC ROLLER</t>
  </si>
  <si>
    <t xml:space="preserve">DYNAPAC</t>
  </si>
  <si>
    <t xml:space="preserve">CC425</t>
  </si>
  <si>
    <t xml:space="preserve">SR-17</t>
  </si>
  <si>
    <t xml:space="preserve">CA30D</t>
  </si>
  <si>
    <t xml:space="preserve">SR-18</t>
  </si>
  <si>
    <t xml:space="preserve">SR-19</t>
  </si>
  <si>
    <t xml:space="preserve">CASE</t>
  </si>
  <si>
    <t xml:space="preserve">1107EXD</t>
  </si>
  <si>
    <t xml:space="preserve">SR-08</t>
  </si>
  <si>
    <t xml:space="preserve">MACADAM</t>
  </si>
  <si>
    <t xml:space="preserve">SR-15</t>
  </si>
  <si>
    <t xml:space="preserve">HAMM</t>
  </si>
  <si>
    <t xml:space="preserve">HAMM 311D</t>
  </si>
  <si>
    <t xml:space="preserve">SR-12</t>
  </si>
  <si>
    <t xml:space="preserve">SR-01</t>
  </si>
  <si>
    <t xml:space="preserve">SAKAI</t>
  </si>
  <si>
    <t xml:space="preserve">SW-900</t>
  </si>
  <si>
    <t xml:space="preserve">SR-05</t>
  </si>
  <si>
    <t xml:space="preserve">(Unknown)</t>
  </si>
  <si>
    <t xml:space="preserve">R12</t>
  </si>
  <si>
    <t xml:space="preserve">SR-02</t>
  </si>
  <si>
    <t xml:space="preserve">SR-03</t>
  </si>
  <si>
    <t xml:space="preserve">SR-04</t>
  </si>
  <si>
    <t xml:space="preserve">IR</t>
  </si>
  <si>
    <t xml:space="preserve">2860-01</t>
  </si>
  <si>
    <t xml:space="preserve">SR-07</t>
  </si>
  <si>
    <t xml:space="preserve">SR-06</t>
  </si>
  <si>
    <t xml:space="preserve">SR-09</t>
  </si>
  <si>
    <t xml:space="preserve">CA250D</t>
  </si>
  <si>
    <t xml:space="preserve">SR-13</t>
  </si>
  <si>
    <t xml:space="preserve">SR-16</t>
  </si>
  <si>
    <t xml:space="preserve">SR-11</t>
  </si>
  <si>
    <t xml:space="preserve">SR-10</t>
  </si>
  <si>
    <t xml:space="preserve">R2V</t>
  </si>
  <si>
    <t xml:space="preserve">SR-14</t>
  </si>
  <si>
    <t xml:space="preserve">VIBRATING ROLLER</t>
  </si>
  <si>
    <t xml:space="preserve">VR-01</t>
  </si>
  <si>
    <t xml:space="preserve">SL203468</t>
  </si>
  <si>
    <t xml:space="preserve">VR-02</t>
  </si>
  <si>
    <t xml:space="preserve">VR-03</t>
  </si>
  <si>
    <t xml:space="preserve">BOMAG</t>
  </si>
  <si>
    <t xml:space="preserve">BW-138 AD</t>
  </si>
  <si>
    <t xml:space="preserve">VR-14</t>
  </si>
  <si>
    <t xml:space="preserve">SA-00-350</t>
  </si>
  <si>
    <t xml:space="preserve">VR-18</t>
  </si>
  <si>
    <t xml:space="preserve">BW 75 H</t>
  </si>
  <si>
    <t xml:space="preserve">VR-31</t>
  </si>
  <si>
    <t xml:space="preserve">TACOM</t>
  </si>
  <si>
    <t xml:space="preserve">TFR60TDS</t>
  </si>
  <si>
    <t xml:space="preserve">VR-30</t>
  </si>
  <si>
    <t xml:space="preserve">VR-32</t>
  </si>
  <si>
    <t xml:space="preserve">VR-69</t>
  </si>
  <si>
    <t xml:space="preserve">VR-04</t>
  </si>
  <si>
    <t xml:space="preserve">VR-28</t>
  </si>
  <si>
    <t xml:space="preserve">VR-29</t>
  </si>
  <si>
    <t xml:space="preserve">VR-27</t>
  </si>
  <si>
    <t xml:space="preserve">VR-21</t>
  </si>
  <si>
    <t xml:space="preserve">VR-05</t>
  </si>
  <si>
    <t xml:space="preserve">VR-06</t>
  </si>
  <si>
    <t xml:space="preserve">BW 138 AD-05</t>
  </si>
  <si>
    <t xml:space="preserve">VR-10</t>
  </si>
  <si>
    <t xml:space="preserve">VR-70</t>
  </si>
  <si>
    <t xml:space="preserve">VR-24</t>
  </si>
  <si>
    <t xml:space="preserve">VR-71</t>
  </si>
  <si>
    <t xml:space="preserve">1650NK0285</t>
  </si>
  <si>
    <t xml:space="preserve">VR-07</t>
  </si>
  <si>
    <t xml:space="preserve">CC142 II</t>
  </si>
  <si>
    <t xml:space="preserve">VR-09</t>
  </si>
  <si>
    <t xml:space="preserve">CC1300</t>
  </si>
  <si>
    <t xml:space="preserve">VR-11</t>
  </si>
  <si>
    <t xml:space="preserve">SW-300</t>
  </si>
  <si>
    <t xml:space="preserve">VR-20</t>
  </si>
  <si>
    <t xml:space="preserve">ATLAS</t>
  </si>
  <si>
    <t xml:space="preserve">VR-08</t>
  </si>
  <si>
    <t xml:space="preserve">VR-12</t>
  </si>
  <si>
    <t xml:space="preserve">VR-13</t>
  </si>
  <si>
    <t xml:space="preserve">VR-15</t>
  </si>
  <si>
    <t xml:space="preserve">VR-16</t>
  </si>
  <si>
    <t xml:space="preserve">VR-17</t>
  </si>
  <si>
    <t xml:space="preserve">VR-19</t>
  </si>
  <si>
    <t xml:space="preserve">VR-22</t>
  </si>
  <si>
    <t xml:space="preserve">VR-23</t>
  </si>
  <si>
    <t xml:space="preserve">VR-25</t>
  </si>
  <si>
    <t xml:space="preserve">VR-26</t>
  </si>
  <si>
    <t xml:space="preserve">VR-33</t>
  </si>
  <si>
    <t xml:space="preserve">VR-34</t>
  </si>
  <si>
    <t xml:space="preserve">VR-35</t>
  </si>
  <si>
    <t xml:space="preserve">VR-36</t>
  </si>
  <si>
    <t xml:space="preserve">VR-37</t>
  </si>
  <si>
    <t xml:space="preserve">VR-38</t>
  </si>
  <si>
    <t xml:space="preserve">VR-39</t>
  </si>
  <si>
    <t xml:space="preserve">VR-40</t>
  </si>
  <si>
    <t xml:space="preserve">VR-41</t>
  </si>
  <si>
    <t xml:space="preserve">VR-42</t>
  </si>
  <si>
    <t xml:space="preserve">VR-43</t>
  </si>
  <si>
    <t xml:space="preserve">VR-46</t>
  </si>
  <si>
    <t xml:space="preserve">VR-47</t>
  </si>
  <si>
    <t xml:space="preserve">VR-48</t>
  </si>
  <si>
    <t xml:space="preserve">VR-49</t>
  </si>
  <si>
    <t xml:space="preserve">VR-50</t>
  </si>
  <si>
    <t xml:space="preserve">VR-51</t>
  </si>
  <si>
    <t xml:space="preserve">VR-52</t>
  </si>
  <si>
    <t xml:space="preserve">VR-53</t>
  </si>
  <si>
    <t xml:space="preserve">VR-54</t>
  </si>
  <si>
    <t xml:space="preserve">VR-55</t>
  </si>
  <si>
    <t xml:space="preserve">CC-1250</t>
  </si>
  <si>
    <t xml:space="preserve">VR-56</t>
  </si>
  <si>
    <t xml:space="preserve">VR-57</t>
  </si>
  <si>
    <t xml:space="preserve">VR-58</t>
  </si>
  <si>
    <t xml:space="preserve">VR-59</t>
  </si>
  <si>
    <t xml:space="preserve">VR-60</t>
  </si>
  <si>
    <t xml:space="preserve">VR-61</t>
  </si>
  <si>
    <t xml:space="preserve">VR-62</t>
  </si>
  <si>
    <t xml:space="preserve">VR-63</t>
  </si>
  <si>
    <t xml:space="preserve">VR-64</t>
  </si>
  <si>
    <t xml:space="preserve">VR-65</t>
  </si>
  <si>
    <t xml:space="preserve">VR-66</t>
  </si>
  <si>
    <t xml:space="preserve">VR-67</t>
  </si>
  <si>
    <t xml:space="preserve">CB-504C</t>
  </si>
  <si>
    <t xml:space="preserve">VR-44</t>
  </si>
  <si>
    <t xml:space="preserve">VR-68</t>
  </si>
  <si>
    <t xml:space="preserve">TW-41</t>
  </si>
  <si>
    <t xml:space="preserve">VR-45</t>
  </si>
  <si>
    <t xml:space="preserve">PNEUMATIC ROLLER</t>
  </si>
  <si>
    <t xml:space="preserve">PTR-03</t>
  </si>
  <si>
    <t xml:space="preserve">CP-201W</t>
  </si>
  <si>
    <t xml:space="preserve">PTR-04</t>
  </si>
  <si>
    <t xml:space="preserve">PTR-05</t>
  </si>
  <si>
    <t xml:space="preserve">FURUKAWA</t>
  </si>
  <si>
    <t xml:space="preserve">FT-20W</t>
  </si>
  <si>
    <t xml:space="preserve">PTR-07</t>
  </si>
  <si>
    <t xml:space="preserve">KAWASAKI</t>
  </si>
  <si>
    <t xml:space="preserve">KR-20 D</t>
  </si>
  <si>
    <t xml:space="preserve">PTR-01</t>
  </si>
  <si>
    <t xml:space="preserve">KTDTO</t>
  </si>
  <si>
    <t xml:space="preserve">RT-200W</t>
  </si>
  <si>
    <t xml:space="preserve">PTR-06</t>
  </si>
  <si>
    <t xml:space="preserve">6BD1LJ-01</t>
  </si>
  <si>
    <t xml:space="preserve">PTR-02</t>
  </si>
  <si>
    <t xml:space="preserve">C200</t>
  </si>
  <si>
    <t xml:space="preserve">PTR-09</t>
  </si>
  <si>
    <t xml:space="preserve">TS200</t>
  </si>
  <si>
    <t xml:space="preserve">1990</t>
  </si>
  <si>
    <t xml:space="preserve">PTR-10</t>
  </si>
  <si>
    <t xml:space="preserve">J.W 200</t>
  </si>
  <si>
    <t xml:space="preserve">PTR-08</t>
  </si>
  <si>
    <t xml:space="preserve">MOTOR GRADER</t>
  </si>
  <si>
    <t xml:space="preserve">SANY</t>
  </si>
  <si>
    <t xml:space="preserve">STG170C-8</t>
  </si>
  <si>
    <t xml:space="preserve">MG-12</t>
  </si>
  <si>
    <t xml:space="preserve">ZB-2564</t>
  </si>
  <si>
    <t xml:space="preserve">STG170C-9</t>
  </si>
  <si>
    <t xml:space="preserve">MG-13</t>
  </si>
  <si>
    <t xml:space="preserve">ZB-2585</t>
  </si>
  <si>
    <t xml:space="preserve">MG-09</t>
  </si>
  <si>
    <t xml:space="preserve">ZB-2562</t>
  </si>
  <si>
    <t xml:space="preserve">MG-08</t>
  </si>
  <si>
    <t xml:space="preserve">ZB-2561</t>
  </si>
  <si>
    <t xml:space="preserve">MG-10</t>
  </si>
  <si>
    <t xml:space="preserve">ZB-2559</t>
  </si>
  <si>
    <t xml:space="preserve">2GB00258</t>
  </si>
  <si>
    <t xml:space="preserve">MG-14</t>
  </si>
  <si>
    <t xml:space="preserve">2GB01241</t>
  </si>
  <si>
    <t xml:space="preserve">2008</t>
  </si>
  <si>
    <t xml:space="preserve">MG-15</t>
  </si>
  <si>
    <t xml:space="preserve">MG-01</t>
  </si>
  <si>
    <t xml:space="preserve">MG-02</t>
  </si>
  <si>
    <t xml:space="preserve">CATERPILLER</t>
  </si>
  <si>
    <t xml:space="preserve">*CAT0140HC5HM03479*</t>
  </si>
  <si>
    <t xml:space="preserve">MG-16</t>
  </si>
  <si>
    <t xml:space="preserve">MG-04</t>
  </si>
  <si>
    <t xml:space="preserve">2501</t>
  </si>
  <si>
    <t xml:space="preserve">MG-05</t>
  </si>
  <si>
    <t xml:space="preserve">MG-07</t>
  </si>
  <si>
    <t xml:space="preserve">ZA-4344</t>
  </si>
  <si>
    <t xml:space="preserve">MITSUBHISHI</t>
  </si>
  <si>
    <t xml:space="preserve">MG 230</t>
  </si>
  <si>
    <t xml:space="preserve">MG-11</t>
  </si>
  <si>
    <t xml:space="preserve">452-65-147</t>
  </si>
  <si>
    <t xml:space="preserve">MG-03</t>
  </si>
  <si>
    <t xml:space="preserve">320-11-21GD</t>
  </si>
  <si>
    <t xml:space="preserve">MG-06</t>
  </si>
  <si>
    <t xml:space="preserve">SKID STEER</t>
  </si>
  <si>
    <t xml:space="preserve">S-450</t>
  </si>
  <si>
    <t xml:space="preserve">SL-21</t>
  </si>
  <si>
    <t xml:space="preserve">BOB CAT S450</t>
  </si>
  <si>
    <t xml:space="preserve">SL-10</t>
  </si>
  <si>
    <t xml:space="preserve">SL-13</t>
  </si>
  <si>
    <t xml:space="preserve">S-16</t>
  </si>
  <si>
    <t xml:space="preserve">SL-24</t>
  </si>
  <si>
    <t xml:space="preserve">SL-14</t>
  </si>
  <si>
    <t xml:space="preserve">SL-20</t>
  </si>
  <si>
    <t xml:space="preserve">SL-01</t>
  </si>
  <si>
    <t xml:space="preserve">SL-03</t>
  </si>
  <si>
    <t xml:space="preserve">SL-04</t>
  </si>
  <si>
    <t xml:space="preserve">SL-05</t>
  </si>
  <si>
    <t xml:space="preserve">SL-11</t>
  </si>
  <si>
    <t xml:space="preserve">SL-15</t>
  </si>
  <si>
    <t xml:space="preserve">SL-16</t>
  </si>
  <si>
    <t xml:space="preserve">SL-17</t>
  </si>
  <si>
    <t xml:space="preserve">SL-06</t>
  </si>
  <si>
    <t xml:space="preserve">216B3</t>
  </si>
  <si>
    <t xml:space="preserve">SL-08</t>
  </si>
  <si>
    <t xml:space="preserve">SL-12</t>
  </si>
  <si>
    <t xml:space="preserve">SL-18</t>
  </si>
  <si>
    <t xml:space="preserve">SL-22</t>
  </si>
  <si>
    <t xml:space="preserve">SL-23</t>
  </si>
  <si>
    <t xml:space="preserve">S770</t>
  </si>
  <si>
    <t xml:space="preserve">SL-19</t>
  </si>
  <si>
    <t xml:space="preserve">SL-07</t>
  </si>
  <si>
    <t xml:space="preserve">S130</t>
  </si>
  <si>
    <t xml:space="preserve">SL-02</t>
  </si>
  <si>
    <t xml:space="preserve">SL-25</t>
  </si>
  <si>
    <t xml:space="preserve">SL-09</t>
  </si>
  <si>
    <t xml:space="preserve">ASPHALT PAVER</t>
  </si>
  <si>
    <t xml:space="preserve">SD2500C</t>
  </si>
  <si>
    <t xml:space="preserve">AP-10</t>
  </si>
  <si>
    <t xml:space="preserve">VOLVO</t>
  </si>
  <si>
    <t xml:space="preserve">P6820C</t>
  </si>
  <si>
    <t xml:space="preserve">AP-08</t>
  </si>
  <si>
    <t xml:space="preserve">MF-55WH</t>
  </si>
  <si>
    <t xml:space="preserve">AP-03</t>
  </si>
  <si>
    <t xml:space="preserve">MF60WD</t>
  </si>
  <si>
    <t xml:space="preserve">AP-04</t>
  </si>
  <si>
    <t xml:space="preserve">MF40WH</t>
  </si>
  <si>
    <t xml:space="preserve">AP-02</t>
  </si>
  <si>
    <t xml:space="preserve">NIGATA</t>
  </si>
  <si>
    <t xml:space="preserve">AP-05</t>
  </si>
  <si>
    <t xml:space="preserve">SUMITOMO</t>
  </si>
  <si>
    <t xml:space="preserve">HA45C-2065</t>
  </si>
  <si>
    <t xml:space="preserve">AP-01</t>
  </si>
  <si>
    <t xml:space="preserve">HA60W-7</t>
  </si>
  <si>
    <t xml:space="preserve">AP-09</t>
  </si>
  <si>
    <t xml:space="preserve">HA60W-5</t>
  </si>
  <si>
    <t xml:space="preserve">AP-11</t>
  </si>
  <si>
    <t xml:space="preserve">AP-06</t>
  </si>
  <si>
    <t xml:space="preserve">AP-07</t>
  </si>
  <si>
    <t xml:space="preserve">BITUMEN BOWSER</t>
  </si>
  <si>
    <t xml:space="preserve">DFAC</t>
  </si>
  <si>
    <t xml:space="preserve">EQ1110SJ8BDC</t>
  </si>
  <si>
    <t xml:space="preserve">BS-05</t>
  </si>
  <si>
    <t xml:space="preserve">ZB-1469</t>
  </si>
  <si>
    <t xml:space="preserve">LPT 709</t>
  </si>
  <si>
    <t xml:space="preserve">BS-02</t>
  </si>
  <si>
    <t xml:space="preserve">LL-0623</t>
  </si>
  <si>
    <t xml:space="preserve">FOTON</t>
  </si>
  <si>
    <t xml:space="preserve">BJ1056R</t>
  </si>
  <si>
    <t xml:space="preserve">BS-04</t>
  </si>
  <si>
    <t xml:space="preserve">LM-2298</t>
  </si>
  <si>
    <t xml:space="preserve">COMET SUPER</t>
  </si>
  <si>
    <t xml:space="preserve">1992</t>
  </si>
  <si>
    <t xml:space="preserve">BS-01</t>
  </si>
  <si>
    <t xml:space="preserve">43-3416</t>
  </si>
  <si>
    <t xml:space="preserve">MOBILE CRANE</t>
  </si>
  <si>
    <t xml:space="preserve">TADANO</t>
  </si>
  <si>
    <t xml:space="preserve">TR-350M-3-00101</t>
  </si>
  <si>
    <t xml:space="preserve">1998</t>
  </si>
  <si>
    <t xml:space="preserve">CR-01</t>
  </si>
  <si>
    <t xml:space="preserve">ZA-8395</t>
  </si>
  <si>
    <t xml:space="preserve">KOBELCO</t>
  </si>
  <si>
    <t xml:space="preserve">RK 250</t>
  </si>
  <si>
    <t xml:space="preserve">1995</t>
  </si>
  <si>
    <t xml:space="preserve">CR-02</t>
  </si>
  <si>
    <t xml:space="preserve">ZA-9716</t>
  </si>
  <si>
    <t xml:space="preserve">BOOM TRUCK</t>
  </si>
  <si>
    <t xml:space="preserve">LPT1613</t>
  </si>
  <si>
    <t xml:space="preserve">BM-02</t>
  </si>
  <si>
    <t xml:space="preserve">LC-0434</t>
  </si>
  <si>
    <t xml:space="preserve">PJ.CYZ51V5.OIOA</t>
  </si>
  <si>
    <t xml:space="preserve">2005</t>
  </si>
  <si>
    <t xml:space="preserve">BM-03</t>
  </si>
  <si>
    <t xml:space="preserve">LN-8277</t>
  </si>
  <si>
    <t xml:space="preserve">KL.FSR34LARFORWARD</t>
  </si>
  <si>
    <t xml:space="preserve">BM-04</t>
  </si>
  <si>
    <t xml:space="preserve">LN-8278</t>
  </si>
  <si>
    <t xml:space="preserve">FREIGHT ROVER</t>
  </si>
  <si>
    <t xml:space="preserve">BM-01</t>
  </si>
  <si>
    <t xml:space="preserve">48-4849</t>
  </si>
  <si>
    <t xml:space="preserve">PRIME MOVER / BED</t>
  </si>
  <si>
    <t xml:space="preserve">Prime Mover / Bed</t>
  </si>
  <si>
    <t xml:space="preserve">ASHOK LELAND</t>
  </si>
  <si>
    <t xml:space="preserve">TAURUS 2518</t>
  </si>
  <si>
    <t xml:space="preserve">BD-05</t>
  </si>
  <si>
    <t xml:space="preserve">LM-6653</t>
  </si>
  <si>
    <t xml:space="preserve">L/km</t>
  </si>
  <si>
    <t xml:space="preserve">Rs./km</t>
  </si>
  <si>
    <t xml:space="preserve">RENAULT</t>
  </si>
  <si>
    <t xml:space="preserve">PREMIUM</t>
  </si>
  <si>
    <t xml:space="preserve">BD-04</t>
  </si>
  <si>
    <t xml:space="preserve">LY-4524</t>
  </si>
  <si>
    <t xml:space="preserve">LPS4018</t>
  </si>
  <si>
    <t xml:space="preserve">2011</t>
  </si>
  <si>
    <t xml:space="preserve">BD-03</t>
  </si>
  <si>
    <t xml:space="preserve">LY-1614</t>
  </si>
  <si>
    <t xml:space="preserve">LPT2516</t>
  </si>
  <si>
    <t xml:space="preserve">BM-05</t>
  </si>
  <si>
    <t xml:space="preserve">LK-5041</t>
  </si>
  <si>
    <t xml:space="preserve">HINO</t>
  </si>
  <si>
    <t xml:space="preserve">PROFLA</t>
  </si>
  <si>
    <t xml:space="preserve">BD-08</t>
  </si>
  <si>
    <t xml:space="preserve">LN-8279</t>
  </si>
  <si>
    <t xml:space="preserve">CAROO 709</t>
  </si>
  <si>
    <t xml:space="preserve">BD-06</t>
  </si>
  <si>
    <t xml:space="preserve">325-5120</t>
  </si>
  <si>
    <t xml:space="preserve">BD-02</t>
  </si>
  <si>
    <t xml:space="preserve">GL-0019</t>
  </si>
  <si>
    <t xml:space="preserve">GIGA</t>
  </si>
  <si>
    <t xml:space="preserve">BD-01</t>
  </si>
  <si>
    <t xml:space="preserve">LL-1782</t>
  </si>
  <si>
    <t xml:space="preserve">PUMP TRUCK (CONCRETE)</t>
  </si>
  <si>
    <t xml:space="preserve">Pump Truck (Concrete)</t>
  </si>
  <si>
    <t xml:space="preserve">LZZ1BCKH2KW579978</t>
  </si>
  <si>
    <t xml:space="preserve">PC-02</t>
  </si>
  <si>
    <t xml:space="preserve">ZB-1496</t>
  </si>
  <si>
    <t xml:space="preserve">FS1EWY</t>
  </si>
  <si>
    <t xml:space="preserve">PC-01</t>
  </si>
  <si>
    <t xml:space="preserve">ZA-8373</t>
  </si>
  <si>
    <t xml:space="preserve">DOUBLE CAB (PICKUP)</t>
  </si>
  <si>
    <t xml:space="preserve">TOYOTA</t>
  </si>
  <si>
    <t xml:space="preserve">HILUX</t>
  </si>
  <si>
    <t xml:space="preserve">DC-25</t>
  </si>
  <si>
    <t xml:space="preserve">PJ-5688</t>
  </si>
  <si>
    <t xml:space="preserve">DC-27</t>
  </si>
  <si>
    <t xml:space="preserve">PJ-7605</t>
  </si>
  <si>
    <t xml:space="preserve">DC-28</t>
  </si>
  <si>
    <t xml:space="preserve">PJ-7606</t>
  </si>
  <si>
    <t xml:space="preserve">DC-29</t>
  </si>
  <si>
    <t xml:space="preserve">PJ-7598</t>
  </si>
  <si>
    <t xml:space="preserve">DC-30</t>
  </si>
  <si>
    <t xml:space="preserve">PJ-7601</t>
  </si>
  <si>
    <t xml:space="preserve">DC-26</t>
  </si>
  <si>
    <t xml:space="preserve">PJ-7604</t>
  </si>
  <si>
    <t xml:space="preserve">HILUX CUN126R DTTLH</t>
  </si>
  <si>
    <t xml:space="preserve">DC-31</t>
  </si>
  <si>
    <t xml:space="preserve">PI-3982</t>
  </si>
  <si>
    <t xml:space="preserve">DC-32</t>
  </si>
  <si>
    <t xml:space="preserve">PH-9072</t>
  </si>
  <si>
    <t xml:space="preserve">MAHINDRA</t>
  </si>
  <si>
    <t xml:space="preserve">IMPERIO DCVX</t>
  </si>
  <si>
    <t xml:space="preserve">DC-21</t>
  </si>
  <si>
    <t xml:space="preserve">PH-3945</t>
  </si>
  <si>
    <t xml:space="preserve">BOLERO CAMPER GOLD</t>
  </si>
  <si>
    <t xml:space="preserve">DC-20</t>
  </si>
  <si>
    <t xml:space="preserve">PH-0765</t>
  </si>
  <si>
    <t xml:space="preserve">DC-22</t>
  </si>
  <si>
    <t xml:space="preserve">PE-3911</t>
  </si>
  <si>
    <t xml:space="preserve">DC-14</t>
  </si>
  <si>
    <t xml:space="preserve">PD-6917</t>
  </si>
  <si>
    <t xml:space="preserve">L 200</t>
  </si>
  <si>
    <t xml:space="preserve">DC-15</t>
  </si>
  <si>
    <t xml:space="preserve">PE-6582</t>
  </si>
  <si>
    <t xml:space="preserve">HILUX VIGO</t>
  </si>
  <si>
    <t xml:space="preserve">DC-18</t>
  </si>
  <si>
    <t xml:space="preserve">PE-5879</t>
  </si>
  <si>
    <t xml:space="preserve">2007</t>
  </si>
  <si>
    <t xml:space="preserve">DC-19</t>
  </si>
  <si>
    <t xml:space="preserve">PD-8451</t>
  </si>
  <si>
    <t xml:space="preserve">DC-23</t>
  </si>
  <si>
    <t xml:space="preserve">PD-4739</t>
  </si>
  <si>
    <t xml:space="preserve">HILUX HL2 D-4D 4*4</t>
  </si>
  <si>
    <t xml:space="preserve">DC-24</t>
  </si>
  <si>
    <t xml:space="preserve">PC-7812</t>
  </si>
  <si>
    <t xml:space="preserve">DC-06</t>
  </si>
  <si>
    <t xml:space="preserve">PA-4193</t>
  </si>
  <si>
    <t xml:space="preserve">VOLKSWAGON</t>
  </si>
  <si>
    <t xml:space="preserve">T5 TRANSPORTER</t>
  </si>
  <si>
    <t xml:space="preserve">DC-16</t>
  </si>
  <si>
    <t xml:space="preserve">PA-4102</t>
  </si>
  <si>
    <t xml:space="preserve">DC-11</t>
  </si>
  <si>
    <t xml:space="preserve">HU-5097</t>
  </si>
  <si>
    <t xml:space="preserve">MOTOR PIC-UP</t>
  </si>
  <si>
    <t xml:space="preserve">DC-12</t>
  </si>
  <si>
    <t xml:space="preserve">253-2574</t>
  </si>
  <si>
    <t xml:space="preserve">1997</t>
  </si>
  <si>
    <t xml:space="preserve">DC-08</t>
  </si>
  <si>
    <t xml:space="preserve">59-5421</t>
  </si>
  <si>
    <t xml:space="preserve">DATZEN</t>
  </si>
  <si>
    <t xml:space="preserve">1985</t>
  </si>
  <si>
    <t xml:space="preserve">DC-10</t>
  </si>
  <si>
    <t xml:space="preserve">28-4314</t>
  </si>
  <si>
    <t xml:space="preserve">DC-07</t>
  </si>
  <si>
    <t xml:space="preserve">51-8083</t>
  </si>
  <si>
    <t xml:space="preserve">VAN</t>
  </si>
  <si>
    <t xml:space="preserve">KDH200V</t>
  </si>
  <si>
    <t xml:space="preserve">PE-7986</t>
  </si>
  <si>
    <t xml:space="preserve">TOYOTA TOWNACE</t>
  </si>
  <si>
    <t xml:space="preserve">1989</t>
  </si>
  <si>
    <t xml:space="preserve">54-7084</t>
  </si>
  <si>
    <t xml:space="preserve">LITEACE</t>
  </si>
  <si>
    <t xml:space="preserve">1987</t>
  </si>
  <si>
    <t xml:space="preserve">PV-01</t>
  </si>
  <si>
    <t xml:space="preserve">51-7158</t>
  </si>
  <si>
    <t xml:space="preserve">CREW CAB</t>
  </si>
  <si>
    <t xml:space="preserve">JMC</t>
  </si>
  <si>
    <t xml:space="preserve">JX1032DSR</t>
  </si>
  <si>
    <t xml:space="preserve">HCC-09</t>
  </si>
  <si>
    <t xml:space="preserve">PJ-6376</t>
  </si>
  <si>
    <t xml:space="preserve">PR75KJ7104331</t>
  </si>
  <si>
    <t xml:space="preserve">HCC-11</t>
  </si>
  <si>
    <t xml:space="preserve">LO-9810</t>
  </si>
  <si>
    <t xml:space="preserve">1X1041DSLA2RS</t>
  </si>
  <si>
    <t xml:space="preserve">HCC-08</t>
  </si>
  <si>
    <t xml:space="preserve">LN-1867</t>
  </si>
  <si>
    <t xml:space="preserve">HCC-05</t>
  </si>
  <si>
    <t xml:space="preserve">PH-6742</t>
  </si>
  <si>
    <t xml:space="preserve">HCC-06</t>
  </si>
  <si>
    <t xml:space="preserve">PH-6744</t>
  </si>
  <si>
    <t xml:space="preserve">HCC-07</t>
  </si>
  <si>
    <t xml:space="preserve">PH-6747</t>
  </si>
  <si>
    <t xml:space="preserve">KO-LY132</t>
  </si>
  <si>
    <t xml:space="preserve">HCC-01</t>
  </si>
  <si>
    <t xml:space="preserve">PA-4879</t>
  </si>
  <si>
    <t xml:space="preserve">KC-LY101</t>
  </si>
  <si>
    <t xml:space="preserve">HCC-02</t>
  </si>
  <si>
    <t xml:space="preserve">PA-6398</t>
  </si>
  <si>
    <t xml:space="preserve">KC-LY111</t>
  </si>
  <si>
    <t xml:space="preserve">HCC-03</t>
  </si>
  <si>
    <t xml:space="preserve">PA-6399</t>
  </si>
  <si>
    <t xml:space="preserve">DATSUN</t>
  </si>
  <si>
    <t xml:space="preserve">AGY720-921207</t>
  </si>
  <si>
    <t xml:space="preserve">1984</t>
  </si>
  <si>
    <t xml:space="preserve">HCC-10</t>
  </si>
  <si>
    <t xml:space="preserve">40-8060</t>
  </si>
  <si>
    <t xml:space="preserve">BU19</t>
  </si>
  <si>
    <t xml:space="preserve">1973</t>
  </si>
  <si>
    <t xml:space="preserve">HCC-04</t>
  </si>
  <si>
    <t xml:space="preserve">325-3448</t>
  </si>
  <si>
    <t xml:space="preserve">SINGLE CAB</t>
  </si>
  <si>
    <t xml:space="preserve">BMT PLUS MTI</t>
  </si>
  <si>
    <t xml:space="preserve">SC-10</t>
  </si>
  <si>
    <t xml:space="preserve">DAH-2228</t>
  </si>
  <si>
    <t xml:space="preserve">SC-11</t>
  </si>
  <si>
    <t xml:space="preserve">DAH-2229</t>
  </si>
  <si>
    <t xml:space="preserve">SC-12</t>
  </si>
  <si>
    <t xml:space="preserve">DAH-2230</t>
  </si>
  <si>
    <t xml:space="preserve">SC-13</t>
  </si>
  <si>
    <t xml:space="preserve">DAH-2231</t>
  </si>
  <si>
    <t xml:space="preserve">YODHA BSIV</t>
  </si>
  <si>
    <t xml:space="preserve">SC-14</t>
  </si>
  <si>
    <t xml:space="preserve">DAH-2491</t>
  </si>
  <si>
    <t xml:space="preserve">207 RX PICKUP</t>
  </si>
  <si>
    <t xml:space="preserve">SC-06</t>
  </si>
  <si>
    <t xml:space="preserve">PY-2408</t>
  </si>
  <si>
    <t xml:space="preserve">DFSK</t>
  </si>
  <si>
    <t xml:space="preserve">EQ1020DR</t>
  </si>
  <si>
    <t xml:space="preserve">SC-07</t>
  </si>
  <si>
    <t xml:space="preserve">PX-2180</t>
  </si>
  <si>
    <t xml:space="preserve">207DI/28</t>
  </si>
  <si>
    <t xml:space="preserve">SC-04</t>
  </si>
  <si>
    <t xml:space="preserve">PT-1569</t>
  </si>
  <si>
    <t xml:space="preserve">SC-09</t>
  </si>
  <si>
    <t xml:space="preserve">PR-1469</t>
  </si>
  <si>
    <t xml:space="preserve">ACE</t>
  </si>
  <si>
    <t xml:space="preserve">SC-08</t>
  </si>
  <si>
    <t xml:space="preserve">PR-1504</t>
  </si>
  <si>
    <t xml:space="preserve">SC-15</t>
  </si>
  <si>
    <t xml:space="preserve">47-5112</t>
  </si>
  <si>
    <t xml:space="preserve">207 DI</t>
  </si>
  <si>
    <t xml:space="preserve">SC-02</t>
  </si>
  <si>
    <t xml:space="preserve">LB-4824</t>
  </si>
  <si>
    <t xml:space="preserve">SC-05</t>
  </si>
  <si>
    <t xml:space="preserve">PV-6889</t>
  </si>
  <si>
    <t xml:space="preserve">DUMP TRUCK (TIPPER)</t>
  </si>
  <si>
    <t xml:space="preserve">LPK1618</t>
  </si>
  <si>
    <t xml:space="preserve">DT-61</t>
  </si>
  <si>
    <t xml:space="preserve">LP-1581</t>
  </si>
  <si>
    <t xml:space="preserve">DT-08</t>
  </si>
  <si>
    <t xml:space="preserve">LI-7620</t>
  </si>
  <si>
    <t xml:space="preserve">DT-09</t>
  </si>
  <si>
    <t xml:space="preserve">LI-7701</t>
  </si>
  <si>
    <t xml:space="preserve">DT-11</t>
  </si>
  <si>
    <t xml:space="preserve">LK-6738</t>
  </si>
  <si>
    <t xml:space="preserve">DT-13</t>
  </si>
  <si>
    <t xml:space="preserve">LK-2366</t>
  </si>
  <si>
    <t xml:space="preserve">DT-18</t>
  </si>
  <si>
    <t xml:space="preserve">LM-5721</t>
  </si>
  <si>
    <t xml:space="preserve">DT-29</t>
  </si>
  <si>
    <t xml:space="preserve">LJ-5559</t>
  </si>
  <si>
    <t xml:space="preserve">DT-30</t>
  </si>
  <si>
    <t xml:space="preserve">LI-3851</t>
  </si>
  <si>
    <t xml:space="preserve">DT-32</t>
  </si>
  <si>
    <t xml:space="preserve">LM-5719</t>
  </si>
  <si>
    <t xml:space="preserve">DT-33</t>
  </si>
  <si>
    <t xml:space="preserve">LM-5723</t>
  </si>
  <si>
    <t xml:space="preserve">DT-34</t>
  </si>
  <si>
    <t xml:space="preserve">LM-5720</t>
  </si>
  <si>
    <t xml:space="preserve">DT-35</t>
  </si>
  <si>
    <t xml:space="preserve">LM-7940</t>
  </si>
  <si>
    <t xml:space="preserve">DT-36</t>
  </si>
  <si>
    <t xml:space="preserve">LM-7948</t>
  </si>
  <si>
    <t xml:space="preserve">DT-37</t>
  </si>
  <si>
    <t xml:space="preserve">LM-7949</t>
  </si>
  <si>
    <t xml:space="preserve">DT-38</t>
  </si>
  <si>
    <t xml:space="preserve">LM-7942</t>
  </si>
  <si>
    <t xml:space="preserve">DT-39</t>
  </si>
  <si>
    <t xml:space="preserve">LM-7951</t>
  </si>
  <si>
    <t xml:space="preserve">DT-43</t>
  </si>
  <si>
    <t xml:space="preserve">LO-4823</t>
  </si>
  <si>
    <t xml:space="preserve">DT-44</t>
  </si>
  <si>
    <t xml:space="preserve">LO-4824</t>
  </si>
  <si>
    <t xml:space="preserve">DT-45</t>
  </si>
  <si>
    <t xml:space="preserve">LO-4816</t>
  </si>
  <si>
    <t xml:space="preserve">DT-49</t>
  </si>
  <si>
    <t xml:space="preserve">LO-5984</t>
  </si>
  <si>
    <t xml:space="preserve">DT-50</t>
  </si>
  <si>
    <t xml:space="preserve">LO-5985</t>
  </si>
  <si>
    <t xml:space="preserve">DT-51</t>
  </si>
  <si>
    <t xml:space="preserve">LO-5981</t>
  </si>
  <si>
    <t xml:space="preserve">DT-53</t>
  </si>
  <si>
    <t xml:space="preserve">LO-7183</t>
  </si>
  <si>
    <t xml:space="preserve">DT-54</t>
  </si>
  <si>
    <t xml:space="preserve">LO-7180</t>
  </si>
  <si>
    <t xml:space="preserve">DT-55</t>
  </si>
  <si>
    <t xml:space="preserve">LO-7182</t>
  </si>
  <si>
    <t xml:space="preserve">DT-56</t>
  </si>
  <si>
    <t xml:space="preserve">LO-7181</t>
  </si>
  <si>
    <t xml:space="preserve">DT-57</t>
  </si>
  <si>
    <t xml:space="preserve">LO-7184</t>
  </si>
  <si>
    <t xml:space="preserve">DT-58</t>
  </si>
  <si>
    <t xml:space="preserve">LO-8349</t>
  </si>
  <si>
    <t xml:space="preserve">DT-42</t>
  </si>
  <si>
    <t xml:space="preserve">LO-4822</t>
  </si>
  <si>
    <t xml:space="preserve">DT-59</t>
  </si>
  <si>
    <t xml:space="preserve">LO-8348</t>
  </si>
  <si>
    <t xml:space="preserve">DT-60</t>
  </si>
  <si>
    <t xml:space="preserve">LO-8350</t>
  </si>
  <si>
    <t xml:space="preserve">DT-62</t>
  </si>
  <si>
    <t xml:space="preserve">LP-1573</t>
  </si>
  <si>
    <t xml:space="preserve">DT-46</t>
  </si>
  <si>
    <t xml:space="preserve">LO-4821</t>
  </si>
  <si>
    <t xml:space="preserve">LPK1615TC</t>
  </si>
  <si>
    <t xml:space="preserve">DT-48</t>
  </si>
  <si>
    <t xml:space="preserve">LO-5986</t>
  </si>
  <si>
    <t xml:space="preserve">DT-63</t>
  </si>
  <si>
    <t xml:space="preserve">LP-1567</t>
  </si>
  <si>
    <t xml:space="preserve">DT-64</t>
  </si>
  <si>
    <t xml:space="preserve">LP-1576</t>
  </si>
  <si>
    <t xml:space="preserve">DT-65</t>
  </si>
  <si>
    <t xml:space="preserve">LP-1571</t>
  </si>
  <si>
    <t xml:space="preserve">DT-66</t>
  </si>
  <si>
    <t xml:space="preserve">LP-1582</t>
  </si>
  <si>
    <t xml:space="preserve">DT-67</t>
  </si>
  <si>
    <t xml:space="preserve">LP-1572</t>
  </si>
  <si>
    <t xml:space="preserve">DT-68</t>
  </si>
  <si>
    <t xml:space="preserve">LP-1569</t>
  </si>
  <si>
    <t xml:space="preserve">DT-69</t>
  </si>
  <si>
    <t xml:space="preserve">LP-1579</t>
  </si>
  <si>
    <t xml:space="preserve">DT-70</t>
  </si>
  <si>
    <t xml:space="preserve">LP-1574</t>
  </si>
  <si>
    <t xml:space="preserve">DT-71</t>
  </si>
  <si>
    <t xml:space="preserve">LP-1578</t>
  </si>
  <si>
    <t xml:space="preserve">DT-72</t>
  </si>
  <si>
    <t xml:space="preserve">LP-1580</t>
  </si>
  <si>
    <t xml:space="preserve">10.80 TIPPER</t>
  </si>
  <si>
    <t xml:space="preserve">DT-40</t>
  </si>
  <si>
    <t xml:space="preserve">LN-9046</t>
  </si>
  <si>
    <t xml:space="preserve">LPK 1615</t>
  </si>
  <si>
    <t xml:space="preserve">DT-15</t>
  </si>
  <si>
    <t xml:space="preserve">LM-5722</t>
  </si>
  <si>
    <t xml:space="preserve">DT-73</t>
  </si>
  <si>
    <t xml:space="preserve">LP-1568</t>
  </si>
  <si>
    <t xml:space="preserve">DT-74</t>
  </si>
  <si>
    <t xml:space="preserve">LP-1577</t>
  </si>
  <si>
    <t xml:space="preserve">DT-75</t>
  </si>
  <si>
    <t xml:space="preserve">LP-1566</t>
  </si>
  <si>
    <t xml:space="preserve">DT-76</t>
  </si>
  <si>
    <t xml:space="preserve">LP-1710</t>
  </si>
  <si>
    <t xml:space="preserve">DT-77</t>
  </si>
  <si>
    <t xml:space="preserve">LP-1719</t>
  </si>
  <si>
    <t xml:space="preserve">DT-78</t>
  </si>
  <si>
    <t xml:space="preserve">LP-1709</t>
  </si>
  <si>
    <t xml:space="preserve">DT-79</t>
  </si>
  <si>
    <t xml:space="preserve">LP-1713</t>
  </si>
  <si>
    <t xml:space="preserve">DT-80</t>
  </si>
  <si>
    <t xml:space="preserve">LP-1720</t>
  </si>
  <si>
    <t xml:space="preserve">DT-81</t>
  </si>
  <si>
    <t xml:space="preserve">LP-1715</t>
  </si>
  <si>
    <t xml:space="preserve">DT-47</t>
  </si>
  <si>
    <t xml:space="preserve">LO-5983</t>
  </si>
  <si>
    <t xml:space="preserve">DT-82</t>
  </si>
  <si>
    <t xml:space="preserve">LP-1716</t>
  </si>
  <si>
    <t xml:space="preserve">DT-83</t>
  </si>
  <si>
    <t xml:space="preserve">LP-1712</t>
  </si>
  <si>
    <t xml:space="preserve">LPK 407</t>
  </si>
  <si>
    <t xml:space="preserve">DT-27</t>
  </si>
  <si>
    <t xml:space="preserve">LL-0936</t>
  </si>
  <si>
    <t xml:space="preserve">DT-02</t>
  </si>
  <si>
    <t xml:space="preserve">LL-0920</t>
  </si>
  <si>
    <t xml:space="preserve">COMMET TIPPER 1613</t>
  </si>
  <si>
    <t xml:space="preserve">DT-03</t>
  </si>
  <si>
    <t xml:space="preserve">LK-4057</t>
  </si>
  <si>
    <t xml:space="preserve">DT-05</t>
  </si>
  <si>
    <t xml:space="preserve">HS-1773</t>
  </si>
  <si>
    <t xml:space="preserve">DT-14</t>
  </si>
  <si>
    <t xml:space="preserve">LK-4056</t>
  </si>
  <si>
    <t xml:space="preserve">TAURUS 2516</t>
  </si>
  <si>
    <t xml:space="preserve">DT-25</t>
  </si>
  <si>
    <t xml:space="preserve">LK-4058</t>
  </si>
  <si>
    <t xml:space="preserve">DT-16</t>
  </si>
  <si>
    <t xml:space="preserve">LK-4059</t>
  </si>
  <si>
    <t xml:space="preserve">DT-10</t>
  </si>
  <si>
    <t xml:space="preserve">LK-6740</t>
  </si>
  <si>
    <t xml:space="preserve">DT-84</t>
  </si>
  <si>
    <t xml:space="preserve">LP-1711</t>
  </si>
  <si>
    <t xml:space="preserve">LPK 909</t>
  </si>
  <si>
    <t xml:space="preserve">DT-12</t>
  </si>
  <si>
    <t xml:space="preserve">LK-2276</t>
  </si>
  <si>
    <t xml:space="preserve">DT-85</t>
  </si>
  <si>
    <t xml:space="preserve">LP-1718</t>
  </si>
  <si>
    <t xml:space="preserve">DT-28</t>
  </si>
  <si>
    <t xml:space="preserve">LJ-5203</t>
  </si>
  <si>
    <t xml:space="preserve">DT-24</t>
  </si>
  <si>
    <t xml:space="preserve">LI-2427</t>
  </si>
  <si>
    <t xml:space="preserve">TERRA16 HDR</t>
  </si>
  <si>
    <t xml:space="preserve">DT-17</t>
  </si>
  <si>
    <t xml:space="preserve">LI-3402</t>
  </si>
  <si>
    <t xml:space="preserve">DT-19</t>
  </si>
  <si>
    <t xml:space="preserve">LI-3396</t>
  </si>
  <si>
    <t xml:space="preserve">DT-20</t>
  </si>
  <si>
    <t xml:space="preserve">LI-3401</t>
  </si>
  <si>
    <t xml:space="preserve">DT-21</t>
  </si>
  <si>
    <t xml:space="preserve">LI-3395</t>
  </si>
  <si>
    <t xml:space="preserve">DT-07</t>
  </si>
  <si>
    <t xml:space="preserve">LI-7618</t>
  </si>
  <si>
    <t xml:space="preserve">TAURUS</t>
  </si>
  <si>
    <t xml:space="preserve">DT-22</t>
  </si>
  <si>
    <t xml:space="preserve">LH-5586</t>
  </si>
  <si>
    <t xml:space="preserve">DT-23</t>
  </si>
  <si>
    <t xml:space="preserve">LK-5586</t>
  </si>
  <si>
    <t xml:space="preserve">20.16</t>
  </si>
  <si>
    <t xml:space="preserve">DT-31</t>
  </si>
  <si>
    <t xml:space="preserve">LE-4986</t>
  </si>
  <si>
    <t xml:space="preserve">COMET</t>
  </si>
  <si>
    <t xml:space="preserve">DT-01</t>
  </si>
  <si>
    <t xml:space="preserve">LB-9496</t>
  </si>
  <si>
    <t xml:space="preserve">DT-52</t>
  </si>
  <si>
    <t xml:space="preserve">LA-4229</t>
  </si>
  <si>
    <t xml:space="preserve">DT-04</t>
  </si>
  <si>
    <t xml:space="preserve">HS-1794</t>
  </si>
  <si>
    <t xml:space="preserve">DT-26</t>
  </si>
  <si>
    <t xml:space="preserve">LK-4061</t>
  </si>
  <si>
    <t xml:space="preserve">DT-41</t>
  </si>
  <si>
    <t xml:space="preserve">HO-9850</t>
  </si>
  <si>
    <t xml:space="preserve">TRAILER</t>
  </si>
  <si>
    <t xml:space="preserve">Trailer</t>
  </si>
  <si>
    <t xml:space="preserve">LOCALLY BUILT</t>
  </si>
  <si>
    <t xml:space="preserve">Tractor trailer</t>
  </si>
  <si>
    <t xml:space="preserve">RY-2390</t>
  </si>
  <si>
    <t xml:space="preserve">TANKER</t>
  </si>
  <si>
    <t xml:space="preserve">WIMALAORO</t>
  </si>
  <si>
    <t xml:space="preserve">RY-0614</t>
  </si>
  <si>
    <t xml:space="preserve">RV-1990</t>
  </si>
  <si>
    <t xml:space="preserve">LORRY TRAILER</t>
  </si>
  <si>
    <t xml:space="preserve">Lorry Trailer</t>
  </si>
  <si>
    <t xml:space="preserve">TANTRI</t>
  </si>
  <si>
    <t xml:space="preserve">TFB40</t>
  </si>
  <si>
    <t xml:space="preserve">LX-1679</t>
  </si>
  <si>
    <t xml:space="preserve">TSK 20</t>
  </si>
  <si>
    <t xml:space="preserve">HD-9005</t>
  </si>
  <si>
    <t xml:space="preserve">LX-1045</t>
  </si>
  <si>
    <t xml:space="preserve">DIESEL BOWSER</t>
  </si>
  <si>
    <t xml:space="preserve">DB-04</t>
  </si>
  <si>
    <t xml:space="preserve">41-1130</t>
  </si>
  <si>
    <t xml:space="preserve">DB-01</t>
  </si>
  <si>
    <t xml:space="preserve">LA-9208</t>
  </si>
  <si>
    <t xml:space="preserve">DB-05</t>
  </si>
  <si>
    <t xml:space="preserve">LA-1359</t>
  </si>
  <si>
    <t xml:space="preserve">DB-02</t>
  </si>
  <si>
    <t xml:space="preserve">68-5115</t>
  </si>
  <si>
    <t xml:space="preserve">NISSAN</t>
  </si>
  <si>
    <t xml:space="preserve">DB-03</t>
  </si>
  <si>
    <t xml:space="preserve">40-2955</t>
  </si>
  <si>
    <t xml:space="preserve">Petrol</t>
  </si>
  <si>
    <t xml:space="preserve">EXCAVATOR</t>
  </si>
  <si>
    <t xml:space="preserve">Excavator</t>
  </si>
  <si>
    <t xml:space="preserve">CX220C LC HD</t>
  </si>
  <si>
    <t xml:space="preserve">HEX-42</t>
  </si>
  <si>
    <t xml:space="preserve">HEX-43</t>
  </si>
  <si>
    <t xml:space="preserve">HEX-45</t>
  </si>
  <si>
    <t xml:space="preserve">HEX-46</t>
  </si>
  <si>
    <t xml:space="preserve">HYUNDAI</t>
  </si>
  <si>
    <t xml:space="preserve">E55W</t>
  </si>
  <si>
    <t xml:space="preserve">HEX-36</t>
  </si>
  <si>
    <t xml:space="preserve">R230LM</t>
  </si>
  <si>
    <t xml:space="preserve">HEX-25</t>
  </si>
  <si>
    <t xml:space="preserve">14160</t>
  </si>
  <si>
    <t xml:space="preserve">HEX-32</t>
  </si>
  <si>
    <t xml:space="preserve">HEX-33</t>
  </si>
  <si>
    <t xml:space="preserve">HEX-35</t>
  </si>
  <si>
    <t xml:space="preserve">HEX-38</t>
  </si>
  <si>
    <t xml:space="preserve">R220LC-9S</t>
  </si>
  <si>
    <t xml:space="preserve">HEX-34</t>
  </si>
  <si>
    <t xml:space="preserve">HEX-39</t>
  </si>
  <si>
    <t xml:space="preserve">KOBELKO</t>
  </si>
  <si>
    <t xml:space="preserve">200</t>
  </si>
  <si>
    <t xml:space="preserve">HEX-23</t>
  </si>
  <si>
    <t xml:space="preserve">303 CR</t>
  </si>
  <si>
    <t xml:space="preserve">HEX-14</t>
  </si>
  <si>
    <t xml:space="preserve">CATAPILLAR</t>
  </si>
  <si>
    <t xml:space="preserve">314C</t>
  </si>
  <si>
    <t xml:space="preserve">HEX-22</t>
  </si>
  <si>
    <t xml:space="preserve">HITHACHI</t>
  </si>
  <si>
    <t xml:space="preserve">EX75UR-3</t>
  </si>
  <si>
    <t xml:space="preserve">HEX-18</t>
  </si>
  <si>
    <t xml:space="preserve">YD-00418</t>
  </si>
  <si>
    <t xml:space="preserve">HEX-07</t>
  </si>
  <si>
    <t xml:space="preserve">PC-30</t>
  </si>
  <si>
    <t xml:space="preserve">HEX-31</t>
  </si>
  <si>
    <t xml:space="preserve">CAT308CCR</t>
  </si>
  <si>
    <t xml:space="preserve">HEX-29</t>
  </si>
  <si>
    <t xml:space="preserve">KUBOTA</t>
  </si>
  <si>
    <t xml:space="preserve">KX-040</t>
  </si>
  <si>
    <t xml:space="preserve">HEX-15</t>
  </si>
  <si>
    <t xml:space="preserve">EC210V</t>
  </si>
  <si>
    <t xml:space="preserve">HEX-01</t>
  </si>
  <si>
    <t xml:space="preserve">SK115SR</t>
  </si>
  <si>
    <t xml:space="preserve">HEX-21</t>
  </si>
  <si>
    <t xml:space="preserve">PC-40MR-1</t>
  </si>
  <si>
    <t xml:space="preserve">HEX-24</t>
  </si>
  <si>
    <t xml:space="preserve">PC-60-6</t>
  </si>
  <si>
    <t xml:space="preserve">HEX-28</t>
  </si>
  <si>
    <t xml:space="preserve">PC-100</t>
  </si>
  <si>
    <t xml:space="preserve">HEX-04</t>
  </si>
  <si>
    <t xml:space="preserve">HITACHI</t>
  </si>
  <si>
    <t xml:space="preserve">UH045</t>
  </si>
  <si>
    <t xml:space="preserve">HEX-03</t>
  </si>
  <si>
    <t xml:space="preserve">HEX-02</t>
  </si>
  <si>
    <t xml:space="preserve">U-25-35</t>
  </si>
  <si>
    <t xml:space="preserve">HEX-13</t>
  </si>
  <si>
    <t xml:space="preserve">PC60</t>
  </si>
  <si>
    <t xml:space="preserve">HEX-05</t>
  </si>
  <si>
    <t xml:space="preserve">PCS50UU-01</t>
  </si>
  <si>
    <t xml:space="preserve">HEX-06</t>
  </si>
  <si>
    <t xml:space="preserve">PC27R-8</t>
  </si>
  <si>
    <t xml:space="preserve">HEX-09</t>
  </si>
  <si>
    <t xml:space="preserve">PC-120-6EO</t>
  </si>
  <si>
    <t xml:space="preserve">HEX-19</t>
  </si>
  <si>
    <t xml:space="preserve">PC-40MR-02</t>
  </si>
  <si>
    <t xml:space="preserve">HEX-20</t>
  </si>
  <si>
    <t xml:space="preserve">HEX-12</t>
  </si>
  <si>
    <t xml:space="preserve">ROBEX330LC-9S</t>
  </si>
  <si>
    <t xml:space="preserve">HEX-26</t>
  </si>
  <si>
    <t xml:space="preserve">HEX-27</t>
  </si>
  <si>
    <t xml:space="preserve">0BEX220LC-9S</t>
  </si>
  <si>
    <t xml:space="preserve">HEX-17</t>
  </si>
  <si>
    <t xml:space="preserve">(ROBEX330LC-96)</t>
  </si>
  <si>
    <t xml:space="preserve">HEX-37</t>
  </si>
  <si>
    <t xml:space="preserve">220LC-7</t>
  </si>
  <si>
    <t xml:space="preserve">HEX-41</t>
  </si>
  <si>
    <t xml:space="preserve">SX 120</t>
  </si>
  <si>
    <t xml:space="preserve">HEX-44</t>
  </si>
  <si>
    <t xml:space="preserve">SE210</t>
  </si>
  <si>
    <t xml:space="preserve">HEX-40</t>
  </si>
  <si>
    <t xml:space="preserve">WATER BOWSER</t>
  </si>
  <si>
    <t xml:space="preserve">LPT1615TC</t>
  </si>
  <si>
    <t xml:space="preserve">WB-18</t>
  </si>
  <si>
    <t xml:space="preserve">LO-1059</t>
  </si>
  <si>
    <t xml:space="preserve">WB-04</t>
  </si>
  <si>
    <t xml:space="preserve">LI-3405</t>
  </si>
  <si>
    <t xml:space="preserve">WB-05</t>
  </si>
  <si>
    <t xml:space="preserve">WB-03</t>
  </si>
  <si>
    <t xml:space="preserve">IVECO-CARGO</t>
  </si>
  <si>
    <t xml:space="preserve">WB-06</t>
  </si>
  <si>
    <t xml:space="preserve">227-7971</t>
  </si>
  <si>
    <t xml:space="preserve">S1313/42 TANKER</t>
  </si>
  <si>
    <t xml:space="preserve">WB-01</t>
  </si>
  <si>
    <t xml:space="preserve">48-8072</t>
  </si>
  <si>
    <t xml:space="preserve">1210SE-CLOSED</t>
  </si>
  <si>
    <t xml:space="preserve">WB-02</t>
  </si>
  <si>
    <t xml:space="preserve">43-1191</t>
  </si>
  <si>
    <t xml:space="preserve">WB-08</t>
  </si>
  <si>
    <t xml:space="preserve">WB-09</t>
  </si>
  <si>
    <t xml:space="preserve">RY-0299</t>
  </si>
  <si>
    <t xml:space="preserve">WB-20</t>
  </si>
  <si>
    <t xml:space="preserve">LD-8875</t>
  </si>
  <si>
    <t xml:space="preserve">WB-10</t>
  </si>
  <si>
    <t xml:space="preserve">RY-0301</t>
  </si>
  <si>
    <t xml:space="preserve">WB-11</t>
  </si>
  <si>
    <t xml:space="preserve">RY-0304</t>
  </si>
  <si>
    <t xml:space="preserve">WB-12</t>
  </si>
  <si>
    <t xml:space="preserve">RY-2392</t>
  </si>
  <si>
    <t xml:space="preserve">WB-13</t>
  </si>
  <si>
    <t xml:space="preserve">WB-14</t>
  </si>
  <si>
    <t xml:space="preserve">WB-15</t>
  </si>
  <si>
    <t xml:space="preserve">WB-16</t>
  </si>
  <si>
    <t xml:space="preserve">WB-17</t>
  </si>
  <si>
    <t xml:space="preserve">WB-19</t>
  </si>
  <si>
    <t xml:space="preserve">FARM TRACTOR</t>
  </si>
  <si>
    <t xml:space="preserve">575DI</t>
  </si>
  <si>
    <t xml:space="preserve">FT-06</t>
  </si>
  <si>
    <t xml:space="preserve">RD-3536</t>
  </si>
  <si>
    <t xml:space="preserve">FT-08</t>
  </si>
  <si>
    <t xml:space="preserve">RD-3537</t>
  </si>
  <si>
    <t xml:space="preserve">275 DI</t>
  </si>
  <si>
    <t xml:space="preserve">FT-10</t>
  </si>
  <si>
    <t xml:space="preserve">RD-6318</t>
  </si>
  <si>
    <t xml:space="preserve">TAFE</t>
  </si>
  <si>
    <t xml:space="preserve">45DI</t>
  </si>
  <si>
    <t xml:space="preserve">FT-07</t>
  </si>
  <si>
    <t xml:space="preserve">RC-9894</t>
  </si>
  <si>
    <t xml:space="preserve">MASSEY FEROUSON</t>
  </si>
  <si>
    <t xml:space="preserve">MF 240</t>
  </si>
  <si>
    <t xml:space="preserve">FT-11</t>
  </si>
  <si>
    <t xml:space="preserve">RF-0748</t>
  </si>
  <si>
    <t xml:space="preserve">FT-03</t>
  </si>
  <si>
    <t xml:space="preserve">RA-3051</t>
  </si>
  <si>
    <t xml:space="preserve">FT-04</t>
  </si>
  <si>
    <t xml:space="preserve">RA-3052</t>
  </si>
  <si>
    <t xml:space="preserve">MASSEY FURGUSON</t>
  </si>
  <si>
    <t xml:space="preserve">1980</t>
  </si>
  <si>
    <t xml:space="preserve">FT-09</t>
  </si>
  <si>
    <t xml:space="preserve">49-5294</t>
  </si>
  <si>
    <t xml:space="preserve">135</t>
  </si>
  <si>
    <t xml:space="preserve">1974</t>
  </si>
  <si>
    <t xml:space="preserve">FT-02</t>
  </si>
  <si>
    <t xml:space="preserve">49-2289</t>
  </si>
  <si>
    <t xml:space="preserve">49-2288</t>
  </si>
  <si>
    <t xml:space="preserve">FT-05</t>
  </si>
  <si>
    <t xml:space="preserve">MOTOR BICYCLE</t>
  </si>
  <si>
    <t xml:space="preserve">Motor Bicycle</t>
  </si>
  <si>
    <t xml:space="preserve">BAJAJ</t>
  </si>
  <si>
    <t xml:space="preserve">PLATINA</t>
  </si>
  <si>
    <t xml:space="preserve">MB-11</t>
  </si>
  <si>
    <t xml:space="preserve">BET-3726</t>
  </si>
  <si>
    <t xml:space="preserve">CD DREAM DLX 110</t>
  </si>
  <si>
    <t xml:space="preserve">MB-09</t>
  </si>
  <si>
    <t xml:space="preserve">MV-5841</t>
  </si>
  <si>
    <t xml:space="preserve">MB-18</t>
  </si>
  <si>
    <t xml:space="preserve">WQ-9941</t>
  </si>
  <si>
    <t xml:space="preserve">MB-19</t>
  </si>
  <si>
    <t xml:space="preserve">BET-3772</t>
  </si>
  <si>
    <t xml:space="preserve">DISCOVER 125</t>
  </si>
  <si>
    <t xml:space="preserve">MB-10</t>
  </si>
  <si>
    <t xml:space="preserve">BEF-7850</t>
  </si>
  <si>
    <t xml:space="preserve">MB-15</t>
  </si>
  <si>
    <t xml:space="preserve">BEF-7836</t>
  </si>
  <si>
    <t xml:space="preserve">MB-35</t>
  </si>
  <si>
    <t xml:space="preserve">BEB-3132</t>
  </si>
  <si>
    <t xml:space="preserve">MB-25</t>
  </si>
  <si>
    <t xml:space="preserve">BDJ-2374</t>
  </si>
  <si>
    <t xml:space="preserve">DISCOVER 125 M</t>
  </si>
  <si>
    <t xml:space="preserve">MB-29</t>
  </si>
  <si>
    <t xml:space="preserve">BCN-9805</t>
  </si>
  <si>
    <t xml:space="preserve">PLATINA BM 125</t>
  </si>
  <si>
    <t xml:space="preserve">MB-32</t>
  </si>
  <si>
    <t xml:space="preserve">BAN-2012</t>
  </si>
  <si>
    <t xml:space="preserve">MB-17</t>
  </si>
  <si>
    <t xml:space="preserve">XW-9221</t>
  </si>
  <si>
    <t xml:space="preserve">MB-22</t>
  </si>
  <si>
    <t xml:space="preserve">BAB-8828</t>
  </si>
  <si>
    <t xml:space="preserve">MB-14</t>
  </si>
  <si>
    <t xml:space="preserve">XG-6801</t>
  </si>
  <si>
    <t xml:space="preserve">DISCOVER DTSI</t>
  </si>
  <si>
    <t xml:space="preserve">MB-13</t>
  </si>
  <si>
    <t xml:space="preserve">TS-5399</t>
  </si>
  <si>
    <t xml:space="preserve">CT100</t>
  </si>
  <si>
    <t xml:space="preserve">MB-08</t>
  </si>
  <si>
    <t xml:space="preserve">MV-4276</t>
  </si>
  <si>
    <t xml:space="preserve">TVS</t>
  </si>
  <si>
    <t xml:space="preserve">STAR CITY</t>
  </si>
  <si>
    <t xml:space="preserve">MB-07</t>
  </si>
  <si>
    <t xml:space="preserve">MP-3092</t>
  </si>
  <si>
    <t xml:space="preserve">HONDA</t>
  </si>
  <si>
    <t xml:space="preserve">CB-125T</t>
  </si>
  <si>
    <t xml:space="preserve">MB-16</t>
  </si>
  <si>
    <t xml:space="preserve">XP-8682</t>
  </si>
  <si>
    <t xml:space="preserve">BAJAJ BOXERCT-DELUXE</t>
  </si>
  <si>
    <t xml:space="preserve">MB-05</t>
  </si>
  <si>
    <t xml:space="preserve">HO-0217</t>
  </si>
  <si>
    <t xml:space="preserve">MB-20</t>
  </si>
  <si>
    <t xml:space="preserve">XW-9217</t>
  </si>
  <si>
    <t xml:space="preserve">MB-21</t>
  </si>
  <si>
    <t xml:space="preserve">XW-9222</t>
  </si>
  <si>
    <t xml:space="preserve">MB-23</t>
  </si>
  <si>
    <t xml:space="preserve">BAB-8832</t>
  </si>
  <si>
    <t xml:space="preserve">MB-26</t>
  </si>
  <si>
    <t xml:space="preserve">BDI-8546</t>
  </si>
  <si>
    <t xml:space="preserve">MB-27</t>
  </si>
  <si>
    <t xml:space="preserve">BDI-8556</t>
  </si>
  <si>
    <t xml:space="preserve">MB-28</t>
  </si>
  <si>
    <t xml:space="preserve">BDJ-2375</t>
  </si>
  <si>
    <t xml:space="preserve">MB-30</t>
  </si>
  <si>
    <t xml:space="preserve">BCN-9802</t>
  </si>
  <si>
    <t xml:space="preserve">MB-31</t>
  </si>
  <si>
    <t xml:space="preserve">BAB-8839</t>
  </si>
  <si>
    <t xml:space="preserve">MB-33</t>
  </si>
  <si>
    <t xml:space="preserve">BAN-2021</t>
  </si>
  <si>
    <t xml:space="preserve">MB-34</t>
  </si>
  <si>
    <t xml:space="preserve">WQ-9935</t>
  </si>
  <si>
    <t xml:space="preserve">ME4JC65BJJT080434</t>
  </si>
  <si>
    <t xml:space="preserve">BIE-8552</t>
  </si>
  <si>
    <t xml:space="preserve">MB-37</t>
  </si>
  <si>
    <t xml:space="preserve">BET-8556</t>
  </si>
  <si>
    <t xml:space="preserve">ME4JC679MJ8001960</t>
  </si>
  <si>
    <t xml:space="preserve">BFR-4276</t>
  </si>
  <si>
    <t xml:space="preserve">MD2A15BY8JWK40326</t>
  </si>
  <si>
    <t xml:space="preserve">BHT-3482</t>
  </si>
  <si>
    <t xml:space="preserve">BGI-5000</t>
  </si>
  <si>
    <t xml:space="preserve">BII-2125</t>
  </si>
  <si>
    <t xml:space="preserve">BIG-4988</t>
  </si>
  <si>
    <t xml:space="preserve">BGY-6440</t>
  </si>
  <si>
    <t xml:space="preserve">AA01-1115643</t>
  </si>
  <si>
    <t xml:space="preserve">BGY-6446</t>
  </si>
  <si>
    <t xml:space="preserve">ME4JC65BKKG000814</t>
  </si>
  <si>
    <t xml:space="preserve">BGY-6445</t>
  </si>
  <si>
    <t xml:space="preserve">DISCOVERY</t>
  </si>
  <si>
    <t xml:space="preserve">MB-36</t>
  </si>
  <si>
    <t xml:space="preserve">BIE-8589</t>
  </si>
  <si>
    <t xml:space="preserve">MD2A15BYJJWL41226</t>
  </si>
  <si>
    <t xml:space="preserve">BID-8738</t>
  </si>
  <si>
    <t xml:space="preserve">TRACTOR BOWSER</t>
  </si>
  <si>
    <t xml:space="preserve">TB-10</t>
  </si>
  <si>
    <t xml:space="preserve">TB-11</t>
  </si>
  <si>
    <t xml:space="preserve">TB-12</t>
  </si>
  <si>
    <t xml:space="preserve">TRACTOR TRILER</t>
  </si>
  <si>
    <t xml:space="preserve">TB-09</t>
  </si>
  <si>
    <t xml:space="preserve">TB-01</t>
  </si>
  <si>
    <t xml:space="preserve">TB-04</t>
  </si>
  <si>
    <t xml:space="preserve">TB-15</t>
  </si>
  <si>
    <t xml:space="preserve">TB-16</t>
  </si>
  <si>
    <t xml:space="preserve">TB-17</t>
  </si>
  <si>
    <t xml:space="preserve">TB-18</t>
  </si>
  <si>
    <t xml:space="preserve">FORKLIFT</t>
  </si>
  <si>
    <t xml:space="preserve">Forklift</t>
  </si>
  <si>
    <t xml:space="preserve">BARROL FORK LIFT</t>
  </si>
  <si>
    <t xml:space="preserve">FL-01</t>
  </si>
  <si>
    <t xml:space="preserve">BLADE FOCK LIFT</t>
  </si>
  <si>
    <t xml:space="preserve">FL-02</t>
  </si>
  <si>
    <t xml:space="preserve">FL-03</t>
  </si>
  <si>
    <t xml:space="preserve">ECON/TYP/HEAVY fuel rates let you quote fuel allowances honestly: bill DRY or DRY+OPERATOR plus fuel at the scenario that matches the job (e.g., excavation in rock = HEAVY; haulage on carpeted roads = ECON). Road vehicles: multiply Rs./km by trip distance. Apply the escalation clause (README) on every WET quotation.</t>
  </si>
  <si>
    <t xml:space="preserve">MACHINERY / PORTABLE EQUIPMENT PRICE SHEET 2026 — DRY  /  DRY + OPERATOR  /  WET   (Rs./day, excl. 18% VAT, min. 1 day)</t>
  </si>
  <si>
    <t xml:space="preserve">WET = DRY + operator + fuel for the stated duty hrs/day at CPC prices (Diesel Rs.382 / Petrol-92 Rs.414, eff. 29-Jun-2026). Electric items: power by client (fuel = 0) — if we supply a generator, add it as a separate line. Extra running hours billed at L/hr x CPC price. Operator Rs.3,500/day (skilled welder/cutter Rs.5,000/day). Diamond blades &amp; core bits billed per use at cost + 15%.</t>
  </si>
  <si>
    <t xml:space="preserve">A — POWER &amp; AIR  (generators, air compressors, welding generators, gas cutting)</t>
  </si>
  <si>
    <t xml:space="preserve">Equipment</t>
  </si>
  <si>
    <t xml:space="preserve">Capacity / Size</t>
  </si>
  <si>
    <t xml:space="preserve">Power / Fuel</t>
  </si>
  <si>
    <t xml:space="preserve">Output &amp; Efficiency</t>
  </si>
  <si>
    <t xml:space="preserve">Cons.
L/hr</t>
  </si>
  <si>
    <t xml:space="preserve">Duty
hrs/day</t>
  </si>
  <si>
    <t xml:space="preserve">Fuel
Rs./day</t>
  </si>
  <si>
    <t xml:space="preserve">DRY
Rs./day</t>
  </si>
  <si>
    <t xml:space="preserve">Operator
Rs./day</t>
  </si>
  <si>
    <t xml:space="preserve">DRY + OPERATOR
Rs./day</t>
  </si>
  <si>
    <t xml:space="preserve">WET
Rs./day</t>
  </si>
  <si>
    <t xml:space="preserve">Market reference (SL, 2026)</t>
  </si>
  <si>
    <t xml:space="preserve">Generator</t>
  </si>
  <si>
    <t xml:space="preserve">3–5 kVA (petrol, 1-ph)</t>
  </si>
  <si>
    <t xml:space="preserve">Petrol engine</t>
  </si>
  <si>
    <t xml:space="preserve">2.4–4.0 kW prime, 230 V; ~0.35 L/kWh</t>
  </si>
  <si>
    <t xml:space="preserve">Peters 2–5 kVA Rs.4,000–5,000/day</t>
  </si>
  <si>
    <t xml:space="preserve">10 kVA (diesel, 1-ph)</t>
  </si>
  <si>
    <t xml:space="preserve">Diesel engine</t>
  </si>
  <si>
    <t xml:space="preserve">8 kW prime, 230 V; ~0.28 L/kWh</t>
  </si>
  <si>
    <t xml:space="preserve">Peters 10 kVA Rs.6,000/day</t>
  </si>
  <si>
    <t xml:space="preserve">15 kVA (diesel, 3-ph)</t>
  </si>
  <si>
    <t xml:space="preserve">12 kW prime, 400 V</t>
  </si>
  <si>
    <t xml:space="preserve">Interpolated SL band</t>
  </si>
  <si>
    <t xml:space="preserve">20–25 kVA (diesel, 3-ph)</t>
  </si>
  <si>
    <t xml:space="preserve">16–20 kW prime, 400 V</t>
  </si>
  <si>
    <t xml:space="preserve">Peters 25 kVA Rs.8,000/day</t>
  </si>
  <si>
    <t xml:space="preserve">30–50 kVA (diesel, 3-ph)</t>
  </si>
  <si>
    <t xml:space="preserve">24–40 kW prime</t>
  </si>
  <si>
    <t xml:space="preserve">Peters 50 kVA Rs.10–12,000/day</t>
  </si>
  <si>
    <t xml:space="preserve">60–80 kVA (soundproof)</t>
  </si>
  <si>
    <t xml:space="preserve">48–64 kW prime, &lt;75 dB@7m</t>
  </si>
  <si>
    <t xml:space="preserve">Generators.lk/UTE band</t>
  </si>
  <si>
    <t xml:space="preserve">100–125 kVA (soundproof)</t>
  </si>
  <si>
    <t xml:space="preserve">80–100 kW prime</t>
  </si>
  <si>
    <t xml:space="preserve">150 kVA (soundproof)</t>
  </si>
  <si>
    <t xml:space="preserve">120 kW prime</t>
  </si>
  <si>
    <t xml:space="preserve">Generators.lk upper band</t>
  </si>
  <si>
    <t xml:space="preserve">250 kVA (soundproof)</t>
  </si>
  <si>
    <t xml:space="preserve">200 kW prime</t>
  </si>
  <si>
    <t xml:space="preserve">Project/event band, Colombo</t>
  </si>
  <si>
    <t xml:space="preserve">Air Compressor</t>
  </si>
  <si>
    <t xml:space="preserve">2–3 HP (portable)</t>
  </si>
  <si>
    <t xml:space="preserve">Electric 1.5–2.2 kW</t>
  </si>
  <si>
    <t xml:space="preserve">8–10 cfm @ 8 bar, 50 L tank</t>
  </si>
  <si>
    <t xml:space="preserve">SL hire-shop day-rate</t>
  </si>
  <si>
    <t xml:space="preserve">5–7 HP (belt-drive)</t>
  </si>
  <si>
    <t xml:space="preserve">16–21 cfm @ 8–10 bar</t>
  </si>
  <si>
    <t xml:space="preserve">Western-Province hire-shop</t>
  </si>
  <si>
    <t xml:space="preserve">10–15 HP (industrial)</t>
  </si>
  <si>
    <t xml:space="preserve">Electric 7.5–11 kW</t>
  </si>
  <si>
    <t xml:space="preserve">35–50 cfm @ 10–12 bar</t>
  </si>
  <si>
    <t xml:space="preserve">185 cfm (towable)</t>
  </si>
  <si>
    <t xml:space="preserve">185 cfm @ 7 bar — feeds 2 breakers</t>
  </si>
  <si>
    <t xml:space="preserve">Project day-rate</t>
  </si>
  <si>
    <t xml:space="preserve">375 cfm (towable)</t>
  </si>
  <si>
    <t xml:space="preserve">375 cfm @ 8.6 bar — feeds 4 breakers</t>
  </si>
  <si>
    <t xml:space="preserve">Pneumatic Jack Hammer</t>
  </si>
  <si>
    <t xml:space="preserve">25–30 kg (w/ hoses, excl. compressor)</t>
  </si>
  <si>
    <t xml:space="preserve">Pneumatic (via compressor)</t>
  </si>
  <si>
    <t xml:space="preserve">~1,250 bpm; pavement/rock breaking</t>
  </si>
  <si>
    <t xml:space="preserve">Peters jackhammer pkg Rs.10,000/day (with compressor)</t>
  </si>
  <si>
    <t xml:space="preserve">Welding Inverter</t>
  </si>
  <si>
    <t xml:space="preserve">200 A (MMA/ARC)</t>
  </si>
  <si>
    <t xml:space="preserve">Electric 6–8 kVA</t>
  </si>
  <si>
    <t xml:space="preserve">200 A @ 60% duty; rods up to 4.0 mm</t>
  </si>
  <si>
    <t xml:space="preserve">Welding Generator</t>
  </si>
  <si>
    <t xml:space="preserve">250 A (petrol)</t>
  </si>
  <si>
    <t xml:space="preserve">250 A DC @ 60% duty + 3 kW aux power</t>
  </si>
  <si>
    <t xml:space="preserve">Engine-welder SL band</t>
  </si>
  <si>
    <t xml:space="preserve">300 A (diesel)</t>
  </si>
  <si>
    <t xml:space="preserve">300 A DC @ 60% duty + 5 kW aux power</t>
  </si>
  <si>
    <t xml:space="preserve">Existing card; SL band</t>
  </si>
  <si>
    <t xml:space="preserve">400–500 A (diesel)</t>
  </si>
  <si>
    <t xml:space="preserve">400–500 A @ 60%; dual-arc capable</t>
  </si>
  <si>
    <t xml:space="preserve">Heavy fabrication band</t>
  </si>
  <si>
    <t xml:space="preserve">Gas Cutting Set</t>
  </si>
  <si>
    <t xml:space="preserve">Oxy-acetylene (cylinders excl.)</t>
  </si>
  <si>
    <t xml:space="preserve">Gas (billed per cylinder)</t>
  </si>
  <si>
    <t xml:space="preserve">Cuts MS plate up to 150 mm</t>
  </si>
  <si>
    <t xml:space="preserve">Peters metal gas cutter Rs.5,500/day</t>
  </si>
  <si>
    <t xml:space="preserve">B — CONCRETING &amp; STRUCTURAL  (mixers, pokers, bar cutters, bar benders, trowels, breakers)</t>
  </si>
  <si>
    <t xml:space="preserve">Concrete Mixer</t>
  </si>
  <si>
    <t xml:space="preserve">5/3.5 cu.ft (half-bag)</t>
  </si>
  <si>
    <t xml:space="preserve">~1.5–2.0 m3/hr output; drum ~20 rpm</t>
  </si>
  <si>
    <t xml:space="preserve">Existing card; SL hire-shops</t>
  </si>
  <si>
    <t xml:space="preserve">10/7 cu.ft (one-bag)</t>
  </si>
  <si>
    <t xml:space="preserve">~3–4 m3/hr; 1 bag/batch, ~18 rpm</t>
  </si>
  <si>
    <t xml:space="preserve">10/7 cu.ft + hopper/hoist</t>
  </si>
  <si>
    <t xml:space="preserve">~3.5–4.5 m3/hr; mechanical feed</t>
  </si>
  <si>
    <t xml:space="preserve">Existing card</t>
  </si>
  <si>
    <t xml:space="preserve">Poker / Concrete Vibrator</t>
  </si>
  <si>
    <t xml:space="preserve">Electric drive + 4 m shaft</t>
  </si>
  <si>
    <t xml:space="preserve">Electric 2.3 kW</t>
  </si>
  <si>
    <t xml:space="preserve">Needle 25–60 mm; compacts ~12–20 m3/hr</t>
  </si>
  <si>
    <t xml:space="preserve">Existing card; wedabima listings</t>
  </si>
  <si>
    <t xml:space="preserve">Petrol drive + 4 m shaft</t>
  </si>
  <si>
    <t xml:space="preserve">Petrol engine (GX160)</t>
  </si>
  <si>
    <t xml:space="preserve">Compacts ~15–25 m3/hr</t>
  </si>
  <si>
    <t xml:space="preserve">Spare needle/shaft 35–60 mm</t>
  </si>
  <si>
    <t xml:space="preserve">Accessory only</t>
  </si>
  <si>
    <t xml:space="preserve">Accessory</t>
  </si>
  <si>
    <t xml:space="preserve">Bar Cutter (Heavy)</t>
  </si>
  <si>
    <t xml:space="preserve">Up to 25 mm TMT</t>
  </si>
  <si>
    <t xml:space="preserve">Electric 2.2 kW</t>
  </si>
  <si>
    <t xml:space="preserve">~2–3 s per cut; ~400–600 cuts/day</t>
  </si>
  <si>
    <t xml:space="preserve">vs Peters bender Rs.6,000/day class</t>
  </si>
  <si>
    <t xml:space="preserve">Up to 32 mm TMT</t>
  </si>
  <si>
    <t xml:space="preserve">Electric 3.0 kW</t>
  </si>
  <si>
    <t xml:space="preserve">~3 s per cut; GQ40/RC-32 class</t>
  </si>
  <si>
    <t xml:space="preserve">SL hire market (wedabima 6–52 mm)</t>
  </si>
  <si>
    <t xml:space="preserve">Up to 40 mm TMT</t>
  </si>
  <si>
    <t xml:space="preserve">Electric 4.0 kW</t>
  </si>
  <si>
    <t xml:space="preserve">Heavy site fabrication; GQ50 class</t>
  </si>
  <si>
    <t xml:space="preserve">SL hire market</t>
  </si>
  <si>
    <t xml:space="preserve">Rebar Cutter (Portable)</t>
  </si>
  <si>
    <t xml:space="preserve">Hydraulic, up to 20 mm</t>
  </si>
  <si>
    <t xml:space="preserve">Electric 1.3 kW</t>
  </si>
  <si>
    <t xml:space="preserve">Hand-held; 3–4 s per cut</t>
  </si>
  <si>
    <t xml:space="preserve">Bar Bender</t>
  </si>
  <si>
    <t xml:space="preserve">0–180° bends; multi-bar on small dia</t>
  </si>
  <si>
    <t xml:space="preserve">vs Peters Rs.6,000/day</t>
  </si>
  <si>
    <t xml:space="preserve">0–180°, adjustable angle stops</t>
  </si>
  <si>
    <t xml:space="preserve">Peters bar bender Rs.6,000/day</t>
  </si>
  <si>
    <t xml:space="preserve">Up to 42 mm TMT</t>
  </si>
  <si>
    <t xml:space="preserve">GW50 class; heavy cage work</t>
  </si>
  <si>
    <t xml:space="preserve">SL hire market (wedabima to 52 mm)</t>
  </si>
  <si>
    <t xml:space="preserve">Power Trowel</t>
  </si>
  <si>
    <t xml:space="preserve">36 in (900 mm) blade</t>
  </si>
  <si>
    <t xml:space="preserve">60–115 rpm; finishes ~500–700 m2/day</t>
  </si>
  <si>
    <t xml:space="preserve">Rotary Hammer</t>
  </si>
  <si>
    <t xml:space="preserve">2–4 kg (SDS-plus)</t>
  </si>
  <si>
    <t xml:space="preserve">Electric 0.8 kW</t>
  </si>
  <si>
    <t xml:space="preserve">Drills concrete up to 26 mm</t>
  </si>
  <si>
    <t xml:space="preserve">Peters SDS Rs.3,000/day</t>
  </si>
  <si>
    <t xml:space="preserve">5–7 kg (SDS-max)</t>
  </si>
  <si>
    <t xml:space="preserve">Up to 40 mm; light chiselling</t>
  </si>
  <si>
    <t xml:space="preserve">Demolition Breaker</t>
  </si>
  <si>
    <t xml:space="preserve">10–16 kg</t>
  </si>
  <si>
    <t xml:space="preserve">Electric 1.7 kW</t>
  </si>
  <si>
    <t xml:space="preserve">25–45 J impact; wall/slab demolition</t>
  </si>
  <si>
    <t xml:space="preserve">Peters breaker Rs.4,000/day</t>
  </si>
  <si>
    <t xml:space="preserve">Cut-off Saw (bench)</t>
  </si>
  <si>
    <t xml:space="preserve">14 in metal chop saw</t>
  </si>
  <si>
    <t xml:space="preserve">Electric 2.4 kW</t>
  </si>
  <si>
    <t xml:space="preserve">Cuts bar/section up to ~120 mm</t>
  </si>
  <si>
    <t xml:space="preserve">Existing card; Peters metal saw</t>
  </si>
  <si>
    <t xml:space="preserve">C — ROADWORK &amp; COMPACTION  (asphalt cutters, core cutters, wackers/rammers, compactors, rollers)</t>
  </si>
  <si>
    <t xml:space="preserve">Asphalt Cutter (floor saw)</t>
  </si>
  <si>
    <t xml:space="preserve">12 in blade</t>
  </si>
  <si>
    <t xml:space="preserve">Petrol engine 13 HP</t>
  </si>
  <si>
    <t xml:space="preserve">Cut depth to 100 mm; water-cooled</t>
  </si>
  <si>
    <t xml:space="preserve">SL road-contractor band</t>
  </si>
  <si>
    <t xml:space="preserve">14 in blade</t>
  </si>
  <si>
    <t xml:space="preserve">Cut depth to 120 mm; 25 L water tank</t>
  </si>
  <si>
    <t xml:space="preserve">16–18 in blade</t>
  </si>
  <si>
    <t xml:space="preserve">Cut depth 150–175 mm; highway joints</t>
  </si>
  <si>
    <t xml:space="preserve">Hand Cut-off Saw</t>
  </si>
  <si>
    <t xml:space="preserve">12–14 in (petrol, hand-held)</t>
  </si>
  <si>
    <t xml:space="preserve">Free-hand cuts to 100–125 mm</t>
  </si>
  <si>
    <t xml:space="preserve">Stihl TS-class hire band</t>
  </si>
  <si>
    <t xml:space="preserve">Asphalt/Concrete Core Cutter</t>
  </si>
  <si>
    <t xml:space="preserve">Up to 4 in (102 mm)</t>
  </si>
  <si>
    <t xml:space="preserve">Electric 2.5 kW</t>
  </si>
  <si>
    <t xml:space="preserve">Diamond cores 25–102 mm; wet drilling</t>
  </si>
  <si>
    <t xml:space="preserve">Hi-Q/SL hire market</t>
  </si>
  <si>
    <t xml:space="preserve">Up to 6 in (152 mm), w/ stand</t>
  </si>
  <si>
    <t xml:space="preserve">Electric 3.3 kW</t>
  </si>
  <si>
    <t xml:space="preserve">Wet drilling; anchor/vacuum stand</t>
  </si>
  <si>
    <t xml:space="preserve">Up to 10 in (254 mm), heavy</t>
  </si>
  <si>
    <t xml:space="preserve">Electric 5+ kW</t>
  </si>
  <si>
    <t xml:space="preserve">Deep cores; services penetrations</t>
  </si>
  <si>
    <t xml:space="preserve">Road Core Cutter (petrol)</t>
  </si>
  <si>
    <t xml:space="preserve">100/150 mm pavement cores</t>
  </si>
  <si>
    <t xml:space="preserve">QC cores on asphalt/ABC; trolley-mounted</t>
  </si>
  <si>
    <t xml:space="preserve">Road-lab practice; bits at cost+15%</t>
  </si>
  <si>
    <t xml:space="preserve">Wacker / Tamping Rammer</t>
  </si>
  <si>
    <t xml:space="preserve">60–80 kg</t>
  </si>
  <si>
    <t xml:space="preserve">Petrol engine (GX120)</t>
  </si>
  <si>
    <t xml:space="preserve">10–14 kN impact, ~650 bpm; trench compaction</t>
  </si>
  <si>
    <t xml:space="preserve">Peters rammer Rs.3,500/day</t>
  </si>
  <si>
    <t xml:space="preserve">Plate Compactor (forward)</t>
  </si>
  <si>
    <t xml:space="preserve">60–90 kg</t>
  </si>
  <si>
    <t xml:space="preserve">10–15 kN; compacts ~400–600 m2/day</t>
  </si>
  <si>
    <t xml:space="preserve">Existing card; Peters</t>
  </si>
  <si>
    <t xml:space="preserve">Plate Compactor (reversible)</t>
  </si>
  <si>
    <t xml:space="preserve">160–250 kg</t>
  </si>
  <si>
    <t xml:space="preserve">30–38 kN; deep-lift ABC/backfill</t>
  </si>
  <si>
    <t xml:space="preserve">Walk-behind Roller</t>
  </si>
  <si>
    <t xml:space="preserve">600–1,000 kg (hand-drive)</t>
  </si>
  <si>
    <t xml:space="preserve">650 mm drum; patch/footpath rolling</t>
  </si>
  <si>
    <t xml:space="preserve">Peters 1-ton hand-drive roller</t>
  </si>
  <si>
    <t xml:space="preserve">D — PUMPS &amp; LIGHTING  (engine pumps, submersibles, pressure pumps, light plants)</t>
  </si>
  <si>
    <t xml:space="preserve">Engine Water Pump</t>
  </si>
  <si>
    <t xml:space="preserve">2 in (petrol, self-priming)</t>
  </si>
  <si>
    <t xml:space="preserve">Petrol engine (WB20 class)</t>
  </si>
  <si>
    <t xml:space="preserve">600–700 L/min; head ~30 m</t>
  </si>
  <si>
    <t xml:space="preserve">Existing card; Honda-type</t>
  </si>
  <si>
    <t xml:space="preserve">3 in (petrol, self-priming)</t>
  </si>
  <si>
    <t xml:space="preserve">Petrol engine (WB30 class)</t>
  </si>
  <si>
    <t xml:space="preserve">1,000–1,100 L/min; head ~27 m</t>
  </si>
  <si>
    <t xml:space="preserve">4 in (diesel)</t>
  </si>
  <si>
    <t xml:space="preserve">1,600–1,800 L/min; site dewatering</t>
  </si>
  <si>
    <t xml:space="preserve">6 in (diesel)</t>
  </si>
  <si>
    <t xml:space="preserve">2,500–3,000 L/min; bulk dewatering</t>
  </si>
  <si>
    <t xml:space="preserve">SL project band</t>
  </si>
  <si>
    <t xml:space="preserve">Trash Pump</t>
  </si>
  <si>
    <t xml:space="preserve">3 in solids-handling</t>
  </si>
  <si>
    <t xml:space="preserve">~1,200 L/min; solids up to 25 mm</t>
  </si>
  <si>
    <t xml:space="preserve">Submersible Pump</t>
  </si>
  <si>
    <t xml:space="preserve">1 in (electric)</t>
  </si>
  <si>
    <t xml:space="preserve">Electric 0.4 kW</t>
  </si>
  <si>
    <t xml:space="preserve">100–150 L/min; head 8–10 m</t>
  </si>
  <si>
    <t xml:space="preserve">2 in (electric)</t>
  </si>
  <si>
    <t xml:space="preserve">Electric 1.1 kW</t>
  </si>
  <si>
    <t xml:space="preserve">250–350 L/min; head 10–12 m</t>
  </si>
  <si>
    <t xml:space="preserve">3 in (electric)</t>
  </si>
  <si>
    <t xml:space="preserve">600–700 L/min; head 12–15 m</t>
  </si>
  <si>
    <t xml:space="preserve">4 in (electric)</t>
  </si>
  <si>
    <t xml:space="preserve">Electric 3.7 kW</t>
  </si>
  <si>
    <t xml:space="preserve">1,000–1,300 L/min</t>
  </si>
  <si>
    <t xml:space="preserve">6 in (high-volume)</t>
  </si>
  <si>
    <t xml:space="preserve">Electric 7.5 kW</t>
  </si>
  <si>
    <t xml:space="preserve">2,500–3,000 L/min</t>
  </si>
  <si>
    <t xml:space="preserve">Water Pressure Pump</t>
  </si>
  <si>
    <t xml:space="preserve">HP washer 100–130 bar</t>
  </si>
  <si>
    <t xml:space="preserve">Electric 2.0–2.5 kW</t>
  </si>
  <si>
    <t xml:space="preserve">6–8 L/min; cleaning/curing</t>
  </si>
  <si>
    <t xml:space="preserve">HP washer 150–200 bar</t>
  </si>
  <si>
    <t xml:space="preserve">12–15 L/min; shutter/plant washing</t>
  </si>
  <si>
    <t xml:space="preserve">HP washer 250 bar industrial</t>
  </si>
  <si>
    <t xml:space="preserve">15–21 L/min; hydro-cleaning</t>
  </si>
  <si>
    <t xml:space="preserve">Hydrostatic test pump to 60 bar</t>
  </si>
  <si>
    <t xml:space="preserve">Electric / manual</t>
  </si>
  <si>
    <t xml:space="preserve">Pipeline pressure testing</t>
  </si>
  <si>
    <t xml:space="preserve">Hi-Q hand test pump class</t>
  </si>
  <si>
    <t xml:space="preserve">Booster pump 1–2 HP</t>
  </si>
  <si>
    <t xml:space="preserve">Electric 0.75–1.5 kW</t>
  </si>
  <si>
    <t xml:space="preserve">30–60 L/min; head 30–40 m</t>
  </si>
  <si>
    <t xml:space="preserve">Light Plant</t>
  </si>
  <si>
    <t xml:space="preserve">LED tower 4x400 W (mobile)</t>
  </si>
  <si>
    <t xml:space="preserve">Mast 5–9 m; lights ~4,000–5,000 m2; 12-hr night duty</t>
  </si>
  <si>
    <t xml:space="preserve">Metal-halide tower 4x1,000 W</t>
  </si>
  <si>
    <t xml:space="preserve">Mast 9 m; lights ~6,000 m2; 12-hr night duty</t>
  </si>
  <si>
    <t xml:space="preserve">LED work light 2x50 W + tripod</t>
  </si>
  <si>
    <t xml:space="preserve">Electric</t>
  </si>
  <si>
    <t xml:space="preserve">Task lighting, indoor works</t>
  </si>
  <si>
    <t xml:space="preserve">E — GENERAL TOOLS  (saws, grinders, drills, winches)</t>
  </si>
  <si>
    <t xml:space="preserve">Circular Saw</t>
  </si>
  <si>
    <t xml:space="preserve">7 in (185 mm)</t>
  </si>
  <si>
    <t xml:space="preserve">Electric 1.4 kW</t>
  </si>
  <si>
    <t xml:space="preserve">Timber to 60 mm</t>
  </si>
  <si>
    <t xml:space="preserve">9 in (235 mm)</t>
  </si>
  <si>
    <t xml:space="preserve">Electric 2.0 kW</t>
  </si>
  <si>
    <t xml:space="preserve">Timber to 85 mm</t>
  </si>
  <si>
    <t xml:space="preserve">Angle Grinder</t>
  </si>
  <si>
    <t xml:space="preserve">4–5 in (100–125 mm)</t>
  </si>
  <si>
    <t xml:space="preserve">Electric 0.9 kW</t>
  </si>
  <si>
    <t xml:space="preserve">Cutting/grinding steel &amp; masonry</t>
  </si>
  <si>
    <t xml:space="preserve">7–9 in (180–230 mm)</t>
  </si>
  <si>
    <t xml:space="preserve">Heavy cutting/grinding</t>
  </si>
  <si>
    <t xml:space="preserve">Drill (hand/hammer/impact)</t>
  </si>
  <si>
    <t xml:space="preserve">Up to 13 mm</t>
  </si>
  <si>
    <t xml:space="preserve">Electric 0.5–0.8 kW</t>
  </si>
  <si>
    <t xml:space="preserve">Steel/masonry drilling</t>
  </si>
  <si>
    <t xml:space="preserve">Peters drills Rs.250–500/day</t>
  </si>
  <si>
    <t xml:space="preserve">Magnetic Drill</t>
  </si>
  <si>
    <t xml:space="preserve">Broach to 32 mm</t>
  </si>
  <si>
    <t xml:space="preserve">Steel fabrication drilling</t>
  </si>
  <si>
    <t xml:space="preserve">Peters magnetic drill Rs.6,000/day</t>
  </si>
  <si>
    <t xml:space="preserve">Electric Winch</t>
  </si>
  <si>
    <t xml:space="preserve">500 kg – 1 t</t>
  </si>
  <si>
    <t xml:space="preserve">Lifting/pulling with wire rope</t>
  </si>
  <si>
    <t xml:space="preserve">Peters winch Rs.5,000/day</t>
  </si>
  <si>
    <t xml:space="preserve">Bench Drill</t>
  </si>
  <si>
    <t xml:space="preserve">Up to 16 mm</t>
  </si>
  <si>
    <t xml:space="preserve">Workshop precision drilling</t>
  </si>
  <si>
    <t xml:space="preserve">Peters bench drill Rs.500/day</t>
  </si>
  <si>
    <t xml:space="preserve">Operator column = 0 means the item is typically dry-hired (hand tool); a tradesman can be supplied at Rs.3,500–5,000/day on request. Jack hammer &amp; gas-cutting set: consumables (air from compressor / gas cylinders) billed separately — hence duty hrs = 0 in the fuel column.</t>
  </si>
  <si>
    <t xml:space="preserve">SRI LANKAN RENTAL MARKET ANALYSIS — JULY 2026</t>
  </si>
  <si>
    <t xml:space="preserve">Sources: SLLDC official rates (government ceiling), Peters Equipment published day-rates (petersequipment.lk), wedabima.com &amp; ikman.lk listings, Hi-Q Tools, Generators.lk/UTE bands, CPC/Ceypetco fuel notices, Daily Mirror/News1st fuel reporting.</t>
  </si>
  <si>
    <t xml:space="preserve">1. FUEL PRICE CONTEXT (drives every WET rate)</t>
  </si>
  <si>
    <t xml:space="preserve">• Feb-2026 Middle-East conflict disrupted the Hormuz route (+~45% global crude) and LKR fell ~5% YTD -&gt; CPC raised prices 3 times: Auto Diesel Rs.286 (Jan) -&gt; 303 (Mar) -&gt; 392 -&gt; 407 (30-May peak). Petrol 92 peaked at Rs.434.</t>
  </si>
  <si>
    <t xml:space="preserve">• 29-Jun-2026 revision CUT Auto Diesel by Rs.25 to Rs.382/L and Petrol 92 by Rs.20 to Rs.414/L — the basis used throughout this workbook.</t>
  </si>
  <si>
    <t xml:space="preserve">• The old v7 'Fuel Rates' sheet used Rs.478/L — that is the SUPER Diesel (Euro-4) price, not Auto Diesel. All fleet plant runs on Auto Diesel; rates here are corrected to Rs.382.</t>
  </si>
  <si>
    <t xml:space="preserve">• CPC subsidy (~Rs.100/L on diesel) is confirmed only until Sep-2026 — quote WET rates with the fuel escalation clause (README). A +Rs.50/L move adds e.g. Rs.750/hr to a 20T excavator (15 L/hr).</t>
  </si>
  <si>
    <t xml:space="preserve">2. FLEET — OUR WET RATE vs MARKET (Rs./hr)</t>
  </si>
  <si>
    <t xml:space="preserve">Our WET</t>
  </si>
  <si>
    <t xml:space="preserve">Market LOW</t>
  </si>
  <si>
    <t xml:space="preserve">Market MID</t>
  </si>
  <si>
    <t xml:space="preserve">Market HIGH</t>
  </si>
  <si>
    <t xml:space="preserve">% above LOW</t>
  </si>
  <si>
    <t xml:space="preserve">% below HIGH</t>
  </si>
  <si>
    <t xml:space="preserve">Position</t>
  </si>
  <si>
    <t xml:space="preserve">3. MACHINERY — PUBLISHED SL DAY-RATE ANCHORS vs THIS SHEET</t>
  </si>
  <si>
    <t xml:space="preserve">Market item (published)</t>
  </si>
  <si>
    <t xml:space="preserve">Published Rs./day</t>
  </si>
  <si>
    <t xml:space="preserve">Vendor / basis</t>
  </si>
  <si>
    <t xml:space="preserve">Our comparable DRY</t>
  </si>
  <si>
    <t xml:space="preserve">Our DRY+OPERATOR</t>
  </si>
  <si>
    <t xml:space="preserve">Our fully-WET</t>
  </si>
  <si>
    <t xml:space="preserve">Reading</t>
  </si>
  <si>
    <t xml:space="preserve">Generator 5 kVA</t>
  </si>
  <si>
    <t xml:space="preserve">Peters Equipment</t>
  </si>
  <si>
    <t xml:space="preserve">Published rate ~ our DRY+attendant; excludes 8-hr fuel (~Rs.4,600 petrol)</t>
  </si>
  <si>
    <t xml:space="preserve">Generator 10 kVA diesel</t>
  </si>
  <si>
    <t xml:space="preserve">8-hr fuel alone = ~Rs.6,700 -&gt; published rate cannot be fully wet</t>
  </si>
  <si>
    <t xml:space="preserve">Generator 25 kVA diesel</t>
  </si>
  <si>
    <t xml:space="preserve">8-hr fuel = ~Rs.12,200; treat market rate as DRY-plus</t>
  </si>
  <si>
    <t xml:space="preserve">Generator 50 kVA diesel</t>
  </si>
  <si>
    <t xml:space="preserve">8-hr fuel = ~Rs.22,900; fully-wet is ~2x the published rate</t>
  </si>
  <si>
    <t xml:space="preserve">Bar bending machine</t>
  </si>
  <si>
    <t xml:space="preserve">Sits between our DRY Rs.4,500 and DRY+OP Rs.8,000 (32 mm class)</t>
  </si>
  <si>
    <t xml:space="preserve">Tamping rammer</t>
  </si>
  <si>
    <t xml:space="preserve">our dry rs.2,500 + margin; our fully-wet ~rs.8,0 incl. op+fuel</t>
  </si>
  <si>
    <t xml:space="preserve">Jack hammer (pkg)</t>
  </si>
  <si>
    <t xml:space="preserve">Package incl. compressor air; our breaker line + 185 cfm covers it</t>
  </si>
  <si>
    <t xml:space="preserve">Demolition breaker</t>
  </si>
  <si>
    <t xml:space="preserve">Matches our DRY Rs.2,700 + operator margin</t>
  </si>
  <si>
    <t xml:space="preserve">Rotary hammer SDS</t>
  </si>
  <si>
    <t xml:space="preserve">Our DRY Rs.1,000 undercuts; theirs likely incl. bits/attendance</t>
  </si>
  <si>
    <t xml:space="preserve">Metal gas cutter set</t>
  </si>
  <si>
    <t xml:space="preserve">Ours Rs.3,800 DRY + welder; gas cylinders billed at cost</t>
  </si>
  <si>
    <t xml:space="preserve">Magnetic drill</t>
  </si>
  <si>
    <t xml:space="preserve">Ours Rs.4,000 DRY — competitive</t>
  </si>
  <si>
    <t xml:space="preserve">Electric winch</t>
  </si>
  <si>
    <t xml:space="preserve">Ours Rs.3,500 DRY — competitive</t>
  </si>
  <si>
    <t xml:space="preserve">Hand drill</t>
  </si>
  <si>
    <t xml:space="preserve">Ours Rs.450 DRY incl. hammer/impact class</t>
  </si>
  <si>
    <t xml:space="preserve">Bar bender/cutter 6–52 mm</t>
  </si>
  <si>
    <t xml:space="preserve">Call</t>
  </si>
  <si>
    <t xml:space="preserve">wedabima.com listings</t>
  </si>
  <si>
    <t xml:space="preserve">Full diameter range confirmed available for hire in SL</t>
  </si>
  <si>
    <t xml:space="preserve">Tamping rammer (regional)</t>
  </si>
  <si>
    <t xml:space="preserve">Wayamba Rent-A-All (wedabima)</t>
  </si>
  <si>
    <t xml:space="preserve">Regional availability outside Colombo confirmed</t>
  </si>
  <si>
    <t xml:space="preserve">4. KEY FINDINGS &amp; RECOMMENDATIONS</t>
  </si>
  <si>
    <t xml:space="preserve">F1 — Fleet WET card sits mid-market: typically 10–75% above the cheapest private quotes and 11–47% below the SLLDC government ceiling. Positioning intact at Diesel Rs.382.</t>
  </si>
  <si>
    <t xml:space="preserve">F2 — New DRY+OPERATOR tier = DRY + Rs.800/hr (Rs.650 cost x 1.23 loading). This prices the common 'our operator, your fuel' deal without disturbing the engineered card, and protects us from fuel-price risk on those contracts.</t>
  </si>
  <si>
    <t xml:space="preserve">F3 — Margin check (Fleet sheet col H/I): 27 of 29 categories flag THIN, i.e. the price drop from WET to DRY+OPERATOR is larger than the diesel the client takes over. This is a structural feature of the SL market: DRY ratios (0.45–0.55 x WET) price the bare machine at a premium for utilisation/abuse risk. Commercial reading: (a) WET still clears the engineering floor (fuel+operator+20% profit) so keep pushing WET; (b) DRY+OPERATOR contracts fully insulate us from fuel-price risk — favour them while CPC prices are volatile; (c) never quote WET without the escalation clause, because the implied fuel allowance inside WET has no headroom for heavy-duty burn.</t>
  </si>
  <si>
    <t xml:space="preserve">F4 — Machinery: published SL 'day rates' (e.g., 10 kVA genset Rs.6,000) behave like DRY / DRY+attendant. A genuine fully-wet 10 kVA day costs ~Rs.13,700 (Rs.3,500 machine + Rs.3,500 operator + ~Rs.6,700 diesel for 8 hrs). The old sheet's 'WET Rs.7,000' under-recovered fuel by ~Rs.6,700/day. This sheet computes WET honestly from duty-hours x L/hr x CPC price — quote it with confidence and show the client the math.</t>
  </si>
  <si>
    <t xml:space="preserve">F5 — Duty-hours are the fair-use assumption inside each WET day rate (generators 8 h, pumps 6 h, mixers/pokers/compaction 4–5 h, cutters/cores 2–3 h, light towers 12 h night). Meter/log extra hours and bill at L/hr x CPC price.</t>
  </si>
  <si>
    <t xml:space="preserve">F6 — Bar cutters/benders to 40–42 mm, asphalt cutters to 18 in, core cutters to 10 in, wackers, pressure pumps and light towers are all confirmed rentable in the SL market (Peters, wedabima, Hi-Q) — the new lines fill gaps competitors already monetise.</t>
  </si>
  <si>
    <t xml:space="preserve">F7 — All rates exclude 18% VAT, transport/mobilisation and operator out-station costs. Review the blue market cells quarterly; review fuel cells at every CPC notice (monthly).</t>
  </si>
</sst>
</file>

<file path=xl/styles.xml><?xml version="1.0" encoding="utf-8"?>
<styleSheet xmlns="http://schemas.openxmlformats.org/spreadsheetml/2006/main">
  <numFmts count="8">
    <numFmt numFmtId="164" formatCode="General"/>
    <numFmt numFmtId="165" formatCode="#,##0"/>
    <numFmt numFmtId="166" formatCode="0.00"/>
    <numFmt numFmtId="167" formatCode="0%"/>
    <numFmt numFmtId="168" formatCode="0.0"/>
    <numFmt numFmtId="169" formatCode="0.000"/>
    <numFmt numFmtId="170" formatCode="0"/>
    <numFmt numFmtId="171" formatCode="0.0%"/>
  </numFmts>
  <fonts count="13">
    <font>
      <sz val="11"/>
      <color theme="1"/>
      <name val="Calibri"/>
      <family val="2"/>
      <charset val="1"/>
    </font>
    <font>
      <sz val="10"/>
      <name val="Arial"/>
      <family val="0"/>
    </font>
    <font>
      <sz val="10"/>
      <name val="Arial"/>
      <family val="0"/>
    </font>
    <font>
      <sz val="10"/>
      <name val="Arial"/>
      <family val="0"/>
    </font>
    <font>
      <b val="true"/>
      <sz val="14"/>
      <color rgb="FF14110F"/>
      <name val="Arial"/>
      <family val="0"/>
      <charset val="1"/>
    </font>
    <font>
      <i val="true"/>
      <sz val="9"/>
      <color rgb="FF555555"/>
      <name val="Arial"/>
      <family val="0"/>
      <charset val="1"/>
    </font>
    <font>
      <b val="true"/>
      <sz val="10"/>
      <name val="Arial"/>
      <family val="0"/>
      <charset val="1"/>
    </font>
    <font>
      <sz val="10"/>
      <name val="Arial"/>
      <family val="0"/>
      <charset val="1"/>
    </font>
    <font>
      <sz val="10"/>
      <color rgb="FF0000FF"/>
      <name val="Arial"/>
      <family val="0"/>
      <charset val="1"/>
    </font>
    <font>
      <b val="true"/>
      <sz val="9"/>
      <color rgb="FFFFFFFF"/>
      <name val="Arial"/>
      <family val="0"/>
      <charset val="1"/>
    </font>
    <font>
      <b val="true"/>
      <sz val="14"/>
      <name val="Arial"/>
      <family val="0"/>
      <charset val="1"/>
    </font>
    <font>
      <b val="true"/>
      <sz val="10"/>
      <color rgb="FFFFFFFF"/>
      <name val="Arial"/>
      <family val="0"/>
      <charset val="1"/>
    </font>
    <font>
      <sz val="10"/>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14110F"/>
        <bgColor rgb="FF000000"/>
      </patternFill>
    </fill>
    <fill>
      <patternFill patternType="solid">
        <fgColor rgb="FFF5F1EA"/>
        <bgColor rgb="FFFFFFFF"/>
      </patternFill>
    </fill>
    <fill>
      <patternFill patternType="solid">
        <fgColor rgb="FFE26B0A"/>
        <bgColor rgb="FFFF9900"/>
      </patternFill>
    </fill>
  </fills>
  <borders count="2">
    <border diagonalUp="false" diagonalDown="false">
      <left/>
      <right/>
      <top/>
      <bottom/>
      <diagonal/>
    </border>
    <border diagonalUp="false" diagonalDown="false">
      <left style="thin">
        <color rgb="FFC8C2B8"/>
      </left>
      <right style="thin">
        <color rgb="FFC8C2B8"/>
      </right>
      <top style="thin">
        <color rgb="FFC8C2B8"/>
      </top>
      <bottom style="thin">
        <color rgb="FFC8C2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8" fontId="8" fillId="4" borderId="1" xfId="0" applyFont="true" applyBorder="true" applyAlignment="true" applyProtection="false">
      <alignment horizontal="center"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9" fontId="8" fillId="4" borderId="1" xfId="0" applyFont="true" applyBorder="true" applyAlignment="true" applyProtection="false">
      <alignment horizontal="center"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center" vertical="center" textRotation="0" wrapText="true" indent="0" shrinkToFit="false"/>
      <protection locked="true" hidden="false"/>
    </xf>
    <xf numFmtId="170" fontId="8" fillId="4" borderId="1" xfId="0" applyFont="true" applyBorder="true" applyAlignment="true" applyProtection="false">
      <alignment horizontal="center" vertical="center" textRotation="0" wrapText="true" indent="0" shrinkToFit="false"/>
      <protection locked="true" hidden="false"/>
    </xf>
    <xf numFmtId="165" fontId="12"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65" fontId="12" fillId="4" borderId="1" xfId="0" applyFont="true" applyBorder="true" applyAlignment="true" applyProtection="false">
      <alignment horizontal="center" vertical="center" textRotation="0" wrapText="true" indent="0" shrinkToFit="false"/>
      <protection locked="true" hidden="false"/>
    </xf>
    <xf numFmtId="171" fontId="7" fillId="4"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2B8"/>
      <rgbColor rgb="FF808080"/>
      <rgbColor rgb="FF9999FF"/>
      <rgbColor rgb="FF993366"/>
      <rgbColor rgb="FFF5F1E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26B0A"/>
      <rgbColor rgb="FF555555"/>
      <rgbColor rgb="FF969696"/>
      <rgbColor rgb="FF003366"/>
      <rgbColor rgb="FF339966"/>
      <rgbColor rgb="FF14110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50"/>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5" t="s">
        <v>2</v>
      </c>
    </row>
    <row r="5" customFormat="false" ht="15" hidden="false" customHeight="true" outlineLevel="0" collapsed="false">
      <c r="A5" s="6" t="s">
        <v>3</v>
      </c>
    </row>
    <row r="6" customFormat="false" ht="23.25" hidden="false" customHeight="true" outlineLevel="0" collapsed="false">
      <c r="A6" s="6" t="s">
        <v>4</v>
      </c>
    </row>
    <row r="7" customFormat="false" ht="23.25" hidden="false" customHeight="true" outlineLevel="0" collapsed="false">
      <c r="A7" s="6" t="s">
        <v>5</v>
      </c>
    </row>
    <row r="8" customFormat="false" ht="15" hidden="false" customHeight="true" outlineLevel="0" collapsed="false">
      <c r="A8" s="4"/>
    </row>
    <row r="9" customFormat="false" ht="15" hidden="false" customHeight="true" outlineLevel="0" collapsed="false">
      <c r="A9" s="5" t="s">
        <v>6</v>
      </c>
    </row>
    <row r="10" customFormat="false" ht="15" hidden="false" customHeight="true" outlineLevel="0" collapsed="false">
      <c r="A10" s="6" t="s">
        <v>7</v>
      </c>
    </row>
    <row r="11" customFormat="false" ht="23.25" hidden="false" customHeight="true" outlineLevel="0" collapsed="false">
      <c r="A11" s="6" t="s">
        <v>8</v>
      </c>
    </row>
    <row r="12" customFormat="false" ht="15" hidden="false" customHeight="true" outlineLevel="0" collapsed="false">
      <c r="A12" s="6" t="s">
        <v>9</v>
      </c>
    </row>
    <row r="13" customFormat="false" ht="15" hidden="false" customHeight="true" outlineLevel="0" collapsed="false">
      <c r="A13" s="4"/>
    </row>
    <row r="14" customFormat="false" ht="15" hidden="false" customHeight="true" outlineLevel="0" collapsed="false">
      <c r="A14" s="5" t="s">
        <v>10</v>
      </c>
    </row>
    <row r="15" customFormat="false" ht="15" hidden="false" customHeight="true" outlineLevel="0" collapsed="false">
      <c r="A15" s="6" t="s">
        <v>11</v>
      </c>
    </row>
    <row r="16" customFormat="false" ht="23.25" hidden="false" customHeight="true" outlineLevel="0" collapsed="false">
      <c r="A16" s="6" t="s">
        <v>12</v>
      </c>
    </row>
    <row r="17" customFormat="false" ht="15" hidden="false" customHeight="true" outlineLevel="0" collapsed="false">
      <c r="A17" s="6" t="s">
        <v>13</v>
      </c>
    </row>
    <row r="18" customFormat="false" ht="15" hidden="false" customHeight="true" outlineLevel="0" collapsed="false">
      <c r="A18" s="4"/>
    </row>
    <row r="19" customFormat="false" ht="15" hidden="false" customHeight="true" outlineLevel="0" collapsed="false">
      <c r="A19" s="5" t="s">
        <v>14</v>
      </c>
    </row>
    <row r="20" customFormat="false" ht="23.25" hidden="false" customHeight="true" outlineLevel="0" collapsed="false">
      <c r="A20" s="6" t="s">
        <v>15</v>
      </c>
    </row>
    <row r="21" customFormat="false" ht="15" hidden="false" customHeight="true" outlineLevel="0" collapsed="false">
      <c r="A21" s="4"/>
    </row>
    <row r="22" customFormat="false" ht="15" hidden="false" customHeight="true" outlineLevel="0" collapsed="false">
      <c r="A22" s="6" t="s">
        <v>16</v>
      </c>
    </row>
    <row r="23" customFormat="false" ht="15" hidden="false" customHeight="true" outlineLevel="0" collapsed="false">
      <c r="A23" s="4"/>
    </row>
    <row r="24" customFormat="false" ht="23.25" hidden="false" customHeight="true" outlineLevel="0" collapsed="false">
      <c r="A24" s="6"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2"/>
    <col collapsed="false" customWidth="true" hidden="false" outlineLevel="0" max="3" min="3" style="1" width="12"/>
    <col collapsed="false" customWidth="true" hidden="false" outlineLevel="0" max="4" min="4" style="1" width="52"/>
  </cols>
  <sheetData>
    <row r="1" customFormat="false" ht="17.25" hidden="false" customHeight="true" outlineLevel="0" collapsed="false">
      <c r="A1" s="7" t="s">
        <v>18</v>
      </c>
    </row>
    <row r="3" customFormat="false" ht="15" hidden="false" customHeight="true" outlineLevel="0" collapsed="false">
      <c r="A3" s="8" t="s">
        <v>19</v>
      </c>
    </row>
    <row r="4" customFormat="false" ht="15" hidden="false" customHeight="true" outlineLevel="0" collapsed="false">
      <c r="A4" s="9" t="s">
        <v>20</v>
      </c>
      <c r="C4" s="10" t="n">
        <v>382</v>
      </c>
      <c r="D4" s="11" t="s">
        <v>21</v>
      </c>
    </row>
    <row r="5" customFormat="false" ht="15" hidden="false" customHeight="true" outlineLevel="0" collapsed="false">
      <c r="A5" s="9" t="s">
        <v>22</v>
      </c>
      <c r="C5" s="12" t="n">
        <v>414</v>
      </c>
      <c r="D5" s="11" t="s">
        <v>23</v>
      </c>
    </row>
    <row r="6" customFormat="false" ht="15" hidden="false" customHeight="true" outlineLevel="0" collapsed="false">
      <c r="A6" s="9" t="s">
        <v>24</v>
      </c>
      <c r="C6" s="12" t="n">
        <v>478</v>
      </c>
      <c r="D6" s="11" t="s">
        <v>25</v>
      </c>
    </row>
    <row r="7" customFormat="false" ht="15" hidden="false" customHeight="true" outlineLevel="0" collapsed="false">
      <c r="A7" s="9" t="s">
        <v>26</v>
      </c>
      <c r="C7" s="12" t="n">
        <v>495</v>
      </c>
      <c r="D7" s="11" t="s">
        <v>25</v>
      </c>
    </row>
    <row r="8" customFormat="false" ht="15" hidden="false" customHeight="true" outlineLevel="0" collapsed="false">
      <c r="A8" s="9" t="s">
        <v>27</v>
      </c>
      <c r="C8" s="12" t="n">
        <v>285</v>
      </c>
      <c r="D8" s="11" t="s">
        <v>25</v>
      </c>
    </row>
    <row r="10" customFormat="false" ht="15" hidden="false" customHeight="true" outlineLevel="0" collapsed="false">
      <c r="A10" s="8" t="s">
        <v>28</v>
      </c>
    </row>
    <row r="11" customFormat="false" ht="15" hidden="false" customHeight="true" outlineLevel="0" collapsed="false">
      <c r="A11" s="9" t="s">
        <v>29</v>
      </c>
      <c r="C11" s="12" t="n">
        <v>650</v>
      </c>
      <c r="D11" s="11" t="s">
        <v>30</v>
      </c>
    </row>
    <row r="12" customFormat="false" ht="15" hidden="false" customHeight="true" outlineLevel="0" collapsed="false">
      <c r="A12" s="9" t="s">
        <v>31</v>
      </c>
      <c r="C12" s="13" t="n">
        <v>1.23</v>
      </c>
      <c r="D12" s="11" t="s">
        <v>32</v>
      </c>
    </row>
    <row r="13" customFormat="false" ht="15" hidden="false" customHeight="true" outlineLevel="0" collapsed="false">
      <c r="A13" s="9" t="s">
        <v>33</v>
      </c>
      <c r="C13" s="14" t="n">
        <f aca="false">MROUND(C11*C12,50)</f>
        <v>800</v>
      </c>
      <c r="D13" s="11" t="s">
        <v>34</v>
      </c>
    </row>
    <row r="14" customFormat="false" ht="15" hidden="false" customHeight="true" outlineLevel="0" collapsed="false">
      <c r="A14" s="9" t="s">
        <v>35</v>
      </c>
      <c r="C14" s="12" t="n">
        <v>3500</v>
      </c>
      <c r="D14" s="11" t="s">
        <v>36</v>
      </c>
    </row>
    <row r="15" customFormat="false" ht="15" hidden="false" customHeight="true" outlineLevel="0" collapsed="false">
      <c r="A15" s="9" t="s">
        <v>37</v>
      </c>
      <c r="C15" s="12" t="n">
        <v>5000</v>
      </c>
      <c r="D15" s="11" t="s">
        <v>38</v>
      </c>
    </row>
    <row r="17" customFormat="false" ht="15" hidden="false" customHeight="true" outlineLevel="0" collapsed="false">
      <c r="A17" s="8" t="s">
        <v>39</v>
      </c>
    </row>
    <row r="18" customFormat="false" ht="15" hidden="false" customHeight="true" outlineLevel="0" collapsed="false">
      <c r="A18" s="9" t="s">
        <v>40</v>
      </c>
      <c r="C18" s="12" t="n">
        <v>8</v>
      </c>
      <c r="D18" s="11" t="s">
        <v>41</v>
      </c>
    </row>
    <row r="19" customFormat="false" ht="15" hidden="false" customHeight="true" outlineLevel="0" collapsed="false">
      <c r="A19" s="9" t="s">
        <v>42</v>
      </c>
      <c r="C19" s="12" t="n">
        <v>4</v>
      </c>
      <c r="D19" s="11"/>
    </row>
    <row r="20" customFormat="false" ht="15" hidden="false" customHeight="true" outlineLevel="0" collapsed="false">
      <c r="A20" s="9" t="s">
        <v>43</v>
      </c>
      <c r="C20" s="12" t="n">
        <v>120</v>
      </c>
      <c r="D20" s="11"/>
    </row>
    <row r="21" customFormat="false" ht="15" hidden="false" customHeight="true" outlineLevel="0" collapsed="false">
      <c r="A21" s="9" t="s">
        <v>44</v>
      </c>
      <c r="C21" s="13" t="n">
        <v>0.95</v>
      </c>
      <c r="D21" s="11" t="s">
        <v>45</v>
      </c>
    </row>
    <row r="22" customFormat="false" ht="15" hidden="false" customHeight="true" outlineLevel="0" collapsed="false">
      <c r="A22" s="9" t="s">
        <v>46</v>
      </c>
      <c r="C22" s="13" t="n">
        <v>0.85</v>
      </c>
      <c r="D22" s="11" t="s">
        <v>47</v>
      </c>
    </row>
    <row r="23" customFormat="false" ht="15" hidden="false" customHeight="true" outlineLevel="0" collapsed="false">
      <c r="A23" s="9" t="s">
        <v>48</v>
      </c>
      <c r="C23" s="15" t="n">
        <v>0.18</v>
      </c>
      <c r="D23" s="11"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8"/>
    <col collapsed="false" customWidth="true" hidden="false" outlineLevel="0" max="5" min="4" style="1" width="10"/>
    <col collapsed="false" customWidth="true" hidden="false" outlineLevel="0" max="6" min="6" style="1" width="13"/>
    <col collapsed="false" customWidth="true" hidden="false" outlineLevel="0" max="7" min="7" style="1" width="10"/>
    <col collapsed="false" customWidth="true" hidden="false" outlineLevel="0" max="8" min="8" style="1" width="12"/>
    <col collapsed="false" customWidth="true" hidden="false" outlineLevel="0" max="9" min="9" style="1" width="8"/>
    <col collapsed="false" customWidth="true" hidden="false" outlineLevel="0" max="10" min="10" style="1" width="11"/>
    <col collapsed="false" customWidth="true" hidden="false" outlineLevel="0" max="11" min="11" style="1" width="12"/>
    <col collapsed="false" customWidth="true" hidden="false" outlineLevel="0" max="12" min="12" style="1" width="11"/>
    <col collapsed="false" customWidth="true" hidden="false" outlineLevel="0" max="13" min="13" style="1" width="13"/>
    <col collapsed="false" customWidth="true" hidden="false" outlineLevel="0" max="14" min="14" style="1" width="14"/>
    <col collapsed="false" customWidth="true" hidden="false" outlineLevel="0" max="15" min="15" style="1" width="13"/>
    <col collapsed="false" customWidth="true" hidden="false" outlineLevel="0" max="16" min="16" style="1" width="44"/>
  </cols>
  <sheetData>
    <row r="1" customFormat="false" ht="17.25" hidden="false" customHeight="true" outlineLevel="0" collapsed="false">
      <c r="A1" s="7" t="s">
        <v>50</v>
      </c>
    </row>
    <row r="2" customFormat="false" ht="15" hidden="false" customHeight="true" outlineLevel="0" collapsed="false">
      <c r="A2" s="11" t="s">
        <v>51</v>
      </c>
    </row>
    <row r="4" customFormat="false" ht="30" hidden="false" customHeight="true" outlineLevel="0" collapsed="false">
      <c r="A4" s="16" t="s">
        <v>52</v>
      </c>
      <c r="B4" s="16" t="s">
        <v>53</v>
      </c>
      <c r="C4" s="16" t="s">
        <v>54</v>
      </c>
      <c r="D4" s="16" t="s">
        <v>55</v>
      </c>
      <c r="E4" s="16" t="s">
        <v>56</v>
      </c>
      <c r="F4" s="16" t="s">
        <v>57</v>
      </c>
      <c r="G4" s="16" t="s">
        <v>58</v>
      </c>
      <c r="H4" s="16" t="s">
        <v>59</v>
      </c>
      <c r="I4" s="16" t="s">
        <v>60</v>
      </c>
      <c r="J4" s="16" t="s">
        <v>61</v>
      </c>
      <c r="K4" s="16" t="s">
        <v>62</v>
      </c>
      <c r="L4" s="16" t="s">
        <v>63</v>
      </c>
      <c r="M4" s="16" t="s">
        <v>64</v>
      </c>
      <c r="N4" s="16" t="s">
        <v>65</v>
      </c>
      <c r="O4" s="16" t="s">
        <v>66</v>
      </c>
      <c r="P4" s="16" t="s">
        <v>67</v>
      </c>
    </row>
    <row r="5" customFormat="false" ht="15" hidden="false" customHeight="true" outlineLevel="0" collapsed="false">
      <c r="A5" s="17" t="n">
        <v>1</v>
      </c>
      <c r="B5" s="18" t="s">
        <v>68</v>
      </c>
      <c r="C5" s="19" t="n">
        <v>5.5</v>
      </c>
      <c r="D5" s="20" t="n">
        <f aca="false">MROUND(C5*'Fuel &amp; Inputs'!$C$4,10)</f>
        <v>2100</v>
      </c>
      <c r="E5" s="21" t="n">
        <v>2000</v>
      </c>
      <c r="F5" s="20" t="n">
        <f aca="false">MROUND(E5+'Fuel &amp; Inputs'!$C$13,50)</f>
        <v>2800</v>
      </c>
      <c r="G5" s="21" t="n">
        <v>4150</v>
      </c>
      <c r="H5" s="20" t="n">
        <f aca="false">G5-F5</f>
        <v>1350</v>
      </c>
      <c r="I5" s="17" t="str">
        <f aca="false">IF(C5=0,"n/a",IF(H5&gt;=D5,"OK","THIN"))</f>
        <v>THIN</v>
      </c>
      <c r="J5" s="20" t="n">
        <f aca="false">MROUND(E5*'Fuel &amp; Inputs'!$C$19*'Fuel &amp; Inputs'!$C$21,100)</f>
        <v>7600</v>
      </c>
      <c r="K5" s="20" t="n">
        <f aca="false">MROUND(F5*'Fuel &amp; Inputs'!$C$19*'Fuel &amp; Inputs'!$C$21,100)</f>
        <v>10600</v>
      </c>
      <c r="L5" s="20" t="n">
        <f aca="false">MROUND(G5*'Fuel &amp; Inputs'!$C$19*'Fuel &amp; Inputs'!$C$21,100)</f>
        <v>15800</v>
      </c>
      <c r="M5" s="20" t="n">
        <f aca="false">MROUND(E5*'Fuel &amp; Inputs'!$C$20*'Fuel &amp; Inputs'!$C$22,500)</f>
        <v>204000</v>
      </c>
      <c r="N5" s="20" t="n">
        <f aca="false">MROUND(F5*'Fuel &amp; Inputs'!$C$20*'Fuel &amp; Inputs'!$C$22,500)</f>
        <v>285500</v>
      </c>
      <c r="O5" s="20" t="n">
        <f aca="false">MROUND(G5*'Fuel &amp; Inputs'!$C$20*'Fuel &amp; Inputs'!$C$22,500)</f>
        <v>423500</v>
      </c>
      <c r="P5" s="22" t="s">
        <v>69</v>
      </c>
    </row>
    <row r="6" customFormat="false" ht="15" hidden="false" customHeight="true" outlineLevel="0" collapsed="false">
      <c r="A6" s="23" t="n">
        <v>2</v>
      </c>
      <c r="B6" s="24" t="s">
        <v>70</v>
      </c>
      <c r="C6" s="25" t="n">
        <v>13</v>
      </c>
      <c r="D6" s="26" t="n">
        <f aca="false">MROUND(C6*'Fuel &amp; Inputs'!$C$4,10)</f>
        <v>4970</v>
      </c>
      <c r="E6" s="27" t="n">
        <v>3800</v>
      </c>
      <c r="F6" s="26" t="n">
        <f aca="false">MROUND(E6+'Fuel &amp; Inputs'!$C$13,50)</f>
        <v>4600</v>
      </c>
      <c r="G6" s="27" t="n">
        <v>8450</v>
      </c>
      <c r="H6" s="26" t="n">
        <f aca="false">G6-F6</f>
        <v>3850</v>
      </c>
      <c r="I6" s="23" t="str">
        <f aca="false">IF(C6=0,"n/a",IF(H6&gt;=D6,"OK","THIN"))</f>
        <v>THIN</v>
      </c>
      <c r="J6" s="26" t="n">
        <f aca="false">MROUND(E6*'Fuel &amp; Inputs'!$C$19*'Fuel &amp; Inputs'!$C$21,100)</f>
        <v>14400</v>
      </c>
      <c r="K6" s="26" t="n">
        <f aca="false">MROUND(F6*'Fuel &amp; Inputs'!$C$19*'Fuel &amp; Inputs'!$C$21,100)</f>
        <v>17500</v>
      </c>
      <c r="L6" s="26" t="n">
        <f aca="false">MROUND(G6*'Fuel &amp; Inputs'!$C$19*'Fuel &amp; Inputs'!$C$21,100)</f>
        <v>32100</v>
      </c>
      <c r="M6" s="26" t="n">
        <f aca="false">MROUND(E6*'Fuel &amp; Inputs'!$C$20*'Fuel &amp; Inputs'!$C$22,500)</f>
        <v>387500</v>
      </c>
      <c r="N6" s="26" t="n">
        <f aca="false">MROUND(F6*'Fuel &amp; Inputs'!$C$20*'Fuel &amp; Inputs'!$C$22,500)</f>
        <v>469000</v>
      </c>
      <c r="O6" s="26" t="n">
        <f aca="false">MROUND(G6*'Fuel &amp; Inputs'!$C$20*'Fuel &amp; Inputs'!$C$22,500)</f>
        <v>862000</v>
      </c>
      <c r="P6" s="28" t="s">
        <v>71</v>
      </c>
    </row>
    <row r="7" customFormat="false" ht="15" hidden="false" customHeight="true" outlineLevel="0" collapsed="false">
      <c r="A7" s="17" t="n">
        <v>3</v>
      </c>
      <c r="B7" s="18" t="s">
        <v>72</v>
      </c>
      <c r="C7" s="19" t="n">
        <v>7</v>
      </c>
      <c r="D7" s="20" t="n">
        <f aca="false">MROUND(C7*'Fuel &amp; Inputs'!$C$4,10)</f>
        <v>2670</v>
      </c>
      <c r="E7" s="21" t="n">
        <v>2450</v>
      </c>
      <c r="F7" s="20" t="n">
        <f aca="false">MROUND(E7+'Fuel &amp; Inputs'!$C$13,50)</f>
        <v>3250</v>
      </c>
      <c r="G7" s="21" t="n">
        <v>4850</v>
      </c>
      <c r="H7" s="20" t="n">
        <f aca="false">G7-F7</f>
        <v>1600</v>
      </c>
      <c r="I7" s="17" t="str">
        <f aca="false">IF(C7=0,"n/a",IF(H7&gt;=D7,"OK","THIN"))</f>
        <v>THIN</v>
      </c>
      <c r="J7" s="20" t="n">
        <f aca="false">MROUND(E7*'Fuel &amp; Inputs'!$C$19*'Fuel &amp; Inputs'!$C$21,100)</f>
        <v>9300</v>
      </c>
      <c r="K7" s="20" t="n">
        <f aca="false">MROUND(F7*'Fuel &amp; Inputs'!$C$19*'Fuel &amp; Inputs'!$C$21,100)</f>
        <v>12400</v>
      </c>
      <c r="L7" s="20" t="n">
        <f aca="false">MROUND(G7*'Fuel &amp; Inputs'!$C$19*'Fuel &amp; Inputs'!$C$21,100)</f>
        <v>18400</v>
      </c>
      <c r="M7" s="20" t="n">
        <f aca="false">MROUND(E7*'Fuel &amp; Inputs'!$C$20*'Fuel &amp; Inputs'!$C$22,500)</f>
        <v>250000</v>
      </c>
      <c r="N7" s="20" t="n">
        <f aca="false">MROUND(F7*'Fuel &amp; Inputs'!$C$20*'Fuel &amp; Inputs'!$C$22,500)</f>
        <v>331500</v>
      </c>
      <c r="O7" s="20" t="n">
        <f aca="false">MROUND(G7*'Fuel &amp; Inputs'!$C$20*'Fuel &amp; Inputs'!$C$22,500)</f>
        <v>494500</v>
      </c>
      <c r="P7" s="22" t="s">
        <v>73</v>
      </c>
    </row>
    <row r="8" customFormat="false" ht="15" hidden="false" customHeight="true" outlineLevel="0" collapsed="false">
      <c r="A8" s="23" t="n">
        <v>4</v>
      </c>
      <c r="B8" s="24" t="s">
        <v>74</v>
      </c>
      <c r="C8" s="25" t="n">
        <v>8</v>
      </c>
      <c r="D8" s="26" t="n">
        <f aca="false">MROUND(C8*'Fuel &amp; Inputs'!$C$4,10)</f>
        <v>3060</v>
      </c>
      <c r="E8" s="27" t="n">
        <v>2650</v>
      </c>
      <c r="F8" s="26" t="n">
        <f aca="false">MROUND(E8+'Fuel &amp; Inputs'!$C$13,50)</f>
        <v>3450</v>
      </c>
      <c r="G8" s="27" t="n">
        <v>5300</v>
      </c>
      <c r="H8" s="26" t="n">
        <f aca="false">G8-F8</f>
        <v>1850</v>
      </c>
      <c r="I8" s="23" t="str">
        <f aca="false">IF(C8=0,"n/a",IF(H8&gt;=D8,"OK","THIN"))</f>
        <v>THIN</v>
      </c>
      <c r="J8" s="26" t="n">
        <f aca="false">MROUND(E8*'Fuel &amp; Inputs'!$C$19*'Fuel &amp; Inputs'!$C$21,100)</f>
        <v>10100</v>
      </c>
      <c r="K8" s="26" t="n">
        <f aca="false">MROUND(F8*'Fuel &amp; Inputs'!$C$19*'Fuel &amp; Inputs'!$C$21,100)</f>
        <v>13100</v>
      </c>
      <c r="L8" s="26" t="n">
        <f aca="false">MROUND(G8*'Fuel &amp; Inputs'!$C$19*'Fuel &amp; Inputs'!$C$21,100)</f>
        <v>20100</v>
      </c>
      <c r="M8" s="26" t="n">
        <f aca="false">MROUND(E8*'Fuel &amp; Inputs'!$C$20*'Fuel &amp; Inputs'!$C$22,500)</f>
        <v>270500</v>
      </c>
      <c r="N8" s="26" t="n">
        <f aca="false">MROUND(F8*'Fuel &amp; Inputs'!$C$20*'Fuel &amp; Inputs'!$C$22,500)</f>
        <v>352000</v>
      </c>
      <c r="O8" s="26" t="n">
        <f aca="false">MROUND(G8*'Fuel &amp; Inputs'!$C$20*'Fuel &amp; Inputs'!$C$22,500)</f>
        <v>540500</v>
      </c>
      <c r="P8" s="28" t="s">
        <v>75</v>
      </c>
    </row>
    <row r="9" customFormat="false" ht="15" hidden="false" customHeight="true" outlineLevel="0" collapsed="false">
      <c r="A9" s="17" t="n">
        <v>5</v>
      </c>
      <c r="B9" s="18" t="s">
        <v>76</v>
      </c>
      <c r="C9" s="19" t="n">
        <v>8</v>
      </c>
      <c r="D9" s="20" t="n">
        <f aca="false">MROUND(C9*'Fuel &amp; Inputs'!$C$4,10)</f>
        <v>3060</v>
      </c>
      <c r="E9" s="21" t="n">
        <v>2300</v>
      </c>
      <c r="F9" s="20" t="n">
        <f aca="false">MROUND(E9+'Fuel &amp; Inputs'!$C$13,50)</f>
        <v>3100</v>
      </c>
      <c r="G9" s="21" t="n">
        <v>4600</v>
      </c>
      <c r="H9" s="20" t="n">
        <f aca="false">G9-F9</f>
        <v>1500</v>
      </c>
      <c r="I9" s="17" t="str">
        <f aca="false">IF(C9=0,"n/a",IF(H9&gt;=D9,"OK","THIN"))</f>
        <v>THIN</v>
      </c>
      <c r="J9" s="20" t="n">
        <f aca="false">MROUND(E9*'Fuel &amp; Inputs'!$C$19*'Fuel &amp; Inputs'!$C$21,100)</f>
        <v>8700</v>
      </c>
      <c r="K9" s="20" t="n">
        <f aca="false">MROUND(F9*'Fuel &amp; Inputs'!$C$19*'Fuel &amp; Inputs'!$C$21,100)</f>
        <v>11800</v>
      </c>
      <c r="L9" s="20" t="n">
        <f aca="false">MROUND(G9*'Fuel &amp; Inputs'!$C$19*'Fuel &amp; Inputs'!$C$21,100)</f>
        <v>17500</v>
      </c>
      <c r="M9" s="20" t="n">
        <f aca="false">MROUND(E9*'Fuel &amp; Inputs'!$C$20*'Fuel &amp; Inputs'!$C$22,500)</f>
        <v>234500</v>
      </c>
      <c r="N9" s="20" t="n">
        <f aca="false">MROUND(F9*'Fuel &amp; Inputs'!$C$20*'Fuel &amp; Inputs'!$C$22,500)</f>
        <v>316000</v>
      </c>
      <c r="O9" s="20" t="n">
        <f aca="false">MROUND(G9*'Fuel &amp; Inputs'!$C$20*'Fuel &amp; Inputs'!$C$22,500)</f>
        <v>469000</v>
      </c>
      <c r="P9" s="22" t="s">
        <v>77</v>
      </c>
    </row>
    <row r="10" customFormat="false" ht="15" hidden="false" customHeight="true" outlineLevel="0" collapsed="false">
      <c r="A10" s="23" t="n">
        <v>6</v>
      </c>
      <c r="B10" s="24" t="s">
        <v>78</v>
      </c>
      <c r="C10" s="25" t="n">
        <v>5</v>
      </c>
      <c r="D10" s="26" t="n">
        <f aca="false">MROUND(C10*'Fuel &amp; Inputs'!$C$4,10)</f>
        <v>1910</v>
      </c>
      <c r="E10" s="27" t="n">
        <v>1950</v>
      </c>
      <c r="F10" s="26" t="n">
        <f aca="false">MROUND(E10+'Fuel &amp; Inputs'!$C$13,50)</f>
        <v>2750</v>
      </c>
      <c r="G10" s="27" t="n">
        <v>3900</v>
      </c>
      <c r="H10" s="26" t="n">
        <f aca="false">G10-F10</f>
        <v>1150</v>
      </c>
      <c r="I10" s="23" t="str">
        <f aca="false">IF(C10=0,"n/a",IF(H10&gt;=D10,"OK","THIN"))</f>
        <v>THIN</v>
      </c>
      <c r="J10" s="26" t="n">
        <f aca="false">MROUND(E10*'Fuel &amp; Inputs'!$C$19*'Fuel &amp; Inputs'!$C$21,100)</f>
        <v>7400</v>
      </c>
      <c r="K10" s="26" t="n">
        <f aca="false">MROUND(F10*'Fuel &amp; Inputs'!$C$19*'Fuel &amp; Inputs'!$C$21,100)</f>
        <v>10500</v>
      </c>
      <c r="L10" s="26" t="n">
        <f aca="false">MROUND(G10*'Fuel &amp; Inputs'!$C$19*'Fuel &amp; Inputs'!$C$21,100)</f>
        <v>14800</v>
      </c>
      <c r="M10" s="26" t="n">
        <f aca="false">MROUND(E10*'Fuel &amp; Inputs'!$C$20*'Fuel &amp; Inputs'!$C$22,500)</f>
        <v>199000</v>
      </c>
      <c r="N10" s="26" t="n">
        <f aca="false">MROUND(F10*'Fuel &amp; Inputs'!$C$20*'Fuel &amp; Inputs'!$C$22,500)</f>
        <v>280500</v>
      </c>
      <c r="O10" s="26" t="n">
        <f aca="false">MROUND(G10*'Fuel &amp; Inputs'!$C$20*'Fuel &amp; Inputs'!$C$22,500)</f>
        <v>398000</v>
      </c>
      <c r="P10" s="28" t="s">
        <v>79</v>
      </c>
    </row>
    <row r="11" customFormat="false" ht="15" hidden="false" customHeight="true" outlineLevel="0" collapsed="false">
      <c r="A11" s="17" t="n">
        <v>7</v>
      </c>
      <c r="B11" s="18" t="s">
        <v>80</v>
      </c>
      <c r="C11" s="19" t="n">
        <v>7</v>
      </c>
      <c r="D11" s="20" t="n">
        <f aca="false">MROUND(C11*'Fuel &amp; Inputs'!$C$4,10)</f>
        <v>2670</v>
      </c>
      <c r="E11" s="21" t="n">
        <v>2000</v>
      </c>
      <c r="F11" s="20" t="n">
        <f aca="false">MROUND(E11+'Fuel &amp; Inputs'!$C$13,50)</f>
        <v>2800</v>
      </c>
      <c r="G11" s="21" t="n">
        <v>3950</v>
      </c>
      <c r="H11" s="20" t="n">
        <f aca="false">G11-F11</f>
        <v>1150</v>
      </c>
      <c r="I11" s="17" t="str">
        <f aca="false">IF(C11=0,"n/a",IF(H11&gt;=D11,"OK","THIN"))</f>
        <v>THIN</v>
      </c>
      <c r="J11" s="20" t="n">
        <f aca="false">MROUND(E11*'Fuel &amp; Inputs'!$C$19*'Fuel &amp; Inputs'!$C$21,100)</f>
        <v>7600</v>
      </c>
      <c r="K11" s="20" t="n">
        <f aca="false">MROUND(F11*'Fuel &amp; Inputs'!$C$19*'Fuel &amp; Inputs'!$C$21,100)</f>
        <v>10600</v>
      </c>
      <c r="L11" s="20" t="n">
        <f aca="false">MROUND(G11*'Fuel &amp; Inputs'!$C$19*'Fuel &amp; Inputs'!$C$21,100)</f>
        <v>15000</v>
      </c>
      <c r="M11" s="20" t="n">
        <f aca="false">MROUND(E11*'Fuel &amp; Inputs'!$C$20*'Fuel &amp; Inputs'!$C$22,500)</f>
        <v>204000</v>
      </c>
      <c r="N11" s="20" t="n">
        <f aca="false">MROUND(F11*'Fuel &amp; Inputs'!$C$20*'Fuel &amp; Inputs'!$C$22,500)</f>
        <v>285500</v>
      </c>
      <c r="O11" s="20" t="n">
        <f aca="false">MROUND(G11*'Fuel &amp; Inputs'!$C$20*'Fuel &amp; Inputs'!$C$22,500)</f>
        <v>403000</v>
      </c>
      <c r="P11" s="22" t="s">
        <v>81</v>
      </c>
    </row>
    <row r="12" customFormat="false" ht="15" hidden="false" customHeight="true" outlineLevel="0" collapsed="false">
      <c r="A12" s="23" t="n">
        <v>8</v>
      </c>
      <c r="B12" s="24" t="s">
        <v>82</v>
      </c>
      <c r="C12" s="25" t="n">
        <v>15</v>
      </c>
      <c r="D12" s="26" t="n">
        <f aca="false">MROUND(C12*'Fuel &amp; Inputs'!$C$4,10)</f>
        <v>5730</v>
      </c>
      <c r="E12" s="27" t="n">
        <v>4350</v>
      </c>
      <c r="F12" s="26" t="n">
        <f aca="false">MROUND(E12+'Fuel &amp; Inputs'!$C$13,50)</f>
        <v>5150</v>
      </c>
      <c r="G12" s="27" t="n">
        <v>9650</v>
      </c>
      <c r="H12" s="26" t="n">
        <f aca="false">G12-F12</f>
        <v>4500</v>
      </c>
      <c r="I12" s="23" t="str">
        <f aca="false">IF(C12=0,"n/a",IF(H12&gt;=D12,"OK","THIN"))</f>
        <v>THIN</v>
      </c>
      <c r="J12" s="26" t="n">
        <f aca="false">MROUND(E12*'Fuel &amp; Inputs'!$C$19*'Fuel &amp; Inputs'!$C$21,100)</f>
        <v>16500</v>
      </c>
      <c r="K12" s="26" t="n">
        <f aca="false">MROUND(F12*'Fuel &amp; Inputs'!$C$19*'Fuel &amp; Inputs'!$C$21,100)</f>
        <v>19600</v>
      </c>
      <c r="L12" s="26" t="n">
        <f aca="false">MROUND(G12*'Fuel &amp; Inputs'!$C$19*'Fuel &amp; Inputs'!$C$21,100)</f>
        <v>36700</v>
      </c>
      <c r="M12" s="26" t="n">
        <f aca="false">MROUND(E12*'Fuel &amp; Inputs'!$C$20*'Fuel &amp; Inputs'!$C$22,500)</f>
        <v>443500</v>
      </c>
      <c r="N12" s="26" t="n">
        <f aca="false">MROUND(F12*'Fuel &amp; Inputs'!$C$20*'Fuel &amp; Inputs'!$C$22,500)</f>
        <v>525500</v>
      </c>
      <c r="O12" s="26" t="n">
        <f aca="false">MROUND(G12*'Fuel &amp; Inputs'!$C$20*'Fuel &amp; Inputs'!$C$22,500)</f>
        <v>984500</v>
      </c>
      <c r="P12" s="28" t="s">
        <v>83</v>
      </c>
    </row>
    <row r="13" customFormat="false" ht="15" hidden="false" customHeight="true" outlineLevel="0" collapsed="false">
      <c r="A13" s="17" t="n">
        <v>9</v>
      </c>
      <c r="B13" s="18" t="s">
        <v>84</v>
      </c>
      <c r="C13" s="19" t="n">
        <v>4.5</v>
      </c>
      <c r="D13" s="20" t="n">
        <f aca="false">MROUND(C13*'Fuel &amp; Inputs'!$C$4,10)</f>
        <v>1720</v>
      </c>
      <c r="E13" s="21" t="n">
        <v>1350</v>
      </c>
      <c r="F13" s="20" t="n">
        <f aca="false">MROUND(E13+'Fuel &amp; Inputs'!$C$13,50)</f>
        <v>2150</v>
      </c>
      <c r="G13" s="21" t="n">
        <v>2700</v>
      </c>
      <c r="H13" s="20" t="n">
        <f aca="false">G13-F13</f>
        <v>550</v>
      </c>
      <c r="I13" s="17" t="str">
        <f aca="false">IF(C13=0,"n/a",IF(H13&gt;=D13,"OK","THIN"))</f>
        <v>THIN</v>
      </c>
      <c r="J13" s="20" t="n">
        <f aca="false">MROUND(E13*'Fuel &amp; Inputs'!$C$19*'Fuel &amp; Inputs'!$C$21,100)</f>
        <v>5100</v>
      </c>
      <c r="K13" s="20" t="n">
        <f aca="false">MROUND(F13*'Fuel &amp; Inputs'!$C$19*'Fuel &amp; Inputs'!$C$21,100)</f>
        <v>8200</v>
      </c>
      <c r="L13" s="20" t="n">
        <f aca="false">MROUND(G13*'Fuel &amp; Inputs'!$C$19*'Fuel &amp; Inputs'!$C$21,100)</f>
        <v>10300</v>
      </c>
      <c r="M13" s="20" t="n">
        <f aca="false">MROUND(E13*'Fuel &amp; Inputs'!$C$20*'Fuel &amp; Inputs'!$C$22,500)</f>
        <v>137500</v>
      </c>
      <c r="N13" s="20" t="n">
        <f aca="false">MROUND(F13*'Fuel &amp; Inputs'!$C$20*'Fuel &amp; Inputs'!$C$22,500)</f>
        <v>219500</v>
      </c>
      <c r="O13" s="20" t="n">
        <f aca="false">MROUND(G13*'Fuel &amp; Inputs'!$C$20*'Fuel &amp; Inputs'!$C$22,500)</f>
        <v>275500</v>
      </c>
      <c r="P13" s="22" t="s">
        <v>85</v>
      </c>
    </row>
    <row r="14" customFormat="false" ht="15" hidden="false" customHeight="true" outlineLevel="0" collapsed="false">
      <c r="A14" s="23" t="n">
        <v>10</v>
      </c>
      <c r="B14" s="24" t="s">
        <v>86</v>
      </c>
      <c r="C14" s="25" t="n">
        <v>12</v>
      </c>
      <c r="D14" s="26" t="n">
        <f aca="false">MROUND(C14*'Fuel &amp; Inputs'!$C$4,10)</f>
        <v>4580</v>
      </c>
      <c r="E14" s="27" t="n">
        <v>3600</v>
      </c>
      <c r="F14" s="26" t="n">
        <f aca="false">MROUND(E14+'Fuel &amp; Inputs'!$C$13,50)</f>
        <v>4400</v>
      </c>
      <c r="G14" s="27" t="n">
        <v>8050</v>
      </c>
      <c r="H14" s="26" t="n">
        <f aca="false">G14-F14</f>
        <v>3650</v>
      </c>
      <c r="I14" s="23" t="str">
        <f aca="false">IF(C14=0,"n/a",IF(H14&gt;=D14,"OK","THIN"))</f>
        <v>THIN</v>
      </c>
      <c r="J14" s="26" t="n">
        <f aca="false">MROUND(E14*'Fuel &amp; Inputs'!$C$19*'Fuel &amp; Inputs'!$C$21,100)</f>
        <v>13700</v>
      </c>
      <c r="K14" s="26" t="n">
        <f aca="false">MROUND(F14*'Fuel &amp; Inputs'!$C$19*'Fuel &amp; Inputs'!$C$21,100)</f>
        <v>16700</v>
      </c>
      <c r="L14" s="26" t="n">
        <f aca="false">MROUND(G14*'Fuel &amp; Inputs'!$C$19*'Fuel &amp; Inputs'!$C$21,100)</f>
        <v>30600</v>
      </c>
      <c r="M14" s="26" t="n">
        <f aca="false">MROUND(E14*'Fuel &amp; Inputs'!$C$20*'Fuel &amp; Inputs'!$C$22,500)</f>
        <v>367000</v>
      </c>
      <c r="N14" s="26" t="n">
        <f aca="false">MROUND(F14*'Fuel &amp; Inputs'!$C$20*'Fuel &amp; Inputs'!$C$22,500)</f>
        <v>449000</v>
      </c>
      <c r="O14" s="26" t="n">
        <f aca="false">MROUND(G14*'Fuel &amp; Inputs'!$C$20*'Fuel &amp; Inputs'!$C$22,500)</f>
        <v>821000</v>
      </c>
      <c r="P14" s="28" t="s">
        <v>87</v>
      </c>
    </row>
    <row r="15" customFormat="false" ht="15" hidden="false" customHeight="true" outlineLevel="0" collapsed="false">
      <c r="A15" s="17" t="n">
        <v>11</v>
      </c>
      <c r="B15" s="18" t="s">
        <v>88</v>
      </c>
      <c r="C15" s="19" t="n">
        <v>6.5</v>
      </c>
      <c r="D15" s="20" t="n">
        <f aca="false">MROUND(C15*'Fuel &amp; Inputs'!$C$4,10)</f>
        <v>2480</v>
      </c>
      <c r="E15" s="21" t="n">
        <v>1750</v>
      </c>
      <c r="F15" s="20" t="n">
        <f aca="false">MROUND(E15+'Fuel &amp; Inputs'!$C$13,50)</f>
        <v>2550</v>
      </c>
      <c r="G15" s="21" t="n">
        <v>3500</v>
      </c>
      <c r="H15" s="20" t="n">
        <f aca="false">G15-F15</f>
        <v>950</v>
      </c>
      <c r="I15" s="17" t="str">
        <f aca="false">IF(C15=0,"n/a",IF(H15&gt;=D15,"OK","THIN"))</f>
        <v>THIN</v>
      </c>
      <c r="J15" s="20" t="n">
        <f aca="false">MROUND(E15*'Fuel &amp; Inputs'!$C$19*'Fuel &amp; Inputs'!$C$21,100)</f>
        <v>6700</v>
      </c>
      <c r="K15" s="20" t="n">
        <f aca="false">MROUND(F15*'Fuel &amp; Inputs'!$C$19*'Fuel &amp; Inputs'!$C$21,100)</f>
        <v>9700</v>
      </c>
      <c r="L15" s="20" t="n">
        <f aca="false">MROUND(G15*'Fuel &amp; Inputs'!$C$19*'Fuel &amp; Inputs'!$C$21,100)</f>
        <v>13300</v>
      </c>
      <c r="M15" s="20" t="n">
        <f aca="false">MROUND(E15*'Fuel &amp; Inputs'!$C$20*'Fuel &amp; Inputs'!$C$22,500)</f>
        <v>178500</v>
      </c>
      <c r="N15" s="20" t="n">
        <f aca="false">MROUND(F15*'Fuel &amp; Inputs'!$C$20*'Fuel &amp; Inputs'!$C$22,500)</f>
        <v>260000</v>
      </c>
      <c r="O15" s="20" t="n">
        <f aca="false">MROUND(G15*'Fuel &amp; Inputs'!$C$20*'Fuel &amp; Inputs'!$C$22,500)</f>
        <v>357000</v>
      </c>
      <c r="P15" s="22" t="s">
        <v>89</v>
      </c>
    </row>
    <row r="16" customFormat="false" ht="15" hidden="false" customHeight="true" outlineLevel="0" collapsed="false">
      <c r="A16" s="23" t="n">
        <v>12</v>
      </c>
      <c r="B16" s="24" t="s">
        <v>90</v>
      </c>
      <c r="C16" s="25" t="n">
        <v>10</v>
      </c>
      <c r="D16" s="26" t="n">
        <f aca="false">MROUND(C16*'Fuel &amp; Inputs'!$C$4,10)</f>
        <v>3820</v>
      </c>
      <c r="E16" s="27" t="n">
        <v>4400</v>
      </c>
      <c r="F16" s="26" t="n">
        <f aca="false">MROUND(E16+'Fuel &amp; Inputs'!$C$13,50)</f>
        <v>5200</v>
      </c>
      <c r="G16" s="27" t="n">
        <v>8800</v>
      </c>
      <c r="H16" s="26" t="n">
        <f aca="false">G16-F16</f>
        <v>3600</v>
      </c>
      <c r="I16" s="23" t="str">
        <f aca="false">IF(C16=0,"n/a",IF(H16&gt;=D16,"OK","THIN"))</f>
        <v>THIN</v>
      </c>
      <c r="J16" s="26" t="n">
        <f aca="false">MROUND(E16*'Fuel &amp; Inputs'!$C$19*'Fuel &amp; Inputs'!$C$21,100)</f>
        <v>16700</v>
      </c>
      <c r="K16" s="26" t="n">
        <f aca="false">MROUND(F16*'Fuel &amp; Inputs'!$C$19*'Fuel &amp; Inputs'!$C$21,100)</f>
        <v>19800</v>
      </c>
      <c r="L16" s="26" t="n">
        <f aca="false">MROUND(G16*'Fuel &amp; Inputs'!$C$19*'Fuel &amp; Inputs'!$C$21,100)</f>
        <v>33400</v>
      </c>
      <c r="M16" s="26" t="n">
        <f aca="false">MROUND(E16*'Fuel &amp; Inputs'!$C$20*'Fuel &amp; Inputs'!$C$22,500)</f>
        <v>449000</v>
      </c>
      <c r="N16" s="26" t="n">
        <f aca="false">MROUND(F16*'Fuel &amp; Inputs'!$C$20*'Fuel &amp; Inputs'!$C$22,500)</f>
        <v>530500</v>
      </c>
      <c r="O16" s="26" t="n">
        <f aca="false">MROUND(G16*'Fuel &amp; Inputs'!$C$20*'Fuel &amp; Inputs'!$C$22,500)</f>
        <v>897500</v>
      </c>
      <c r="P16" s="28" t="s">
        <v>91</v>
      </c>
    </row>
    <row r="17" customFormat="false" ht="15" hidden="false" customHeight="true" outlineLevel="0" collapsed="false">
      <c r="A17" s="17" t="n">
        <v>13</v>
      </c>
      <c r="B17" s="18" t="s">
        <v>92</v>
      </c>
      <c r="C17" s="19" t="n">
        <v>7</v>
      </c>
      <c r="D17" s="20" t="n">
        <f aca="false">MROUND(C17*'Fuel &amp; Inputs'!$C$4,10)</f>
        <v>2670</v>
      </c>
      <c r="E17" s="21" t="n">
        <v>2500</v>
      </c>
      <c r="F17" s="20" t="n">
        <f aca="false">MROUND(E17+'Fuel &amp; Inputs'!$C$13,50)</f>
        <v>3300</v>
      </c>
      <c r="G17" s="21" t="n">
        <v>5000</v>
      </c>
      <c r="H17" s="20" t="n">
        <f aca="false">G17-F17</f>
        <v>1700</v>
      </c>
      <c r="I17" s="17" t="str">
        <f aca="false">IF(C17=0,"n/a",IF(H17&gt;=D17,"OK","THIN"))</f>
        <v>THIN</v>
      </c>
      <c r="J17" s="20" t="n">
        <f aca="false">MROUND(E17*'Fuel &amp; Inputs'!$C$19*'Fuel &amp; Inputs'!$C$21,100)</f>
        <v>9500</v>
      </c>
      <c r="K17" s="20" t="n">
        <f aca="false">MROUND(F17*'Fuel &amp; Inputs'!$C$19*'Fuel &amp; Inputs'!$C$21,100)</f>
        <v>12500</v>
      </c>
      <c r="L17" s="20" t="n">
        <f aca="false">MROUND(G17*'Fuel &amp; Inputs'!$C$19*'Fuel &amp; Inputs'!$C$21,100)</f>
        <v>19000</v>
      </c>
      <c r="M17" s="20" t="n">
        <f aca="false">MROUND(E17*'Fuel &amp; Inputs'!$C$20*'Fuel &amp; Inputs'!$C$22,500)</f>
        <v>255000</v>
      </c>
      <c r="N17" s="20" t="n">
        <f aca="false">MROUND(F17*'Fuel &amp; Inputs'!$C$20*'Fuel &amp; Inputs'!$C$22,500)</f>
        <v>336500</v>
      </c>
      <c r="O17" s="20" t="n">
        <f aca="false">MROUND(G17*'Fuel &amp; Inputs'!$C$20*'Fuel &amp; Inputs'!$C$22,500)</f>
        <v>510000</v>
      </c>
      <c r="P17" s="22" t="s">
        <v>93</v>
      </c>
    </row>
    <row r="18" customFormat="false" ht="15" hidden="false" customHeight="true" outlineLevel="0" collapsed="false">
      <c r="A18" s="23" t="n">
        <v>14</v>
      </c>
      <c r="B18" s="24" t="s">
        <v>94</v>
      </c>
      <c r="C18" s="25" t="n">
        <v>14</v>
      </c>
      <c r="D18" s="26" t="n">
        <f aca="false">MROUND(C18*'Fuel &amp; Inputs'!$C$4,10)</f>
        <v>5350</v>
      </c>
      <c r="E18" s="27" t="n">
        <v>2450</v>
      </c>
      <c r="F18" s="26" t="n">
        <f aca="false">MROUND(E18+'Fuel &amp; Inputs'!$C$13,50)</f>
        <v>3250</v>
      </c>
      <c r="G18" s="27" t="n">
        <v>4850</v>
      </c>
      <c r="H18" s="26" t="n">
        <f aca="false">G18-F18</f>
        <v>1600</v>
      </c>
      <c r="I18" s="23" t="str">
        <f aca="false">IF(C18=0,"n/a",IF(H18&gt;=D18,"OK","THIN"))</f>
        <v>THIN</v>
      </c>
      <c r="J18" s="26" t="n">
        <f aca="false">MROUND(E18*'Fuel &amp; Inputs'!$C$19*'Fuel &amp; Inputs'!$C$21,100)</f>
        <v>9300</v>
      </c>
      <c r="K18" s="26" t="n">
        <f aca="false">MROUND(F18*'Fuel &amp; Inputs'!$C$19*'Fuel &amp; Inputs'!$C$21,100)</f>
        <v>12400</v>
      </c>
      <c r="L18" s="26" t="n">
        <f aca="false">MROUND(G18*'Fuel &amp; Inputs'!$C$19*'Fuel &amp; Inputs'!$C$21,100)</f>
        <v>18400</v>
      </c>
      <c r="M18" s="26" t="n">
        <f aca="false">MROUND(E18*'Fuel &amp; Inputs'!$C$20*'Fuel &amp; Inputs'!$C$22,500)</f>
        <v>250000</v>
      </c>
      <c r="N18" s="26" t="n">
        <f aca="false">MROUND(F18*'Fuel &amp; Inputs'!$C$20*'Fuel &amp; Inputs'!$C$22,500)</f>
        <v>331500</v>
      </c>
      <c r="O18" s="26" t="n">
        <f aca="false">MROUND(G18*'Fuel &amp; Inputs'!$C$20*'Fuel &amp; Inputs'!$C$22,500)</f>
        <v>494500</v>
      </c>
      <c r="P18" s="28" t="s">
        <v>95</v>
      </c>
    </row>
    <row r="19" customFormat="false" ht="15" hidden="false" customHeight="true" outlineLevel="0" collapsed="false">
      <c r="A19" s="17" t="n">
        <v>15</v>
      </c>
      <c r="B19" s="18" t="s">
        <v>96</v>
      </c>
      <c r="C19" s="19" t="n">
        <v>13</v>
      </c>
      <c r="D19" s="20" t="n">
        <f aca="false">MROUND(C19*'Fuel &amp; Inputs'!$C$4,10)</f>
        <v>4970</v>
      </c>
      <c r="E19" s="21" t="n">
        <v>4200</v>
      </c>
      <c r="F19" s="20" t="n">
        <f aca="false">MROUND(E19+'Fuel &amp; Inputs'!$C$13,50)</f>
        <v>5000</v>
      </c>
      <c r="G19" s="21" t="n">
        <v>9350</v>
      </c>
      <c r="H19" s="20" t="n">
        <f aca="false">G19-F19</f>
        <v>4350</v>
      </c>
      <c r="I19" s="17" t="str">
        <f aca="false">IF(C19=0,"n/a",IF(H19&gt;=D19,"OK","THIN"))</f>
        <v>THIN</v>
      </c>
      <c r="J19" s="20" t="n">
        <f aca="false">MROUND(E19*'Fuel &amp; Inputs'!$C$19*'Fuel &amp; Inputs'!$C$21,100)</f>
        <v>16000</v>
      </c>
      <c r="K19" s="20" t="n">
        <f aca="false">MROUND(F19*'Fuel &amp; Inputs'!$C$19*'Fuel &amp; Inputs'!$C$21,100)</f>
        <v>19000</v>
      </c>
      <c r="L19" s="20" t="n">
        <f aca="false">MROUND(G19*'Fuel &amp; Inputs'!$C$19*'Fuel &amp; Inputs'!$C$21,100)</f>
        <v>35500</v>
      </c>
      <c r="M19" s="20" t="n">
        <f aca="false">MROUND(E19*'Fuel &amp; Inputs'!$C$20*'Fuel &amp; Inputs'!$C$22,500)</f>
        <v>428500</v>
      </c>
      <c r="N19" s="20" t="n">
        <f aca="false">MROUND(F19*'Fuel &amp; Inputs'!$C$20*'Fuel &amp; Inputs'!$C$22,500)</f>
        <v>510000</v>
      </c>
      <c r="O19" s="20" t="n">
        <f aca="false">MROUND(G19*'Fuel &amp; Inputs'!$C$20*'Fuel &amp; Inputs'!$C$22,500)</f>
        <v>953500</v>
      </c>
      <c r="P19" s="22" t="s">
        <v>97</v>
      </c>
    </row>
    <row r="20" customFormat="false" ht="15" hidden="false" customHeight="true" outlineLevel="0" collapsed="false">
      <c r="A20" s="23" t="n">
        <v>16</v>
      </c>
      <c r="B20" s="24" t="s">
        <v>98</v>
      </c>
      <c r="C20" s="25" t="n">
        <v>3</v>
      </c>
      <c r="D20" s="26" t="n">
        <f aca="false">MROUND(C20*'Fuel &amp; Inputs'!$C$4,10)</f>
        <v>1150</v>
      </c>
      <c r="E20" s="27" t="n">
        <v>950</v>
      </c>
      <c r="F20" s="26" t="n">
        <f aca="false">MROUND(E20+'Fuel &amp; Inputs'!$C$13,50)</f>
        <v>1750</v>
      </c>
      <c r="G20" s="27" t="n">
        <v>1750</v>
      </c>
      <c r="H20" s="26" t="n">
        <f aca="false">G20-F20</f>
        <v>0</v>
      </c>
      <c r="I20" s="23" t="str">
        <f aca="false">IF(C20=0,"n/a",IF(H20&gt;=D20,"OK","THIN"))</f>
        <v>THIN</v>
      </c>
      <c r="J20" s="26" t="n">
        <f aca="false">MROUND(E20*'Fuel &amp; Inputs'!$C$19*'Fuel &amp; Inputs'!$C$21,100)</f>
        <v>3600</v>
      </c>
      <c r="K20" s="26" t="n">
        <f aca="false">MROUND(F20*'Fuel &amp; Inputs'!$C$19*'Fuel &amp; Inputs'!$C$21,100)</f>
        <v>6700</v>
      </c>
      <c r="L20" s="26" t="n">
        <f aca="false">MROUND(G20*'Fuel &amp; Inputs'!$C$19*'Fuel &amp; Inputs'!$C$21,100)</f>
        <v>6700</v>
      </c>
      <c r="M20" s="26" t="n">
        <f aca="false">MROUND(E20*'Fuel &amp; Inputs'!$C$20*'Fuel &amp; Inputs'!$C$22,500)</f>
        <v>97000</v>
      </c>
      <c r="N20" s="26" t="n">
        <f aca="false">MROUND(F20*'Fuel &amp; Inputs'!$C$20*'Fuel &amp; Inputs'!$C$22,500)</f>
        <v>178500</v>
      </c>
      <c r="O20" s="26" t="n">
        <f aca="false">MROUND(G20*'Fuel &amp; Inputs'!$C$20*'Fuel &amp; Inputs'!$C$22,500)</f>
        <v>178500</v>
      </c>
      <c r="P20" s="28" t="s">
        <v>99</v>
      </c>
    </row>
    <row r="21" customFormat="false" ht="15" hidden="false" customHeight="true" outlineLevel="0" collapsed="false">
      <c r="A21" s="17" t="n">
        <v>17</v>
      </c>
      <c r="B21" s="18" t="s">
        <v>100</v>
      </c>
      <c r="C21" s="19" t="n">
        <v>2.5</v>
      </c>
      <c r="D21" s="20" t="n">
        <f aca="false">MROUND(C21*'Fuel &amp; Inputs'!$C$4,10)</f>
        <v>960</v>
      </c>
      <c r="E21" s="21" t="n">
        <v>900</v>
      </c>
      <c r="F21" s="20" t="n">
        <f aca="false">MROUND(E21+'Fuel &amp; Inputs'!$C$13,50)</f>
        <v>1700</v>
      </c>
      <c r="G21" s="21" t="n">
        <v>1600</v>
      </c>
      <c r="H21" s="20" t="n">
        <f aca="false">G21-F21</f>
        <v>-100</v>
      </c>
      <c r="I21" s="17" t="str">
        <f aca="false">IF(C21=0,"n/a",IF(H21&gt;=D21,"OK","THIN"))</f>
        <v>THIN</v>
      </c>
      <c r="J21" s="20" t="n">
        <f aca="false">MROUND(E21*'Fuel &amp; Inputs'!$C$19*'Fuel &amp; Inputs'!$C$21,100)</f>
        <v>3400</v>
      </c>
      <c r="K21" s="20" t="n">
        <f aca="false">MROUND(F21*'Fuel &amp; Inputs'!$C$19*'Fuel &amp; Inputs'!$C$21,100)</f>
        <v>6500</v>
      </c>
      <c r="L21" s="20" t="n">
        <f aca="false">MROUND(G21*'Fuel &amp; Inputs'!$C$19*'Fuel &amp; Inputs'!$C$21,100)</f>
        <v>6100</v>
      </c>
      <c r="M21" s="20" t="n">
        <f aca="false">MROUND(E21*'Fuel &amp; Inputs'!$C$20*'Fuel &amp; Inputs'!$C$22,500)</f>
        <v>92000</v>
      </c>
      <c r="N21" s="20" t="n">
        <f aca="false">MROUND(F21*'Fuel &amp; Inputs'!$C$20*'Fuel &amp; Inputs'!$C$22,500)</f>
        <v>173500</v>
      </c>
      <c r="O21" s="20" t="n">
        <f aca="false">MROUND(G21*'Fuel &amp; Inputs'!$C$20*'Fuel &amp; Inputs'!$C$22,500)</f>
        <v>163000</v>
      </c>
      <c r="P21" s="22" t="s">
        <v>101</v>
      </c>
    </row>
    <row r="22" customFormat="false" ht="15" hidden="false" customHeight="true" outlineLevel="0" collapsed="false">
      <c r="A22" s="23" t="n">
        <v>18</v>
      </c>
      <c r="B22" s="24" t="s">
        <v>102</v>
      </c>
      <c r="C22" s="25" t="n">
        <v>3</v>
      </c>
      <c r="D22" s="26" t="n">
        <f aca="false">MROUND(C22*'Fuel &amp; Inputs'!$C$4,10)</f>
        <v>1150</v>
      </c>
      <c r="E22" s="27" t="n">
        <v>750</v>
      </c>
      <c r="F22" s="26" t="n">
        <f aca="false">MROUND(E22+'Fuel &amp; Inputs'!$C$13,50)</f>
        <v>1550</v>
      </c>
      <c r="G22" s="27" t="n">
        <v>1400</v>
      </c>
      <c r="H22" s="26" t="n">
        <f aca="false">G22-F22</f>
        <v>-150</v>
      </c>
      <c r="I22" s="23" t="str">
        <f aca="false">IF(C22=0,"n/a",IF(H22&gt;=D22,"OK","THIN"))</f>
        <v>THIN</v>
      </c>
      <c r="J22" s="26" t="n">
        <f aca="false">MROUND(E22*'Fuel &amp; Inputs'!$C$19*'Fuel &amp; Inputs'!$C$21,100)</f>
        <v>2900</v>
      </c>
      <c r="K22" s="26" t="n">
        <f aca="false">MROUND(F22*'Fuel &amp; Inputs'!$C$19*'Fuel &amp; Inputs'!$C$21,100)</f>
        <v>5900</v>
      </c>
      <c r="L22" s="26" t="n">
        <f aca="false">MROUND(G22*'Fuel &amp; Inputs'!$C$19*'Fuel &amp; Inputs'!$C$21,100)</f>
        <v>5300</v>
      </c>
      <c r="M22" s="26" t="n">
        <f aca="false">MROUND(E22*'Fuel &amp; Inputs'!$C$20*'Fuel &amp; Inputs'!$C$22,500)</f>
        <v>76500</v>
      </c>
      <c r="N22" s="26" t="n">
        <f aca="false">MROUND(F22*'Fuel &amp; Inputs'!$C$20*'Fuel &amp; Inputs'!$C$22,500)</f>
        <v>158000</v>
      </c>
      <c r="O22" s="26" t="n">
        <f aca="false">MROUND(G22*'Fuel &amp; Inputs'!$C$20*'Fuel &amp; Inputs'!$C$22,500)</f>
        <v>143000</v>
      </c>
      <c r="P22" s="28" t="s">
        <v>103</v>
      </c>
    </row>
    <row r="23" customFormat="false" ht="15" hidden="false" customHeight="true" outlineLevel="0" collapsed="false">
      <c r="A23" s="17" t="n">
        <v>19</v>
      </c>
      <c r="B23" s="18" t="s">
        <v>104</v>
      </c>
      <c r="C23" s="19" t="n">
        <v>2.5</v>
      </c>
      <c r="D23" s="20" t="n">
        <f aca="false">MROUND(C23*'Fuel &amp; Inputs'!$C$4,10)</f>
        <v>960</v>
      </c>
      <c r="E23" s="21" t="n">
        <v>650</v>
      </c>
      <c r="F23" s="20" t="n">
        <f aca="false">MROUND(E23+'Fuel &amp; Inputs'!$C$13,50)</f>
        <v>1450</v>
      </c>
      <c r="G23" s="21" t="n">
        <v>1150</v>
      </c>
      <c r="H23" s="20" t="n">
        <f aca="false">G23-F23</f>
        <v>-300</v>
      </c>
      <c r="I23" s="17" t="str">
        <f aca="false">IF(C23=0,"n/a",IF(H23&gt;=D23,"OK","THIN"))</f>
        <v>THIN</v>
      </c>
      <c r="J23" s="20" t="n">
        <f aca="false">MROUND(E23*'Fuel &amp; Inputs'!$C$19*'Fuel &amp; Inputs'!$C$21,100)</f>
        <v>2500</v>
      </c>
      <c r="K23" s="20" t="n">
        <f aca="false">MROUND(F23*'Fuel &amp; Inputs'!$C$19*'Fuel &amp; Inputs'!$C$21,100)</f>
        <v>5500</v>
      </c>
      <c r="L23" s="20" t="n">
        <f aca="false">MROUND(G23*'Fuel &amp; Inputs'!$C$19*'Fuel &amp; Inputs'!$C$21,100)</f>
        <v>4400</v>
      </c>
      <c r="M23" s="20" t="n">
        <f aca="false">MROUND(E23*'Fuel &amp; Inputs'!$C$20*'Fuel &amp; Inputs'!$C$22,500)</f>
        <v>66500</v>
      </c>
      <c r="N23" s="20" t="n">
        <f aca="false">MROUND(F23*'Fuel &amp; Inputs'!$C$20*'Fuel &amp; Inputs'!$C$22,500)</f>
        <v>148000</v>
      </c>
      <c r="O23" s="20" t="n">
        <f aca="false">MROUND(G23*'Fuel &amp; Inputs'!$C$20*'Fuel &amp; Inputs'!$C$22,500)</f>
        <v>117500</v>
      </c>
      <c r="P23" s="22" t="s">
        <v>105</v>
      </c>
    </row>
    <row r="24" customFormat="false" ht="15" hidden="false" customHeight="true" outlineLevel="0" collapsed="false">
      <c r="A24" s="23" t="n">
        <v>20</v>
      </c>
      <c r="B24" s="24" t="s">
        <v>106</v>
      </c>
      <c r="C24" s="25" t="n">
        <v>7.5</v>
      </c>
      <c r="D24" s="26" t="n">
        <f aca="false">MROUND(C24*'Fuel &amp; Inputs'!$C$4,10)</f>
        <v>2870</v>
      </c>
      <c r="E24" s="27" t="n">
        <v>1550</v>
      </c>
      <c r="F24" s="26" t="n">
        <f aca="false">MROUND(E24+'Fuel &amp; Inputs'!$C$13,50)</f>
        <v>2350</v>
      </c>
      <c r="G24" s="27" t="n">
        <v>3250</v>
      </c>
      <c r="H24" s="26" t="n">
        <f aca="false">G24-F24</f>
        <v>900</v>
      </c>
      <c r="I24" s="23" t="str">
        <f aca="false">IF(C24=0,"n/a",IF(H24&gt;=D24,"OK","THIN"))</f>
        <v>THIN</v>
      </c>
      <c r="J24" s="26" t="n">
        <f aca="false">MROUND(E24*'Fuel &amp; Inputs'!$C$19*'Fuel &amp; Inputs'!$C$21,100)</f>
        <v>5900</v>
      </c>
      <c r="K24" s="26" t="n">
        <f aca="false">MROUND(F24*'Fuel &amp; Inputs'!$C$19*'Fuel &amp; Inputs'!$C$21,100)</f>
        <v>8900</v>
      </c>
      <c r="L24" s="26" t="n">
        <f aca="false">MROUND(G24*'Fuel &amp; Inputs'!$C$19*'Fuel &amp; Inputs'!$C$21,100)</f>
        <v>12400</v>
      </c>
      <c r="M24" s="26" t="n">
        <f aca="false">MROUND(E24*'Fuel &amp; Inputs'!$C$20*'Fuel &amp; Inputs'!$C$22,500)</f>
        <v>158000</v>
      </c>
      <c r="N24" s="26" t="n">
        <f aca="false">MROUND(F24*'Fuel &amp; Inputs'!$C$20*'Fuel &amp; Inputs'!$C$22,500)</f>
        <v>239500</v>
      </c>
      <c r="O24" s="26" t="n">
        <f aca="false">MROUND(G24*'Fuel &amp; Inputs'!$C$20*'Fuel &amp; Inputs'!$C$22,500)</f>
        <v>331500</v>
      </c>
      <c r="P24" s="28" t="s">
        <v>107</v>
      </c>
    </row>
    <row r="25" customFormat="false" ht="15" hidden="false" customHeight="true" outlineLevel="0" collapsed="false">
      <c r="A25" s="17" t="n">
        <v>21</v>
      </c>
      <c r="B25" s="18" t="s">
        <v>108</v>
      </c>
      <c r="C25" s="19" t="n">
        <v>0</v>
      </c>
      <c r="D25" s="20" t="n">
        <f aca="false">MROUND(C25*'Fuel &amp; Inputs'!$C$4,10)</f>
        <v>0</v>
      </c>
      <c r="E25" s="21" t="n">
        <v>1250</v>
      </c>
      <c r="F25" s="20" t="n">
        <f aca="false">E25</f>
        <v>1250</v>
      </c>
      <c r="G25" s="21" t="n">
        <v>1300</v>
      </c>
      <c r="H25" s="20" t="n">
        <f aca="false">G25-F25</f>
        <v>50</v>
      </c>
      <c r="I25" s="17" t="str">
        <f aca="false">IF(C25=0,"n/a",IF(H25&gt;=D25,"OK","THIN"))</f>
        <v>n/a</v>
      </c>
      <c r="J25" s="20" t="n">
        <f aca="false">MROUND(E25*'Fuel &amp; Inputs'!$C$19*'Fuel &amp; Inputs'!$C$21,100)</f>
        <v>4800</v>
      </c>
      <c r="K25" s="20" t="n">
        <f aca="false">MROUND(F25*'Fuel &amp; Inputs'!$C$19*'Fuel &amp; Inputs'!$C$21,100)</f>
        <v>4800</v>
      </c>
      <c r="L25" s="20" t="n">
        <f aca="false">MROUND(G25*'Fuel &amp; Inputs'!$C$19*'Fuel &amp; Inputs'!$C$21,100)</f>
        <v>4900</v>
      </c>
      <c r="M25" s="20" t="n">
        <f aca="false">MROUND(E25*'Fuel &amp; Inputs'!$C$20*'Fuel &amp; Inputs'!$C$22,500)</f>
        <v>127500</v>
      </c>
      <c r="N25" s="20" t="n">
        <f aca="false">MROUND(F25*'Fuel &amp; Inputs'!$C$20*'Fuel &amp; Inputs'!$C$22,500)</f>
        <v>127500</v>
      </c>
      <c r="O25" s="20" t="n">
        <f aca="false">MROUND(G25*'Fuel &amp; Inputs'!$C$20*'Fuel &amp; Inputs'!$C$22,500)</f>
        <v>132500</v>
      </c>
      <c r="P25" s="22" t="s">
        <v>109</v>
      </c>
    </row>
    <row r="26" customFormat="false" ht="15" hidden="false" customHeight="true" outlineLevel="0" collapsed="false">
      <c r="A26" s="23" t="n">
        <v>22</v>
      </c>
      <c r="B26" s="24" t="s">
        <v>110</v>
      </c>
      <c r="C26" s="25" t="n">
        <v>0</v>
      </c>
      <c r="D26" s="26" t="n">
        <f aca="false">MROUND(C26*'Fuel &amp; Inputs'!$C$4,10)</f>
        <v>0</v>
      </c>
      <c r="E26" s="27" t="n">
        <v>2100</v>
      </c>
      <c r="F26" s="26" t="n">
        <f aca="false">E26</f>
        <v>2100</v>
      </c>
      <c r="G26" s="27" t="n">
        <v>2200</v>
      </c>
      <c r="H26" s="26" t="n">
        <f aca="false">G26-F26</f>
        <v>100</v>
      </c>
      <c r="I26" s="23" t="str">
        <f aca="false">IF(C26=0,"n/a",IF(H26&gt;=D26,"OK","THIN"))</f>
        <v>n/a</v>
      </c>
      <c r="J26" s="26" t="n">
        <f aca="false">MROUND(E26*'Fuel &amp; Inputs'!$C$19*'Fuel &amp; Inputs'!$C$21,100)</f>
        <v>8000</v>
      </c>
      <c r="K26" s="26" t="n">
        <f aca="false">MROUND(F26*'Fuel &amp; Inputs'!$C$19*'Fuel &amp; Inputs'!$C$21,100)</f>
        <v>8000</v>
      </c>
      <c r="L26" s="26" t="n">
        <f aca="false">MROUND(G26*'Fuel &amp; Inputs'!$C$19*'Fuel &amp; Inputs'!$C$21,100)</f>
        <v>8400</v>
      </c>
      <c r="M26" s="26" t="n">
        <f aca="false">MROUND(E26*'Fuel &amp; Inputs'!$C$20*'Fuel &amp; Inputs'!$C$22,500)</f>
        <v>214000</v>
      </c>
      <c r="N26" s="26" t="n">
        <f aca="false">MROUND(F26*'Fuel &amp; Inputs'!$C$20*'Fuel &amp; Inputs'!$C$22,500)</f>
        <v>214000</v>
      </c>
      <c r="O26" s="26" t="n">
        <f aca="false">MROUND(G26*'Fuel &amp; Inputs'!$C$20*'Fuel &amp; Inputs'!$C$22,500)</f>
        <v>224500</v>
      </c>
      <c r="P26" s="28" t="s">
        <v>111</v>
      </c>
    </row>
    <row r="27" customFormat="false" ht="15" hidden="false" customHeight="true" outlineLevel="0" collapsed="false">
      <c r="A27" s="17" t="n">
        <v>23</v>
      </c>
      <c r="B27" s="18" t="s">
        <v>112</v>
      </c>
      <c r="C27" s="19" t="n">
        <v>3.5</v>
      </c>
      <c r="D27" s="20" t="n">
        <f aca="false">MROUND(C27*'Fuel &amp; Inputs'!$C$4,10)</f>
        <v>1340</v>
      </c>
      <c r="E27" s="21" t="n">
        <v>1350</v>
      </c>
      <c r="F27" s="20" t="n">
        <f aca="false">MROUND(E27+'Fuel &amp; Inputs'!$C$13,50)</f>
        <v>2150</v>
      </c>
      <c r="G27" s="21" t="n">
        <v>2450</v>
      </c>
      <c r="H27" s="20" t="n">
        <f aca="false">G27-F27</f>
        <v>300</v>
      </c>
      <c r="I27" s="17" t="str">
        <f aca="false">IF(C27=0,"n/a",IF(H27&gt;=D27,"OK","THIN"))</f>
        <v>THIN</v>
      </c>
      <c r="J27" s="20" t="n">
        <f aca="false">MROUND(E27*'Fuel &amp; Inputs'!$C$19*'Fuel &amp; Inputs'!$C$21,100)</f>
        <v>5100</v>
      </c>
      <c r="K27" s="20" t="n">
        <f aca="false">MROUND(F27*'Fuel &amp; Inputs'!$C$19*'Fuel &amp; Inputs'!$C$21,100)</f>
        <v>8200</v>
      </c>
      <c r="L27" s="20" t="n">
        <f aca="false">MROUND(G27*'Fuel &amp; Inputs'!$C$19*'Fuel &amp; Inputs'!$C$21,100)</f>
        <v>9300</v>
      </c>
      <c r="M27" s="20" t="n">
        <f aca="false">MROUND(E27*'Fuel &amp; Inputs'!$C$20*'Fuel &amp; Inputs'!$C$22,500)</f>
        <v>137500</v>
      </c>
      <c r="N27" s="20" t="n">
        <f aca="false">MROUND(F27*'Fuel &amp; Inputs'!$C$20*'Fuel &amp; Inputs'!$C$22,500)</f>
        <v>219500</v>
      </c>
      <c r="O27" s="20" t="n">
        <f aca="false">MROUND(G27*'Fuel &amp; Inputs'!$C$20*'Fuel &amp; Inputs'!$C$22,500)</f>
        <v>250000</v>
      </c>
      <c r="P27" s="22" t="s">
        <v>113</v>
      </c>
    </row>
    <row r="28" customFormat="false" ht="15" hidden="false" customHeight="true" outlineLevel="0" collapsed="false">
      <c r="A28" s="23" t="n">
        <v>24</v>
      </c>
      <c r="B28" s="24" t="s">
        <v>114</v>
      </c>
      <c r="C28" s="25" t="n">
        <v>15</v>
      </c>
      <c r="D28" s="26" t="n">
        <f aca="false">MROUND(C28*'Fuel &amp; Inputs'!$C$4,10)</f>
        <v>5730</v>
      </c>
      <c r="E28" s="27" t="n">
        <v>4300</v>
      </c>
      <c r="F28" s="26" t="n">
        <f aca="false">MROUND(E28+'Fuel &amp; Inputs'!$C$13,50)</f>
        <v>5100</v>
      </c>
      <c r="G28" s="27" t="n">
        <v>9550</v>
      </c>
      <c r="H28" s="26" t="n">
        <f aca="false">G28-F28</f>
        <v>4450</v>
      </c>
      <c r="I28" s="23" t="str">
        <f aca="false">IF(C28=0,"n/a",IF(H28&gt;=D28,"OK","THIN"))</f>
        <v>THIN</v>
      </c>
      <c r="J28" s="26" t="n">
        <f aca="false">MROUND(E28*'Fuel &amp; Inputs'!$C$19*'Fuel &amp; Inputs'!$C$21,100)</f>
        <v>16300</v>
      </c>
      <c r="K28" s="26" t="n">
        <f aca="false">MROUND(F28*'Fuel &amp; Inputs'!$C$19*'Fuel &amp; Inputs'!$C$21,100)</f>
        <v>19400</v>
      </c>
      <c r="L28" s="26" t="n">
        <f aca="false">MROUND(G28*'Fuel &amp; Inputs'!$C$19*'Fuel &amp; Inputs'!$C$21,100)</f>
        <v>36300</v>
      </c>
      <c r="M28" s="26" t="n">
        <f aca="false">MROUND(E28*'Fuel &amp; Inputs'!$C$20*'Fuel &amp; Inputs'!$C$22,500)</f>
        <v>438500</v>
      </c>
      <c r="N28" s="26" t="n">
        <f aca="false">MROUND(F28*'Fuel &amp; Inputs'!$C$20*'Fuel &amp; Inputs'!$C$22,500)</f>
        <v>520000</v>
      </c>
      <c r="O28" s="26" t="n">
        <f aca="false">MROUND(G28*'Fuel &amp; Inputs'!$C$20*'Fuel &amp; Inputs'!$C$22,500)</f>
        <v>974000</v>
      </c>
      <c r="P28" s="28" t="s">
        <v>115</v>
      </c>
    </row>
    <row r="29" customFormat="false" ht="15" hidden="false" customHeight="true" outlineLevel="0" collapsed="false">
      <c r="A29" s="17" t="n">
        <v>25</v>
      </c>
      <c r="B29" s="18" t="s">
        <v>116</v>
      </c>
      <c r="C29" s="19" t="n">
        <v>3.5</v>
      </c>
      <c r="D29" s="20" t="n">
        <f aca="false">MROUND(C29*'Fuel &amp; Inputs'!$C$4,10)</f>
        <v>1340</v>
      </c>
      <c r="E29" s="21" t="n">
        <v>1500</v>
      </c>
      <c r="F29" s="20" t="n">
        <f aca="false">MROUND(E29+'Fuel &amp; Inputs'!$C$13,50)</f>
        <v>2300</v>
      </c>
      <c r="G29" s="21" t="n">
        <v>2950</v>
      </c>
      <c r="H29" s="20" t="n">
        <f aca="false">G29-F29</f>
        <v>650</v>
      </c>
      <c r="I29" s="17" t="str">
        <f aca="false">IF(C29=0,"n/a",IF(H29&gt;=D29,"OK","THIN"))</f>
        <v>THIN</v>
      </c>
      <c r="J29" s="20" t="n">
        <f aca="false">MROUND(E29*'Fuel &amp; Inputs'!$C$19*'Fuel &amp; Inputs'!$C$21,100)</f>
        <v>5700</v>
      </c>
      <c r="K29" s="20" t="n">
        <f aca="false">MROUND(F29*'Fuel &amp; Inputs'!$C$19*'Fuel &amp; Inputs'!$C$21,100)</f>
        <v>8700</v>
      </c>
      <c r="L29" s="20" t="n">
        <f aca="false">MROUND(G29*'Fuel &amp; Inputs'!$C$19*'Fuel &amp; Inputs'!$C$21,100)</f>
        <v>11200</v>
      </c>
      <c r="M29" s="20" t="n">
        <f aca="false">MROUND(E29*'Fuel &amp; Inputs'!$C$20*'Fuel &amp; Inputs'!$C$22,500)</f>
        <v>153000</v>
      </c>
      <c r="N29" s="20" t="n">
        <f aca="false">MROUND(F29*'Fuel &amp; Inputs'!$C$20*'Fuel &amp; Inputs'!$C$22,500)</f>
        <v>234500</v>
      </c>
      <c r="O29" s="20" t="n">
        <f aca="false">MROUND(G29*'Fuel &amp; Inputs'!$C$20*'Fuel &amp; Inputs'!$C$22,500)</f>
        <v>301000</v>
      </c>
      <c r="P29" s="22" t="s">
        <v>117</v>
      </c>
    </row>
    <row r="30" customFormat="false" ht="21.75" hidden="false" customHeight="true" outlineLevel="0" collapsed="false">
      <c r="A30" s="23" t="n">
        <v>26</v>
      </c>
      <c r="B30" s="24" t="s">
        <v>118</v>
      </c>
      <c r="C30" s="25" t="n">
        <v>4</v>
      </c>
      <c r="D30" s="26" t="n">
        <f aca="false">MROUND(C30*'Fuel &amp; Inputs'!$C$4,10)</f>
        <v>1530</v>
      </c>
      <c r="E30" s="27" t="n">
        <v>1150</v>
      </c>
      <c r="F30" s="26" t="n">
        <f aca="false">MROUND(E30+'Fuel &amp; Inputs'!$C$13,50)</f>
        <v>1950</v>
      </c>
      <c r="G30" s="27" t="n">
        <v>2100</v>
      </c>
      <c r="H30" s="26" t="n">
        <f aca="false">G30-F30</f>
        <v>150</v>
      </c>
      <c r="I30" s="23" t="str">
        <f aca="false">IF(C30=0,"n/a",IF(H30&gt;=D30,"OK","THIN"))</f>
        <v>THIN</v>
      </c>
      <c r="J30" s="26" t="n">
        <f aca="false">MROUND(E30*'Fuel &amp; Inputs'!$C$19*'Fuel &amp; Inputs'!$C$21,100)</f>
        <v>4400</v>
      </c>
      <c r="K30" s="26" t="n">
        <f aca="false">MROUND(F30*'Fuel &amp; Inputs'!$C$19*'Fuel &amp; Inputs'!$C$21,100)</f>
        <v>7400</v>
      </c>
      <c r="L30" s="26" t="n">
        <f aca="false">MROUND(G30*'Fuel &amp; Inputs'!$C$19*'Fuel &amp; Inputs'!$C$21,100)</f>
        <v>8000</v>
      </c>
      <c r="M30" s="26" t="n">
        <f aca="false">MROUND(E30*'Fuel &amp; Inputs'!$C$20*'Fuel &amp; Inputs'!$C$22,500)</f>
        <v>117500</v>
      </c>
      <c r="N30" s="26" t="n">
        <f aca="false">MROUND(F30*'Fuel &amp; Inputs'!$C$20*'Fuel &amp; Inputs'!$C$22,500)</f>
        <v>199000</v>
      </c>
      <c r="O30" s="26" t="n">
        <f aca="false">MROUND(G30*'Fuel &amp; Inputs'!$C$20*'Fuel &amp; Inputs'!$C$22,500)</f>
        <v>214000</v>
      </c>
      <c r="P30" s="28" t="s">
        <v>119</v>
      </c>
    </row>
    <row r="31" customFormat="false" ht="15" hidden="false" customHeight="true" outlineLevel="0" collapsed="false">
      <c r="A31" s="17" t="n">
        <v>27</v>
      </c>
      <c r="B31" s="18" t="s">
        <v>120</v>
      </c>
      <c r="C31" s="19" t="n">
        <v>1.2</v>
      </c>
      <c r="D31" s="20" t="n">
        <f aca="false">MROUND(C31*'Fuel &amp; Inputs'!$C$5,10)</f>
        <v>500</v>
      </c>
      <c r="E31" s="21" t="n">
        <v>300</v>
      </c>
      <c r="F31" s="20" t="n">
        <f aca="false">E31</f>
        <v>300</v>
      </c>
      <c r="G31" s="21" t="n">
        <v>500</v>
      </c>
      <c r="H31" s="20" t="n">
        <f aca="false">G31-F31</f>
        <v>200</v>
      </c>
      <c r="I31" s="17" t="str">
        <f aca="false">IF(C31=0,"n/a",IF(H31&gt;=D31,"OK","THIN"))</f>
        <v>THIN</v>
      </c>
      <c r="J31" s="20" t="n">
        <f aca="false">MROUND(E31*'Fuel &amp; Inputs'!$C$19*'Fuel &amp; Inputs'!$C$21,100)</f>
        <v>1100</v>
      </c>
      <c r="K31" s="20" t="n">
        <f aca="false">MROUND(F31*'Fuel &amp; Inputs'!$C$19*'Fuel &amp; Inputs'!$C$21,100)</f>
        <v>1100</v>
      </c>
      <c r="L31" s="20" t="n">
        <f aca="false">MROUND(G31*'Fuel &amp; Inputs'!$C$19*'Fuel &amp; Inputs'!$C$21,100)</f>
        <v>1900</v>
      </c>
      <c r="M31" s="20" t="n">
        <f aca="false">MROUND(E31*'Fuel &amp; Inputs'!$C$20*'Fuel &amp; Inputs'!$C$22,500)</f>
        <v>30500</v>
      </c>
      <c r="N31" s="20" t="n">
        <f aca="false">MROUND(F31*'Fuel &amp; Inputs'!$C$20*'Fuel &amp; Inputs'!$C$22,500)</f>
        <v>30500</v>
      </c>
      <c r="O31" s="20" t="n">
        <f aca="false">MROUND(G31*'Fuel &amp; Inputs'!$C$20*'Fuel &amp; Inputs'!$C$22,500)</f>
        <v>51000</v>
      </c>
      <c r="P31" s="22" t="s">
        <v>121</v>
      </c>
    </row>
    <row r="32" customFormat="false" ht="15" hidden="false" customHeight="true" outlineLevel="0" collapsed="false">
      <c r="A32" s="23" t="n">
        <v>28</v>
      </c>
      <c r="B32" s="24" t="s">
        <v>122</v>
      </c>
      <c r="C32" s="25" t="n">
        <v>4.5</v>
      </c>
      <c r="D32" s="26" t="n">
        <f aca="false">MROUND(C32*'Fuel &amp; Inputs'!$C$4,10)</f>
        <v>1720</v>
      </c>
      <c r="E32" s="27" t="n">
        <v>950</v>
      </c>
      <c r="F32" s="26" t="n">
        <f aca="false">MROUND(E32+'Fuel &amp; Inputs'!$C$13,50)</f>
        <v>1750</v>
      </c>
      <c r="G32" s="27" t="n">
        <v>1750</v>
      </c>
      <c r="H32" s="26" t="n">
        <f aca="false">G32-F32</f>
        <v>0</v>
      </c>
      <c r="I32" s="23" t="str">
        <f aca="false">IF(C32=0,"n/a",IF(H32&gt;=D32,"OK","THIN"))</f>
        <v>THIN</v>
      </c>
      <c r="J32" s="26" t="n">
        <f aca="false">MROUND(E32*'Fuel &amp; Inputs'!$C$19*'Fuel &amp; Inputs'!$C$21,100)</f>
        <v>3600</v>
      </c>
      <c r="K32" s="26" t="n">
        <f aca="false">MROUND(F32*'Fuel &amp; Inputs'!$C$19*'Fuel &amp; Inputs'!$C$21,100)</f>
        <v>6700</v>
      </c>
      <c r="L32" s="26" t="n">
        <f aca="false">MROUND(G32*'Fuel &amp; Inputs'!$C$19*'Fuel &amp; Inputs'!$C$21,100)</f>
        <v>6700</v>
      </c>
      <c r="M32" s="26" t="n">
        <f aca="false">MROUND(E32*'Fuel &amp; Inputs'!$C$20*'Fuel &amp; Inputs'!$C$22,500)</f>
        <v>97000</v>
      </c>
      <c r="N32" s="26" t="n">
        <f aca="false">MROUND(F32*'Fuel &amp; Inputs'!$C$20*'Fuel &amp; Inputs'!$C$22,500)</f>
        <v>178500</v>
      </c>
      <c r="O32" s="26" t="n">
        <f aca="false">MROUND(G32*'Fuel &amp; Inputs'!$C$20*'Fuel &amp; Inputs'!$C$22,500)</f>
        <v>178500</v>
      </c>
      <c r="P32" s="28" t="s">
        <v>123</v>
      </c>
    </row>
    <row r="33" customFormat="false" ht="15" hidden="false" customHeight="true" outlineLevel="0" collapsed="false">
      <c r="A33" s="17" t="n">
        <v>29</v>
      </c>
      <c r="B33" s="18" t="s">
        <v>124</v>
      </c>
      <c r="C33" s="19" t="n">
        <v>3.5</v>
      </c>
      <c r="D33" s="20" t="n">
        <f aca="false">MROUND(C33*'Fuel &amp; Inputs'!$C$4,10)</f>
        <v>1340</v>
      </c>
      <c r="E33" s="21" t="n">
        <v>1550</v>
      </c>
      <c r="F33" s="20" t="n">
        <f aca="false">MROUND(E33+'Fuel &amp; Inputs'!$C$13,50)</f>
        <v>2350</v>
      </c>
      <c r="G33" s="21" t="n">
        <v>3050</v>
      </c>
      <c r="H33" s="20" t="n">
        <f aca="false">G33-F33</f>
        <v>700</v>
      </c>
      <c r="I33" s="17" t="str">
        <f aca="false">IF(C33=0,"n/a",IF(H33&gt;=D33,"OK","THIN"))</f>
        <v>THIN</v>
      </c>
      <c r="J33" s="20" t="n">
        <f aca="false">MROUND(E33*'Fuel &amp; Inputs'!$C$19*'Fuel &amp; Inputs'!$C$21,100)</f>
        <v>5900</v>
      </c>
      <c r="K33" s="20" t="n">
        <f aca="false">MROUND(F33*'Fuel &amp; Inputs'!$C$19*'Fuel &amp; Inputs'!$C$21,100)</f>
        <v>8900</v>
      </c>
      <c r="L33" s="20" t="n">
        <f aca="false">MROUND(G33*'Fuel &amp; Inputs'!$C$19*'Fuel &amp; Inputs'!$C$21,100)</f>
        <v>11600</v>
      </c>
      <c r="M33" s="20" t="n">
        <f aca="false">MROUND(E33*'Fuel &amp; Inputs'!$C$20*'Fuel &amp; Inputs'!$C$22,500)</f>
        <v>158000</v>
      </c>
      <c r="N33" s="20" t="n">
        <f aca="false">MROUND(F33*'Fuel &amp; Inputs'!$C$20*'Fuel &amp; Inputs'!$C$22,500)</f>
        <v>239500</v>
      </c>
      <c r="O33" s="20" t="n">
        <f aca="false">MROUND(G33*'Fuel &amp; Inputs'!$C$20*'Fuel &amp; Inputs'!$C$22,500)</f>
        <v>311000</v>
      </c>
      <c r="P33" s="22" t="s">
        <v>125</v>
      </c>
    </row>
    <row r="35" customFormat="false" ht="15" hidden="false" customHeight="true" outlineLevel="0" collapsed="false">
      <c r="B35" s="11" t="s">
        <v>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7"/>
    <col collapsed="false" customWidth="true" hidden="false" outlineLevel="0" max="3" min="3" style="0" width="12"/>
    <col collapsed="false" customWidth="true" hidden="false" outlineLevel="0" max="4" min="4" style="0" width="17"/>
    <col collapsed="false" customWidth="true" hidden="false" outlineLevel="0" max="5" min="5" style="0" width="6"/>
    <col collapsed="false" customWidth="true" hidden="false" outlineLevel="0" max="6" min="6" style="0" width="8"/>
    <col collapsed="false" customWidth="true" hidden="false" outlineLevel="0" max="7" min="7" style="0" width="10"/>
    <col collapsed="false" customWidth="true" hidden="false" outlineLevel="0" max="12" min="8" style="0" width="7"/>
    <col collapsed="false" customWidth="true" hidden="false" outlineLevel="0" max="13" min="13" style="0" width="6"/>
    <col collapsed="false" customWidth="true" hidden="false" outlineLevel="0" max="16" min="14" style="0" width="9"/>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9"/>
    <col collapsed="false" customWidth="true" hidden="false" outlineLevel="0" max="21" min="21" style="0" width="10"/>
    <col collapsed="false" customWidth="true" hidden="false" outlineLevel="0" max="22" min="22" style="0" width="11"/>
    <col collapsed="false" customWidth="true" hidden="false" outlineLevel="0" max="23" min="23" style="0" width="10"/>
    <col collapsed="false" customWidth="true" hidden="false" outlineLevel="0" max="24" min="24" style="0" width="11"/>
    <col collapsed="false" customWidth="true" hidden="false" outlineLevel="0" max="25" min="25" style="0" width="12"/>
    <col collapsed="false" customWidth="true" hidden="false" outlineLevel="0" max="26" min="26" style="0" width="11"/>
  </cols>
  <sheetData>
    <row r="1" customFormat="false" ht="17.35" hidden="false" customHeight="false" outlineLevel="0" collapsed="false">
      <c r="A1" s="29" t="s">
        <v>127</v>
      </c>
    </row>
    <row r="2" customFormat="false" ht="15" hidden="false" customHeight="false" outlineLevel="0" collapsed="false">
      <c r="A2" s="30" t="s">
        <v>128</v>
      </c>
    </row>
    <row r="4" customFormat="false" ht="30" hidden="false" customHeight="true" outlineLevel="0" collapsed="false">
      <c r="A4" s="16" t="s">
        <v>52</v>
      </c>
      <c r="B4" s="16" t="s">
        <v>53</v>
      </c>
      <c r="C4" s="16" t="s">
        <v>129</v>
      </c>
      <c r="D4" s="16" t="s">
        <v>130</v>
      </c>
      <c r="E4" s="16" t="s">
        <v>131</v>
      </c>
      <c r="F4" s="16" t="s">
        <v>132</v>
      </c>
      <c r="G4" s="16" t="s">
        <v>133</v>
      </c>
      <c r="H4" s="16" t="s">
        <v>134</v>
      </c>
      <c r="I4" s="16" t="s">
        <v>135</v>
      </c>
      <c r="J4" s="16" t="s">
        <v>136</v>
      </c>
      <c r="K4" s="16" t="s">
        <v>137</v>
      </c>
      <c r="L4" s="16" t="s">
        <v>138</v>
      </c>
      <c r="M4" s="16" t="s">
        <v>139</v>
      </c>
      <c r="N4" s="16" t="s">
        <v>140</v>
      </c>
      <c r="O4" s="16" t="s">
        <v>141</v>
      </c>
      <c r="P4" s="16" t="s">
        <v>142</v>
      </c>
      <c r="Q4" s="16" t="s">
        <v>143</v>
      </c>
      <c r="R4" s="16" t="s">
        <v>56</v>
      </c>
      <c r="S4" s="16" t="s">
        <v>57</v>
      </c>
      <c r="T4" s="16" t="s">
        <v>58</v>
      </c>
      <c r="U4" s="16" t="s">
        <v>61</v>
      </c>
      <c r="V4" s="16" t="s">
        <v>62</v>
      </c>
      <c r="W4" s="16" t="s">
        <v>63</v>
      </c>
      <c r="X4" s="16" t="s">
        <v>144</v>
      </c>
      <c r="Y4" s="16" t="s">
        <v>145</v>
      </c>
      <c r="Z4" s="16" t="s">
        <v>146</v>
      </c>
    </row>
    <row r="5" customFormat="false" ht="15" hidden="false" customHeight="true" outlineLevel="0" collapsed="false">
      <c r="A5" s="31" t="s">
        <v>147</v>
      </c>
      <c r="B5" s="31"/>
      <c r="C5" s="31"/>
      <c r="D5" s="31"/>
      <c r="E5" s="31"/>
      <c r="F5" s="31"/>
      <c r="G5" s="31"/>
      <c r="H5" s="31"/>
      <c r="I5" s="31"/>
      <c r="J5" s="31"/>
      <c r="K5" s="31"/>
      <c r="L5" s="31"/>
      <c r="M5" s="31"/>
      <c r="N5" s="31"/>
      <c r="O5" s="31"/>
      <c r="P5" s="31"/>
      <c r="Q5" s="31"/>
      <c r="R5" s="31"/>
      <c r="S5" s="31"/>
      <c r="T5" s="31"/>
      <c r="U5" s="31"/>
      <c r="V5" s="31"/>
      <c r="W5" s="31"/>
      <c r="X5" s="31"/>
      <c r="Y5" s="31"/>
      <c r="Z5" s="31"/>
    </row>
    <row r="6" customFormat="false" ht="15" hidden="false" customHeight="false" outlineLevel="0" collapsed="false">
      <c r="A6" s="17" t="n">
        <v>1</v>
      </c>
      <c r="B6" s="32" t="s">
        <v>68</v>
      </c>
      <c r="C6" s="32" t="s">
        <v>148</v>
      </c>
      <c r="D6" s="32" t="s">
        <v>149</v>
      </c>
      <c r="E6" s="17" t="s">
        <v>150</v>
      </c>
      <c r="F6" s="17" t="s">
        <v>151</v>
      </c>
      <c r="G6" s="17" t="s">
        <v>152</v>
      </c>
      <c r="H6" s="17" t="s">
        <v>153</v>
      </c>
      <c r="I6" s="17" t="s">
        <v>154</v>
      </c>
      <c r="J6" s="19" t="n">
        <v>5</v>
      </c>
      <c r="K6" s="19" t="n">
        <v>7</v>
      </c>
      <c r="L6" s="19" t="n">
        <v>9.5</v>
      </c>
      <c r="M6" s="33" t="n">
        <v>1.035</v>
      </c>
      <c r="N6" s="20" t="n">
        <f aca="false">IF(J6=0,0,IF($I6="L/km",MROUND(J6*$M6*IF($H6="Petrol",'Fuel &amp; Inputs'!$C$5,'Fuel &amp; Inputs'!$C$4),1),MROUND(J6*$M6*IF($H6="Petrol",'Fuel &amp; Inputs'!$C$5,'Fuel &amp; Inputs'!$C$4),10)))</f>
        <v>1980</v>
      </c>
      <c r="O6" s="20" t="n">
        <f aca="false">IF(K6=0,0,IF($I6="L/km",MROUND(K6*$M6*IF($H6="Petrol",'Fuel &amp; Inputs'!$C$5,'Fuel &amp; Inputs'!$C$4),1),MROUND(K6*$M6*IF($H6="Petrol",'Fuel &amp; Inputs'!$C$5,'Fuel &amp; Inputs'!$C$4),10)))</f>
        <v>2770</v>
      </c>
      <c r="P6" s="20" t="n">
        <f aca="false">IF(L6=0,0,IF($I6="L/km",MROUND(L6*$M6*IF($H6="Petrol",'Fuel &amp; Inputs'!$C$5,'Fuel &amp; Inputs'!$C$4),1),MROUND(L6*$M6*IF($H6="Petrol",'Fuel &amp; Inputs'!$C$5,'Fuel &amp; Inputs'!$C$4),10)))</f>
        <v>3760</v>
      </c>
      <c r="Q6" s="17" t="s">
        <v>155</v>
      </c>
      <c r="R6" s="21" t="n">
        <v>2000</v>
      </c>
      <c r="S6" s="20" t="n">
        <f aca="false">MROUND(R6+'Fuel &amp; Inputs'!$C$13,50)</f>
        <v>2800</v>
      </c>
      <c r="T6" s="21" t="n">
        <v>4150</v>
      </c>
      <c r="U6" s="20" t="n">
        <f aca="false">MROUND(R6*'Fuel &amp; Inputs'!$C$19*'Fuel &amp; Inputs'!$C$21,100)</f>
        <v>7600</v>
      </c>
      <c r="V6" s="20" t="n">
        <f aca="false">MROUND(S6*'Fuel &amp; Inputs'!$C$19*'Fuel &amp; Inputs'!$C$21,100)</f>
        <v>10600</v>
      </c>
      <c r="W6" s="20" t="n">
        <f aca="false">MROUND(T6*'Fuel &amp; Inputs'!$C$19*'Fuel &amp; Inputs'!$C$21,100)</f>
        <v>15800</v>
      </c>
      <c r="X6" s="20" t="n">
        <f aca="false">MROUND(R6*'Fuel &amp; Inputs'!$C$20*'Fuel &amp; Inputs'!$C$22,500)</f>
        <v>204000</v>
      </c>
      <c r="Y6" s="20" t="n">
        <f aca="false">MROUND(S6*'Fuel &amp; Inputs'!$C$20*'Fuel &amp; Inputs'!$C$22,500)</f>
        <v>285500</v>
      </c>
      <c r="Z6" s="20" t="n">
        <f aca="false">MROUND(T6*'Fuel &amp; Inputs'!$C$20*'Fuel &amp; Inputs'!$C$22,500)</f>
        <v>423500</v>
      </c>
    </row>
    <row r="7" customFormat="false" ht="15" hidden="false" customHeight="false" outlineLevel="0" collapsed="false">
      <c r="A7" s="23" t="n">
        <v>2</v>
      </c>
      <c r="B7" s="34" t="s">
        <v>68</v>
      </c>
      <c r="C7" s="34" t="s">
        <v>148</v>
      </c>
      <c r="D7" s="34" t="s">
        <v>149</v>
      </c>
      <c r="E7" s="23" t="s">
        <v>150</v>
      </c>
      <c r="F7" s="23" t="s">
        <v>156</v>
      </c>
      <c r="G7" s="23" t="s">
        <v>157</v>
      </c>
      <c r="H7" s="23" t="s">
        <v>153</v>
      </c>
      <c r="I7" s="23" t="s">
        <v>154</v>
      </c>
      <c r="J7" s="25" t="n">
        <v>5</v>
      </c>
      <c r="K7" s="25" t="n">
        <v>7</v>
      </c>
      <c r="L7" s="25" t="n">
        <v>9.5</v>
      </c>
      <c r="M7" s="35" t="n">
        <v>1.035</v>
      </c>
      <c r="N7" s="26" t="n">
        <f aca="false">IF(J7=0,0,IF($I7="L/km",MROUND(J7*$M7*IF($H7="Petrol",'Fuel &amp; Inputs'!$C$5,'Fuel &amp; Inputs'!$C$4),1),MROUND(J7*$M7*IF($H7="Petrol",'Fuel &amp; Inputs'!$C$5,'Fuel &amp; Inputs'!$C$4),10)))</f>
        <v>1980</v>
      </c>
      <c r="O7" s="26" t="n">
        <f aca="false">IF(K7=0,0,IF($I7="L/km",MROUND(K7*$M7*IF($H7="Petrol",'Fuel &amp; Inputs'!$C$5,'Fuel &amp; Inputs'!$C$4),1),MROUND(K7*$M7*IF($H7="Petrol",'Fuel &amp; Inputs'!$C$5,'Fuel &amp; Inputs'!$C$4),10)))</f>
        <v>2770</v>
      </c>
      <c r="P7" s="26" t="n">
        <f aca="false">IF(L7=0,0,IF($I7="L/km",MROUND(L7*$M7*IF($H7="Petrol",'Fuel &amp; Inputs'!$C$5,'Fuel &amp; Inputs'!$C$4),1),MROUND(L7*$M7*IF($H7="Petrol",'Fuel &amp; Inputs'!$C$5,'Fuel &amp; Inputs'!$C$4),10)))</f>
        <v>3760</v>
      </c>
      <c r="Q7" s="23" t="s">
        <v>155</v>
      </c>
      <c r="R7" s="27" t="n">
        <v>2000</v>
      </c>
      <c r="S7" s="26" t="n">
        <f aca="false">MROUND(R7+'Fuel &amp; Inputs'!$C$13,50)</f>
        <v>2800</v>
      </c>
      <c r="T7" s="27" t="n">
        <v>4150</v>
      </c>
      <c r="U7" s="26" t="n">
        <f aca="false">MROUND(R7*'Fuel &amp; Inputs'!$C$19*'Fuel &amp; Inputs'!$C$21,100)</f>
        <v>7600</v>
      </c>
      <c r="V7" s="26" t="n">
        <f aca="false">MROUND(S7*'Fuel &amp; Inputs'!$C$19*'Fuel &amp; Inputs'!$C$21,100)</f>
        <v>10600</v>
      </c>
      <c r="W7" s="26" t="n">
        <f aca="false">MROUND(T7*'Fuel &amp; Inputs'!$C$19*'Fuel &amp; Inputs'!$C$21,100)</f>
        <v>15800</v>
      </c>
      <c r="X7" s="26" t="n">
        <f aca="false">MROUND(R7*'Fuel &amp; Inputs'!$C$20*'Fuel &amp; Inputs'!$C$22,500)</f>
        <v>204000</v>
      </c>
      <c r="Y7" s="26" t="n">
        <f aca="false">MROUND(S7*'Fuel &amp; Inputs'!$C$20*'Fuel &amp; Inputs'!$C$22,500)</f>
        <v>285500</v>
      </c>
      <c r="Z7" s="26" t="n">
        <f aca="false">MROUND(T7*'Fuel &amp; Inputs'!$C$20*'Fuel &amp; Inputs'!$C$22,500)</f>
        <v>423500</v>
      </c>
    </row>
    <row r="8" customFormat="false" ht="15" hidden="false" customHeight="false" outlineLevel="0" collapsed="false">
      <c r="A8" s="17" t="n">
        <v>3</v>
      </c>
      <c r="B8" s="32" t="s">
        <v>68</v>
      </c>
      <c r="C8" s="32" t="s">
        <v>148</v>
      </c>
      <c r="D8" s="32" t="s">
        <v>149</v>
      </c>
      <c r="E8" s="17" t="s">
        <v>150</v>
      </c>
      <c r="F8" s="17" t="s">
        <v>158</v>
      </c>
      <c r="G8" s="17" t="s">
        <v>159</v>
      </c>
      <c r="H8" s="17" t="s">
        <v>153</v>
      </c>
      <c r="I8" s="17" t="s">
        <v>154</v>
      </c>
      <c r="J8" s="19" t="n">
        <v>5</v>
      </c>
      <c r="K8" s="19" t="n">
        <v>7</v>
      </c>
      <c r="L8" s="19" t="n">
        <v>9.5</v>
      </c>
      <c r="M8" s="33" t="n">
        <v>1.035</v>
      </c>
      <c r="N8" s="20" t="n">
        <f aca="false">IF(J8=0,0,IF($I8="L/km",MROUND(J8*$M8*IF($H8="Petrol",'Fuel &amp; Inputs'!$C$5,'Fuel &amp; Inputs'!$C$4),1),MROUND(J8*$M8*IF($H8="Petrol",'Fuel &amp; Inputs'!$C$5,'Fuel &amp; Inputs'!$C$4),10)))</f>
        <v>1980</v>
      </c>
      <c r="O8" s="20" t="n">
        <f aca="false">IF(K8=0,0,IF($I8="L/km",MROUND(K8*$M8*IF($H8="Petrol",'Fuel &amp; Inputs'!$C$5,'Fuel &amp; Inputs'!$C$4),1),MROUND(K8*$M8*IF($H8="Petrol",'Fuel &amp; Inputs'!$C$5,'Fuel &amp; Inputs'!$C$4),10)))</f>
        <v>2770</v>
      </c>
      <c r="P8" s="20" t="n">
        <f aca="false">IF(L8=0,0,IF($I8="L/km",MROUND(L8*$M8*IF($H8="Petrol",'Fuel &amp; Inputs'!$C$5,'Fuel &amp; Inputs'!$C$4),1),MROUND(L8*$M8*IF($H8="Petrol",'Fuel &amp; Inputs'!$C$5,'Fuel &amp; Inputs'!$C$4),10)))</f>
        <v>3760</v>
      </c>
      <c r="Q8" s="17" t="s">
        <v>155</v>
      </c>
      <c r="R8" s="21" t="n">
        <v>2000</v>
      </c>
      <c r="S8" s="20" t="n">
        <f aca="false">MROUND(R8+'Fuel &amp; Inputs'!$C$13,50)</f>
        <v>2800</v>
      </c>
      <c r="T8" s="21" t="n">
        <v>4150</v>
      </c>
      <c r="U8" s="20" t="n">
        <f aca="false">MROUND(R8*'Fuel &amp; Inputs'!$C$19*'Fuel &amp; Inputs'!$C$21,100)</f>
        <v>7600</v>
      </c>
      <c r="V8" s="20" t="n">
        <f aca="false">MROUND(S8*'Fuel &amp; Inputs'!$C$19*'Fuel &amp; Inputs'!$C$21,100)</f>
        <v>10600</v>
      </c>
      <c r="W8" s="20" t="n">
        <f aca="false">MROUND(T8*'Fuel &amp; Inputs'!$C$19*'Fuel &amp; Inputs'!$C$21,100)</f>
        <v>15800</v>
      </c>
      <c r="X8" s="20" t="n">
        <f aca="false">MROUND(R8*'Fuel &amp; Inputs'!$C$20*'Fuel &amp; Inputs'!$C$22,500)</f>
        <v>204000</v>
      </c>
      <c r="Y8" s="20" t="n">
        <f aca="false">MROUND(S8*'Fuel &amp; Inputs'!$C$20*'Fuel &amp; Inputs'!$C$22,500)</f>
        <v>285500</v>
      </c>
      <c r="Z8" s="20" t="n">
        <f aca="false">MROUND(T8*'Fuel &amp; Inputs'!$C$20*'Fuel &amp; Inputs'!$C$22,500)</f>
        <v>423500</v>
      </c>
    </row>
    <row r="9" customFormat="false" ht="15" hidden="false" customHeight="false" outlineLevel="0" collapsed="false">
      <c r="A9" s="23" t="n">
        <v>4</v>
      </c>
      <c r="B9" s="34" t="s">
        <v>68</v>
      </c>
      <c r="C9" s="34" t="s">
        <v>160</v>
      </c>
      <c r="D9" s="34" t="s">
        <v>161</v>
      </c>
      <c r="E9" s="23" t="s">
        <v>162</v>
      </c>
      <c r="F9" s="23" t="s">
        <v>163</v>
      </c>
      <c r="G9" s="23" t="s">
        <v>164</v>
      </c>
      <c r="H9" s="23" t="s">
        <v>153</v>
      </c>
      <c r="I9" s="23" t="s">
        <v>154</v>
      </c>
      <c r="J9" s="25" t="n">
        <v>5</v>
      </c>
      <c r="K9" s="25" t="n">
        <v>7</v>
      </c>
      <c r="L9" s="25" t="n">
        <v>9.5</v>
      </c>
      <c r="M9" s="35" t="n">
        <v>1.042</v>
      </c>
      <c r="N9" s="26" t="n">
        <f aca="false">IF(J9=0,0,IF($I9="L/km",MROUND(J9*$M9*IF($H9="Petrol",'Fuel &amp; Inputs'!$C$5,'Fuel &amp; Inputs'!$C$4),1),MROUND(J9*$M9*IF($H9="Petrol",'Fuel &amp; Inputs'!$C$5,'Fuel &amp; Inputs'!$C$4),10)))</f>
        <v>1990</v>
      </c>
      <c r="O9" s="26" t="n">
        <f aca="false">IF(K9=0,0,IF($I9="L/km",MROUND(K9*$M9*IF($H9="Petrol",'Fuel &amp; Inputs'!$C$5,'Fuel &amp; Inputs'!$C$4),1),MROUND(K9*$M9*IF($H9="Petrol",'Fuel &amp; Inputs'!$C$5,'Fuel &amp; Inputs'!$C$4),10)))</f>
        <v>2790</v>
      </c>
      <c r="P9" s="26" t="n">
        <f aca="false">IF(L9=0,0,IF($I9="L/km",MROUND(L9*$M9*IF($H9="Petrol",'Fuel &amp; Inputs'!$C$5,'Fuel &amp; Inputs'!$C$4),1),MROUND(L9*$M9*IF($H9="Petrol",'Fuel &amp; Inputs'!$C$5,'Fuel &amp; Inputs'!$C$4),10)))</f>
        <v>3780</v>
      </c>
      <c r="Q9" s="23" t="s">
        <v>155</v>
      </c>
      <c r="R9" s="27" t="n">
        <v>2000</v>
      </c>
      <c r="S9" s="26" t="n">
        <f aca="false">MROUND(R9+'Fuel &amp; Inputs'!$C$13,50)</f>
        <v>2800</v>
      </c>
      <c r="T9" s="27" t="n">
        <v>4150</v>
      </c>
      <c r="U9" s="26" t="n">
        <f aca="false">MROUND(R9*'Fuel &amp; Inputs'!$C$19*'Fuel &amp; Inputs'!$C$21,100)</f>
        <v>7600</v>
      </c>
      <c r="V9" s="26" t="n">
        <f aca="false">MROUND(S9*'Fuel &amp; Inputs'!$C$19*'Fuel &amp; Inputs'!$C$21,100)</f>
        <v>10600</v>
      </c>
      <c r="W9" s="26" t="n">
        <f aca="false">MROUND(T9*'Fuel &amp; Inputs'!$C$19*'Fuel &amp; Inputs'!$C$21,100)</f>
        <v>15800</v>
      </c>
      <c r="X9" s="26" t="n">
        <f aca="false">MROUND(R9*'Fuel &amp; Inputs'!$C$20*'Fuel &amp; Inputs'!$C$22,500)</f>
        <v>204000</v>
      </c>
      <c r="Y9" s="26" t="n">
        <f aca="false">MROUND(S9*'Fuel &amp; Inputs'!$C$20*'Fuel &amp; Inputs'!$C$22,500)</f>
        <v>285500</v>
      </c>
      <c r="Z9" s="26" t="n">
        <f aca="false">MROUND(T9*'Fuel &amp; Inputs'!$C$20*'Fuel &amp; Inputs'!$C$22,500)</f>
        <v>423500</v>
      </c>
    </row>
    <row r="10" customFormat="false" ht="15" hidden="false" customHeight="false" outlineLevel="0" collapsed="false">
      <c r="A10" s="17" t="n">
        <v>5</v>
      </c>
      <c r="B10" s="32" t="s">
        <v>68</v>
      </c>
      <c r="C10" s="32" t="s">
        <v>165</v>
      </c>
      <c r="D10" s="32" t="s">
        <v>161</v>
      </c>
      <c r="E10" s="17" t="s">
        <v>166</v>
      </c>
      <c r="F10" s="17" t="s">
        <v>167</v>
      </c>
      <c r="G10" s="17" t="s">
        <v>168</v>
      </c>
      <c r="H10" s="17" t="s">
        <v>153</v>
      </c>
      <c r="I10" s="17" t="s">
        <v>154</v>
      </c>
      <c r="J10" s="19" t="n">
        <v>5</v>
      </c>
      <c r="K10" s="19" t="n">
        <v>7</v>
      </c>
      <c r="L10" s="19" t="n">
        <v>9.5</v>
      </c>
      <c r="M10" s="33" t="n">
        <v>1.098</v>
      </c>
      <c r="N10" s="20" t="n">
        <f aca="false">IF(J10=0,0,IF($I10="L/km",MROUND(J10*$M10*IF($H10="Petrol",'Fuel &amp; Inputs'!$C$5,'Fuel &amp; Inputs'!$C$4),1),MROUND(J10*$M10*IF($H10="Petrol",'Fuel &amp; Inputs'!$C$5,'Fuel &amp; Inputs'!$C$4),10)))</f>
        <v>2100</v>
      </c>
      <c r="O10" s="20" t="n">
        <f aca="false">IF(K10=0,0,IF($I10="L/km",MROUND(K10*$M10*IF($H10="Petrol",'Fuel &amp; Inputs'!$C$5,'Fuel &amp; Inputs'!$C$4),1),MROUND(K10*$M10*IF($H10="Petrol",'Fuel &amp; Inputs'!$C$5,'Fuel &amp; Inputs'!$C$4),10)))</f>
        <v>2940</v>
      </c>
      <c r="P10" s="20" t="n">
        <f aca="false">IF(L10=0,0,IF($I10="L/km",MROUND(L10*$M10*IF($H10="Petrol",'Fuel &amp; Inputs'!$C$5,'Fuel &amp; Inputs'!$C$4),1),MROUND(L10*$M10*IF($H10="Petrol",'Fuel &amp; Inputs'!$C$5,'Fuel &amp; Inputs'!$C$4),10)))</f>
        <v>3980</v>
      </c>
      <c r="Q10" s="17" t="s">
        <v>155</v>
      </c>
      <c r="R10" s="21" t="n">
        <v>2000</v>
      </c>
      <c r="S10" s="20" t="n">
        <f aca="false">MROUND(R10+'Fuel &amp; Inputs'!$C$13,50)</f>
        <v>2800</v>
      </c>
      <c r="T10" s="21" t="n">
        <v>4150</v>
      </c>
      <c r="U10" s="20" t="n">
        <f aca="false">MROUND(R10*'Fuel &amp; Inputs'!$C$19*'Fuel &amp; Inputs'!$C$21,100)</f>
        <v>7600</v>
      </c>
      <c r="V10" s="20" t="n">
        <f aca="false">MROUND(S10*'Fuel &amp; Inputs'!$C$19*'Fuel &amp; Inputs'!$C$21,100)</f>
        <v>10600</v>
      </c>
      <c r="W10" s="20" t="n">
        <f aca="false">MROUND(T10*'Fuel &amp; Inputs'!$C$19*'Fuel &amp; Inputs'!$C$21,100)</f>
        <v>15800</v>
      </c>
      <c r="X10" s="20" t="n">
        <f aca="false">MROUND(R10*'Fuel &amp; Inputs'!$C$20*'Fuel &amp; Inputs'!$C$22,500)</f>
        <v>204000</v>
      </c>
      <c r="Y10" s="20" t="n">
        <f aca="false">MROUND(S10*'Fuel &amp; Inputs'!$C$20*'Fuel &amp; Inputs'!$C$22,500)</f>
        <v>285500</v>
      </c>
      <c r="Z10" s="20" t="n">
        <f aca="false">MROUND(T10*'Fuel &amp; Inputs'!$C$20*'Fuel &amp; Inputs'!$C$22,500)</f>
        <v>423500</v>
      </c>
    </row>
    <row r="11" customFormat="false" ht="15" hidden="false" customHeight="false" outlineLevel="0" collapsed="false">
      <c r="A11" s="23" t="n">
        <v>6</v>
      </c>
      <c r="B11" s="34" t="s">
        <v>68</v>
      </c>
      <c r="C11" s="34" t="s">
        <v>165</v>
      </c>
      <c r="D11" s="34" t="s">
        <v>161</v>
      </c>
      <c r="E11" s="23" t="s">
        <v>166</v>
      </c>
      <c r="F11" s="23" t="s">
        <v>169</v>
      </c>
      <c r="G11" s="23" t="s">
        <v>170</v>
      </c>
      <c r="H11" s="23" t="s">
        <v>153</v>
      </c>
      <c r="I11" s="23" t="s">
        <v>154</v>
      </c>
      <c r="J11" s="25" t="n">
        <v>5</v>
      </c>
      <c r="K11" s="25" t="n">
        <v>7</v>
      </c>
      <c r="L11" s="25" t="n">
        <v>9.5</v>
      </c>
      <c r="M11" s="35" t="n">
        <v>1.098</v>
      </c>
      <c r="N11" s="26" t="n">
        <f aca="false">IF(J11=0,0,IF($I11="L/km",MROUND(J11*$M11*IF($H11="Petrol",'Fuel &amp; Inputs'!$C$5,'Fuel &amp; Inputs'!$C$4),1),MROUND(J11*$M11*IF($H11="Petrol",'Fuel &amp; Inputs'!$C$5,'Fuel &amp; Inputs'!$C$4),10)))</f>
        <v>2100</v>
      </c>
      <c r="O11" s="26" t="n">
        <f aca="false">IF(K11=0,0,IF($I11="L/km",MROUND(K11*$M11*IF($H11="Petrol",'Fuel &amp; Inputs'!$C$5,'Fuel &amp; Inputs'!$C$4),1),MROUND(K11*$M11*IF($H11="Petrol",'Fuel &amp; Inputs'!$C$5,'Fuel &amp; Inputs'!$C$4),10)))</f>
        <v>2940</v>
      </c>
      <c r="P11" s="26" t="n">
        <f aca="false">IF(L11=0,0,IF($I11="L/km",MROUND(L11*$M11*IF($H11="Petrol",'Fuel &amp; Inputs'!$C$5,'Fuel &amp; Inputs'!$C$4),1),MROUND(L11*$M11*IF($H11="Petrol",'Fuel &amp; Inputs'!$C$5,'Fuel &amp; Inputs'!$C$4),10)))</f>
        <v>3980</v>
      </c>
      <c r="Q11" s="23" t="s">
        <v>155</v>
      </c>
      <c r="R11" s="27" t="n">
        <v>2000</v>
      </c>
      <c r="S11" s="26" t="n">
        <f aca="false">MROUND(R11+'Fuel &amp; Inputs'!$C$13,50)</f>
        <v>2800</v>
      </c>
      <c r="T11" s="27" t="n">
        <v>4150</v>
      </c>
      <c r="U11" s="26" t="n">
        <f aca="false">MROUND(R11*'Fuel &amp; Inputs'!$C$19*'Fuel &amp; Inputs'!$C$21,100)</f>
        <v>7600</v>
      </c>
      <c r="V11" s="26" t="n">
        <f aca="false">MROUND(S11*'Fuel &amp; Inputs'!$C$19*'Fuel &amp; Inputs'!$C$21,100)</f>
        <v>10600</v>
      </c>
      <c r="W11" s="26" t="n">
        <f aca="false">MROUND(T11*'Fuel &amp; Inputs'!$C$19*'Fuel &amp; Inputs'!$C$21,100)</f>
        <v>15800</v>
      </c>
      <c r="X11" s="26" t="n">
        <f aca="false">MROUND(R11*'Fuel &amp; Inputs'!$C$20*'Fuel &amp; Inputs'!$C$22,500)</f>
        <v>204000</v>
      </c>
      <c r="Y11" s="26" t="n">
        <f aca="false">MROUND(S11*'Fuel &amp; Inputs'!$C$20*'Fuel &amp; Inputs'!$C$22,500)</f>
        <v>285500</v>
      </c>
      <c r="Z11" s="26" t="n">
        <f aca="false">MROUND(T11*'Fuel &amp; Inputs'!$C$20*'Fuel &amp; Inputs'!$C$22,500)</f>
        <v>423500</v>
      </c>
    </row>
    <row r="12" customFormat="false" ht="15" hidden="false" customHeight="false" outlineLevel="0" collapsed="false">
      <c r="A12" s="17" t="n">
        <v>7</v>
      </c>
      <c r="B12" s="32" t="s">
        <v>68</v>
      </c>
      <c r="C12" s="32" t="s">
        <v>165</v>
      </c>
      <c r="D12" s="32" t="s">
        <v>161</v>
      </c>
      <c r="E12" s="17" t="s">
        <v>171</v>
      </c>
      <c r="F12" s="17" t="s">
        <v>172</v>
      </c>
      <c r="G12" s="17" t="s">
        <v>173</v>
      </c>
      <c r="H12" s="17" t="s">
        <v>153</v>
      </c>
      <c r="I12" s="17" t="s">
        <v>154</v>
      </c>
      <c r="J12" s="19" t="n">
        <v>5</v>
      </c>
      <c r="K12" s="19" t="n">
        <v>7</v>
      </c>
      <c r="L12" s="19" t="n">
        <v>9.5</v>
      </c>
      <c r="M12" s="33" t="n">
        <v>1.077</v>
      </c>
      <c r="N12" s="20" t="n">
        <f aca="false">IF(J12=0,0,IF($I12="L/km",MROUND(J12*$M12*IF($H12="Petrol",'Fuel &amp; Inputs'!$C$5,'Fuel &amp; Inputs'!$C$4),1),MROUND(J12*$M12*IF($H12="Petrol",'Fuel &amp; Inputs'!$C$5,'Fuel &amp; Inputs'!$C$4),10)))</f>
        <v>2060</v>
      </c>
      <c r="O12" s="20" t="n">
        <f aca="false">IF(K12=0,0,IF($I12="L/km",MROUND(K12*$M12*IF($H12="Petrol",'Fuel &amp; Inputs'!$C$5,'Fuel &amp; Inputs'!$C$4),1),MROUND(K12*$M12*IF($H12="Petrol",'Fuel &amp; Inputs'!$C$5,'Fuel &amp; Inputs'!$C$4),10)))</f>
        <v>2880</v>
      </c>
      <c r="P12" s="20" t="n">
        <f aca="false">IF(L12=0,0,IF($I12="L/km",MROUND(L12*$M12*IF($H12="Petrol",'Fuel &amp; Inputs'!$C$5,'Fuel &amp; Inputs'!$C$4),1),MROUND(L12*$M12*IF($H12="Petrol",'Fuel &amp; Inputs'!$C$5,'Fuel &amp; Inputs'!$C$4),10)))</f>
        <v>3910</v>
      </c>
      <c r="Q12" s="17" t="s">
        <v>155</v>
      </c>
      <c r="R12" s="21" t="n">
        <v>2000</v>
      </c>
      <c r="S12" s="20" t="n">
        <f aca="false">MROUND(R12+'Fuel &amp; Inputs'!$C$13,50)</f>
        <v>2800</v>
      </c>
      <c r="T12" s="21" t="n">
        <v>4150</v>
      </c>
      <c r="U12" s="20" t="n">
        <f aca="false">MROUND(R12*'Fuel &amp; Inputs'!$C$19*'Fuel &amp; Inputs'!$C$21,100)</f>
        <v>7600</v>
      </c>
      <c r="V12" s="20" t="n">
        <f aca="false">MROUND(S12*'Fuel &amp; Inputs'!$C$19*'Fuel &amp; Inputs'!$C$21,100)</f>
        <v>10600</v>
      </c>
      <c r="W12" s="20" t="n">
        <f aca="false">MROUND(T12*'Fuel &amp; Inputs'!$C$19*'Fuel &amp; Inputs'!$C$21,100)</f>
        <v>15800</v>
      </c>
      <c r="X12" s="20" t="n">
        <f aca="false">MROUND(R12*'Fuel &amp; Inputs'!$C$20*'Fuel &amp; Inputs'!$C$22,500)</f>
        <v>204000</v>
      </c>
      <c r="Y12" s="20" t="n">
        <f aca="false">MROUND(S12*'Fuel &amp; Inputs'!$C$20*'Fuel &amp; Inputs'!$C$22,500)</f>
        <v>285500</v>
      </c>
      <c r="Z12" s="20" t="n">
        <f aca="false">MROUND(T12*'Fuel &amp; Inputs'!$C$20*'Fuel &amp; Inputs'!$C$22,500)</f>
        <v>423500</v>
      </c>
    </row>
    <row r="13" customFormat="false" ht="15" hidden="false" customHeight="false" outlineLevel="0" collapsed="false">
      <c r="A13" s="23" t="n">
        <v>8</v>
      </c>
      <c r="B13" s="34" t="s">
        <v>68</v>
      </c>
      <c r="C13" s="34" t="s">
        <v>165</v>
      </c>
      <c r="D13" s="34" t="s">
        <v>161</v>
      </c>
      <c r="E13" s="23" t="s">
        <v>174</v>
      </c>
      <c r="F13" s="23" t="s">
        <v>175</v>
      </c>
      <c r="G13" s="23" t="s">
        <v>176</v>
      </c>
      <c r="H13" s="23" t="s">
        <v>153</v>
      </c>
      <c r="I13" s="23" t="s">
        <v>154</v>
      </c>
      <c r="J13" s="25" t="n">
        <v>5</v>
      </c>
      <c r="K13" s="25" t="n">
        <v>7</v>
      </c>
      <c r="L13" s="25" t="n">
        <v>9.5</v>
      </c>
      <c r="M13" s="35" t="n">
        <v>1.07</v>
      </c>
      <c r="N13" s="26" t="n">
        <f aca="false">IF(J13=0,0,IF($I13="L/km",MROUND(J13*$M13*IF($H13="Petrol",'Fuel &amp; Inputs'!$C$5,'Fuel &amp; Inputs'!$C$4),1),MROUND(J13*$M13*IF($H13="Petrol",'Fuel &amp; Inputs'!$C$5,'Fuel &amp; Inputs'!$C$4),10)))</f>
        <v>2040</v>
      </c>
      <c r="O13" s="26" t="n">
        <f aca="false">IF(K13=0,0,IF($I13="L/km",MROUND(K13*$M13*IF($H13="Petrol",'Fuel &amp; Inputs'!$C$5,'Fuel &amp; Inputs'!$C$4),1),MROUND(K13*$M13*IF($H13="Petrol",'Fuel &amp; Inputs'!$C$5,'Fuel &amp; Inputs'!$C$4),10)))</f>
        <v>2860</v>
      </c>
      <c r="P13" s="26" t="n">
        <f aca="false">IF(L13=0,0,IF($I13="L/km",MROUND(L13*$M13*IF($H13="Petrol",'Fuel &amp; Inputs'!$C$5,'Fuel &amp; Inputs'!$C$4),1),MROUND(L13*$M13*IF($H13="Petrol",'Fuel &amp; Inputs'!$C$5,'Fuel &amp; Inputs'!$C$4),10)))</f>
        <v>3880</v>
      </c>
      <c r="Q13" s="23" t="s">
        <v>155</v>
      </c>
      <c r="R13" s="27" t="n">
        <v>2000</v>
      </c>
      <c r="S13" s="26" t="n">
        <f aca="false">MROUND(R13+'Fuel &amp; Inputs'!$C$13,50)</f>
        <v>2800</v>
      </c>
      <c r="T13" s="27" t="n">
        <v>4150</v>
      </c>
      <c r="U13" s="26" t="n">
        <f aca="false">MROUND(R13*'Fuel &amp; Inputs'!$C$19*'Fuel &amp; Inputs'!$C$21,100)</f>
        <v>7600</v>
      </c>
      <c r="V13" s="26" t="n">
        <f aca="false">MROUND(S13*'Fuel &amp; Inputs'!$C$19*'Fuel &amp; Inputs'!$C$21,100)</f>
        <v>10600</v>
      </c>
      <c r="W13" s="26" t="n">
        <f aca="false">MROUND(T13*'Fuel &amp; Inputs'!$C$19*'Fuel &amp; Inputs'!$C$21,100)</f>
        <v>15800</v>
      </c>
      <c r="X13" s="26" t="n">
        <f aca="false">MROUND(R13*'Fuel &amp; Inputs'!$C$20*'Fuel &amp; Inputs'!$C$22,500)</f>
        <v>204000</v>
      </c>
      <c r="Y13" s="26" t="n">
        <f aca="false">MROUND(S13*'Fuel &amp; Inputs'!$C$20*'Fuel &amp; Inputs'!$C$22,500)</f>
        <v>285500</v>
      </c>
      <c r="Z13" s="26" t="n">
        <f aca="false">MROUND(T13*'Fuel &amp; Inputs'!$C$20*'Fuel &amp; Inputs'!$C$22,500)</f>
        <v>423500</v>
      </c>
    </row>
    <row r="14" customFormat="false" ht="15" hidden="false" customHeight="false" outlineLevel="0" collapsed="false">
      <c r="A14" s="17" t="n">
        <v>9</v>
      </c>
      <c r="B14" s="32" t="s">
        <v>68</v>
      </c>
      <c r="C14" s="32" t="s">
        <v>165</v>
      </c>
      <c r="D14" s="32" t="s">
        <v>161</v>
      </c>
      <c r="E14" s="17" t="s">
        <v>174</v>
      </c>
      <c r="F14" s="17" t="s">
        <v>177</v>
      </c>
      <c r="G14" s="17" t="s">
        <v>178</v>
      </c>
      <c r="H14" s="17" t="s">
        <v>153</v>
      </c>
      <c r="I14" s="17" t="s">
        <v>154</v>
      </c>
      <c r="J14" s="19" t="n">
        <v>5</v>
      </c>
      <c r="K14" s="19" t="n">
        <v>7</v>
      </c>
      <c r="L14" s="19" t="n">
        <v>9.5</v>
      </c>
      <c r="M14" s="33" t="n">
        <v>1.07</v>
      </c>
      <c r="N14" s="20" t="n">
        <f aca="false">IF(J14=0,0,IF($I14="L/km",MROUND(J14*$M14*IF($H14="Petrol",'Fuel &amp; Inputs'!$C$5,'Fuel &amp; Inputs'!$C$4),1),MROUND(J14*$M14*IF($H14="Petrol",'Fuel &amp; Inputs'!$C$5,'Fuel &amp; Inputs'!$C$4),10)))</f>
        <v>2040</v>
      </c>
      <c r="O14" s="20" t="n">
        <f aca="false">IF(K14=0,0,IF($I14="L/km",MROUND(K14*$M14*IF($H14="Petrol",'Fuel &amp; Inputs'!$C$5,'Fuel &amp; Inputs'!$C$4),1),MROUND(K14*$M14*IF($H14="Petrol",'Fuel &amp; Inputs'!$C$5,'Fuel &amp; Inputs'!$C$4),10)))</f>
        <v>2860</v>
      </c>
      <c r="P14" s="20" t="n">
        <f aca="false">IF(L14=0,0,IF($I14="L/km",MROUND(L14*$M14*IF($H14="Petrol",'Fuel &amp; Inputs'!$C$5,'Fuel &amp; Inputs'!$C$4),1),MROUND(L14*$M14*IF($H14="Petrol",'Fuel &amp; Inputs'!$C$5,'Fuel &amp; Inputs'!$C$4),10)))</f>
        <v>3880</v>
      </c>
      <c r="Q14" s="17" t="s">
        <v>155</v>
      </c>
      <c r="R14" s="21" t="n">
        <v>2000</v>
      </c>
      <c r="S14" s="20" t="n">
        <f aca="false">MROUND(R14+'Fuel &amp; Inputs'!$C$13,50)</f>
        <v>2800</v>
      </c>
      <c r="T14" s="21" t="n">
        <v>4150</v>
      </c>
      <c r="U14" s="20" t="n">
        <f aca="false">MROUND(R14*'Fuel &amp; Inputs'!$C$19*'Fuel &amp; Inputs'!$C$21,100)</f>
        <v>7600</v>
      </c>
      <c r="V14" s="20" t="n">
        <f aca="false">MROUND(S14*'Fuel &amp; Inputs'!$C$19*'Fuel &amp; Inputs'!$C$21,100)</f>
        <v>10600</v>
      </c>
      <c r="W14" s="20" t="n">
        <f aca="false">MROUND(T14*'Fuel &amp; Inputs'!$C$19*'Fuel &amp; Inputs'!$C$21,100)</f>
        <v>15800</v>
      </c>
      <c r="X14" s="20" t="n">
        <f aca="false">MROUND(R14*'Fuel &amp; Inputs'!$C$20*'Fuel &amp; Inputs'!$C$22,500)</f>
        <v>204000</v>
      </c>
      <c r="Y14" s="20" t="n">
        <f aca="false">MROUND(S14*'Fuel &amp; Inputs'!$C$20*'Fuel &amp; Inputs'!$C$22,500)</f>
        <v>285500</v>
      </c>
      <c r="Z14" s="20" t="n">
        <f aca="false">MROUND(T14*'Fuel &amp; Inputs'!$C$20*'Fuel &amp; Inputs'!$C$22,500)</f>
        <v>423500</v>
      </c>
    </row>
    <row r="15" customFormat="false" ht="15" hidden="false" customHeight="false" outlineLevel="0" collapsed="false">
      <c r="A15" s="23" t="n">
        <v>10</v>
      </c>
      <c r="B15" s="34" t="s">
        <v>68</v>
      </c>
      <c r="C15" s="34" t="s">
        <v>160</v>
      </c>
      <c r="D15" s="34" t="s">
        <v>179</v>
      </c>
      <c r="E15" s="23" t="s">
        <v>180</v>
      </c>
      <c r="F15" s="23" t="s">
        <v>181</v>
      </c>
      <c r="G15" s="23" t="s">
        <v>182</v>
      </c>
      <c r="H15" s="23" t="s">
        <v>153</v>
      </c>
      <c r="I15" s="23" t="s">
        <v>154</v>
      </c>
      <c r="J15" s="25" t="n">
        <v>5</v>
      </c>
      <c r="K15" s="25" t="n">
        <v>7</v>
      </c>
      <c r="L15" s="25" t="n">
        <v>9.5</v>
      </c>
      <c r="M15" s="35" t="n">
        <v>1.049</v>
      </c>
      <c r="N15" s="26" t="n">
        <f aca="false">IF(J15=0,0,IF($I15="L/km",MROUND(J15*$M15*IF($H15="Petrol",'Fuel &amp; Inputs'!$C$5,'Fuel &amp; Inputs'!$C$4),1),MROUND(J15*$M15*IF($H15="Petrol",'Fuel &amp; Inputs'!$C$5,'Fuel &amp; Inputs'!$C$4),10)))</f>
        <v>2000</v>
      </c>
      <c r="O15" s="26" t="n">
        <f aca="false">IF(K15=0,0,IF($I15="L/km",MROUND(K15*$M15*IF($H15="Petrol",'Fuel &amp; Inputs'!$C$5,'Fuel &amp; Inputs'!$C$4),1),MROUND(K15*$M15*IF($H15="Petrol",'Fuel &amp; Inputs'!$C$5,'Fuel &amp; Inputs'!$C$4),10)))</f>
        <v>2810</v>
      </c>
      <c r="P15" s="26" t="n">
        <f aca="false">IF(L15=0,0,IF($I15="L/km",MROUND(L15*$M15*IF($H15="Petrol",'Fuel &amp; Inputs'!$C$5,'Fuel &amp; Inputs'!$C$4),1),MROUND(L15*$M15*IF($H15="Petrol",'Fuel &amp; Inputs'!$C$5,'Fuel &amp; Inputs'!$C$4),10)))</f>
        <v>3810</v>
      </c>
      <c r="Q15" s="23" t="s">
        <v>155</v>
      </c>
      <c r="R15" s="27" t="n">
        <v>1840</v>
      </c>
      <c r="S15" s="26" t="n">
        <f aca="false">MROUND(R15+'Fuel &amp; Inputs'!$C$13,50)</f>
        <v>2650</v>
      </c>
      <c r="T15" s="27" t="n">
        <v>3820</v>
      </c>
      <c r="U15" s="26" t="n">
        <f aca="false">MROUND(R15*'Fuel &amp; Inputs'!$C$19*'Fuel &amp; Inputs'!$C$21,100)</f>
        <v>7000</v>
      </c>
      <c r="V15" s="26" t="n">
        <f aca="false">MROUND(S15*'Fuel &amp; Inputs'!$C$19*'Fuel &amp; Inputs'!$C$21,100)</f>
        <v>10100</v>
      </c>
      <c r="W15" s="26" t="n">
        <f aca="false">MROUND(T15*'Fuel &amp; Inputs'!$C$19*'Fuel &amp; Inputs'!$C$21,100)</f>
        <v>14500</v>
      </c>
      <c r="X15" s="26" t="n">
        <f aca="false">MROUND(R15*'Fuel &amp; Inputs'!$C$20*'Fuel &amp; Inputs'!$C$22,500)</f>
        <v>187500</v>
      </c>
      <c r="Y15" s="26" t="n">
        <f aca="false">MROUND(S15*'Fuel &amp; Inputs'!$C$20*'Fuel &amp; Inputs'!$C$22,500)</f>
        <v>270500</v>
      </c>
      <c r="Z15" s="26" t="n">
        <f aca="false">MROUND(T15*'Fuel &amp; Inputs'!$C$20*'Fuel &amp; Inputs'!$C$22,500)</f>
        <v>389500</v>
      </c>
    </row>
    <row r="16" customFormat="false" ht="15" hidden="false" customHeight="false" outlineLevel="0" collapsed="false">
      <c r="A16" s="17" t="n">
        <v>11</v>
      </c>
      <c r="B16" s="32" t="s">
        <v>68</v>
      </c>
      <c r="C16" s="32" t="s">
        <v>165</v>
      </c>
      <c r="D16" s="32" t="s">
        <v>183</v>
      </c>
      <c r="E16" s="17" t="s">
        <v>174</v>
      </c>
      <c r="F16" s="17" t="s">
        <v>184</v>
      </c>
      <c r="G16" s="17" t="s">
        <v>185</v>
      </c>
      <c r="H16" s="17" t="s">
        <v>153</v>
      </c>
      <c r="I16" s="17" t="s">
        <v>154</v>
      </c>
      <c r="J16" s="19" t="n">
        <v>5</v>
      </c>
      <c r="K16" s="19" t="n">
        <v>7</v>
      </c>
      <c r="L16" s="19" t="n">
        <v>9.5</v>
      </c>
      <c r="M16" s="33" t="n">
        <v>1.07</v>
      </c>
      <c r="N16" s="20" t="n">
        <f aca="false">IF(J16=0,0,IF($I16="L/km",MROUND(J16*$M16*IF($H16="Petrol",'Fuel &amp; Inputs'!$C$5,'Fuel &amp; Inputs'!$C$4),1),MROUND(J16*$M16*IF($H16="Petrol",'Fuel &amp; Inputs'!$C$5,'Fuel &amp; Inputs'!$C$4),10)))</f>
        <v>2040</v>
      </c>
      <c r="O16" s="20" t="n">
        <f aca="false">IF(K16=0,0,IF($I16="L/km",MROUND(K16*$M16*IF($H16="Petrol",'Fuel &amp; Inputs'!$C$5,'Fuel &amp; Inputs'!$C$4),1),MROUND(K16*$M16*IF($H16="Petrol",'Fuel &amp; Inputs'!$C$5,'Fuel &amp; Inputs'!$C$4),10)))</f>
        <v>2860</v>
      </c>
      <c r="P16" s="20" t="n">
        <f aca="false">IF(L16=0,0,IF($I16="L/km",MROUND(L16*$M16*IF($H16="Petrol",'Fuel &amp; Inputs'!$C$5,'Fuel &amp; Inputs'!$C$4),1),MROUND(L16*$M16*IF($H16="Petrol",'Fuel &amp; Inputs'!$C$5,'Fuel &amp; Inputs'!$C$4),10)))</f>
        <v>3880</v>
      </c>
      <c r="Q16" s="17" t="s">
        <v>155</v>
      </c>
      <c r="R16" s="21" t="n">
        <v>1840</v>
      </c>
      <c r="S16" s="20" t="n">
        <f aca="false">MROUND(R16+'Fuel &amp; Inputs'!$C$13,50)</f>
        <v>2650</v>
      </c>
      <c r="T16" s="21" t="n">
        <v>3820</v>
      </c>
      <c r="U16" s="20" t="n">
        <f aca="false">MROUND(R16*'Fuel &amp; Inputs'!$C$19*'Fuel &amp; Inputs'!$C$21,100)</f>
        <v>7000</v>
      </c>
      <c r="V16" s="20" t="n">
        <f aca="false">MROUND(S16*'Fuel &amp; Inputs'!$C$19*'Fuel &amp; Inputs'!$C$21,100)</f>
        <v>10100</v>
      </c>
      <c r="W16" s="20" t="n">
        <f aca="false">MROUND(T16*'Fuel &amp; Inputs'!$C$19*'Fuel &amp; Inputs'!$C$21,100)</f>
        <v>14500</v>
      </c>
      <c r="X16" s="20" t="n">
        <f aca="false">MROUND(R16*'Fuel &amp; Inputs'!$C$20*'Fuel &amp; Inputs'!$C$22,500)</f>
        <v>187500</v>
      </c>
      <c r="Y16" s="20" t="n">
        <f aca="false">MROUND(S16*'Fuel &amp; Inputs'!$C$20*'Fuel &amp; Inputs'!$C$22,500)</f>
        <v>270500</v>
      </c>
      <c r="Z16" s="20" t="n">
        <f aca="false">MROUND(T16*'Fuel &amp; Inputs'!$C$20*'Fuel &amp; Inputs'!$C$22,500)</f>
        <v>389500</v>
      </c>
    </row>
    <row r="17" customFormat="false" ht="15" hidden="false" customHeight="false" outlineLevel="0" collapsed="false">
      <c r="A17" s="23" t="n">
        <v>12</v>
      </c>
      <c r="B17" s="34" t="s">
        <v>68</v>
      </c>
      <c r="C17" s="34" t="s">
        <v>165</v>
      </c>
      <c r="D17" s="34" t="s">
        <v>183</v>
      </c>
      <c r="E17" s="23" t="s">
        <v>174</v>
      </c>
      <c r="F17" s="23" t="s">
        <v>186</v>
      </c>
      <c r="G17" s="23" t="s">
        <v>187</v>
      </c>
      <c r="H17" s="23" t="s">
        <v>153</v>
      </c>
      <c r="I17" s="23" t="s">
        <v>154</v>
      </c>
      <c r="J17" s="25" t="n">
        <v>5</v>
      </c>
      <c r="K17" s="25" t="n">
        <v>7</v>
      </c>
      <c r="L17" s="25" t="n">
        <v>9.5</v>
      </c>
      <c r="M17" s="35" t="n">
        <v>1.07</v>
      </c>
      <c r="N17" s="26" t="n">
        <f aca="false">IF(J17=0,0,IF($I17="L/km",MROUND(J17*$M17*IF($H17="Petrol",'Fuel &amp; Inputs'!$C$5,'Fuel &amp; Inputs'!$C$4),1),MROUND(J17*$M17*IF($H17="Petrol",'Fuel &amp; Inputs'!$C$5,'Fuel &amp; Inputs'!$C$4),10)))</f>
        <v>2040</v>
      </c>
      <c r="O17" s="26" t="n">
        <f aca="false">IF(K17=0,0,IF($I17="L/km",MROUND(K17*$M17*IF($H17="Petrol",'Fuel &amp; Inputs'!$C$5,'Fuel &amp; Inputs'!$C$4),1),MROUND(K17*$M17*IF($H17="Petrol",'Fuel &amp; Inputs'!$C$5,'Fuel &amp; Inputs'!$C$4),10)))</f>
        <v>2860</v>
      </c>
      <c r="P17" s="26" t="n">
        <f aca="false">IF(L17=0,0,IF($I17="L/km",MROUND(L17*$M17*IF($H17="Petrol",'Fuel &amp; Inputs'!$C$5,'Fuel &amp; Inputs'!$C$4),1),MROUND(L17*$M17*IF($H17="Petrol",'Fuel &amp; Inputs'!$C$5,'Fuel &amp; Inputs'!$C$4),10)))</f>
        <v>3880</v>
      </c>
      <c r="Q17" s="23" t="s">
        <v>155</v>
      </c>
      <c r="R17" s="27" t="n">
        <v>1840</v>
      </c>
      <c r="S17" s="26" t="n">
        <f aca="false">MROUND(R17+'Fuel &amp; Inputs'!$C$13,50)</f>
        <v>2650</v>
      </c>
      <c r="T17" s="27" t="n">
        <v>3820</v>
      </c>
      <c r="U17" s="26" t="n">
        <f aca="false">MROUND(R17*'Fuel &amp; Inputs'!$C$19*'Fuel &amp; Inputs'!$C$21,100)</f>
        <v>7000</v>
      </c>
      <c r="V17" s="26" t="n">
        <f aca="false">MROUND(S17*'Fuel &amp; Inputs'!$C$19*'Fuel &amp; Inputs'!$C$21,100)</f>
        <v>10100</v>
      </c>
      <c r="W17" s="26" t="n">
        <f aca="false">MROUND(T17*'Fuel &amp; Inputs'!$C$19*'Fuel &amp; Inputs'!$C$21,100)</f>
        <v>14500</v>
      </c>
      <c r="X17" s="26" t="n">
        <f aca="false">MROUND(R17*'Fuel &amp; Inputs'!$C$20*'Fuel &amp; Inputs'!$C$22,500)</f>
        <v>187500</v>
      </c>
      <c r="Y17" s="26" t="n">
        <f aca="false">MROUND(S17*'Fuel &amp; Inputs'!$C$20*'Fuel &amp; Inputs'!$C$22,500)</f>
        <v>270500</v>
      </c>
      <c r="Z17" s="26" t="n">
        <f aca="false">MROUND(T17*'Fuel &amp; Inputs'!$C$20*'Fuel &amp; Inputs'!$C$22,500)</f>
        <v>389500</v>
      </c>
    </row>
    <row r="18" customFormat="false" ht="15" hidden="false" customHeight="false" outlineLevel="0" collapsed="false">
      <c r="A18" s="17" t="n">
        <v>13</v>
      </c>
      <c r="B18" s="32" t="s">
        <v>68</v>
      </c>
      <c r="C18" s="32" t="s">
        <v>165</v>
      </c>
      <c r="D18" s="32" t="s">
        <v>161</v>
      </c>
      <c r="E18" s="17" t="s">
        <v>174</v>
      </c>
      <c r="F18" s="17" t="s">
        <v>188</v>
      </c>
      <c r="G18" s="17" t="s">
        <v>189</v>
      </c>
      <c r="H18" s="17" t="s">
        <v>153</v>
      </c>
      <c r="I18" s="17" t="s">
        <v>154</v>
      </c>
      <c r="J18" s="19" t="n">
        <v>5</v>
      </c>
      <c r="K18" s="19" t="n">
        <v>7</v>
      </c>
      <c r="L18" s="19" t="n">
        <v>9.5</v>
      </c>
      <c r="M18" s="33" t="n">
        <v>1.07</v>
      </c>
      <c r="N18" s="20" t="n">
        <f aca="false">IF(J18=0,0,IF($I18="L/km",MROUND(J18*$M18*IF($H18="Petrol",'Fuel &amp; Inputs'!$C$5,'Fuel &amp; Inputs'!$C$4),1),MROUND(J18*$M18*IF($H18="Petrol",'Fuel &amp; Inputs'!$C$5,'Fuel &amp; Inputs'!$C$4),10)))</f>
        <v>2040</v>
      </c>
      <c r="O18" s="20" t="n">
        <f aca="false">IF(K18=0,0,IF($I18="L/km",MROUND(K18*$M18*IF($H18="Petrol",'Fuel &amp; Inputs'!$C$5,'Fuel &amp; Inputs'!$C$4),1),MROUND(K18*$M18*IF($H18="Petrol",'Fuel &amp; Inputs'!$C$5,'Fuel &amp; Inputs'!$C$4),10)))</f>
        <v>2860</v>
      </c>
      <c r="P18" s="20" t="n">
        <f aca="false">IF(L18=0,0,IF($I18="L/km",MROUND(L18*$M18*IF($H18="Petrol",'Fuel &amp; Inputs'!$C$5,'Fuel &amp; Inputs'!$C$4),1),MROUND(L18*$M18*IF($H18="Petrol",'Fuel &amp; Inputs'!$C$5,'Fuel &amp; Inputs'!$C$4),10)))</f>
        <v>3880</v>
      </c>
      <c r="Q18" s="17" t="s">
        <v>155</v>
      </c>
      <c r="R18" s="21" t="n">
        <v>1840</v>
      </c>
      <c r="S18" s="20" t="n">
        <f aca="false">MROUND(R18+'Fuel &amp; Inputs'!$C$13,50)</f>
        <v>2650</v>
      </c>
      <c r="T18" s="21" t="n">
        <v>3820</v>
      </c>
      <c r="U18" s="20" t="n">
        <f aca="false">MROUND(R18*'Fuel &amp; Inputs'!$C$19*'Fuel &amp; Inputs'!$C$21,100)</f>
        <v>7000</v>
      </c>
      <c r="V18" s="20" t="n">
        <f aca="false">MROUND(S18*'Fuel &amp; Inputs'!$C$19*'Fuel &amp; Inputs'!$C$21,100)</f>
        <v>10100</v>
      </c>
      <c r="W18" s="20" t="n">
        <f aca="false">MROUND(T18*'Fuel &amp; Inputs'!$C$19*'Fuel &amp; Inputs'!$C$21,100)</f>
        <v>14500</v>
      </c>
      <c r="X18" s="20" t="n">
        <f aca="false">MROUND(R18*'Fuel &amp; Inputs'!$C$20*'Fuel &amp; Inputs'!$C$22,500)</f>
        <v>187500</v>
      </c>
      <c r="Y18" s="20" t="n">
        <f aca="false">MROUND(S18*'Fuel &amp; Inputs'!$C$20*'Fuel &amp; Inputs'!$C$22,500)</f>
        <v>270500</v>
      </c>
      <c r="Z18" s="20" t="n">
        <f aca="false">MROUND(T18*'Fuel &amp; Inputs'!$C$20*'Fuel &amp; Inputs'!$C$22,500)</f>
        <v>389500</v>
      </c>
    </row>
    <row r="19" customFormat="false" ht="15" hidden="false" customHeight="false" outlineLevel="0" collapsed="false">
      <c r="A19" s="23" t="n">
        <v>14</v>
      </c>
      <c r="B19" s="34" t="s">
        <v>68</v>
      </c>
      <c r="C19" s="34" t="s">
        <v>160</v>
      </c>
      <c r="D19" s="34" t="s">
        <v>161</v>
      </c>
      <c r="E19" s="23" t="s">
        <v>162</v>
      </c>
      <c r="F19" s="23" t="s">
        <v>190</v>
      </c>
      <c r="G19" s="23" t="s">
        <v>191</v>
      </c>
      <c r="H19" s="23" t="s">
        <v>153</v>
      </c>
      <c r="I19" s="23" t="s">
        <v>154</v>
      </c>
      <c r="J19" s="25" t="n">
        <v>5</v>
      </c>
      <c r="K19" s="25" t="n">
        <v>7</v>
      </c>
      <c r="L19" s="25" t="n">
        <v>9.5</v>
      </c>
      <c r="M19" s="35" t="n">
        <v>1.042</v>
      </c>
      <c r="N19" s="26" t="n">
        <f aca="false">IF(J19=0,0,IF($I19="L/km",MROUND(J19*$M19*IF($H19="Petrol",'Fuel &amp; Inputs'!$C$5,'Fuel &amp; Inputs'!$C$4),1),MROUND(J19*$M19*IF($H19="Petrol",'Fuel &amp; Inputs'!$C$5,'Fuel &amp; Inputs'!$C$4),10)))</f>
        <v>1990</v>
      </c>
      <c r="O19" s="26" t="n">
        <f aca="false">IF(K19=0,0,IF($I19="L/km",MROUND(K19*$M19*IF($H19="Petrol",'Fuel &amp; Inputs'!$C$5,'Fuel &amp; Inputs'!$C$4),1),MROUND(K19*$M19*IF($H19="Petrol",'Fuel &amp; Inputs'!$C$5,'Fuel &amp; Inputs'!$C$4),10)))</f>
        <v>2790</v>
      </c>
      <c r="P19" s="26" t="n">
        <f aca="false">IF(L19=0,0,IF($I19="L/km",MROUND(L19*$M19*IF($H19="Petrol",'Fuel &amp; Inputs'!$C$5,'Fuel &amp; Inputs'!$C$4),1),MROUND(L19*$M19*IF($H19="Petrol",'Fuel &amp; Inputs'!$C$5,'Fuel &amp; Inputs'!$C$4),10)))</f>
        <v>3780</v>
      </c>
      <c r="Q19" s="23" t="s">
        <v>155</v>
      </c>
      <c r="R19" s="27" t="n">
        <v>1840</v>
      </c>
      <c r="S19" s="26" t="n">
        <f aca="false">MROUND(R19+'Fuel &amp; Inputs'!$C$13,50)</f>
        <v>2650</v>
      </c>
      <c r="T19" s="27" t="n">
        <v>3820</v>
      </c>
      <c r="U19" s="26" t="n">
        <f aca="false">MROUND(R19*'Fuel &amp; Inputs'!$C$19*'Fuel &amp; Inputs'!$C$21,100)</f>
        <v>7000</v>
      </c>
      <c r="V19" s="26" t="n">
        <f aca="false">MROUND(S19*'Fuel &amp; Inputs'!$C$19*'Fuel &amp; Inputs'!$C$21,100)</f>
        <v>10100</v>
      </c>
      <c r="W19" s="26" t="n">
        <f aca="false">MROUND(T19*'Fuel &amp; Inputs'!$C$19*'Fuel &amp; Inputs'!$C$21,100)</f>
        <v>14500</v>
      </c>
      <c r="X19" s="26" t="n">
        <f aca="false">MROUND(R19*'Fuel &amp; Inputs'!$C$20*'Fuel &amp; Inputs'!$C$22,500)</f>
        <v>187500</v>
      </c>
      <c r="Y19" s="26" t="n">
        <f aca="false">MROUND(S19*'Fuel &amp; Inputs'!$C$20*'Fuel &amp; Inputs'!$C$22,500)</f>
        <v>270500</v>
      </c>
      <c r="Z19" s="26" t="n">
        <f aca="false">MROUND(T19*'Fuel &amp; Inputs'!$C$20*'Fuel &amp; Inputs'!$C$22,500)</f>
        <v>389500</v>
      </c>
    </row>
    <row r="20" customFormat="false" ht="15" hidden="false" customHeight="false" outlineLevel="0" collapsed="false">
      <c r="A20" s="17" t="n">
        <v>15</v>
      </c>
      <c r="B20" s="32" t="s">
        <v>68</v>
      </c>
      <c r="C20" s="32" t="s">
        <v>160</v>
      </c>
      <c r="D20" s="32" t="s">
        <v>161</v>
      </c>
      <c r="E20" s="17" t="s">
        <v>162</v>
      </c>
      <c r="F20" s="17" t="s">
        <v>192</v>
      </c>
      <c r="G20" s="17" t="s">
        <v>193</v>
      </c>
      <c r="H20" s="17" t="s">
        <v>153</v>
      </c>
      <c r="I20" s="17" t="s">
        <v>154</v>
      </c>
      <c r="J20" s="19" t="n">
        <v>5</v>
      </c>
      <c r="K20" s="19" t="n">
        <v>7</v>
      </c>
      <c r="L20" s="19" t="n">
        <v>9.5</v>
      </c>
      <c r="M20" s="33" t="n">
        <v>1.042</v>
      </c>
      <c r="N20" s="20" t="n">
        <f aca="false">IF(J20=0,0,IF($I20="L/km",MROUND(J20*$M20*IF($H20="Petrol",'Fuel &amp; Inputs'!$C$5,'Fuel &amp; Inputs'!$C$4),1),MROUND(J20*$M20*IF($H20="Petrol",'Fuel &amp; Inputs'!$C$5,'Fuel &amp; Inputs'!$C$4),10)))</f>
        <v>1990</v>
      </c>
      <c r="O20" s="20" t="n">
        <f aca="false">IF(K20=0,0,IF($I20="L/km",MROUND(K20*$M20*IF($H20="Petrol",'Fuel &amp; Inputs'!$C$5,'Fuel &amp; Inputs'!$C$4),1),MROUND(K20*$M20*IF($H20="Petrol",'Fuel &amp; Inputs'!$C$5,'Fuel &amp; Inputs'!$C$4),10)))</f>
        <v>2790</v>
      </c>
      <c r="P20" s="20" t="n">
        <f aca="false">IF(L20=0,0,IF($I20="L/km",MROUND(L20*$M20*IF($H20="Petrol",'Fuel &amp; Inputs'!$C$5,'Fuel &amp; Inputs'!$C$4),1),MROUND(L20*$M20*IF($H20="Petrol",'Fuel &amp; Inputs'!$C$5,'Fuel &amp; Inputs'!$C$4),10)))</f>
        <v>3780</v>
      </c>
      <c r="Q20" s="17" t="s">
        <v>155</v>
      </c>
      <c r="R20" s="21" t="n">
        <v>1840</v>
      </c>
      <c r="S20" s="20" t="n">
        <f aca="false">MROUND(R20+'Fuel &amp; Inputs'!$C$13,50)</f>
        <v>2650</v>
      </c>
      <c r="T20" s="21" t="n">
        <v>3820</v>
      </c>
      <c r="U20" s="20" t="n">
        <f aca="false">MROUND(R20*'Fuel &amp; Inputs'!$C$19*'Fuel &amp; Inputs'!$C$21,100)</f>
        <v>7000</v>
      </c>
      <c r="V20" s="20" t="n">
        <f aca="false">MROUND(S20*'Fuel &amp; Inputs'!$C$19*'Fuel &amp; Inputs'!$C$21,100)</f>
        <v>10100</v>
      </c>
      <c r="W20" s="20" t="n">
        <f aca="false">MROUND(T20*'Fuel &amp; Inputs'!$C$19*'Fuel &amp; Inputs'!$C$21,100)</f>
        <v>14500</v>
      </c>
      <c r="X20" s="20" t="n">
        <f aca="false">MROUND(R20*'Fuel &amp; Inputs'!$C$20*'Fuel &amp; Inputs'!$C$22,500)</f>
        <v>187500</v>
      </c>
      <c r="Y20" s="20" t="n">
        <f aca="false">MROUND(S20*'Fuel &amp; Inputs'!$C$20*'Fuel &amp; Inputs'!$C$22,500)</f>
        <v>270500</v>
      </c>
      <c r="Z20" s="20" t="n">
        <f aca="false">MROUND(T20*'Fuel &amp; Inputs'!$C$20*'Fuel &amp; Inputs'!$C$22,500)</f>
        <v>389500</v>
      </c>
    </row>
    <row r="21" customFormat="false" ht="15" hidden="false" customHeight="false" outlineLevel="0" collapsed="false">
      <c r="A21" s="23" t="n">
        <v>16</v>
      </c>
      <c r="B21" s="34" t="s">
        <v>68</v>
      </c>
      <c r="C21" s="34" t="s">
        <v>165</v>
      </c>
      <c r="D21" s="34" t="s">
        <v>183</v>
      </c>
      <c r="E21" s="23" t="s">
        <v>171</v>
      </c>
      <c r="F21" s="23" t="s">
        <v>194</v>
      </c>
      <c r="G21" s="23" t="s">
        <v>195</v>
      </c>
      <c r="H21" s="23" t="s">
        <v>153</v>
      </c>
      <c r="I21" s="23" t="s">
        <v>154</v>
      </c>
      <c r="J21" s="25" t="n">
        <v>5</v>
      </c>
      <c r="K21" s="25" t="n">
        <v>7</v>
      </c>
      <c r="L21" s="25" t="n">
        <v>9.5</v>
      </c>
      <c r="M21" s="35" t="n">
        <v>1.077</v>
      </c>
      <c r="N21" s="26" t="n">
        <f aca="false">IF(J21=0,0,IF($I21="L/km",MROUND(J21*$M21*IF($H21="Petrol",'Fuel &amp; Inputs'!$C$5,'Fuel &amp; Inputs'!$C$4),1),MROUND(J21*$M21*IF($H21="Petrol",'Fuel &amp; Inputs'!$C$5,'Fuel &amp; Inputs'!$C$4),10)))</f>
        <v>2060</v>
      </c>
      <c r="O21" s="26" t="n">
        <f aca="false">IF(K21=0,0,IF($I21="L/km",MROUND(K21*$M21*IF($H21="Petrol",'Fuel &amp; Inputs'!$C$5,'Fuel &amp; Inputs'!$C$4),1),MROUND(K21*$M21*IF($H21="Petrol",'Fuel &amp; Inputs'!$C$5,'Fuel &amp; Inputs'!$C$4),10)))</f>
        <v>2880</v>
      </c>
      <c r="P21" s="26" t="n">
        <f aca="false">IF(L21=0,0,IF($I21="L/km",MROUND(L21*$M21*IF($H21="Petrol",'Fuel &amp; Inputs'!$C$5,'Fuel &amp; Inputs'!$C$4),1),MROUND(L21*$M21*IF($H21="Petrol",'Fuel &amp; Inputs'!$C$5,'Fuel &amp; Inputs'!$C$4),10)))</f>
        <v>3910</v>
      </c>
      <c r="Q21" s="23" t="s">
        <v>155</v>
      </c>
      <c r="R21" s="27" t="n">
        <v>1840</v>
      </c>
      <c r="S21" s="26" t="n">
        <f aca="false">MROUND(R21+'Fuel &amp; Inputs'!$C$13,50)</f>
        <v>2650</v>
      </c>
      <c r="T21" s="27" t="n">
        <v>3820</v>
      </c>
      <c r="U21" s="26" t="n">
        <f aca="false">MROUND(R21*'Fuel &amp; Inputs'!$C$19*'Fuel &amp; Inputs'!$C$21,100)</f>
        <v>7000</v>
      </c>
      <c r="V21" s="26" t="n">
        <f aca="false">MROUND(S21*'Fuel &amp; Inputs'!$C$19*'Fuel &amp; Inputs'!$C$21,100)</f>
        <v>10100</v>
      </c>
      <c r="W21" s="26" t="n">
        <f aca="false">MROUND(T21*'Fuel &amp; Inputs'!$C$19*'Fuel &amp; Inputs'!$C$21,100)</f>
        <v>14500</v>
      </c>
      <c r="X21" s="26" t="n">
        <f aca="false">MROUND(R21*'Fuel &amp; Inputs'!$C$20*'Fuel &amp; Inputs'!$C$22,500)</f>
        <v>187500</v>
      </c>
      <c r="Y21" s="26" t="n">
        <f aca="false">MROUND(S21*'Fuel &amp; Inputs'!$C$20*'Fuel &amp; Inputs'!$C$22,500)</f>
        <v>270500</v>
      </c>
      <c r="Z21" s="26" t="n">
        <f aca="false">MROUND(T21*'Fuel &amp; Inputs'!$C$20*'Fuel &amp; Inputs'!$C$22,500)</f>
        <v>389500</v>
      </c>
    </row>
    <row r="22" customFormat="false" ht="15" hidden="false" customHeight="false" outlineLevel="0" collapsed="false">
      <c r="A22" s="17" t="n">
        <v>17</v>
      </c>
      <c r="B22" s="32" t="s">
        <v>68</v>
      </c>
      <c r="C22" s="32" t="s">
        <v>160</v>
      </c>
      <c r="D22" s="32" t="s">
        <v>183</v>
      </c>
      <c r="E22" s="17" t="s">
        <v>162</v>
      </c>
      <c r="F22" s="17" t="s">
        <v>196</v>
      </c>
      <c r="G22" s="17" t="s">
        <v>197</v>
      </c>
      <c r="H22" s="17" t="s">
        <v>153</v>
      </c>
      <c r="I22" s="17" t="s">
        <v>154</v>
      </c>
      <c r="J22" s="19" t="n">
        <v>5</v>
      </c>
      <c r="K22" s="19" t="n">
        <v>7</v>
      </c>
      <c r="L22" s="19" t="n">
        <v>9.5</v>
      </c>
      <c r="M22" s="33" t="n">
        <v>1.042</v>
      </c>
      <c r="N22" s="20" t="n">
        <f aca="false">IF(J22=0,0,IF($I22="L/km",MROUND(J22*$M22*IF($H22="Petrol",'Fuel &amp; Inputs'!$C$5,'Fuel &amp; Inputs'!$C$4),1),MROUND(J22*$M22*IF($H22="Petrol",'Fuel &amp; Inputs'!$C$5,'Fuel &amp; Inputs'!$C$4),10)))</f>
        <v>1990</v>
      </c>
      <c r="O22" s="20" t="n">
        <f aca="false">IF(K22=0,0,IF($I22="L/km",MROUND(K22*$M22*IF($H22="Petrol",'Fuel &amp; Inputs'!$C$5,'Fuel &amp; Inputs'!$C$4),1),MROUND(K22*$M22*IF($H22="Petrol",'Fuel &amp; Inputs'!$C$5,'Fuel &amp; Inputs'!$C$4),10)))</f>
        <v>2790</v>
      </c>
      <c r="P22" s="20" t="n">
        <f aca="false">IF(L22=0,0,IF($I22="L/km",MROUND(L22*$M22*IF($H22="Petrol",'Fuel &amp; Inputs'!$C$5,'Fuel &amp; Inputs'!$C$4),1),MROUND(L22*$M22*IF($H22="Petrol",'Fuel &amp; Inputs'!$C$5,'Fuel &amp; Inputs'!$C$4),10)))</f>
        <v>3780</v>
      </c>
      <c r="Q22" s="17" t="s">
        <v>155</v>
      </c>
      <c r="R22" s="21" t="n">
        <v>1840</v>
      </c>
      <c r="S22" s="20" t="n">
        <f aca="false">MROUND(R22+'Fuel &amp; Inputs'!$C$13,50)</f>
        <v>2650</v>
      </c>
      <c r="T22" s="21" t="n">
        <v>3820</v>
      </c>
      <c r="U22" s="20" t="n">
        <f aca="false">MROUND(R22*'Fuel &amp; Inputs'!$C$19*'Fuel &amp; Inputs'!$C$21,100)</f>
        <v>7000</v>
      </c>
      <c r="V22" s="20" t="n">
        <f aca="false">MROUND(S22*'Fuel &amp; Inputs'!$C$19*'Fuel &amp; Inputs'!$C$21,100)</f>
        <v>10100</v>
      </c>
      <c r="W22" s="20" t="n">
        <f aca="false">MROUND(T22*'Fuel &amp; Inputs'!$C$19*'Fuel &amp; Inputs'!$C$21,100)</f>
        <v>14500</v>
      </c>
      <c r="X22" s="20" t="n">
        <f aca="false">MROUND(R22*'Fuel &amp; Inputs'!$C$20*'Fuel &amp; Inputs'!$C$22,500)</f>
        <v>187500</v>
      </c>
      <c r="Y22" s="20" t="n">
        <f aca="false">MROUND(S22*'Fuel &amp; Inputs'!$C$20*'Fuel &amp; Inputs'!$C$22,500)</f>
        <v>270500</v>
      </c>
      <c r="Z22" s="20" t="n">
        <f aca="false">MROUND(T22*'Fuel &amp; Inputs'!$C$20*'Fuel &amp; Inputs'!$C$22,500)</f>
        <v>389500</v>
      </c>
    </row>
    <row r="23" customFormat="false" ht="15" hidden="false" customHeight="false" outlineLevel="0" collapsed="false">
      <c r="A23" s="23" t="n">
        <v>18</v>
      </c>
      <c r="B23" s="34" t="s">
        <v>68</v>
      </c>
      <c r="C23" s="34" t="s">
        <v>165</v>
      </c>
      <c r="D23" s="34" t="s">
        <v>161</v>
      </c>
      <c r="E23" s="23" t="s">
        <v>166</v>
      </c>
      <c r="F23" s="23" t="s">
        <v>198</v>
      </c>
      <c r="G23" s="23" t="s">
        <v>199</v>
      </c>
      <c r="H23" s="23" t="s">
        <v>153</v>
      </c>
      <c r="I23" s="23" t="s">
        <v>154</v>
      </c>
      <c r="J23" s="25" t="n">
        <v>5</v>
      </c>
      <c r="K23" s="25" t="n">
        <v>7</v>
      </c>
      <c r="L23" s="25" t="n">
        <v>9.5</v>
      </c>
      <c r="M23" s="35" t="n">
        <v>1.098</v>
      </c>
      <c r="N23" s="26" t="n">
        <f aca="false">IF(J23=0,0,IF($I23="L/km",MROUND(J23*$M23*IF($H23="Petrol",'Fuel &amp; Inputs'!$C$5,'Fuel &amp; Inputs'!$C$4),1),MROUND(J23*$M23*IF($H23="Petrol",'Fuel &amp; Inputs'!$C$5,'Fuel &amp; Inputs'!$C$4),10)))</f>
        <v>2100</v>
      </c>
      <c r="O23" s="26" t="n">
        <f aca="false">IF(K23=0,0,IF($I23="L/km",MROUND(K23*$M23*IF($H23="Petrol",'Fuel &amp; Inputs'!$C$5,'Fuel &amp; Inputs'!$C$4),1),MROUND(K23*$M23*IF($H23="Petrol",'Fuel &amp; Inputs'!$C$5,'Fuel &amp; Inputs'!$C$4),10)))</f>
        <v>2940</v>
      </c>
      <c r="P23" s="26" t="n">
        <f aca="false">IF(L23=0,0,IF($I23="L/km",MROUND(L23*$M23*IF($H23="Petrol",'Fuel &amp; Inputs'!$C$5,'Fuel &amp; Inputs'!$C$4),1),MROUND(L23*$M23*IF($H23="Petrol",'Fuel &amp; Inputs'!$C$5,'Fuel &amp; Inputs'!$C$4),10)))</f>
        <v>3980</v>
      </c>
      <c r="Q23" s="23" t="s">
        <v>155</v>
      </c>
      <c r="R23" s="27" t="n">
        <v>1640</v>
      </c>
      <c r="S23" s="26" t="n">
        <f aca="false">MROUND(R23+'Fuel &amp; Inputs'!$C$13,50)</f>
        <v>2450</v>
      </c>
      <c r="T23" s="27" t="n">
        <v>3400</v>
      </c>
      <c r="U23" s="26" t="n">
        <f aca="false">MROUND(R23*'Fuel &amp; Inputs'!$C$19*'Fuel &amp; Inputs'!$C$21,100)</f>
        <v>6200</v>
      </c>
      <c r="V23" s="26" t="n">
        <f aca="false">MROUND(S23*'Fuel &amp; Inputs'!$C$19*'Fuel &amp; Inputs'!$C$21,100)</f>
        <v>9300</v>
      </c>
      <c r="W23" s="26" t="n">
        <f aca="false">MROUND(T23*'Fuel &amp; Inputs'!$C$19*'Fuel &amp; Inputs'!$C$21,100)</f>
        <v>12900</v>
      </c>
      <c r="X23" s="26" t="n">
        <f aca="false">MROUND(R23*'Fuel &amp; Inputs'!$C$20*'Fuel &amp; Inputs'!$C$22,500)</f>
        <v>167500</v>
      </c>
      <c r="Y23" s="26" t="n">
        <f aca="false">MROUND(S23*'Fuel &amp; Inputs'!$C$20*'Fuel &amp; Inputs'!$C$22,500)</f>
        <v>250000</v>
      </c>
      <c r="Z23" s="26" t="n">
        <f aca="false">MROUND(T23*'Fuel &amp; Inputs'!$C$20*'Fuel &amp; Inputs'!$C$22,500)</f>
        <v>347000</v>
      </c>
    </row>
    <row r="24" customFormat="false" ht="15" hidden="false" customHeight="false" outlineLevel="0" collapsed="false">
      <c r="A24" s="17" t="n">
        <v>19</v>
      </c>
      <c r="B24" s="32" t="s">
        <v>68</v>
      </c>
      <c r="C24" s="32" t="s">
        <v>160</v>
      </c>
      <c r="D24" s="32" t="s">
        <v>161</v>
      </c>
      <c r="E24" s="17" t="s">
        <v>162</v>
      </c>
      <c r="F24" s="17" t="s">
        <v>200</v>
      </c>
      <c r="G24" s="17" t="s">
        <v>201</v>
      </c>
      <c r="H24" s="17" t="s">
        <v>153</v>
      </c>
      <c r="I24" s="17" t="s">
        <v>154</v>
      </c>
      <c r="J24" s="19" t="n">
        <v>5</v>
      </c>
      <c r="K24" s="19" t="n">
        <v>7</v>
      </c>
      <c r="L24" s="19" t="n">
        <v>9.5</v>
      </c>
      <c r="M24" s="33" t="n">
        <v>1.042</v>
      </c>
      <c r="N24" s="20" t="n">
        <f aca="false">IF(J24=0,0,IF($I24="L/km",MROUND(J24*$M24*IF($H24="Petrol",'Fuel &amp; Inputs'!$C$5,'Fuel &amp; Inputs'!$C$4),1),MROUND(J24*$M24*IF($H24="Petrol",'Fuel &amp; Inputs'!$C$5,'Fuel &amp; Inputs'!$C$4),10)))</f>
        <v>1990</v>
      </c>
      <c r="O24" s="20" t="n">
        <f aca="false">IF(K24=0,0,IF($I24="L/km",MROUND(K24*$M24*IF($H24="Petrol",'Fuel &amp; Inputs'!$C$5,'Fuel &amp; Inputs'!$C$4),1),MROUND(K24*$M24*IF($H24="Petrol",'Fuel &amp; Inputs'!$C$5,'Fuel &amp; Inputs'!$C$4),10)))</f>
        <v>2790</v>
      </c>
      <c r="P24" s="20" t="n">
        <f aca="false">IF(L24=0,0,IF($I24="L/km",MROUND(L24*$M24*IF($H24="Petrol",'Fuel &amp; Inputs'!$C$5,'Fuel &amp; Inputs'!$C$4),1),MROUND(L24*$M24*IF($H24="Petrol",'Fuel &amp; Inputs'!$C$5,'Fuel &amp; Inputs'!$C$4),10)))</f>
        <v>3780</v>
      </c>
      <c r="Q24" s="17" t="s">
        <v>155</v>
      </c>
      <c r="R24" s="21" t="n">
        <v>1640</v>
      </c>
      <c r="S24" s="20" t="n">
        <f aca="false">MROUND(R24+'Fuel &amp; Inputs'!$C$13,50)</f>
        <v>2450</v>
      </c>
      <c r="T24" s="21" t="n">
        <v>3400</v>
      </c>
      <c r="U24" s="20" t="n">
        <f aca="false">MROUND(R24*'Fuel &amp; Inputs'!$C$19*'Fuel &amp; Inputs'!$C$21,100)</f>
        <v>6200</v>
      </c>
      <c r="V24" s="20" t="n">
        <f aca="false">MROUND(S24*'Fuel &amp; Inputs'!$C$19*'Fuel &amp; Inputs'!$C$21,100)</f>
        <v>9300</v>
      </c>
      <c r="W24" s="20" t="n">
        <f aca="false">MROUND(T24*'Fuel &amp; Inputs'!$C$19*'Fuel &amp; Inputs'!$C$21,100)</f>
        <v>12900</v>
      </c>
      <c r="X24" s="20" t="n">
        <f aca="false">MROUND(R24*'Fuel &amp; Inputs'!$C$20*'Fuel &amp; Inputs'!$C$22,500)</f>
        <v>167500</v>
      </c>
      <c r="Y24" s="20" t="n">
        <f aca="false">MROUND(S24*'Fuel &amp; Inputs'!$C$20*'Fuel &amp; Inputs'!$C$22,500)</f>
        <v>250000</v>
      </c>
      <c r="Z24" s="20" t="n">
        <f aca="false">MROUND(T24*'Fuel &amp; Inputs'!$C$20*'Fuel &amp; Inputs'!$C$22,500)</f>
        <v>347000</v>
      </c>
    </row>
    <row r="25" customFormat="false" ht="15" hidden="false" customHeight="false" outlineLevel="0" collapsed="false">
      <c r="A25" s="23" t="n">
        <v>20</v>
      </c>
      <c r="B25" s="34" t="s">
        <v>68</v>
      </c>
      <c r="C25" s="34" t="s">
        <v>160</v>
      </c>
      <c r="D25" s="34" t="s">
        <v>161</v>
      </c>
      <c r="E25" s="23" t="s">
        <v>162</v>
      </c>
      <c r="F25" s="23" t="s">
        <v>202</v>
      </c>
      <c r="G25" s="23" t="s">
        <v>203</v>
      </c>
      <c r="H25" s="23" t="s">
        <v>153</v>
      </c>
      <c r="I25" s="23" t="s">
        <v>154</v>
      </c>
      <c r="J25" s="25" t="n">
        <v>5</v>
      </c>
      <c r="K25" s="25" t="n">
        <v>7</v>
      </c>
      <c r="L25" s="25" t="n">
        <v>9.5</v>
      </c>
      <c r="M25" s="35" t="n">
        <v>1.042</v>
      </c>
      <c r="N25" s="26" t="n">
        <f aca="false">IF(J25=0,0,IF($I25="L/km",MROUND(J25*$M25*IF($H25="Petrol",'Fuel &amp; Inputs'!$C$5,'Fuel &amp; Inputs'!$C$4),1),MROUND(J25*$M25*IF($H25="Petrol",'Fuel &amp; Inputs'!$C$5,'Fuel &amp; Inputs'!$C$4),10)))</f>
        <v>1990</v>
      </c>
      <c r="O25" s="26" t="n">
        <f aca="false">IF(K25=0,0,IF($I25="L/km",MROUND(K25*$M25*IF($H25="Petrol",'Fuel &amp; Inputs'!$C$5,'Fuel &amp; Inputs'!$C$4),1),MROUND(K25*$M25*IF($H25="Petrol",'Fuel &amp; Inputs'!$C$5,'Fuel &amp; Inputs'!$C$4),10)))</f>
        <v>2790</v>
      </c>
      <c r="P25" s="26" t="n">
        <f aca="false">IF(L25=0,0,IF($I25="L/km",MROUND(L25*$M25*IF($H25="Petrol",'Fuel &amp; Inputs'!$C$5,'Fuel &amp; Inputs'!$C$4),1),MROUND(L25*$M25*IF($H25="Petrol",'Fuel &amp; Inputs'!$C$5,'Fuel &amp; Inputs'!$C$4),10)))</f>
        <v>3780</v>
      </c>
      <c r="Q25" s="23" t="s">
        <v>155</v>
      </c>
      <c r="R25" s="27" t="n">
        <v>1640</v>
      </c>
      <c r="S25" s="26" t="n">
        <f aca="false">MROUND(R25+'Fuel &amp; Inputs'!$C$13,50)</f>
        <v>2450</v>
      </c>
      <c r="T25" s="27" t="n">
        <v>3400</v>
      </c>
      <c r="U25" s="26" t="n">
        <f aca="false">MROUND(R25*'Fuel &amp; Inputs'!$C$19*'Fuel &amp; Inputs'!$C$21,100)</f>
        <v>6200</v>
      </c>
      <c r="V25" s="26" t="n">
        <f aca="false">MROUND(S25*'Fuel &amp; Inputs'!$C$19*'Fuel &amp; Inputs'!$C$21,100)</f>
        <v>9300</v>
      </c>
      <c r="W25" s="26" t="n">
        <f aca="false">MROUND(T25*'Fuel &amp; Inputs'!$C$19*'Fuel &amp; Inputs'!$C$21,100)</f>
        <v>12900</v>
      </c>
      <c r="X25" s="26" t="n">
        <f aca="false">MROUND(R25*'Fuel &amp; Inputs'!$C$20*'Fuel &amp; Inputs'!$C$22,500)</f>
        <v>167500</v>
      </c>
      <c r="Y25" s="26" t="n">
        <f aca="false">MROUND(S25*'Fuel &amp; Inputs'!$C$20*'Fuel &amp; Inputs'!$C$22,500)</f>
        <v>250000</v>
      </c>
      <c r="Z25" s="26" t="n">
        <f aca="false">MROUND(T25*'Fuel &amp; Inputs'!$C$20*'Fuel &amp; Inputs'!$C$22,500)</f>
        <v>347000</v>
      </c>
    </row>
    <row r="26" customFormat="false" ht="15" hidden="false" customHeight="false" outlineLevel="0" collapsed="false">
      <c r="A26" s="17" t="n">
        <v>21</v>
      </c>
      <c r="B26" s="32" t="s">
        <v>68</v>
      </c>
      <c r="C26" s="32" t="s">
        <v>165</v>
      </c>
      <c r="D26" s="32" t="s">
        <v>161</v>
      </c>
      <c r="E26" s="17" t="s">
        <v>204</v>
      </c>
      <c r="F26" s="17" t="s">
        <v>205</v>
      </c>
      <c r="G26" s="17" t="s">
        <v>206</v>
      </c>
      <c r="H26" s="17" t="s">
        <v>153</v>
      </c>
      <c r="I26" s="17" t="s">
        <v>154</v>
      </c>
      <c r="J26" s="19" t="n">
        <v>5</v>
      </c>
      <c r="K26" s="19" t="n">
        <v>7</v>
      </c>
      <c r="L26" s="19" t="n">
        <v>9.5</v>
      </c>
      <c r="M26" s="33" t="n">
        <v>1.14</v>
      </c>
      <c r="N26" s="20" t="n">
        <f aca="false">IF(J26=0,0,IF($I26="L/km",MROUND(J26*$M26*IF($H26="Petrol",'Fuel &amp; Inputs'!$C$5,'Fuel &amp; Inputs'!$C$4),1),MROUND(J26*$M26*IF($H26="Petrol",'Fuel &amp; Inputs'!$C$5,'Fuel &amp; Inputs'!$C$4),10)))</f>
        <v>2180</v>
      </c>
      <c r="O26" s="20" t="n">
        <f aca="false">IF(K26=0,0,IF($I26="L/km",MROUND(K26*$M26*IF($H26="Petrol",'Fuel &amp; Inputs'!$C$5,'Fuel &amp; Inputs'!$C$4),1),MROUND(K26*$M26*IF($H26="Petrol",'Fuel &amp; Inputs'!$C$5,'Fuel &amp; Inputs'!$C$4),10)))</f>
        <v>3050</v>
      </c>
      <c r="P26" s="20" t="n">
        <f aca="false">IF(L26=0,0,IF($I26="L/km",MROUND(L26*$M26*IF($H26="Petrol",'Fuel &amp; Inputs'!$C$5,'Fuel &amp; Inputs'!$C$4),1),MROUND(L26*$M26*IF($H26="Petrol",'Fuel &amp; Inputs'!$C$5,'Fuel &amp; Inputs'!$C$4),10)))</f>
        <v>4140</v>
      </c>
      <c r="Q26" s="17" t="s">
        <v>155</v>
      </c>
      <c r="R26" s="21" t="n">
        <v>1440</v>
      </c>
      <c r="S26" s="20" t="n">
        <f aca="false">MROUND(R26+'Fuel &amp; Inputs'!$C$13,50)</f>
        <v>2250</v>
      </c>
      <c r="T26" s="21" t="n">
        <v>2990</v>
      </c>
      <c r="U26" s="20" t="n">
        <f aca="false">MROUND(R26*'Fuel &amp; Inputs'!$C$19*'Fuel &amp; Inputs'!$C$21,100)</f>
        <v>5500</v>
      </c>
      <c r="V26" s="20" t="n">
        <f aca="false">MROUND(S26*'Fuel &amp; Inputs'!$C$19*'Fuel &amp; Inputs'!$C$21,100)</f>
        <v>8600</v>
      </c>
      <c r="W26" s="20" t="n">
        <f aca="false">MROUND(T26*'Fuel &amp; Inputs'!$C$19*'Fuel &amp; Inputs'!$C$21,100)</f>
        <v>11400</v>
      </c>
      <c r="X26" s="20" t="n">
        <f aca="false">MROUND(R26*'Fuel &amp; Inputs'!$C$20*'Fuel &amp; Inputs'!$C$22,500)</f>
        <v>147000</v>
      </c>
      <c r="Y26" s="20" t="n">
        <f aca="false">MROUND(S26*'Fuel &amp; Inputs'!$C$20*'Fuel &amp; Inputs'!$C$22,500)</f>
        <v>229500</v>
      </c>
      <c r="Z26" s="20" t="n">
        <f aca="false">MROUND(T26*'Fuel &amp; Inputs'!$C$20*'Fuel &amp; Inputs'!$C$22,500)</f>
        <v>305000</v>
      </c>
    </row>
    <row r="27" customFormat="false" ht="15" hidden="false" customHeight="false" outlineLevel="0" collapsed="false">
      <c r="A27" s="23" t="n">
        <v>22</v>
      </c>
      <c r="B27" s="34" t="s">
        <v>68</v>
      </c>
      <c r="C27" s="34" t="s">
        <v>165</v>
      </c>
      <c r="D27" s="34" t="s">
        <v>207</v>
      </c>
      <c r="E27" s="23" t="s">
        <v>208</v>
      </c>
      <c r="F27" s="23" t="s">
        <v>209</v>
      </c>
      <c r="G27" s="23" t="s">
        <v>210</v>
      </c>
      <c r="H27" s="23" t="s">
        <v>153</v>
      </c>
      <c r="I27" s="23" t="s">
        <v>154</v>
      </c>
      <c r="J27" s="25" t="n">
        <v>5</v>
      </c>
      <c r="K27" s="25" t="n">
        <v>7</v>
      </c>
      <c r="L27" s="25" t="n">
        <v>9.5</v>
      </c>
      <c r="M27" s="35" t="n">
        <v>1.154</v>
      </c>
      <c r="N27" s="26" t="n">
        <f aca="false">IF(J27=0,0,IF($I27="L/km",MROUND(J27*$M27*IF($H27="Petrol",'Fuel &amp; Inputs'!$C$5,'Fuel &amp; Inputs'!$C$4),1),MROUND(J27*$M27*IF($H27="Petrol",'Fuel &amp; Inputs'!$C$5,'Fuel &amp; Inputs'!$C$4),10)))</f>
        <v>2200</v>
      </c>
      <c r="O27" s="26" t="n">
        <f aca="false">IF(K27=0,0,IF($I27="L/km",MROUND(K27*$M27*IF($H27="Petrol",'Fuel &amp; Inputs'!$C$5,'Fuel &amp; Inputs'!$C$4),1),MROUND(K27*$M27*IF($H27="Petrol",'Fuel &amp; Inputs'!$C$5,'Fuel &amp; Inputs'!$C$4),10)))</f>
        <v>3090</v>
      </c>
      <c r="P27" s="26" t="n">
        <f aca="false">IF(L27=0,0,IF($I27="L/km",MROUND(L27*$M27*IF($H27="Petrol",'Fuel &amp; Inputs'!$C$5,'Fuel &amp; Inputs'!$C$4),1),MROUND(L27*$M27*IF($H27="Petrol",'Fuel &amp; Inputs'!$C$5,'Fuel &amp; Inputs'!$C$4),10)))</f>
        <v>4190</v>
      </c>
      <c r="Q27" s="23" t="s">
        <v>155</v>
      </c>
      <c r="R27" s="27" t="n">
        <v>1300</v>
      </c>
      <c r="S27" s="26" t="n">
        <f aca="false">MROUND(R27+'Fuel &amp; Inputs'!$C$13,50)</f>
        <v>2100</v>
      </c>
      <c r="T27" s="27" t="n">
        <v>2700</v>
      </c>
      <c r="U27" s="26" t="n">
        <f aca="false">MROUND(R27*'Fuel &amp; Inputs'!$C$19*'Fuel &amp; Inputs'!$C$21,100)</f>
        <v>4900</v>
      </c>
      <c r="V27" s="26" t="n">
        <f aca="false">MROUND(S27*'Fuel &amp; Inputs'!$C$19*'Fuel &amp; Inputs'!$C$21,100)</f>
        <v>8000</v>
      </c>
      <c r="W27" s="26" t="n">
        <f aca="false">MROUND(T27*'Fuel &amp; Inputs'!$C$19*'Fuel &amp; Inputs'!$C$21,100)</f>
        <v>10300</v>
      </c>
      <c r="X27" s="26" t="n">
        <f aca="false">MROUND(R27*'Fuel &amp; Inputs'!$C$20*'Fuel &amp; Inputs'!$C$22,500)</f>
        <v>132500</v>
      </c>
      <c r="Y27" s="26" t="n">
        <f aca="false">MROUND(S27*'Fuel &amp; Inputs'!$C$20*'Fuel &amp; Inputs'!$C$22,500)</f>
        <v>214000</v>
      </c>
      <c r="Z27" s="26" t="n">
        <f aca="false">MROUND(T27*'Fuel &amp; Inputs'!$C$20*'Fuel &amp; Inputs'!$C$22,500)</f>
        <v>275500</v>
      </c>
    </row>
    <row r="28" customFormat="false" ht="15" hidden="false" customHeight="false" outlineLevel="0" collapsed="false">
      <c r="A28" s="17" t="n">
        <v>23</v>
      </c>
      <c r="B28" s="32" t="s">
        <v>68</v>
      </c>
      <c r="C28" s="32" t="s">
        <v>165</v>
      </c>
      <c r="D28" s="32" t="s">
        <v>211</v>
      </c>
      <c r="E28" s="17" t="s">
        <v>212</v>
      </c>
      <c r="F28" s="17" t="s">
        <v>213</v>
      </c>
      <c r="G28" s="17" t="s">
        <v>214</v>
      </c>
      <c r="H28" s="17" t="s">
        <v>153</v>
      </c>
      <c r="I28" s="17" t="s">
        <v>154</v>
      </c>
      <c r="J28" s="19" t="n">
        <v>5</v>
      </c>
      <c r="K28" s="19" t="n">
        <v>7</v>
      </c>
      <c r="L28" s="19" t="n">
        <v>9.5</v>
      </c>
      <c r="M28" s="33" t="n">
        <v>1.168</v>
      </c>
      <c r="N28" s="20" t="n">
        <f aca="false">IF(J28=0,0,IF($I28="L/km",MROUND(J28*$M28*IF($H28="Petrol",'Fuel &amp; Inputs'!$C$5,'Fuel &amp; Inputs'!$C$4),1),MROUND(J28*$M28*IF($H28="Petrol",'Fuel &amp; Inputs'!$C$5,'Fuel &amp; Inputs'!$C$4),10)))</f>
        <v>2230</v>
      </c>
      <c r="O28" s="20" t="n">
        <f aca="false">IF(K28=0,0,IF($I28="L/km",MROUND(K28*$M28*IF($H28="Petrol",'Fuel &amp; Inputs'!$C$5,'Fuel &amp; Inputs'!$C$4),1),MROUND(K28*$M28*IF($H28="Petrol",'Fuel &amp; Inputs'!$C$5,'Fuel &amp; Inputs'!$C$4),10)))</f>
        <v>3120</v>
      </c>
      <c r="P28" s="20" t="n">
        <f aca="false">IF(L28=0,0,IF($I28="L/km",MROUND(L28*$M28*IF($H28="Petrol",'Fuel &amp; Inputs'!$C$5,'Fuel &amp; Inputs'!$C$4),1),MROUND(L28*$M28*IF($H28="Petrol",'Fuel &amp; Inputs'!$C$5,'Fuel &amp; Inputs'!$C$4),10)))</f>
        <v>4240</v>
      </c>
      <c r="Q28" s="17" t="s">
        <v>155</v>
      </c>
      <c r="R28" s="21" t="n">
        <v>1300</v>
      </c>
      <c r="S28" s="20" t="n">
        <f aca="false">MROUND(R28+'Fuel &amp; Inputs'!$C$13,50)</f>
        <v>2100</v>
      </c>
      <c r="T28" s="21" t="n">
        <v>2700</v>
      </c>
      <c r="U28" s="20" t="n">
        <f aca="false">MROUND(R28*'Fuel &amp; Inputs'!$C$19*'Fuel &amp; Inputs'!$C$21,100)</f>
        <v>4900</v>
      </c>
      <c r="V28" s="20" t="n">
        <f aca="false">MROUND(S28*'Fuel &amp; Inputs'!$C$19*'Fuel &amp; Inputs'!$C$21,100)</f>
        <v>8000</v>
      </c>
      <c r="W28" s="20" t="n">
        <f aca="false">MROUND(T28*'Fuel &amp; Inputs'!$C$19*'Fuel &amp; Inputs'!$C$21,100)</f>
        <v>10300</v>
      </c>
      <c r="X28" s="20" t="n">
        <f aca="false">MROUND(R28*'Fuel &amp; Inputs'!$C$20*'Fuel &amp; Inputs'!$C$22,500)</f>
        <v>132500</v>
      </c>
      <c r="Y28" s="20" t="n">
        <f aca="false">MROUND(S28*'Fuel &amp; Inputs'!$C$20*'Fuel &amp; Inputs'!$C$22,500)</f>
        <v>214000</v>
      </c>
      <c r="Z28" s="20" t="n">
        <f aca="false">MROUND(T28*'Fuel &amp; Inputs'!$C$20*'Fuel &amp; Inputs'!$C$22,500)</f>
        <v>275500</v>
      </c>
    </row>
    <row r="29" customFormat="false" ht="15" hidden="false" customHeight="false" outlineLevel="0" collapsed="false">
      <c r="A29" s="23" t="n">
        <v>24</v>
      </c>
      <c r="B29" s="34" t="s">
        <v>68</v>
      </c>
      <c r="C29" s="34" t="s">
        <v>165</v>
      </c>
      <c r="D29" s="34" t="s">
        <v>215</v>
      </c>
      <c r="E29" s="23" t="s">
        <v>216</v>
      </c>
      <c r="F29" s="23" t="s">
        <v>217</v>
      </c>
      <c r="G29" s="23" t="s">
        <v>218</v>
      </c>
      <c r="H29" s="23" t="s">
        <v>153</v>
      </c>
      <c r="I29" s="23" t="s">
        <v>154</v>
      </c>
      <c r="J29" s="25" t="n">
        <v>5</v>
      </c>
      <c r="K29" s="25" t="n">
        <v>7</v>
      </c>
      <c r="L29" s="25" t="n">
        <v>9.5</v>
      </c>
      <c r="M29" s="35" t="n">
        <v>1.175</v>
      </c>
      <c r="N29" s="26" t="n">
        <f aca="false">IF(J29=0,0,IF($I29="L/km",MROUND(J29*$M29*IF($H29="Petrol",'Fuel &amp; Inputs'!$C$5,'Fuel &amp; Inputs'!$C$4),1),MROUND(J29*$M29*IF($H29="Petrol",'Fuel &amp; Inputs'!$C$5,'Fuel &amp; Inputs'!$C$4),10)))</f>
        <v>2240</v>
      </c>
      <c r="O29" s="26" t="n">
        <f aca="false">IF(K29=0,0,IF($I29="L/km",MROUND(K29*$M29*IF($H29="Petrol",'Fuel &amp; Inputs'!$C$5,'Fuel &amp; Inputs'!$C$4),1),MROUND(K29*$M29*IF($H29="Petrol",'Fuel &amp; Inputs'!$C$5,'Fuel &amp; Inputs'!$C$4),10)))</f>
        <v>3140</v>
      </c>
      <c r="P29" s="26" t="n">
        <f aca="false">IF(L29=0,0,IF($I29="L/km",MROUND(L29*$M29*IF($H29="Petrol",'Fuel &amp; Inputs'!$C$5,'Fuel &amp; Inputs'!$C$4),1),MROUND(L29*$M29*IF($H29="Petrol",'Fuel &amp; Inputs'!$C$5,'Fuel &amp; Inputs'!$C$4),10)))</f>
        <v>4260</v>
      </c>
      <c r="Q29" s="23" t="s">
        <v>155</v>
      </c>
      <c r="R29" s="27" t="n">
        <v>1160</v>
      </c>
      <c r="S29" s="26" t="n">
        <f aca="false">MROUND(R29+'Fuel &amp; Inputs'!$C$13,50)</f>
        <v>1950</v>
      </c>
      <c r="T29" s="27" t="n">
        <v>2410</v>
      </c>
      <c r="U29" s="26" t="n">
        <f aca="false">MROUND(R29*'Fuel &amp; Inputs'!$C$19*'Fuel &amp; Inputs'!$C$21,100)</f>
        <v>4400</v>
      </c>
      <c r="V29" s="26" t="n">
        <f aca="false">MROUND(S29*'Fuel &amp; Inputs'!$C$19*'Fuel &amp; Inputs'!$C$21,100)</f>
        <v>7400</v>
      </c>
      <c r="W29" s="26" t="n">
        <f aca="false">MROUND(T29*'Fuel &amp; Inputs'!$C$19*'Fuel &amp; Inputs'!$C$21,100)</f>
        <v>9200</v>
      </c>
      <c r="X29" s="26" t="n">
        <f aca="false">MROUND(R29*'Fuel &amp; Inputs'!$C$20*'Fuel &amp; Inputs'!$C$22,500)</f>
        <v>118500</v>
      </c>
      <c r="Y29" s="26" t="n">
        <f aca="false">MROUND(S29*'Fuel &amp; Inputs'!$C$20*'Fuel &amp; Inputs'!$C$22,500)</f>
        <v>199000</v>
      </c>
      <c r="Z29" s="26" t="n">
        <f aca="false">MROUND(T29*'Fuel &amp; Inputs'!$C$20*'Fuel &amp; Inputs'!$C$22,500)</f>
        <v>246000</v>
      </c>
    </row>
    <row r="30" customFormat="false" ht="15" hidden="false" customHeight="true" outlineLevel="0" collapsed="false">
      <c r="A30" s="31" t="s">
        <v>219</v>
      </c>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customFormat="false" ht="15" hidden="false" customHeight="false" outlineLevel="0" collapsed="false">
      <c r="A31" s="17" t="n">
        <v>25</v>
      </c>
      <c r="B31" s="32" t="s">
        <v>70</v>
      </c>
      <c r="C31" s="32" t="s">
        <v>220</v>
      </c>
      <c r="D31" s="32" t="s">
        <v>221</v>
      </c>
      <c r="E31" s="17" t="s">
        <v>162</v>
      </c>
      <c r="F31" s="17" t="s">
        <v>222</v>
      </c>
      <c r="G31" s="17" t="s">
        <v>223</v>
      </c>
      <c r="H31" s="17" t="s">
        <v>153</v>
      </c>
      <c r="I31" s="17" t="s">
        <v>154</v>
      </c>
      <c r="J31" s="19" t="n">
        <v>10.8</v>
      </c>
      <c r="K31" s="19" t="n">
        <v>15</v>
      </c>
      <c r="L31" s="19" t="n">
        <v>20.3</v>
      </c>
      <c r="M31" s="33" t="n">
        <v>1.042</v>
      </c>
      <c r="N31" s="20" t="n">
        <f aca="false">IF(J31=0,0,IF($I31="L/km",MROUND(J31*$M31*IF($H31="Petrol",'Fuel &amp; Inputs'!$C$5,'Fuel &amp; Inputs'!$C$4),1),MROUND(J31*$M31*IF($H31="Petrol",'Fuel &amp; Inputs'!$C$5,'Fuel &amp; Inputs'!$C$4),10)))</f>
        <v>4300</v>
      </c>
      <c r="O31" s="20" t="n">
        <f aca="false">IF(K31=0,0,IF($I31="L/km",MROUND(K31*$M31*IF($H31="Petrol",'Fuel &amp; Inputs'!$C$5,'Fuel &amp; Inputs'!$C$4),1),MROUND(K31*$M31*IF($H31="Petrol",'Fuel &amp; Inputs'!$C$5,'Fuel &amp; Inputs'!$C$4),10)))</f>
        <v>5970</v>
      </c>
      <c r="P31" s="20" t="n">
        <f aca="false">IF(L31=0,0,IF($I31="L/km",MROUND(L31*$M31*IF($H31="Petrol",'Fuel &amp; Inputs'!$C$5,'Fuel &amp; Inputs'!$C$4),1),MROUND(L31*$M31*IF($H31="Petrol",'Fuel &amp; Inputs'!$C$5,'Fuel &amp; Inputs'!$C$4),10)))</f>
        <v>8080</v>
      </c>
      <c r="Q31" s="17" t="s">
        <v>155</v>
      </c>
      <c r="R31" s="21" t="n">
        <v>3800</v>
      </c>
      <c r="S31" s="20" t="n">
        <f aca="false">MROUND(R31+'Fuel &amp; Inputs'!$C$13,50)</f>
        <v>4600</v>
      </c>
      <c r="T31" s="21" t="n">
        <v>8450</v>
      </c>
      <c r="U31" s="20" t="n">
        <f aca="false">MROUND(R31*'Fuel &amp; Inputs'!$C$19*'Fuel &amp; Inputs'!$C$21,100)</f>
        <v>14400</v>
      </c>
      <c r="V31" s="20" t="n">
        <f aca="false">MROUND(S31*'Fuel &amp; Inputs'!$C$19*'Fuel &amp; Inputs'!$C$21,100)</f>
        <v>17500</v>
      </c>
      <c r="W31" s="20" t="n">
        <f aca="false">MROUND(T31*'Fuel &amp; Inputs'!$C$19*'Fuel &amp; Inputs'!$C$21,100)</f>
        <v>32100</v>
      </c>
      <c r="X31" s="20" t="n">
        <f aca="false">MROUND(R31*'Fuel &amp; Inputs'!$C$20*'Fuel &amp; Inputs'!$C$22,500)</f>
        <v>387500</v>
      </c>
      <c r="Y31" s="20" t="n">
        <f aca="false">MROUND(S31*'Fuel &amp; Inputs'!$C$20*'Fuel &amp; Inputs'!$C$22,500)</f>
        <v>469000</v>
      </c>
      <c r="Z31" s="20" t="n">
        <f aca="false">MROUND(T31*'Fuel &amp; Inputs'!$C$20*'Fuel &amp; Inputs'!$C$22,500)</f>
        <v>862000</v>
      </c>
    </row>
    <row r="32" customFormat="false" ht="15" hidden="false" customHeight="false" outlineLevel="0" collapsed="false">
      <c r="A32" s="23" t="n">
        <v>26</v>
      </c>
      <c r="B32" s="34" t="s">
        <v>70</v>
      </c>
      <c r="C32" s="34" t="s">
        <v>224</v>
      </c>
      <c r="D32" s="34" t="s">
        <v>225</v>
      </c>
      <c r="E32" s="23" t="s">
        <v>171</v>
      </c>
      <c r="F32" s="23" t="s">
        <v>226</v>
      </c>
      <c r="G32" s="23" t="s">
        <v>223</v>
      </c>
      <c r="H32" s="23" t="s">
        <v>153</v>
      </c>
      <c r="I32" s="23" t="s">
        <v>154</v>
      </c>
      <c r="J32" s="25" t="n">
        <v>5.8</v>
      </c>
      <c r="K32" s="25" t="n">
        <v>8</v>
      </c>
      <c r="L32" s="25" t="n">
        <v>10.8</v>
      </c>
      <c r="M32" s="35" t="n">
        <v>1.077</v>
      </c>
      <c r="N32" s="26" t="n">
        <f aca="false">IF(J32=0,0,IF($I32="L/km",MROUND(J32*$M32*IF($H32="Petrol",'Fuel &amp; Inputs'!$C$5,'Fuel &amp; Inputs'!$C$4),1),MROUND(J32*$M32*IF($H32="Petrol",'Fuel &amp; Inputs'!$C$5,'Fuel &amp; Inputs'!$C$4),10)))</f>
        <v>2390</v>
      </c>
      <c r="O32" s="26" t="n">
        <f aca="false">IF(K32=0,0,IF($I32="L/km",MROUND(K32*$M32*IF($H32="Petrol",'Fuel &amp; Inputs'!$C$5,'Fuel &amp; Inputs'!$C$4),1),MROUND(K32*$M32*IF($H32="Petrol",'Fuel &amp; Inputs'!$C$5,'Fuel &amp; Inputs'!$C$4),10)))</f>
        <v>3290</v>
      </c>
      <c r="P32" s="26" t="n">
        <f aca="false">IF(L32=0,0,IF($I32="L/km",MROUND(L32*$M32*IF($H32="Petrol",'Fuel &amp; Inputs'!$C$5,'Fuel &amp; Inputs'!$C$4),1),MROUND(L32*$M32*IF($H32="Petrol",'Fuel &amp; Inputs'!$C$5,'Fuel &amp; Inputs'!$C$4),10)))</f>
        <v>4440</v>
      </c>
      <c r="Q32" s="23" t="s">
        <v>155</v>
      </c>
      <c r="R32" s="27" t="n">
        <v>3500</v>
      </c>
      <c r="S32" s="26" t="n">
        <f aca="false">MROUND(R32+'Fuel &amp; Inputs'!$C$13,50)</f>
        <v>4300</v>
      </c>
      <c r="T32" s="27" t="n">
        <v>7770</v>
      </c>
      <c r="U32" s="26" t="n">
        <f aca="false">MROUND(R32*'Fuel &amp; Inputs'!$C$19*'Fuel &amp; Inputs'!$C$21,100)</f>
        <v>13300</v>
      </c>
      <c r="V32" s="26" t="n">
        <f aca="false">MROUND(S32*'Fuel &amp; Inputs'!$C$19*'Fuel &amp; Inputs'!$C$21,100)</f>
        <v>16300</v>
      </c>
      <c r="W32" s="26" t="n">
        <f aca="false">MROUND(T32*'Fuel &amp; Inputs'!$C$19*'Fuel &amp; Inputs'!$C$21,100)</f>
        <v>29500</v>
      </c>
      <c r="X32" s="26" t="n">
        <f aca="false">MROUND(R32*'Fuel &amp; Inputs'!$C$20*'Fuel &amp; Inputs'!$C$22,500)</f>
        <v>357000</v>
      </c>
      <c r="Y32" s="26" t="n">
        <f aca="false">MROUND(S32*'Fuel &amp; Inputs'!$C$20*'Fuel &amp; Inputs'!$C$22,500)</f>
        <v>438500</v>
      </c>
      <c r="Z32" s="26" t="n">
        <f aca="false">MROUND(T32*'Fuel &amp; Inputs'!$C$20*'Fuel &amp; Inputs'!$C$22,500)</f>
        <v>792500</v>
      </c>
    </row>
    <row r="33" customFormat="false" ht="15" hidden="false" customHeight="false" outlineLevel="0" collapsed="false">
      <c r="A33" s="17" t="n">
        <v>27</v>
      </c>
      <c r="B33" s="32" t="s">
        <v>70</v>
      </c>
      <c r="C33" s="32" t="s">
        <v>224</v>
      </c>
      <c r="D33" s="32" t="s">
        <v>227</v>
      </c>
      <c r="E33" s="17" t="s">
        <v>228</v>
      </c>
      <c r="F33" s="17" t="s">
        <v>229</v>
      </c>
      <c r="G33" s="17" t="s">
        <v>223</v>
      </c>
      <c r="H33" s="17" t="s">
        <v>153</v>
      </c>
      <c r="I33" s="17" t="s">
        <v>154</v>
      </c>
      <c r="J33" s="19" t="n">
        <v>8.6</v>
      </c>
      <c r="K33" s="19" t="n">
        <v>12</v>
      </c>
      <c r="L33" s="19" t="n">
        <v>16.2</v>
      </c>
      <c r="M33" s="33" t="n">
        <v>1.084</v>
      </c>
      <c r="N33" s="20" t="n">
        <f aca="false">IF(J33=0,0,IF($I33="L/km",MROUND(J33*$M33*IF($H33="Petrol",'Fuel &amp; Inputs'!$C$5,'Fuel &amp; Inputs'!$C$4),1),MROUND(J33*$M33*IF($H33="Petrol",'Fuel &amp; Inputs'!$C$5,'Fuel &amp; Inputs'!$C$4),10)))</f>
        <v>3560</v>
      </c>
      <c r="O33" s="20" t="n">
        <f aca="false">IF(K33=0,0,IF($I33="L/km",MROUND(K33*$M33*IF($H33="Petrol",'Fuel &amp; Inputs'!$C$5,'Fuel &amp; Inputs'!$C$4),1),MROUND(K33*$M33*IF($H33="Petrol",'Fuel &amp; Inputs'!$C$5,'Fuel &amp; Inputs'!$C$4),10)))</f>
        <v>4970</v>
      </c>
      <c r="P33" s="20" t="n">
        <f aca="false">IF(L33=0,0,IF($I33="L/km",MROUND(L33*$M33*IF($H33="Petrol",'Fuel &amp; Inputs'!$C$5,'Fuel &amp; Inputs'!$C$4),1),MROUND(L33*$M33*IF($H33="Petrol",'Fuel &amp; Inputs'!$C$5,'Fuel &amp; Inputs'!$C$4),10)))</f>
        <v>6710</v>
      </c>
      <c r="Q33" s="17" t="s">
        <v>155</v>
      </c>
      <c r="R33" s="21" t="n">
        <v>3120</v>
      </c>
      <c r="S33" s="20" t="n">
        <f aca="false">MROUND(R33+'Fuel &amp; Inputs'!$C$13,50)</f>
        <v>3900</v>
      </c>
      <c r="T33" s="21" t="n">
        <v>6930</v>
      </c>
      <c r="U33" s="20" t="n">
        <f aca="false">MROUND(R33*'Fuel &amp; Inputs'!$C$19*'Fuel &amp; Inputs'!$C$21,100)</f>
        <v>11900</v>
      </c>
      <c r="V33" s="20" t="n">
        <f aca="false">MROUND(S33*'Fuel &amp; Inputs'!$C$19*'Fuel &amp; Inputs'!$C$21,100)</f>
        <v>14800</v>
      </c>
      <c r="W33" s="20" t="n">
        <f aca="false">MROUND(T33*'Fuel &amp; Inputs'!$C$19*'Fuel &amp; Inputs'!$C$21,100)</f>
        <v>26300</v>
      </c>
      <c r="X33" s="20" t="n">
        <f aca="false">MROUND(R33*'Fuel &amp; Inputs'!$C$20*'Fuel &amp; Inputs'!$C$22,500)</f>
        <v>318000</v>
      </c>
      <c r="Y33" s="20" t="n">
        <f aca="false">MROUND(S33*'Fuel &amp; Inputs'!$C$20*'Fuel &amp; Inputs'!$C$22,500)</f>
        <v>398000</v>
      </c>
      <c r="Z33" s="20" t="n">
        <f aca="false">MROUND(T33*'Fuel &amp; Inputs'!$C$20*'Fuel &amp; Inputs'!$C$22,500)</f>
        <v>707000</v>
      </c>
    </row>
    <row r="34" customFormat="false" ht="15" hidden="false" customHeight="false" outlineLevel="0" collapsed="false">
      <c r="A34" s="23" t="n">
        <v>28</v>
      </c>
      <c r="B34" s="34" t="s">
        <v>70</v>
      </c>
      <c r="C34" s="34" t="s">
        <v>230</v>
      </c>
      <c r="D34" s="34" t="s">
        <v>231</v>
      </c>
      <c r="E34" s="23" t="s">
        <v>228</v>
      </c>
      <c r="F34" s="23" t="s">
        <v>232</v>
      </c>
      <c r="G34" s="23" t="s">
        <v>223</v>
      </c>
      <c r="H34" s="23" t="s">
        <v>153</v>
      </c>
      <c r="I34" s="23" t="s">
        <v>154</v>
      </c>
      <c r="J34" s="25" t="n">
        <v>6.5</v>
      </c>
      <c r="K34" s="25" t="n">
        <v>9</v>
      </c>
      <c r="L34" s="25" t="n">
        <v>12.2</v>
      </c>
      <c r="M34" s="35" t="n">
        <v>1.084</v>
      </c>
      <c r="N34" s="26" t="n">
        <f aca="false">IF(J34=0,0,IF($I34="L/km",MROUND(J34*$M34*IF($H34="Petrol",'Fuel &amp; Inputs'!$C$5,'Fuel &amp; Inputs'!$C$4),1),MROUND(J34*$M34*IF($H34="Petrol",'Fuel &amp; Inputs'!$C$5,'Fuel &amp; Inputs'!$C$4),10)))</f>
        <v>2690</v>
      </c>
      <c r="O34" s="26" t="n">
        <f aca="false">IF(K34=0,0,IF($I34="L/km",MROUND(K34*$M34*IF($H34="Petrol",'Fuel &amp; Inputs'!$C$5,'Fuel &amp; Inputs'!$C$4),1),MROUND(K34*$M34*IF($H34="Petrol",'Fuel &amp; Inputs'!$C$5,'Fuel &amp; Inputs'!$C$4),10)))</f>
        <v>3730</v>
      </c>
      <c r="P34" s="26" t="n">
        <f aca="false">IF(L34=0,0,IF($I34="L/km",MROUND(L34*$M34*IF($H34="Petrol",'Fuel &amp; Inputs'!$C$5,'Fuel &amp; Inputs'!$C$4),1),MROUND(L34*$M34*IF($H34="Petrol",'Fuel &amp; Inputs'!$C$5,'Fuel &amp; Inputs'!$C$4),10)))</f>
        <v>5050</v>
      </c>
      <c r="Q34" s="23" t="s">
        <v>155</v>
      </c>
      <c r="R34" s="27" t="n">
        <v>3120</v>
      </c>
      <c r="S34" s="26" t="n">
        <f aca="false">MROUND(R34+'Fuel &amp; Inputs'!$C$13,50)</f>
        <v>3900</v>
      </c>
      <c r="T34" s="27" t="n">
        <v>6930</v>
      </c>
      <c r="U34" s="26" t="n">
        <f aca="false">MROUND(R34*'Fuel &amp; Inputs'!$C$19*'Fuel &amp; Inputs'!$C$21,100)</f>
        <v>11900</v>
      </c>
      <c r="V34" s="26" t="n">
        <f aca="false">MROUND(S34*'Fuel &amp; Inputs'!$C$19*'Fuel &amp; Inputs'!$C$21,100)</f>
        <v>14800</v>
      </c>
      <c r="W34" s="26" t="n">
        <f aca="false">MROUND(T34*'Fuel &amp; Inputs'!$C$19*'Fuel &amp; Inputs'!$C$21,100)</f>
        <v>26300</v>
      </c>
      <c r="X34" s="26" t="n">
        <f aca="false">MROUND(R34*'Fuel &amp; Inputs'!$C$20*'Fuel &amp; Inputs'!$C$22,500)</f>
        <v>318000</v>
      </c>
      <c r="Y34" s="26" t="n">
        <f aca="false">MROUND(S34*'Fuel &amp; Inputs'!$C$20*'Fuel &amp; Inputs'!$C$22,500)</f>
        <v>398000</v>
      </c>
      <c r="Z34" s="26" t="n">
        <f aca="false">MROUND(T34*'Fuel &amp; Inputs'!$C$20*'Fuel &amp; Inputs'!$C$22,500)</f>
        <v>707000</v>
      </c>
    </row>
    <row r="35" customFormat="false" ht="15" hidden="false" customHeight="false" outlineLevel="0" collapsed="false">
      <c r="A35" s="17" t="n">
        <v>29</v>
      </c>
      <c r="B35" s="32" t="s">
        <v>70</v>
      </c>
      <c r="C35" s="32" t="s">
        <v>224</v>
      </c>
      <c r="D35" s="32" t="s">
        <v>233</v>
      </c>
      <c r="E35" s="17" t="s">
        <v>234</v>
      </c>
      <c r="F35" s="17" t="s">
        <v>235</v>
      </c>
      <c r="G35" s="17" t="s">
        <v>223</v>
      </c>
      <c r="H35" s="17" t="s">
        <v>153</v>
      </c>
      <c r="I35" s="17" t="s">
        <v>154</v>
      </c>
      <c r="J35" s="19" t="n">
        <v>8.6</v>
      </c>
      <c r="K35" s="19" t="n">
        <v>12</v>
      </c>
      <c r="L35" s="19" t="n">
        <v>16.2</v>
      </c>
      <c r="M35" s="33" t="n">
        <v>1.091</v>
      </c>
      <c r="N35" s="20" t="n">
        <f aca="false">IF(J35=0,0,IF($I35="L/km",MROUND(J35*$M35*IF($H35="Petrol",'Fuel &amp; Inputs'!$C$5,'Fuel &amp; Inputs'!$C$4),1),MROUND(J35*$M35*IF($H35="Petrol",'Fuel &amp; Inputs'!$C$5,'Fuel &amp; Inputs'!$C$4),10)))</f>
        <v>3580</v>
      </c>
      <c r="O35" s="20" t="n">
        <f aca="false">IF(K35=0,0,IF($I35="L/km",MROUND(K35*$M35*IF($H35="Petrol",'Fuel &amp; Inputs'!$C$5,'Fuel &amp; Inputs'!$C$4),1),MROUND(K35*$M35*IF($H35="Petrol",'Fuel &amp; Inputs'!$C$5,'Fuel &amp; Inputs'!$C$4),10)))</f>
        <v>5000</v>
      </c>
      <c r="P35" s="20" t="n">
        <f aca="false">IF(L35=0,0,IF($I35="L/km",MROUND(L35*$M35*IF($H35="Petrol",'Fuel &amp; Inputs'!$C$5,'Fuel &amp; Inputs'!$C$4),1),MROUND(L35*$M35*IF($H35="Petrol",'Fuel &amp; Inputs'!$C$5,'Fuel &amp; Inputs'!$C$4),10)))</f>
        <v>6750</v>
      </c>
      <c r="Q35" s="17" t="s">
        <v>155</v>
      </c>
      <c r="R35" s="21" t="n">
        <v>3120</v>
      </c>
      <c r="S35" s="20" t="n">
        <f aca="false">MROUND(R35+'Fuel &amp; Inputs'!$C$13,50)</f>
        <v>3900</v>
      </c>
      <c r="T35" s="21" t="n">
        <v>6930</v>
      </c>
      <c r="U35" s="20" t="n">
        <f aca="false">MROUND(R35*'Fuel &amp; Inputs'!$C$19*'Fuel &amp; Inputs'!$C$21,100)</f>
        <v>11900</v>
      </c>
      <c r="V35" s="20" t="n">
        <f aca="false">MROUND(S35*'Fuel &amp; Inputs'!$C$19*'Fuel &amp; Inputs'!$C$21,100)</f>
        <v>14800</v>
      </c>
      <c r="W35" s="20" t="n">
        <f aca="false">MROUND(T35*'Fuel &amp; Inputs'!$C$19*'Fuel &amp; Inputs'!$C$21,100)</f>
        <v>26300</v>
      </c>
      <c r="X35" s="20" t="n">
        <f aca="false">MROUND(R35*'Fuel &amp; Inputs'!$C$20*'Fuel &amp; Inputs'!$C$22,500)</f>
        <v>318000</v>
      </c>
      <c r="Y35" s="20" t="n">
        <f aca="false">MROUND(S35*'Fuel &amp; Inputs'!$C$20*'Fuel &amp; Inputs'!$C$22,500)</f>
        <v>398000</v>
      </c>
      <c r="Z35" s="20" t="n">
        <f aca="false">MROUND(T35*'Fuel &amp; Inputs'!$C$20*'Fuel &amp; Inputs'!$C$22,500)</f>
        <v>707000</v>
      </c>
    </row>
    <row r="36" customFormat="false" ht="15" hidden="false" customHeight="false" outlineLevel="0" collapsed="false">
      <c r="A36" s="23" t="n">
        <v>30</v>
      </c>
      <c r="B36" s="34" t="s">
        <v>70</v>
      </c>
      <c r="C36" s="34" t="s">
        <v>224</v>
      </c>
      <c r="D36" s="34" t="s">
        <v>236</v>
      </c>
      <c r="E36" s="23" t="s">
        <v>234</v>
      </c>
      <c r="F36" s="23" t="s">
        <v>237</v>
      </c>
      <c r="G36" s="23" t="s">
        <v>238</v>
      </c>
      <c r="H36" s="23" t="s">
        <v>153</v>
      </c>
      <c r="I36" s="23" t="s">
        <v>154</v>
      </c>
      <c r="J36" s="25" t="n">
        <v>7.9</v>
      </c>
      <c r="K36" s="25" t="n">
        <v>11</v>
      </c>
      <c r="L36" s="25" t="n">
        <v>14.9</v>
      </c>
      <c r="M36" s="35" t="n">
        <v>1.091</v>
      </c>
      <c r="N36" s="26" t="n">
        <f aca="false">IF(J36=0,0,IF($I36="L/km",MROUND(J36*$M36*IF($H36="Petrol",'Fuel &amp; Inputs'!$C$5,'Fuel &amp; Inputs'!$C$4),1),MROUND(J36*$M36*IF($H36="Petrol",'Fuel &amp; Inputs'!$C$5,'Fuel &amp; Inputs'!$C$4),10)))</f>
        <v>3290</v>
      </c>
      <c r="O36" s="26" t="n">
        <f aca="false">IF(K36=0,0,IF($I36="L/km",MROUND(K36*$M36*IF($H36="Petrol",'Fuel &amp; Inputs'!$C$5,'Fuel &amp; Inputs'!$C$4),1),MROUND(K36*$M36*IF($H36="Petrol",'Fuel &amp; Inputs'!$C$5,'Fuel &amp; Inputs'!$C$4),10)))</f>
        <v>4580</v>
      </c>
      <c r="P36" s="26" t="n">
        <f aca="false">IF(L36=0,0,IF($I36="L/km",MROUND(L36*$M36*IF($H36="Petrol",'Fuel &amp; Inputs'!$C$5,'Fuel &amp; Inputs'!$C$4),1),MROUND(L36*$M36*IF($H36="Petrol",'Fuel &amp; Inputs'!$C$5,'Fuel &amp; Inputs'!$C$4),10)))</f>
        <v>6210</v>
      </c>
      <c r="Q36" s="23" t="s">
        <v>155</v>
      </c>
      <c r="R36" s="27" t="n">
        <v>3120</v>
      </c>
      <c r="S36" s="26" t="n">
        <f aca="false">MROUND(R36+'Fuel &amp; Inputs'!$C$13,50)</f>
        <v>3900</v>
      </c>
      <c r="T36" s="27" t="n">
        <v>6930</v>
      </c>
      <c r="U36" s="26" t="n">
        <f aca="false">MROUND(R36*'Fuel &amp; Inputs'!$C$19*'Fuel &amp; Inputs'!$C$21,100)</f>
        <v>11900</v>
      </c>
      <c r="V36" s="26" t="n">
        <f aca="false">MROUND(S36*'Fuel &amp; Inputs'!$C$19*'Fuel &amp; Inputs'!$C$21,100)</f>
        <v>14800</v>
      </c>
      <c r="W36" s="26" t="n">
        <f aca="false">MROUND(T36*'Fuel &amp; Inputs'!$C$19*'Fuel &amp; Inputs'!$C$21,100)</f>
        <v>26300</v>
      </c>
      <c r="X36" s="26" t="n">
        <f aca="false">MROUND(R36*'Fuel &amp; Inputs'!$C$20*'Fuel &amp; Inputs'!$C$22,500)</f>
        <v>318000</v>
      </c>
      <c r="Y36" s="26" t="n">
        <f aca="false">MROUND(S36*'Fuel &amp; Inputs'!$C$20*'Fuel &amp; Inputs'!$C$22,500)</f>
        <v>398000</v>
      </c>
      <c r="Z36" s="26" t="n">
        <f aca="false">MROUND(T36*'Fuel &amp; Inputs'!$C$20*'Fuel &amp; Inputs'!$C$22,500)</f>
        <v>707000</v>
      </c>
    </row>
    <row r="37" customFormat="false" ht="15" hidden="false" customHeight="false" outlineLevel="0" collapsed="false">
      <c r="A37" s="17" t="n">
        <v>31</v>
      </c>
      <c r="B37" s="32" t="s">
        <v>70</v>
      </c>
      <c r="C37" s="32" t="s">
        <v>224</v>
      </c>
      <c r="D37" s="32" t="s">
        <v>239</v>
      </c>
      <c r="E37" s="17" t="s">
        <v>166</v>
      </c>
      <c r="F37" s="17" t="s">
        <v>240</v>
      </c>
      <c r="G37" s="17" t="s">
        <v>223</v>
      </c>
      <c r="H37" s="17" t="s">
        <v>153</v>
      </c>
      <c r="I37" s="17" t="s">
        <v>154</v>
      </c>
      <c r="J37" s="19" t="n">
        <v>6.5</v>
      </c>
      <c r="K37" s="19" t="n">
        <v>9</v>
      </c>
      <c r="L37" s="19" t="n">
        <v>12.2</v>
      </c>
      <c r="M37" s="33" t="n">
        <v>1.098</v>
      </c>
      <c r="N37" s="20" t="n">
        <f aca="false">IF(J37=0,0,IF($I37="L/km",MROUND(J37*$M37*IF($H37="Petrol",'Fuel &amp; Inputs'!$C$5,'Fuel &amp; Inputs'!$C$4),1),MROUND(J37*$M37*IF($H37="Petrol",'Fuel &amp; Inputs'!$C$5,'Fuel &amp; Inputs'!$C$4),10)))</f>
        <v>2730</v>
      </c>
      <c r="O37" s="20" t="n">
        <f aca="false">IF(K37=0,0,IF($I37="L/km",MROUND(K37*$M37*IF($H37="Petrol",'Fuel &amp; Inputs'!$C$5,'Fuel &amp; Inputs'!$C$4),1),MROUND(K37*$M37*IF($H37="Petrol",'Fuel &amp; Inputs'!$C$5,'Fuel &amp; Inputs'!$C$4),10)))</f>
        <v>3770</v>
      </c>
      <c r="P37" s="20" t="n">
        <f aca="false">IF(L37=0,0,IF($I37="L/km",MROUND(L37*$M37*IF($H37="Petrol",'Fuel &amp; Inputs'!$C$5,'Fuel &amp; Inputs'!$C$4),1),MROUND(L37*$M37*IF($H37="Petrol",'Fuel &amp; Inputs'!$C$5,'Fuel &amp; Inputs'!$C$4),10)))</f>
        <v>5120</v>
      </c>
      <c r="Q37" s="17" t="s">
        <v>155</v>
      </c>
      <c r="R37" s="21" t="n">
        <v>3120</v>
      </c>
      <c r="S37" s="20" t="n">
        <f aca="false">MROUND(R37+'Fuel &amp; Inputs'!$C$13,50)</f>
        <v>3900</v>
      </c>
      <c r="T37" s="21" t="n">
        <v>6930</v>
      </c>
      <c r="U37" s="20" t="n">
        <f aca="false">MROUND(R37*'Fuel &amp; Inputs'!$C$19*'Fuel &amp; Inputs'!$C$21,100)</f>
        <v>11900</v>
      </c>
      <c r="V37" s="20" t="n">
        <f aca="false">MROUND(S37*'Fuel &amp; Inputs'!$C$19*'Fuel &amp; Inputs'!$C$21,100)</f>
        <v>14800</v>
      </c>
      <c r="W37" s="20" t="n">
        <f aca="false">MROUND(T37*'Fuel &amp; Inputs'!$C$19*'Fuel &amp; Inputs'!$C$21,100)</f>
        <v>26300</v>
      </c>
      <c r="X37" s="20" t="n">
        <f aca="false">MROUND(R37*'Fuel &amp; Inputs'!$C$20*'Fuel &amp; Inputs'!$C$22,500)</f>
        <v>318000</v>
      </c>
      <c r="Y37" s="20" t="n">
        <f aca="false">MROUND(S37*'Fuel &amp; Inputs'!$C$20*'Fuel &amp; Inputs'!$C$22,500)</f>
        <v>398000</v>
      </c>
      <c r="Z37" s="20" t="n">
        <f aca="false">MROUND(T37*'Fuel &amp; Inputs'!$C$20*'Fuel &amp; Inputs'!$C$22,500)</f>
        <v>707000</v>
      </c>
    </row>
    <row r="38" customFormat="false" ht="15" hidden="false" customHeight="false" outlineLevel="0" collapsed="false">
      <c r="A38" s="23" t="n">
        <v>32</v>
      </c>
      <c r="B38" s="34" t="s">
        <v>70</v>
      </c>
      <c r="C38" s="34" t="s">
        <v>241</v>
      </c>
      <c r="D38" s="34" t="s">
        <v>242</v>
      </c>
      <c r="E38" s="23" t="s">
        <v>243</v>
      </c>
      <c r="F38" s="23" t="s">
        <v>244</v>
      </c>
      <c r="G38" s="23" t="s">
        <v>223</v>
      </c>
      <c r="H38" s="23" t="s">
        <v>153</v>
      </c>
      <c r="I38" s="23" t="s">
        <v>154</v>
      </c>
      <c r="J38" s="25" t="n">
        <v>7.2</v>
      </c>
      <c r="K38" s="25" t="n">
        <v>10</v>
      </c>
      <c r="L38" s="25" t="n">
        <v>13.5</v>
      </c>
      <c r="M38" s="35" t="n">
        <v>1.112</v>
      </c>
      <c r="N38" s="26" t="n">
        <f aca="false">IF(J38=0,0,IF($I38="L/km",MROUND(J38*$M38*IF($H38="Petrol",'Fuel &amp; Inputs'!$C$5,'Fuel &amp; Inputs'!$C$4),1),MROUND(J38*$M38*IF($H38="Petrol",'Fuel &amp; Inputs'!$C$5,'Fuel &amp; Inputs'!$C$4),10)))</f>
        <v>3060</v>
      </c>
      <c r="O38" s="26" t="n">
        <f aca="false">IF(K38=0,0,IF($I38="L/km",MROUND(K38*$M38*IF($H38="Petrol",'Fuel &amp; Inputs'!$C$5,'Fuel &amp; Inputs'!$C$4),1),MROUND(K38*$M38*IF($H38="Petrol",'Fuel &amp; Inputs'!$C$5,'Fuel &amp; Inputs'!$C$4),10)))</f>
        <v>4250</v>
      </c>
      <c r="P38" s="26" t="n">
        <f aca="false">IF(L38=0,0,IF($I38="L/km",MROUND(L38*$M38*IF($H38="Petrol",'Fuel &amp; Inputs'!$C$5,'Fuel &amp; Inputs'!$C$4),1),MROUND(L38*$M38*IF($H38="Petrol",'Fuel &amp; Inputs'!$C$5,'Fuel &amp; Inputs'!$C$4),10)))</f>
        <v>5730</v>
      </c>
      <c r="Q38" s="23" t="s">
        <v>155</v>
      </c>
      <c r="R38" s="27" t="n">
        <v>3120</v>
      </c>
      <c r="S38" s="26" t="n">
        <f aca="false">MROUND(R38+'Fuel &amp; Inputs'!$C$13,50)</f>
        <v>3900</v>
      </c>
      <c r="T38" s="27" t="n">
        <v>6930</v>
      </c>
      <c r="U38" s="26" t="n">
        <f aca="false">MROUND(R38*'Fuel &amp; Inputs'!$C$19*'Fuel &amp; Inputs'!$C$21,100)</f>
        <v>11900</v>
      </c>
      <c r="V38" s="26" t="n">
        <f aca="false">MROUND(S38*'Fuel &amp; Inputs'!$C$19*'Fuel &amp; Inputs'!$C$21,100)</f>
        <v>14800</v>
      </c>
      <c r="W38" s="26" t="n">
        <f aca="false">MROUND(T38*'Fuel &amp; Inputs'!$C$19*'Fuel &amp; Inputs'!$C$21,100)</f>
        <v>26300</v>
      </c>
      <c r="X38" s="26" t="n">
        <f aca="false">MROUND(R38*'Fuel &amp; Inputs'!$C$20*'Fuel &amp; Inputs'!$C$22,500)</f>
        <v>318000</v>
      </c>
      <c r="Y38" s="26" t="n">
        <f aca="false">MROUND(S38*'Fuel &amp; Inputs'!$C$20*'Fuel &amp; Inputs'!$C$22,500)</f>
        <v>398000</v>
      </c>
      <c r="Z38" s="26" t="n">
        <f aca="false">MROUND(T38*'Fuel &amp; Inputs'!$C$20*'Fuel &amp; Inputs'!$C$22,500)</f>
        <v>707000</v>
      </c>
    </row>
    <row r="39" customFormat="false" ht="15" hidden="false" customHeight="false" outlineLevel="0" collapsed="false">
      <c r="A39" s="17" t="n">
        <v>33</v>
      </c>
      <c r="B39" s="32" t="s">
        <v>70</v>
      </c>
      <c r="C39" s="32" t="s">
        <v>241</v>
      </c>
      <c r="D39" s="32" t="s">
        <v>245</v>
      </c>
      <c r="E39" s="17" t="s">
        <v>246</v>
      </c>
      <c r="F39" s="17" t="s">
        <v>247</v>
      </c>
      <c r="G39" s="17" t="s">
        <v>223</v>
      </c>
      <c r="H39" s="17" t="s">
        <v>153</v>
      </c>
      <c r="I39" s="17" t="s">
        <v>154</v>
      </c>
      <c r="J39" s="19" t="n">
        <v>7.2</v>
      </c>
      <c r="K39" s="19" t="n">
        <v>10</v>
      </c>
      <c r="L39" s="19" t="n">
        <v>13.5</v>
      </c>
      <c r="M39" s="33" t="n">
        <v>1.119</v>
      </c>
      <c r="N39" s="20" t="n">
        <f aca="false">IF(J39=0,0,IF($I39="L/km",MROUND(J39*$M39*IF($H39="Petrol",'Fuel &amp; Inputs'!$C$5,'Fuel &amp; Inputs'!$C$4),1),MROUND(J39*$M39*IF($H39="Petrol",'Fuel &amp; Inputs'!$C$5,'Fuel &amp; Inputs'!$C$4),10)))</f>
        <v>3080</v>
      </c>
      <c r="O39" s="20" t="n">
        <f aca="false">IF(K39=0,0,IF($I39="L/km",MROUND(K39*$M39*IF($H39="Petrol",'Fuel &amp; Inputs'!$C$5,'Fuel &amp; Inputs'!$C$4),1),MROUND(K39*$M39*IF($H39="Petrol",'Fuel &amp; Inputs'!$C$5,'Fuel &amp; Inputs'!$C$4),10)))</f>
        <v>4270</v>
      </c>
      <c r="P39" s="20" t="n">
        <f aca="false">IF(L39=0,0,IF($I39="L/km",MROUND(L39*$M39*IF($H39="Petrol",'Fuel &amp; Inputs'!$C$5,'Fuel &amp; Inputs'!$C$4),1),MROUND(L39*$M39*IF($H39="Petrol",'Fuel &amp; Inputs'!$C$5,'Fuel &amp; Inputs'!$C$4),10)))</f>
        <v>5770</v>
      </c>
      <c r="Q39" s="17" t="s">
        <v>155</v>
      </c>
      <c r="R39" s="21" t="n">
        <v>2740</v>
      </c>
      <c r="S39" s="20" t="n">
        <f aca="false">MROUND(R39+'Fuel &amp; Inputs'!$C$13,50)</f>
        <v>3550</v>
      </c>
      <c r="T39" s="21" t="n">
        <v>6080</v>
      </c>
      <c r="U39" s="20" t="n">
        <f aca="false">MROUND(R39*'Fuel &amp; Inputs'!$C$19*'Fuel &amp; Inputs'!$C$21,100)</f>
        <v>10400</v>
      </c>
      <c r="V39" s="20" t="n">
        <f aca="false">MROUND(S39*'Fuel &amp; Inputs'!$C$19*'Fuel &amp; Inputs'!$C$21,100)</f>
        <v>13500</v>
      </c>
      <c r="W39" s="20" t="n">
        <f aca="false">MROUND(T39*'Fuel &amp; Inputs'!$C$19*'Fuel &amp; Inputs'!$C$21,100)</f>
        <v>23100</v>
      </c>
      <c r="X39" s="20" t="n">
        <f aca="false">MROUND(R39*'Fuel &amp; Inputs'!$C$20*'Fuel &amp; Inputs'!$C$22,500)</f>
        <v>279500</v>
      </c>
      <c r="Y39" s="20" t="n">
        <f aca="false">MROUND(S39*'Fuel &amp; Inputs'!$C$20*'Fuel &amp; Inputs'!$C$22,500)</f>
        <v>362000</v>
      </c>
      <c r="Z39" s="20" t="n">
        <f aca="false">MROUND(T39*'Fuel &amp; Inputs'!$C$20*'Fuel &amp; Inputs'!$C$22,500)</f>
        <v>620000</v>
      </c>
    </row>
    <row r="40" customFormat="false" ht="15" hidden="false" customHeight="true" outlineLevel="0" collapsed="false">
      <c r="A40" s="31" t="s">
        <v>248</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 hidden="false" customHeight="false" outlineLevel="0" collapsed="false">
      <c r="A41" s="23" t="n">
        <v>34</v>
      </c>
      <c r="B41" s="34" t="s">
        <v>72</v>
      </c>
      <c r="C41" s="34" t="s">
        <v>249</v>
      </c>
      <c r="D41" s="34" t="s">
        <v>250</v>
      </c>
      <c r="E41" s="23" t="s">
        <v>251</v>
      </c>
      <c r="F41" s="23" t="s">
        <v>252</v>
      </c>
      <c r="G41" s="23" t="s">
        <v>253</v>
      </c>
      <c r="H41" s="23" t="s">
        <v>153</v>
      </c>
      <c r="I41" s="23" t="s">
        <v>154</v>
      </c>
      <c r="J41" s="25" t="n">
        <v>7.9</v>
      </c>
      <c r="K41" s="25" t="n">
        <v>11</v>
      </c>
      <c r="L41" s="25" t="n">
        <v>14.9</v>
      </c>
      <c r="M41" s="35" t="n">
        <v>1.063</v>
      </c>
      <c r="N41" s="26" t="n">
        <f aca="false">IF(J41=0,0,IF($I41="L/km",MROUND(J41*$M41*IF($H41="Petrol",'Fuel &amp; Inputs'!$C$5,'Fuel &amp; Inputs'!$C$4),1),MROUND(J41*$M41*IF($H41="Petrol",'Fuel &amp; Inputs'!$C$5,'Fuel &amp; Inputs'!$C$4),10)))</f>
        <v>3210</v>
      </c>
      <c r="O41" s="26" t="n">
        <f aca="false">IF(K41=0,0,IF($I41="L/km",MROUND(K41*$M41*IF($H41="Petrol",'Fuel &amp; Inputs'!$C$5,'Fuel &amp; Inputs'!$C$4),1),MROUND(K41*$M41*IF($H41="Petrol",'Fuel &amp; Inputs'!$C$5,'Fuel &amp; Inputs'!$C$4),10)))</f>
        <v>4470</v>
      </c>
      <c r="P41" s="26" t="n">
        <f aca="false">IF(L41=0,0,IF($I41="L/km",MROUND(L41*$M41*IF($H41="Petrol",'Fuel &amp; Inputs'!$C$5,'Fuel &amp; Inputs'!$C$4),1),MROUND(L41*$M41*IF($H41="Petrol",'Fuel &amp; Inputs'!$C$5,'Fuel &amp; Inputs'!$C$4),10)))</f>
        <v>6050</v>
      </c>
      <c r="Q41" s="23" t="s">
        <v>155</v>
      </c>
      <c r="R41" s="27" t="n">
        <v>2250</v>
      </c>
      <c r="S41" s="26" t="n">
        <f aca="false">MROUND(R41+'Fuel &amp; Inputs'!$C$13,50)</f>
        <v>3050</v>
      </c>
      <c r="T41" s="27" t="n">
        <v>4460</v>
      </c>
      <c r="U41" s="26" t="n">
        <f aca="false">MROUND(R41*'Fuel &amp; Inputs'!$C$19*'Fuel &amp; Inputs'!$C$21,100)</f>
        <v>8600</v>
      </c>
      <c r="V41" s="26" t="n">
        <f aca="false">MROUND(S41*'Fuel &amp; Inputs'!$C$19*'Fuel &amp; Inputs'!$C$21,100)</f>
        <v>11600</v>
      </c>
      <c r="W41" s="26" t="n">
        <f aca="false">MROUND(T41*'Fuel &amp; Inputs'!$C$19*'Fuel &amp; Inputs'!$C$21,100)</f>
        <v>16900</v>
      </c>
      <c r="X41" s="26" t="n">
        <f aca="false">MROUND(R41*'Fuel &amp; Inputs'!$C$20*'Fuel &amp; Inputs'!$C$22,500)</f>
        <v>229500</v>
      </c>
      <c r="Y41" s="26" t="n">
        <f aca="false">MROUND(S41*'Fuel &amp; Inputs'!$C$20*'Fuel &amp; Inputs'!$C$22,500)</f>
        <v>311000</v>
      </c>
      <c r="Z41" s="26" t="n">
        <f aca="false">MROUND(T41*'Fuel &amp; Inputs'!$C$20*'Fuel &amp; Inputs'!$C$22,500)</f>
        <v>455000</v>
      </c>
    </row>
    <row r="42" customFormat="false" ht="15" hidden="false" customHeight="false" outlineLevel="0" collapsed="false">
      <c r="A42" s="17" t="n">
        <v>35</v>
      </c>
      <c r="B42" s="32" t="s">
        <v>72</v>
      </c>
      <c r="C42" s="32" t="s">
        <v>249</v>
      </c>
      <c r="D42" s="32" t="s">
        <v>254</v>
      </c>
      <c r="E42" s="17" t="s">
        <v>251</v>
      </c>
      <c r="F42" s="17" t="s">
        <v>255</v>
      </c>
      <c r="G42" s="17" t="s">
        <v>256</v>
      </c>
      <c r="H42" s="17" t="s">
        <v>153</v>
      </c>
      <c r="I42" s="17" t="s">
        <v>154</v>
      </c>
      <c r="J42" s="19" t="n">
        <v>9.4</v>
      </c>
      <c r="K42" s="19" t="n">
        <v>13</v>
      </c>
      <c r="L42" s="19" t="n">
        <v>17.6</v>
      </c>
      <c r="M42" s="33" t="n">
        <v>1.063</v>
      </c>
      <c r="N42" s="20" t="n">
        <f aca="false">IF(J42=0,0,IF($I42="L/km",MROUND(J42*$M42*IF($H42="Petrol",'Fuel &amp; Inputs'!$C$5,'Fuel &amp; Inputs'!$C$4),1),MROUND(J42*$M42*IF($H42="Petrol",'Fuel &amp; Inputs'!$C$5,'Fuel &amp; Inputs'!$C$4),10)))</f>
        <v>3820</v>
      </c>
      <c r="O42" s="20" t="n">
        <f aca="false">IF(K42=0,0,IF($I42="L/km",MROUND(K42*$M42*IF($H42="Petrol",'Fuel &amp; Inputs'!$C$5,'Fuel &amp; Inputs'!$C$4),1),MROUND(K42*$M42*IF($H42="Petrol",'Fuel &amp; Inputs'!$C$5,'Fuel &amp; Inputs'!$C$4),10)))</f>
        <v>5280</v>
      </c>
      <c r="P42" s="20" t="n">
        <f aca="false">IF(L42=0,0,IF($I42="L/km",MROUND(L42*$M42*IF($H42="Petrol",'Fuel &amp; Inputs'!$C$5,'Fuel &amp; Inputs'!$C$4),1),MROUND(L42*$M42*IF($H42="Petrol",'Fuel &amp; Inputs'!$C$5,'Fuel &amp; Inputs'!$C$4),10)))</f>
        <v>7150</v>
      </c>
      <c r="Q42" s="17" t="s">
        <v>155</v>
      </c>
      <c r="R42" s="21" t="n">
        <v>2250</v>
      </c>
      <c r="S42" s="20" t="n">
        <f aca="false">MROUND(R42+'Fuel &amp; Inputs'!$C$13,50)</f>
        <v>3050</v>
      </c>
      <c r="T42" s="21" t="n">
        <v>4460</v>
      </c>
      <c r="U42" s="20" t="n">
        <f aca="false">MROUND(R42*'Fuel &amp; Inputs'!$C$19*'Fuel &amp; Inputs'!$C$21,100)</f>
        <v>8600</v>
      </c>
      <c r="V42" s="20" t="n">
        <f aca="false">MROUND(S42*'Fuel &amp; Inputs'!$C$19*'Fuel &amp; Inputs'!$C$21,100)</f>
        <v>11600</v>
      </c>
      <c r="W42" s="20" t="n">
        <f aca="false">MROUND(T42*'Fuel &amp; Inputs'!$C$19*'Fuel &amp; Inputs'!$C$21,100)</f>
        <v>16900</v>
      </c>
      <c r="X42" s="20" t="n">
        <f aca="false">MROUND(R42*'Fuel &amp; Inputs'!$C$20*'Fuel &amp; Inputs'!$C$22,500)</f>
        <v>229500</v>
      </c>
      <c r="Y42" s="20" t="n">
        <f aca="false">MROUND(S42*'Fuel &amp; Inputs'!$C$20*'Fuel &amp; Inputs'!$C$22,500)</f>
        <v>311000</v>
      </c>
      <c r="Z42" s="20" t="n">
        <f aca="false">MROUND(T42*'Fuel &amp; Inputs'!$C$20*'Fuel &amp; Inputs'!$C$22,500)</f>
        <v>455000</v>
      </c>
    </row>
    <row r="43" customFormat="false" ht="15" hidden="false" customHeight="false" outlineLevel="0" collapsed="false">
      <c r="A43" s="23" t="n">
        <v>36</v>
      </c>
      <c r="B43" s="34" t="s">
        <v>72</v>
      </c>
      <c r="C43" s="34" t="s">
        <v>249</v>
      </c>
      <c r="D43" s="34" t="s">
        <v>250</v>
      </c>
      <c r="E43" s="23" t="s">
        <v>174</v>
      </c>
      <c r="F43" s="23" t="s">
        <v>257</v>
      </c>
      <c r="G43" s="23" t="s">
        <v>258</v>
      </c>
      <c r="H43" s="23" t="s">
        <v>153</v>
      </c>
      <c r="I43" s="23" t="s">
        <v>154</v>
      </c>
      <c r="J43" s="25" t="n">
        <v>7.9</v>
      </c>
      <c r="K43" s="25" t="n">
        <v>11</v>
      </c>
      <c r="L43" s="25" t="n">
        <v>14.9</v>
      </c>
      <c r="M43" s="35" t="n">
        <v>1.07</v>
      </c>
      <c r="N43" s="26" t="n">
        <f aca="false">IF(J43=0,0,IF($I43="L/km",MROUND(J43*$M43*IF($H43="Petrol",'Fuel &amp; Inputs'!$C$5,'Fuel &amp; Inputs'!$C$4),1),MROUND(J43*$M43*IF($H43="Petrol",'Fuel &amp; Inputs'!$C$5,'Fuel &amp; Inputs'!$C$4),10)))</f>
        <v>3230</v>
      </c>
      <c r="O43" s="26" t="n">
        <f aca="false">IF(K43=0,0,IF($I43="L/km",MROUND(K43*$M43*IF($H43="Petrol",'Fuel &amp; Inputs'!$C$5,'Fuel &amp; Inputs'!$C$4),1),MROUND(K43*$M43*IF($H43="Petrol",'Fuel &amp; Inputs'!$C$5,'Fuel &amp; Inputs'!$C$4),10)))</f>
        <v>4500</v>
      </c>
      <c r="P43" s="26" t="n">
        <f aca="false">IF(L43=0,0,IF($I43="L/km",MROUND(L43*$M43*IF($H43="Petrol",'Fuel &amp; Inputs'!$C$5,'Fuel &amp; Inputs'!$C$4),1),MROUND(L43*$M43*IF($H43="Petrol",'Fuel &amp; Inputs'!$C$5,'Fuel &amp; Inputs'!$C$4),10)))</f>
        <v>6090</v>
      </c>
      <c r="Q43" s="23" t="s">
        <v>155</v>
      </c>
      <c r="R43" s="27" t="n">
        <v>2250</v>
      </c>
      <c r="S43" s="26" t="n">
        <f aca="false">MROUND(R43+'Fuel &amp; Inputs'!$C$13,50)</f>
        <v>3050</v>
      </c>
      <c r="T43" s="27" t="n">
        <v>4460</v>
      </c>
      <c r="U43" s="26" t="n">
        <f aca="false">MROUND(R43*'Fuel &amp; Inputs'!$C$19*'Fuel &amp; Inputs'!$C$21,100)</f>
        <v>8600</v>
      </c>
      <c r="V43" s="26" t="n">
        <f aca="false">MROUND(S43*'Fuel &amp; Inputs'!$C$19*'Fuel &amp; Inputs'!$C$21,100)</f>
        <v>11600</v>
      </c>
      <c r="W43" s="26" t="n">
        <f aca="false">MROUND(T43*'Fuel &amp; Inputs'!$C$19*'Fuel &amp; Inputs'!$C$21,100)</f>
        <v>16900</v>
      </c>
      <c r="X43" s="26" t="n">
        <f aca="false">MROUND(R43*'Fuel &amp; Inputs'!$C$20*'Fuel &amp; Inputs'!$C$22,500)</f>
        <v>229500</v>
      </c>
      <c r="Y43" s="26" t="n">
        <f aca="false">MROUND(S43*'Fuel &amp; Inputs'!$C$20*'Fuel &amp; Inputs'!$C$22,500)</f>
        <v>311000</v>
      </c>
      <c r="Z43" s="26" t="n">
        <f aca="false">MROUND(T43*'Fuel &amp; Inputs'!$C$20*'Fuel &amp; Inputs'!$C$22,500)</f>
        <v>455000</v>
      </c>
    </row>
    <row r="44" customFormat="false" ht="15" hidden="false" customHeight="false" outlineLevel="0" collapsed="false">
      <c r="A44" s="17" t="n">
        <v>37</v>
      </c>
      <c r="B44" s="32" t="s">
        <v>72</v>
      </c>
      <c r="C44" s="32" t="s">
        <v>259</v>
      </c>
      <c r="D44" s="32" t="s">
        <v>260</v>
      </c>
      <c r="E44" s="17" t="s">
        <v>174</v>
      </c>
      <c r="F44" s="17" t="s">
        <v>261</v>
      </c>
      <c r="G44" s="17" t="s">
        <v>262</v>
      </c>
      <c r="H44" s="17" t="s">
        <v>153</v>
      </c>
      <c r="I44" s="17" t="s">
        <v>154</v>
      </c>
      <c r="J44" s="19" t="n">
        <v>7.9</v>
      </c>
      <c r="K44" s="19" t="n">
        <v>11</v>
      </c>
      <c r="L44" s="19" t="n">
        <v>14.9</v>
      </c>
      <c r="M44" s="33" t="n">
        <v>1.07</v>
      </c>
      <c r="N44" s="20" t="n">
        <f aca="false">IF(J44=0,0,IF($I44="L/km",MROUND(J44*$M44*IF($H44="Petrol",'Fuel &amp; Inputs'!$C$5,'Fuel &amp; Inputs'!$C$4),1),MROUND(J44*$M44*IF($H44="Petrol",'Fuel &amp; Inputs'!$C$5,'Fuel &amp; Inputs'!$C$4),10)))</f>
        <v>3230</v>
      </c>
      <c r="O44" s="20" t="n">
        <f aca="false">IF(K44=0,0,IF($I44="L/km",MROUND(K44*$M44*IF($H44="Petrol",'Fuel &amp; Inputs'!$C$5,'Fuel &amp; Inputs'!$C$4),1),MROUND(K44*$M44*IF($H44="Petrol",'Fuel &amp; Inputs'!$C$5,'Fuel &amp; Inputs'!$C$4),10)))</f>
        <v>4500</v>
      </c>
      <c r="P44" s="20" t="n">
        <f aca="false">IF(L44=0,0,IF($I44="L/km",MROUND(L44*$M44*IF($H44="Petrol",'Fuel &amp; Inputs'!$C$5,'Fuel &amp; Inputs'!$C$4),1),MROUND(L44*$M44*IF($H44="Petrol",'Fuel &amp; Inputs'!$C$5,'Fuel &amp; Inputs'!$C$4),10)))</f>
        <v>6090</v>
      </c>
      <c r="Q44" s="17" t="s">
        <v>155</v>
      </c>
      <c r="R44" s="21" t="n">
        <v>2250</v>
      </c>
      <c r="S44" s="20" t="n">
        <f aca="false">MROUND(R44+'Fuel &amp; Inputs'!$C$13,50)</f>
        <v>3050</v>
      </c>
      <c r="T44" s="21" t="n">
        <v>4460</v>
      </c>
      <c r="U44" s="20" t="n">
        <f aca="false">MROUND(R44*'Fuel &amp; Inputs'!$C$19*'Fuel &amp; Inputs'!$C$21,100)</f>
        <v>8600</v>
      </c>
      <c r="V44" s="20" t="n">
        <f aca="false">MROUND(S44*'Fuel &amp; Inputs'!$C$19*'Fuel &amp; Inputs'!$C$21,100)</f>
        <v>11600</v>
      </c>
      <c r="W44" s="20" t="n">
        <f aca="false">MROUND(T44*'Fuel &amp; Inputs'!$C$19*'Fuel &amp; Inputs'!$C$21,100)</f>
        <v>16900</v>
      </c>
      <c r="X44" s="20" t="n">
        <f aca="false">MROUND(R44*'Fuel &amp; Inputs'!$C$20*'Fuel &amp; Inputs'!$C$22,500)</f>
        <v>229500</v>
      </c>
      <c r="Y44" s="20" t="n">
        <f aca="false">MROUND(S44*'Fuel &amp; Inputs'!$C$20*'Fuel &amp; Inputs'!$C$22,500)</f>
        <v>311000</v>
      </c>
      <c r="Z44" s="20" t="n">
        <f aca="false">MROUND(T44*'Fuel &amp; Inputs'!$C$20*'Fuel &amp; Inputs'!$C$22,500)</f>
        <v>455000</v>
      </c>
    </row>
    <row r="45" customFormat="false" ht="15" hidden="false" customHeight="false" outlineLevel="0" collapsed="false">
      <c r="A45" s="23" t="n">
        <v>38</v>
      </c>
      <c r="B45" s="34" t="s">
        <v>72</v>
      </c>
      <c r="C45" s="34" t="s">
        <v>259</v>
      </c>
      <c r="D45" s="34" t="s">
        <v>260</v>
      </c>
      <c r="E45" s="23" t="s">
        <v>174</v>
      </c>
      <c r="F45" s="23" t="s">
        <v>263</v>
      </c>
      <c r="G45" s="23" t="s">
        <v>264</v>
      </c>
      <c r="H45" s="23" t="s">
        <v>153</v>
      </c>
      <c r="I45" s="23" t="s">
        <v>154</v>
      </c>
      <c r="J45" s="25" t="n">
        <v>7.9</v>
      </c>
      <c r="K45" s="25" t="n">
        <v>11</v>
      </c>
      <c r="L45" s="25" t="n">
        <v>14.9</v>
      </c>
      <c r="M45" s="35" t="n">
        <v>1.07</v>
      </c>
      <c r="N45" s="26" t="n">
        <f aca="false">IF(J45=0,0,IF($I45="L/km",MROUND(J45*$M45*IF($H45="Petrol",'Fuel &amp; Inputs'!$C$5,'Fuel &amp; Inputs'!$C$4),1),MROUND(J45*$M45*IF($H45="Petrol",'Fuel &amp; Inputs'!$C$5,'Fuel &amp; Inputs'!$C$4),10)))</f>
        <v>3230</v>
      </c>
      <c r="O45" s="26" t="n">
        <f aca="false">IF(K45=0,0,IF($I45="L/km",MROUND(K45*$M45*IF($H45="Petrol",'Fuel &amp; Inputs'!$C$5,'Fuel &amp; Inputs'!$C$4),1),MROUND(K45*$M45*IF($H45="Petrol",'Fuel &amp; Inputs'!$C$5,'Fuel &amp; Inputs'!$C$4),10)))</f>
        <v>4500</v>
      </c>
      <c r="P45" s="26" t="n">
        <f aca="false">IF(L45=0,0,IF($I45="L/km",MROUND(L45*$M45*IF($H45="Petrol",'Fuel &amp; Inputs'!$C$5,'Fuel &amp; Inputs'!$C$4),1),MROUND(L45*$M45*IF($H45="Petrol",'Fuel &amp; Inputs'!$C$5,'Fuel &amp; Inputs'!$C$4),10)))</f>
        <v>6090</v>
      </c>
      <c r="Q45" s="23" t="s">
        <v>155</v>
      </c>
      <c r="R45" s="27" t="n">
        <v>2250</v>
      </c>
      <c r="S45" s="26" t="n">
        <f aca="false">MROUND(R45+'Fuel &amp; Inputs'!$C$13,50)</f>
        <v>3050</v>
      </c>
      <c r="T45" s="27" t="n">
        <v>4460</v>
      </c>
      <c r="U45" s="26" t="n">
        <f aca="false">MROUND(R45*'Fuel &amp; Inputs'!$C$19*'Fuel &amp; Inputs'!$C$21,100)</f>
        <v>8600</v>
      </c>
      <c r="V45" s="26" t="n">
        <f aca="false">MROUND(S45*'Fuel &amp; Inputs'!$C$19*'Fuel &amp; Inputs'!$C$21,100)</f>
        <v>11600</v>
      </c>
      <c r="W45" s="26" t="n">
        <f aca="false">MROUND(T45*'Fuel &amp; Inputs'!$C$19*'Fuel &amp; Inputs'!$C$21,100)</f>
        <v>16900</v>
      </c>
      <c r="X45" s="26" t="n">
        <f aca="false">MROUND(R45*'Fuel &amp; Inputs'!$C$20*'Fuel &amp; Inputs'!$C$22,500)</f>
        <v>229500</v>
      </c>
      <c r="Y45" s="26" t="n">
        <f aca="false">MROUND(S45*'Fuel &amp; Inputs'!$C$20*'Fuel &amp; Inputs'!$C$22,500)</f>
        <v>311000</v>
      </c>
      <c r="Z45" s="26" t="n">
        <f aca="false">MROUND(T45*'Fuel &amp; Inputs'!$C$20*'Fuel &amp; Inputs'!$C$22,500)</f>
        <v>455000</v>
      </c>
    </row>
    <row r="46" customFormat="false" ht="15" hidden="false" customHeight="false" outlineLevel="0" collapsed="false">
      <c r="A46" s="17" t="n">
        <v>39</v>
      </c>
      <c r="B46" s="32" t="s">
        <v>72</v>
      </c>
      <c r="C46" s="32" t="s">
        <v>249</v>
      </c>
      <c r="D46" s="32" t="s">
        <v>254</v>
      </c>
      <c r="E46" s="17" t="s">
        <v>174</v>
      </c>
      <c r="F46" s="17" t="s">
        <v>265</v>
      </c>
      <c r="G46" s="17" t="s">
        <v>266</v>
      </c>
      <c r="H46" s="17" t="s">
        <v>153</v>
      </c>
      <c r="I46" s="17" t="s">
        <v>154</v>
      </c>
      <c r="J46" s="19" t="n">
        <v>9.4</v>
      </c>
      <c r="K46" s="19" t="n">
        <v>13</v>
      </c>
      <c r="L46" s="19" t="n">
        <v>17.6</v>
      </c>
      <c r="M46" s="33" t="n">
        <v>1.07</v>
      </c>
      <c r="N46" s="20" t="n">
        <f aca="false">IF(J46=0,0,IF($I46="L/km",MROUND(J46*$M46*IF($H46="Petrol",'Fuel &amp; Inputs'!$C$5,'Fuel &amp; Inputs'!$C$4),1),MROUND(J46*$M46*IF($H46="Petrol",'Fuel &amp; Inputs'!$C$5,'Fuel &amp; Inputs'!$C$4),10)))</f>
        <v>3840</v>
      </c>
      <c r="O46" s="20" t="n">
        <f aca="false">IF(K46=0,0,IF($I46="L/km",MROUND(K46*$M46*IF($H46="Petrol",'Fuel &amp; Inputs'!$C$5,'Fuel &amp; Inputs'!$C$4),1),MROUND(K46*$M46*IF($H46="Petrol",'Fuel &amp; Inputs'!$C$5,'Fuel &amp; Inputs'!$C$4),10)))</f>
        <v>5310</v>
      </c>
      <c r="P46" s="20" t="n">
        <f aca="false">IF(L46=0,0,IF($I46="L/km",MROUND(L46*$M46*IF($H46="Petrol",'Fuel &amp; Inputs'!$C$5,'Fuel &amp; Inputs'!$C$4),1),MROUND(L46*$M46*IF($H46="Petrol",'Fuel &amp; Inputs'!$C$5,'Fuel &amp; Inputs'!$C$4),10)))</f>
        <v>7190</v>
      </c>
      <c r="Q46" s="17" t="s">
        <v>155</v>
      </c>
      <c r="R46" s="21" t="n">
        <v>2250</v>
      </c>
      <c r="S46" s="20" t="n">
        <f aca="false">MROUND(R46+'Fuel &amp; Inputs'!$C$13,50)</f>
        <v>3050</v>
      </c>
      <c r="T46" s="21" t="n">
        <v>4460</v>
      </c>
      <c r="U46" s="20" t="n">
        <f aca="false">MROUND(R46*'Fuel &amp; Inputs'!$C$19*'Fuel &amp; Inputs'!$C$21,100)</f>
        <v>8600</v>
      </c>
      <c r="V46" s="20" t="n">
        <f aca="false">MROUND(S46*'Fuel &amp; Inputs'!$C$19*'Fuel &amp; Inputs'!$C$21,100)</f>
        <v>11600</v>
      </c>
      <c r="W46" s="20" t="n">
        <f aca="false">MROUND(T46*'Fuel &amp; Inputs'!$C$19*'Fuel &amp; Inputs'!$C$21,100)</f>
        <v>16900</v>
      </c>
      <c r="X46" s="20" t="n">
        <f aca="false">MROUND(R46*'Fuel &amp; Inputs'!$C$20*'Fuel &amp; Inputs'!$C$22,500)</f>
        <v>229500</v>
      </c>
      <c r="Y46" s="20" t="n">
        <f aca="false">MROUND(S46*'Fuel &amp; Inputs'!$C$20*'Fuel &amp; Inputs'!$C$22,500)</f>
        <v>311000</v>
      </c>
      <c r="Z46" s="20" t="n">
        <f aca="false">MROUND(T46*'Fuel &amp; Inputs'!$C$20*'Fuel &amp; Inputs'!$C$22,500)</f>
        <v>455000</v>
      </c>
    </row>
    <row r="47" customFormat="false" ht="15" hidden="false" customHeight="false" outlineLevel="0" collapsed="false">
      <c r="A47" s="23" t="n">
        <v>40</v>
      </c>
      <c r="B47" s="34" t="s">
        <v>72</v>
      </c>
      <c r="C47" s="34" t="s">
        <v>249</v>
      </c>
      <c r="D47" s="34" t="s">
        <v>254</v>
      </c>
      <c r="E47" s="23" t="s">
        <v>174</v>
      </c>
      <c r="F47" s="23" t="s">
        <v>267</v>
      </c>
      <c r="G47" s="23" t="s">
        <v>268</v>
      </c>
      <c r="H47" s="23" t="s">
        <v>153</v>
      </c>
      <c r="I47" s="23" t="s">
        <v>154</v>
      </c>
      <c r="J47" s="25" t="n">
        <v>9.4</v>
      </c>
      <c r="K47" s="25" t="n">
        <v>13</v>
      </c>
      <c r="L47" s="25" t="n">
        <v>17.6</v>
      </c>
      <c r="M47" s="35" t="n">
        <v>1.07</v>
      </c>
      <c r="N47" s="26" t="n">
        <f aca="false">IF(J47=0,0,IF($I47="L/km",MROUND(J47*$M47*IF($H47="Petrol",'Fuel &amp; Inputs'!$C$5,'Fuel &amp; Inputs'!$C$4),1),MROUND(J47*$M47*IF($H47="Petrol",'Fuel &amp; Inputs'!$C$5,'Fuel &amp; Inputs'!$C$4),10)))</f>
        <v>3840</v>
      </c>
      <c r="O47" s="26" t="n">
        <f aca="false">IF(K47=0,0,IF($I47="L/km",MROUND(K47*$M47*IF($H47="Petrol",'Fuel &amp; Inputs'!$C$5,'Fuel &amp; Inputs'!$C$4),1),MROUND(K47*$M47*IF($H47="Petrol",'Fuel &amp; Inputs'!$C$5,'Fuel &amp; Inputs'!$C$4),10)))</f>
        <v>5310</v>
      </c>
      <c r="P47" s="26" t="n">
        <f aca="false">IF(L47=0,0,IF($I47="L/km",MROUND(L47*$M47*IF($H47="Petrol",'Fuel &amp; Inputs'!$C$5,'Fuel &amp; Inputs'!$C$4),1),MROUND(L47*$M47*IF($H47="Petrol",'Fuel &amp; Inputs'!$C$5,'Fuel &amp; Inputs'!$C$4),10)))</f>
        <v>7190</v>
      </c>
      <c r="Q47" s="23" t="s">
        <v>155</v>
      </c>
      <c r="R47" s="27" t="n">
        <v>2250</v>
      </c>
      <c r="S47" s="26" t="n">
        <f aca="false">MROUND(R47+'Fuel &amp; Inputs'!$C$13,50)</f>
        <v>3050</v>
      </c>
      <c r="T47" s="27" t="n">
        <v>4460</v>
      </c>
      <c r="U47" s="26" t="n">
        <f aca="false">MROUND(R47*'Fuel &amp; Inputs'!$C$19*'Fuel &amp; Inputs'!$C$21,100)</f>
        <v>8600</v>
      </c>
      <c r="V47" s="26" t="n">
        <f aca="false">MROUND(S47*'Fuel &amp; Inputs'!$C$19*'Fuel &amp; Inputs'!$C$21,100)</f>
        <v>11600</v>
      </c>
      <c r="W47" s="26" t="n">
        <f aca="false">MROUND(T47*'Fuel &amp; Inputs'!$C$19*'Fuel &amp; Inputs'!$C$21,100)</f>
        <v>16900</v>
      </c>
      <c r="X47" s="26" t="n">
        <f aca="false">MROUND(R47*'Fuel &amp; Inputs'!$C$20*'Fuel &amp; Inputs'!$C$22,500)</f>
        <v>229500</v>
      </c>
      <c r="Y47" s="26" t="n">
        <f aca="false">MROUND(S47*'Fuel &amp; Inputs'!$C$20*'Fuel &amp; Inputs'!$C$22,500)</f>
        <v>311000</v>
      </c>
      <c r="Z47" s="26" t="n">
        <f aca="false">MROUND(T47*'Fuel &amp; Inputs'!$C$20*'Fuel &amp; Inputs'!$C$22,500)</f>
        <v>455000</v>
      </c>
    </row>
    <row r="48" customFormat="false" ht="15" hidden="false" customHeight="false" outlineLevel="0" collapsed="false">
      <c r="A48" s="17" t="n">
        <v>41</v>
      </c>
      <c r="B48" s="32" t="s">
        <v>72</v>
      </c>
      <c r="C48" s="32" t="s">
        <v>249</v>
      </c>
      <c r="D48" s="32" t="s">
        <v>254</v>
      </c>
      <c r="E48" s="17" t="s">
        <v>251</v>
      </c>
      <c r="F48" s="17" t="s">
        <v>269</v>
      </c>
      <c r="G48" s="17" t="s">
        <v>270</v>
      </c>
      <c r="H48" s="17" t="s">
        <v>153</v>
      </c>
      <c r="I48" s="17" t="s">
        <v>154</v>
      </c>
      <c r="J48" s="19" t="n">
        <v>9.4</v>
      </c>
      <c r="K48" s="19" t="n">
        <v>13</v>
      </c>
      <c r="L48" s="19" t="n">
        <v>17.6</v>
      </c>
      <c r="M48" s="33" t="n">
        <v>1.063</v>
      </c>
      <c r="N48" s="20" t="n">
        <f aca="false">IF(J48=0,0,IF($I48="L/km",MROUND(J48*$M48*IF($H48="Petrol",'Fuel &amp; Inputs'!$C$5,'Fuel &amp; Inputs'!$C$4),1),MROUND(J48*$M48*IF($H48="Petrol",'Fuel &amp; Inputs'!$C$5,'Fuel &amp; Inputs'!$C$4),10)))</f>
        <v>3820</v>
      </c>
      <c r="O48" s="20" t="n">
        <f aca="false">IF(K48=0,0,IF($I48="L/km",MROUND(K48*$M48*IF($H48="Petrol",'Fuel &amp; Inputs'!$C$5,'Fuel &amp; Inputs'!$C$4),1),MROUND(K48*$M48*IF($H48="Petrol",'Fuel &amp; Inputs'!$C$5,'Fuel &amp; Inputs'!$C$4),10)))</f>
        <v>5280</v>
      </c>
      <c r="P48" s="20" t="n">
        <f aca="false">IF(L48=0,0,IF($I48="L/km",MROUND(L48*$M48*IF($H48="Petrol",'Fuel &amp; Inputs'!$C$5,'Fuel &amp; Inputs'!$C$4),1),MROUND(L48*$M48*IF($H48="Petrol",'Fuel &amp; Inputs'!$C$5,'Fuel &amp; Inputs'!$C$4),10)))</f>
        <v>7150</v>
      </c>
      <c r="Q48" s="17" t="s">
        <v>155</v>
      </c>
      <c r="R48" s="21" t="n">
        <v>2250</v>
      </c>
      <c r="S48" s="20" t="n">
        <f aca="false">MROUND(R48+'Fuel &amp; Inputs'!$C$13,50)</f>
        <v>3050</v>
      </c>
      <c r="T48" s="21" t="n">
        <v>4460</v>
      </c>
      <c r="U48" s="20" t="n">
        <f aca="false">MROUND(R48*'Fuel &amp; Inputs'!$C$19*'Fuel &amp; Inputs'!$C$21,100)</f>
        <v>8600</v>
      </c>
      <c r="V48" s="20" t="n">
        <f aca="false">MROUND(S48*'Fuel &amp; Inputs'!$C$19*'Fuel &amp; Inputs'!$C$21,100)</f>
        <v>11600</v>
      </c>
      <c r="W48" s="20" t="n">
        <f aca="false">MROUND(T48*'Fuel &amp; Inputs'!$C$19*'Fuel &amp; Inputs'!$C$21,100)</f>
        <v>16900</v>
      </c>
      <c r="X48" s="20" t="n">
        <f aca="false">MROUND(R48*'Fuel &amp; Inputs'!$C$20*'Fuel &amp; Inputs'!$C$22,500)</f>
        <v>229500</v>
      </c>
      <c r="Y48" s="20" t="n">
        <f aca="false">MROUND(S48*'Fuel &amp; Inputs'!$C$20*'Fuel &amp; Inputs'!$C$22,500)</f>
        <v>311000</v>
      </c>
      <c r="Z48" s="20" t="n">
        <f aca="false">MROUND(T48*'Fuel &amp; Inputs'!$C$20*'Fuel &amp; Inputs'!$C$22,500)</f>
        <v>455000</v>
      </c>
    </row>
    <row r="49" customFormat="false" ht="23.85" hidden="false" customHeight="false" outlineLevel="0" collapsed="false">
      <c r="A49" s="23" t="n">
        <v>42</v>
      </c>
      <c r="B49" s="34" t="s">
        <v>72</v>
      </c>
      <c r="C49" s="34" t="s">
        <v>271</v>
      </c>
      <c r="D49" s="34" t="s">
        <v>272</v>
      </c>
      <c r="E49" s="23" t="s">
        <v>171</v>
      </c>
      <c r="F49" s="23" t="s">
        <v>273</v>
      </c>
      <c r="G49" s="23" t="s">
        <v>274</v>
      </c>
      <c r="H49" s="23" t="s">
        <v>153</v>
      </c>
      <c r="I49" s="23" t="s">
        <v>154</v>
      </c>
      <c r="J49" s="25" t="n">
        <v>7.9</v>
      </c>
      <c r="K49" s="25" t="n">
        <v>11</v>
      </c>
      <c r="L49" s="25" t="n">
        <v>14.9</v>
      </c>
      <c r="M49" s="35" t="n">
        <v>1.077</v>
      </c>
      <c r="N49" s="26" t="n">
        <f aca="false">IF(J49=0,0,IF($I49="L/km",MROUND(J49*$M49*IF($H49="Petrol",'Fuel &amp; Inputs'!$C$5,'Fuel &amp; Inputs'!$C$4),1),MROUND(J49*$M49*IF($H49="Petrol",'Fuel &amp; Inputs'!$C$5,'Fuel &amp; Inputs'!$C$4),10)))</f>
        <v>3250</v>
      </c>
      <c r="O49" s="26" t="n">
        <f aca="false">IF(K49=0,0,IF($I49="L/km",MROUND(K49*$M49*IF($H49="Petrol",'Fuel &amp; Inputs'!$C$5,'Fuel &amp; Inputs'!$C$4),1),MROUND(K49*$M49*IF($H49="Petrol",'Fuel &amp; Inputs'!$C$5,'Fuel &amp; Inputs'!$C$4),10)))</f>
        <v>4530</v>
      </c>
      <c r="P49" s="26" t="n">
        <f aca="false">IF(L49=0,0,IF($I49="L/km",MROUND(L49*$M49*IF($H49="Petrol",'Fuel &amp; Inputs'!$C$5,'Fuel &amp; Inputs'!$C$4),1),MROUND(L49*$M49*IF($H49="Petrol",'Fuel &amp; Inputs'!$C$5,'Fuel &amp; Inputs'!$C$4),10)))</f>
        <v>6130</v>
      </c>
      <c r="Q49" s="23" t="s">
        <v>155</v>
      </c>
      <c r="R49" s="27" t="n">
        <v>2250</v>
      </c>
      <c r="S49" s="26" t="n">
        <f aca="false">MROUND(R49+'Fuel &amp; Inputs'!$C$13,50)</f>
        <v>3050</v>
      </c>
      <c r="T49" s="27" t="n">
        <v>4460</v>
      </c>
      <c r="U49" s="26" t="n">
        <f aca="false">MROUND(R49*'Fuel &amp; Inputs'!$C$19*'Fuel &amp; Inputs'!$C$21,100)</f>
        <v>8600</v>
      </c>
      <c r="V49" s="26" t="n">
        <f aca="false">MROUND(S49*'Fuel &amp; Inputs'!$C$19*'Fuel &amp; Inputs'!$C$21,100)</f>
        <v>11600</v>
      </c>
      <c r="W49" s="26" t="n">
        <f aca="false">MROUND(T49*'Fuel &amp; Inputs'!$C$19*'Fuel &amp; Inputs'!$C$21,100)</f>
        <v>16900</v>
      </c>
      <c r="X49" s="26" t="n">
        <f aca="false">MROUND(R49*'Fuel &amp; Inputs'!$C$20*'Fuel &amp; Inputs'!$C$22,500)</f>
        <v>229500</v>
      </c>
      <c r="Y49" s="26" t="n">
        <f aca="false">MROUND(S49*'Fuel &amp; Inputs'!$C$20*'Fuel &amp; Inputs'!$C$22,500)</f>
        <v>311000</v>
      </c>
      <c r="Z49" s="26" t="n">
        <f aca="false">MROUND(T49*'Fuel &amp; Inputs'!$C$20*'Fuel &amp; Inputs'!$C$22,500)</f>
        <v>455000</v>
      </c>
    </row>
    <row r="50" customFormat="false" ht="23.85" hidden="false" customHeight="false" outlineLevel="0" collapsed="false">
      <c r="A50" s="17" t="n">
        <v>43</v>
      </c>
      <c r="B50" s="32" t="s">
        <v>72</v>
      </c>
      <c r="C50" s="32" t="s">
        <v>275</v>
      </c>
      <c r="D50" s="32" t="s">
        <v>276</v>
      </c>
      <c r="E50" s="17" t="s">
        <v>277</v>
      </c>
      <c r="F50" s="17" t="s">
        <v>278</v>
      </c>
      <c r="G50" s="17" t="s">
        <v>279</v>
      </c>
      <c r="H50" s="17" t="s">
        <v>153</v>
      </c>
      <c r="I50" s="17" t="s">
        <v>154</v>
      </c>
      <c r="J50" s="19" t="n">
        <v>5.8</v>
      </c>
      <c r="K50" s="19" t="n">
        <v>8</v>
      </c>
      <c r="L50" s="19" t="n">
        <v>10.8</v>
      </c>
      <c r="M50" s="33" t="n">
        <v>1.161</v>
      </c>
      <c r="N50" s="20" t="n">
        <f aca="false">IF(J50=0,0,IF($I50="L/km",MROUND(J50*$M50*IF($H50="Petrol",'Fuel &amp; Inputs'!$C$5,'Fuel &amp; Inputs'!$C$4),1),MROUND(J50*$M50*IF($H50="Petrol",'Fuel &amp; Inputs'!$C$5,'Fuel &amp; Inputs'!$C$4),10)))</f>
        <v>2570</v>
      </c>
      <c r="O50" s="20" t="n">
        <f aca="false">IF(K50=0,0,IF($I50="L/km",MROUND(K50*$M50*IF($H50="Petrol",'Fuel &amp; Inputs'!$C$5,'Fuel &amp; Inputs'!$C$4),1),MROUND(K50*$M50*IF($H50="Petrol",'Fuel &amp; Inputs'!$C$5,'Fuel &amp; Inputs'!$C$4),10)))</f>
        <v>3550</v>
      </c>
      <c r="P50" s="20" t="n">
        <f aca="false">IF(L50=0,0,IF($I50="L/km",MROUND(L50*$M50*IF($H50="Petrol",'Fuel &amp; Inputs'!$C$5,'Fuel &amp; Inputs'!$C$4),1),MROUND(L50*$M50*IF($H50="Petrol",'Fuel &amp; Inputs'!$C$5,'Fuel &amp; Inputs'!$C$4),10)))</f>
        <v>4790</v>
      </c>
      <c r="Q50" s="17" t="s">
        <v>155</v>
      </c>
      <c r="R50" s="21" t="n">
        <v>1590</v>
      </c>
      <c r="S50" s="20" t="n">
        <f aca="false">MROUND(R50+'Fuel &amp; Inputs'!$C$13,50)</f>
        <v>2400</v>
      </c>
      <c r="T50" s="21" t="n">
        <v>3150</v>
      </c>
      <c r="U50" s="20" t="n">
        <f aca="false">MROUND(R50*'Fuel &amp; Inputs'!$C$19*'Fuel &amp; Inputs'!$C$21,100)</f>
        <v>6000</v>
      </c>
      <c r="V50" s="20" t="n">
        <f aca="false">MROUND(S50*'Fuel &amp; Inputs'!$C$19*'Fuel &amp; Inputs'!$C$21,100)</f>
        <v>9100</v>
      </c>
      <c r="W50" s="20" t="n">
        <f aca="false">MROUND(T50*'Fuel &amp; Inputs'!$C$19*'Fuel &amp; Inputs'!$C$21,100)</f>
        <v>12000</v>
      </c>
      <c r="X50" s="20" t="n">
        <f aca="false">MROUND(R50*'Fuel &amp; Inputs'!$C$20*'Fuel &amp; Inputs'!$C$22,500)</f>
        <v>162000</v>
      </c>
      <c r="Y50" s="20" t="n">
        <f aca="false">MROUND(S50*'Fuel &amp; Inputs'!$C$20*'Fuel &amp; Inputs'!$C$22,500)</f>
        <v>245000</v>
      </c>
      <c r="Z50" s="20" t="n">
        <f aca="false">MROUND(T50*'Fuel &amp; Inputs'!$C$20*'Fuel &amp; Inputs'!$C$22,500)</f>
        <v>321500</v>
      </c>
    </row>
    <row r="51" customFormat="false" ht="23.85" hidden="false" customHeight="false" outlineLevel="0" collapsed="false">
      <c r="A51" s="23" t="n">
        <v>44</v>
      </c>
      <c r="B51" s="34" t="s">
        <v>72</v>
      </c>
      <c r="C51" s="34" t="s">
        <v>280</v>
      </c>
      <c r="D51" s="34" t="s">
        <v>281</v>
      </c>
      <c r="E51" s="23" t="s">
        <v>282</v>
      </c>
      <c r="F51" s="23" t="s">
        <v>283</v>
      </c>
      <c r="G51" s="23" t="s">
        <v>284</v>
      </c>
      <c r="H51" s="23" t="s">
        <v>153</v>
      </c>
      <c r="I51" s="23" t="s">
        <v>154</v>
      </c>
      <c r="J51" s="25" t="n">
        <v>5.8</v>
      </c>
      <c r="K51" s="25" t="n">
        <v>8</v>
      </c>
      <c r="L51" s="25" t="n">
        <v>10.8</v>
      </c>
      <c r="M51" s="35" t="n">
        <v>1.175</v>
      </c>
      <c r="N51" s="26" t="n">
        <f aca="false">IF(J51=0,0,IF($I51="L/km",MROUND(J51*$M51*IF($H51="Petrol",'Fuel &amp; Inputs'!$C$5,'Fuel &amp; Inputs'!$C$4),1),MROUND(J51*$M51*IF($H51="Petrol",'Fuel &amp; Inputs'!$C$5,'Fuel &amp; Inputs'!$C$4),10)))</f>
        <v>2600</v>
      </c>
      <c r="O51" s="26" t="n">
        <f aca="false">IF(K51=0,0,IF($I51="L/km",MROUND(K51*$M51*IF($H51="Petrol",'Fuel &amp; Inputs'!$C$5,'Fuel &amp; Inputs'!$C$4),1),MROUND(K51*$M51*IF($H51="Petrol",'Fuel &amp; Inputs'!$C$5,'Fuel &amp; Inputs'!$C$4),10)))</f>
        <v>3590</v>
      </c>
      <c r="P51" s="26" t="n">
        <f aca="false">IF(L51=0,0,IF($I51="L/km",MROUND(L51*$M51*IF($H51="Petrol",'Fuel &amp; Inputs'!$C$5,'Fuel &amp; Inputs'!$C$4),1),MROUND(L51*$M51*IF($H51="Petrol",'Fuel &amp; Inputs'!$C$5,'Fuel &amp; Inputs'!$C$4),10)))</f>
        <v>4850</v>
      </c>
      <c r="Q51" s="23" t="s">
        <v>155</v>
      </c>
      <c r="R51" s="27" t="n">
        <v>1590</v>
      </c>
      <c r="S51" s="26" t="n">
        <f aca="false">MROUND(R51+'Fuel &amp; Inputs'!$C$13,50)</f>
        <v>2400</v>
      </c>
      <c r="T51" s="27" t="n">
        <v>3150</v>
      </c>
      <c r="U51" s="26" t="n">
        <f aca="false">MROUND(R51*'Fuel &amp; Inputs'!$C$19*'Fuel &amp; Inputs'!$C$21,100)</f>
        <v>6000</v>
      </c>
      <c r="V51" s="26" t="n">
        <f aca="false">MROUND(S51*'Fuel &amp; Inputs'!$C$19*'Fuel &amp; Inputs'!$C$21,100)</f>
        <v>9100</v>
      </c>
      <c r="W51" s="26" t="n">
        <f aca="false">MROUND(T51*'Fuel &amp; Inputs'!$C$19*'Fuel &amp; Inputs'!$C$21,100)</f>
        <v>12000</v>
      </c>
      <c r="X51" s="26" t="n">
        <f aca="false">MROUND(R51*'Fuel &amp; Inputs'!$C$20*'Fuel &amp; Inputs'!$C$22,500)</f>
        <v>162000</v>
      </c>
      <c r="Y51" s="26" t="n">
        <f aca="false">MROUND(S51*'Fuel &amp; Inputs'!$C$20*'Fuel &amp; Inputs'!$C$22,500)</f>
        <v>245000</v>
      </c>
      <c r="Z51" s="26" t="n">
        <f aca="false">MROUND(T51*'Fuel &amp; Inputs'!$C$20*'Fuel &amp; Inputs'!$C$22,500)</f>
        <v>321500</v>
      </c>
    </row>
    <row r="52" customFormat="false" ht="15" hidden="false" customHeight="false" outlineLevel="0" collapsed="false">
      <c r="A52" s="17" t="n">
        <v>45</v>
      </c>
      <c r="B52" s="32" t="s">
        <v>72</v>
      </c>
      <c r="C52" s="32" t="s">
        <v>280</v>
      </c>
      <c r="D52" s="32" t="s">
        <v>285</v>
      </c>
      <c r="E52" s="17" t="s">
        <v>286</v>
      </c>
      <c r="F52" s="17" t="s">
        <v>287</v>
      </c>
      <c r="G52" s="17" t="s">
        <v>288</v>
      </c>
      <c r="H52" s="17" t="s">
        <v>153</v>
      </c>
      <c r="I52" s="17" t="s">
        <v>154</v>
      </c>
      <c r="J52" s="19" t="n">
        <v>5.8</v>
      </c>
      <c r="K52" s="19" t="n">
        <v>8</v>
      </c>
      <c r="L52" s="19" t="n">
        <v>10.8</v>
      </c>
      <c r="M52" s="33" t="n">
        <v>1.175</v>
      </c>
      <c r="N52" s="20" t="n">
        <f aca="false">IF(J52=0,0,IF($I52="L/km",MROUND(J52*$M52*IF($H52="Petrol",'Fuel &amp; Inputs'!$C$5,'Fuel &amp; Inputs'!$C$4),1),MROUND(J52*$M52*IF($H52="Petrol",'Fuel &amp; Inputs'!$C$5,'Fuel &amp; Inputs'!$C$4),10)))</f>
        <v>2600</v>
      </c>
      <c r="O52" s="20" t="n">
        <f aca="false">IF(K52=0,0,IF($I52="L/km",MROUND(K52*$M52*IF($H52="Petrol",'Fuel &amp; Inputs'!$C$5,'Fuel &amp; Inputs'!$C$4),1),MROUND(K52*$M52*IF($H52="Petrol",'Fuel &amp; Inputs'!$C$5,'Fuel &amp; Inputs'!$C$4),10)))</f>
        <v>3590</v>
      </c>
      <c r="P52" s="20" t="n">
        <f aca="false">IF(L52=0,0,IF($I52="L/km",MROUND(L52*$M52*IF($H52="Petrol",'Fuel &amp; Inputs'!$C$5,'Fuel &amp; Inputs'!$C$4),1),MROUND(L52*$M52*IF($H52="Petrol",'Fuel &amp; Inputs'!$C$5,'Fuel &amp; Inputs'!$C$4),10)))</f>
        <v>4850</v>
      </c>
      <c r="Q52" s="17" t="s">
        <v>155</v>
      </c>
      <c r="R52" s="21" t="n">
        <v>1420</v>
      </c>
      <c r="S52" s="20" t="n">
        <f aca="false">MROUND(R52+'Fuel &amp; Inputs'!$C$13,50)</f>
        <v>2200</v>
      </c>
      <c r="T52" s="21" t="n">
        <v>2810</v>
      </c>
      <c r="U52" s="20" t="n">
        <f aca="false">MROUND(R52*'Fuel &amp; Inputs'!$C$19*'Fuel &amp; Inputs'!$C$21,100)</f>
        <v>5400</v>
      </c>
      <c r="V52" s="20" t="n">
        <f aca="false">MROUND(S52*'Fuel &amp; Inputs'!$C$19*'Fuel &amp; Inputs'!$C$21,100)</f>
        <v>8400</v>
      </c>
      <c r="W52" s="20" t="n">
        <f aca="false">MROUND(T52*'Fuel &amp; Inputs'!$C$19*'Fuel &amp; Inputs'!$C$21,100)</f>
        <v>10700</v>
      </c>
      <c r="X52" s="20" t="n">
        <f aca="false">MROUND(R52*'Fuel &amp; Inputs'!$C$20*'Fuel &amp; Inputs'!$C$22,500)</f>
        <v>145000</v>
      </c>
      <c r="Y52" s="20" t="n">
        <f aca="false">MROUND(S52*'Fuel &amp; Inputs'!$C$20*'Fuel &amp; Inputs'!$C$22,500)</f>
        <v>224500</v>
      </c>
      <c r="Z52" s="20" t="n">
        <f aca="false">MROUND(T52*'Fuel &amp; Inputs'!$C$20*'Fuel &amp; Inputs'!$C$22,500)</f>
        <v>286500</v>
      </c>
    </row>
    <row r="53" customFormat="false" ht="15" hidden="false" customHeight="false" outlineLevel="0" collapsed="false">
      <c r="A53" s="23" t="n">
        <v>46</v>
      </c>
      <c r="B53" s="34" t="s">
        <v>72</v>
      </c>
      <c r="C53" s="34" t="s">
        <v>280</v>
      </c>
      <c r="D53" s="34" t="s">
        <v>285</v>
      </c>
      <c r="E53" s="23" t="s">
        <v>286</v>
      </c>
      <c r="F53" s="23" t="s">
        <v>289</v>
      </c>
      <c r="G53" s="23" t="s">
        <v>290</v>
      </c>
      <c r="H53" s="23" t="s">
        <v>153</v>
      </c>
      <c r="I53" s="23" t="s">
        <v>154</v>
      </c>
      <c r="J53" s="25" t="n">
        <v>5.8</v>
      </c>
      <c r="K53" s="25" t="n">
        <v>8</v>
      </c>
      <c r="L53" s="25" t="n">
        <v>10.8</v>
      </c>
      <c r="M53" s="35" t="n">
        <v>1.175</v>
      </c>
      <c r="N53" s="26" t="n">
        <f aca="false">IF(J53=0,0,IF($I53="L/km",MROUND(J53*$M53*IF($H53="Petrol",'Fuel &amp; Inputs'!$C$5,'Fuel &amp; Inputs'!$C$4),1),MROUND(J53*$M53*IF($H53="Petrol",'Fuel &amp; Inputs'!$C$5,'Fuel &amp; Inputs'!$C$4),10)))</f>
        <v>2600</v>
      </c>
      <c r="O53" s="26" t="n">
        <f aca="false">IF(K53=0,0,IF($I53="L/km",MROUND(K53*$M53*IF($H53="Petrol",'Fuel &amp; Inputs'!$C$5,'Fuel &amp; Inputs'!$C$4),1),MROUND(K53*$M53*IF($H53="Petrol",'Fuel &amp; Inputs'!$C$5,'Fuel &amp; Inputs'!$C$4),10)))</f>
        <v>3590</v>
      </c>
      <c r="P53" s="26" t="n">
        <f aca="false">IF(L53=0,0,IF($I53="L/km",MROUND(L53*$M53*IF($H53="Petrol",'Fuel &amp; Inputs'!$C$5,'Fuel &amp; Inputs'!$C$4),1),MROUND(L53*$M53*IF($H53="Petrol",'Fuel &amp; Inputs'!$C$5,'Fuel &amp; Inputs'!$C$4),10)))</f>
        <v>4850</v>
      </c>
      <c r="Q53" s="23" t="s">
        <v>155</v>
      </c>
      <c r="R53" s="27" t="n">
        <v>1420</v>
      </c>
      <c r="S53" s="26" t="n">
        <f aca="false">MROUND(R53+'Fuel &amp; Inputs'!$C$13,50)</f>
        <v>2200</v>
      </c>
      <c r="T53" s="27" t="n">
        <v>2810</v>
      </c>
      <c r="U53" s="26" t="n">
        <f aca="false">MROUND(R53*'Fuel &amp; Inputs'!$C$19*'Fuel &amp; Inputs'!$C$21,100)</f>
        <v>5400</v>
      </c>
      <c r="V53" s="26" t="n">
        <f aca="false">MROUND(S53*'Fuel &amp; Inputs'!$C$19*'Fuel &amp; Inputs'!$C$21,100)</f>
        <v>8400</v>
      </c>
      <c r="W53" s="26" t="n">
        <f aca="false">MROUND(T53*'Fuel &amp; Inputs'!$C$19*'Fuel &amp; Inputs'!$C$21,100)</f>
        <v>10700</v>
      </c>
      <c r="X53" s="26" t="n">
        <f aca="false">MROUND(R53*'Fuel &amp; Inputs'!$C$20*'Fuel &amp; Inputs'!$C$22,500)</f>
        <v>145000</v>
      </c>
      <c r="Y53" s="26" t="n">
        <f aca="false">MROUND(S53*'Fuel &amp; Inputs'!$C$20*'Fuel &amp; Inputs'!$C$22,500)</f>
        <v>224500</v>
      </c>
      <c r="Z53" s="26" t="n">
        <f aca="false">MROUND(T53*'Fuel &amp; Inputs'!$C$20*'Fuel &amp; Inputs'!$C$22,500)</f>
        <v>286500</v>
      </c>
    </row>
    <row r="54" customFormat="false" ht="15" hidden="false" customHeight="false" outlineLevel="0" collapsed="false">
      <c r="A54" s="17" t="n">
        <v>47</v>
      </c>
      <c r="B54" s="32" t="s">
        <v>72</v>
      </c>
      <c r="C54" s="32" t="s">
        <v>275</v>
      </c>
      <c r="D54" s="32" t="s">
        <v>291</v>
      </c>
      <c r="E54" s="17" t="s">
        <v>286</v>
      </c>
      <c r="F54" s="17" t="s">
        <v>292</v>
      </c>
      <c r="G54" s="17" t="s">
        <v>293</v>
      </c>
      <c r="H54" s="17" t="s">
        <v>153</v>
      </c>
      <c r="I54" s="17" t="s">
        <v>154</v>
      </c>
      <c r="J54" s="19" t="n">
        <v>7.2</v>
      </c>
      <c r="K54" s="19" t="n">
        <v>10</v>
      </c>
      <c r="L54" s="19" t="n">
        <v>13.5</v>
      </c>
      <c r="M54" s="33" t="n">
        <v>1.175</v>
      </c>
      <c r="N54" s="20" t="n">
        <f aca="false">IF(J54=0,0,IF($I54="L/km",MROUND(J54*$M54*IF($H54="Petrol",'Fuel &amp; Inputs'!$C$5,'Fuel &amp; Inputs'!$C$4),1),MROUND(J54*$M54*IF($H54="Petrol",'Fuel &amp; Inputs'!$C$5,'Fuel &amp; Inputs'!$C$4),10)))</f>
        <v>3230</v>
      </c>
      <c r="O54" s="20" t="n">
        <f aca="false">IF(K54=0,0,IF($I54="L/km",MROUND(K54*$M54*IF($H54="Petrol",'Fuel &amp; Inputs'!$C$5,'Fuel &amp; Inputs'!$C$4),1),MROUND(K54*$M54*IF($H54="Petrol",'Fuel &amp; Inputs'!$C$5,'Fuel &amp; Inputs'!$C$4),10)))</f>
        <v>4490</v>
      </c>
      <c r="P54" s="20" t="n">
        <f aca="false">IF(L54=0,0,IF($I54="L/km",MROUND(L54*$M54*IF($H54="Petrol",'Fuel &amp; Inputs'!$C$5,'Fuel &amp; Inputs'!$C$4),1),MROUND(L54*$M54*IF($H54="Petrol",'Fuel &amp; Inputs'!$C$5,'Fuel &amp; Inputs'!$C$4),10)))</f>
        <v>6060</v>
      </c>
      <c r="Q54" s="17" t="s">
        <v>155</v>
      </c>
      <c r="R54" s="21" t="n">
        <v>1420</v>
      </c>
      <c r="S54" s="20" t="n">
        <f aca="false">MROUND(R54+'Fuel &amp; Inputs'!$C$13,50)</f>
        <v>2200</v>
      </c>
      <c r="T54" s="21" t="n">
        <v>2810</v>
      </c>
      <c r="U54" s="20" t="n">
        <f aca="false">MROUND(R54*'Fuel &amp; Inputs'!$C$19*'Fuel &amp; Inputs'!$C$21,100)</f>
        <v>5400</v>
      </c>
      <c r="V54" s="20" t="n">
        <f aca="false">MROUND(S54*'Fuel &amp; Inputs'!$C$19*'Fuel &amp; Inputs'!$C$21,100)</f>
        <v>8400</v>
      </c>
      <c r="W54" s="20" t="n">
        <f aca="false">MROUND(T54*'Fuel &amp; Inputs'!$C$19*'Fuel &amp; Inputs'!$C$21,100)</f>
        <v>10700</v>
      </c>
      <c r="X54" s="20" t="n">
        <f aca="false">MROUND(R54*'Fuel &amp; Inputs'!$C$20*'Fuel &amp; Inputs'!$C$22,500)</f>
        <v>145000</v>
      </c>
      <c r="Y54" s="20" t="n">
        <f aca="false">MROUND(S54*'Fuel &amp; Inputs'!$C$20*'Fuel &amp; Inputs'!$C$22,500)</f>
        <v>224500</v>
      </c>
      <c r="Z54" s="20" t="n">
        <f aca="false">MROUND(T54*'Fuel &amp; Inputs'!$C$20*'Fuel &amp; Inputs'!$C$22,500)</f>
        <v>286500</v>
      </c>
    </row>
    <row r="55" customFormat="false" ht="15" hidden="false" customHeight="false" outlineLevel="0" collapsed="false">
      <c r="A55" s="23" t="n">
        <v>48</v>
      </c>
      <c r="B55" s="34" t="s">
        <v>72</v>
      </c>
      <c r="C55" s="34" t="s">
        <v>275</v>
      </c>
      <c r="D55" s="34" t="s">
        <v>294</v>
      </c>
      <c r="E55" s="23" t="s">
        <v>286</v>
      </c>
      <c r="F55" s="23" t="s">
        <v>295</v>
      </c>
      <c r="G55" s="23" t="s">
        <v>296</v>
      </c>
      <c r="H55" s="23" t="s">
        <v>153</v>
      </c>
      <c r="I55" s="23" t="s">
        <v>154</v>
      </c>
      <c r="J55" s="25" t="n">
        <v>5.8</v>
      </c>
      <c r="K55" s="25" t="n">
        <v>8</v>
      </c>
      <c r="L55" s="25" t="n">
        <v>10.8</v>
      </c>
      <c r="M55" s="35" t="n">
        <v>1.175</v>
      </c>
      <c r="N55" s="26" t="n">
        <f aca="false">IF(J55=0,0,IF($I55="L/km",MROUND(J55*$M55*IF($H55="Petrol",'Fuel &amp; Inputs'!$C$5,'Fuel &amp; Inputs'!$C$4),1),MROUND(J55*$M55*IF($H55="Petrol",'Fuel &amp; Inputs'!$C$5,'Fuel &amp; Inputs'!$C$4),10)))</f>
        <v>2600</v>
      </c>
      <c r="O55" s="26" t="n">
        <f aca="false">IF(K55=0,0,IF($I55="L/km",MROUND(K55*$M55*IF($H55="Petrol",'Fuel &amp; Inputs'!$C$5,'Fuel &amp; Inputs'!$C$4),1),MROUND(K55*$M55*IF($H55="Petrol",'Fuel &amp; Inputs'!$C$5,'Fuel &amp; Inputs'!$C$4),10)))</f>
        <v>3590</v>
      </c>
      <c r="P55" s="26" t="n">
        <f aca="false">IF(L55=0,0,IF($I55="L/km",MROUND(L55*$M55*IF($H55="Petrol",'Fuel &amp; Inputs'!$C$5,'Fuel &amp; Inputs'!$C$4),1),MROUND(L55*$M55*IF($H55="Petrol",'Fuel &amp; Inputs'!$C$5,'Fuel &amp; Inputs'!$C$4),10)))</f>
        <v>4850</v>
      </c>
      <c r="Q55" s="23" t="s">
        <v>155</v>
      </c>
      <c r="R55" s="27" t="n">
        <v>1420</v>
      </c>
      <c r="S55" s="26" t="n">
        <f aca="false">MROUND(R55+'Fuel &amp; Inputs'!$C$13,50)</f>
        <v>2200</v>
      </c>
      <c r="T55" s="27" t="n">
        <v>2810</v>
      </c>
      <c r="U55" s="26" t="n">
        <f aca="false">MROUND(R55*'Fuel &amp; Inputs'!$C$19*'Fuel &amp; Inputs'!$C$21,100)</f>
        <v>5400</v>
      </c>
      <c r="V55" s="26" t="n">
        <f aca="false">MROUND(S55*'Fuel &amp; Inputs'!$C$19*'Fuel &amp; Inputs'!$C$21,100)</f>
        <v>8400</v>
      </c>
      <c r="W55" s="26" t="n">
        <f aca="false">MROUND(T55*'Fuel &amp; Inputs'!$C$19*'Fuel &amp; Inputs'!$C$21,100)</f>
        <v>10700</v>
      </c>
      <c r="X55" s="26" t="n">
        <f aca="false">MROUND(R55*'Fuel &amp; Inputs'!$C$20*'Fuel &amp; Inputs'!$C$22,500)</f>
        <v>145000</v>
      </c>
      <c r="Y55" s="26" t="n">
        <f aca="false">MROUND(S55*'Fuel &amp; Inputs'!$C$20*'Fuel &amp; Inputs'!$C$22,500)</f>
        <v>224500</v>
      </c>
      <c r="Z55" s="26" t="n">
        <f aca="false">MROUND(T55*'Fuel &amp; Inputs'!$C$20*'Fuel &amp; Inputs'!$C$22,500)</f>
        <v>286500</v>
      </c>
    </row>
    <row r="56" customFormat="false" ht="15" hidden="false" customHeight="false" outlineLevel="0" collapsed="false">
      <c r="A56" s="17" t="n">
        <v>49</v>
      </c>
      <c r="B56" s="32" t="s">
        <v>72</v>
      </c>
      <c r="C56" s="32" t="s">
        <v>275</v>
      </c>
      <c r="D56" s="32" t="s">
        <v>297</v>
      </c>
      <c r="E56" s="17" t="s">
        <v>298</v>
      </c>
      <c r="F56" s="17" t="s">
        <v>299</v>
      </c>
      <c r="G56" s="17" t="s">
        <v>300</v>
      </c>
      <c r="H56" s="17" t="s">
        <v>153</v>
      </c>
      <c r="I56" s="17" t="s">
        <v>154</v>
      </c>
      <c r="J56" s="19" t="n">
        <v>5.8</v>
      </c>
      <c r="K56" s="19" t="n">
        <v>8</v>
      </c>
      <c r="L56" s="19" t="n">
        <v>10.8</v>
      </c>
      <c r="M56" s="33" t="n">
        <v>1.175</v>
      </c>
      <c r="N56" s="20" t="n">
        <f aca="false">IF(J56=0,0,IF($I56="L/km",MROUND(J56*$M56*IF($H56="Petrol",'Fuel &amp; Inputs'!$C$5,'Fuel &amp; Inputs'!$C$4),1),MROUND(J56*$M56*IF($H56="Petrol",'Fuel &amp; Inputs'!$C$5,'Fuel &amp; Inputs'!$C$4),10)))</f>
        <v>2600</v>
      </c>
      <c r="O56" s="20" t="n">
        <f aca="false">IF(K56=0,0,IF($I56="L/km",MROUND(K56*$M56*IF($H56="Petrol",'Fuel &amp; Inputs'!$C$5,'Fuel &amp; Inputs'!$C$4),1),MROUND(K56*$M56*IF($H56="Petrol",'Fuel &amp; Inputs'!$C$5,'Fuel &amp; Inputs'!$C$4),10)))</f>
        <v>3590</v>
      </c>
      <c r="P56" s="20" t="n">
        <f aca="false">IF(L56=0,0,IF($I56="L/km",MROUND(L56*$M56*IF($H56="Petrol",'Fuel &amp; Inputs'!$C$5,'Fuel &amp; Inputs'!$C$4),1),MROUND(L56*$M56*IF($H56="Petrol",'Fuel &amp; Inputs'!$C$5,'Fuel &amp; Inputs'!$C$4),10)))</f>
        <v>4850</v>
      </c>
      <c r="Q56" s="17" t="s">
        <v>155</v>
      </c>
      <c r="R56" s="21" t="n">
        <v>1420</v>
      </c>
      <c r="S56" s="20" t="n">
        <f aca="false">MROUND(R56+'Fuel &amp; Inputs'!$C$13,50)</f>
        <v>2200</v>
      </c>
      <c r="T56" s="21" t="n">
        <v>2810</v>
      </c>
      <c r="U56" s="20" t="n">
        <f aca="false">MROUND(R56*'Fuel &amp; Inputs'!$C$19*'Fuel &amp; Inputs'!$C$21,100)</f>
        <v>5400</v>
      </c>
      <c r="V56" s="20" t="n">
        <f aca="false">MROUND(S56*'Fuel &amp; Inputs'!$C$19*'Fuel &amp; Inputs'!$C$21,100)</f>
        <v>8400</v>
      </c>
      <c r="W56" s="20" t="n">
        <f aca="false">MROUND(T56*'Fuel &amp; Inputs'!$C$19*'Fuel &amp; Inputs'!$C$21,100)</f>
        <v>10700</v>
      </c>
      <c r="X56" s="20" t="n">
        <f aca="false">MROUND(R56*'Fuel &amp; Inputs'!$C$20*'Fuel &amp; Inputs'!$C$22,500)</f>
        <v>145000</v>
      </c>
      <c r="Y56" s="20" t="n">
        <f aca="false">MROUND(S56*'Fuel &amp; Inputs'!$C$20*'Fuel &amp; Inputs'!$C$22,500)</f>
        <v>224500</v>
      </c>
      <c r="Z56" s="20" t="n">
        <f aca="false">MROUND(T56*'Fuel &amp; Inputs'!$C$20*'Fuel &amp; Inputs'!$C$22,500)</f>
        <v>286500</v>
      </c>
    </row>
    <row r="57" customFormat="false" ht="15" hidden="false" customHeight="true" outlineLevel="0" collapsed="false">
      <c r="A57" s="31" t="s">
        <v>301</v>
      </c>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ustomFormat="false" ht="15" hidden="false" customHeight="false" outlineLevel="0" collapsed="false">
      <c r="A58" s="23" t="n">
        <v>50</v>
      </c>
      <c r="B58" s="34" t="s">
        <v>74</v>
      </c>
      <c r="C58" s="34" t="s">
        <v>302</v>
      </c>
      <c r="D58" s="34" t="s">
        <v>303</v>
      </c>
      <c r="E58" s="23" t="s">
        <v>304</v>
      </c>
      <c r="F58" s="23" t="s">
        <v>305</v>
      </c>
      <c r="G58" s="23" t="s">
        <v>306</v>
      </c>
      <c r="H58" s="23" t="s">
        <v>153</v>
      </c>
      <c r="I58" s="23" t="s">
        <v>154</v>
      </c>
      <c r="J58" s="25" t="n">
        <v>7.9</v>
      </c>
      <c r="K58" s="25" t="n">
        <v>11</v>
      </c>
      <c r="L58" s="25" t="n">
        <v>14.9</v>
      </c>
      <c r="M58" s="35" t="n">
        <v>1.056</v>
      </c>
      <c r="N58" s="26" t="n">
        <f aca="false">IF(J58=0,0,IF($I58="L/km",MROUND(J58*$M58*IF($H58="Petrol",'Fuel &amp; Inputs'!$C$5,'Fuel &amp; Inputs'!$C$4),1),MROUND(J58*$M58*IF($H58="Petrol",'Fuel &amp; Inputs'!$C$5,'Fuel &amp; Inputs'!$C$4),10)))</f>
        <v>3190</v>
      </c>
      <c r="O58" s="26" t="n">
        <f aca="false">IF(K58=0,0,IF($I58="L/km",MROUND(K58*$M58*IF($H58="Petrol",'Fuel &amp; Inputs'!$C$5,'Fuel &amp; Inputs'!$C$4),1),MROUND(K58*$M58*IF($H58="Petrol",'Fuel &amp; Inputs'!$C$5,'Fuel &amp; Inputs'!$C$4),10)))</f>
        <v>4440</v>
      </c>
      <c r="P58" s="26" t="n">
        <f aca="false">IF(L58=0,0,IF($I58="L/km",MROUND(L58*$M58*IF($H58="Petrol",'Fuel &amp; Inputs'!$C$5,'Fuel &amp; Inputs'!$C$4),1),MROUND(L58*$M58*IF($H58="Petrol",'Fuel &amp; Inputs'!$C$5,'Fuel &amp; Inputs'!$C$4),10)))</f>
        <v>6010</v>
      </c>
      <c r="Q58" s="23" t="s">
        <v>155</v>
      </c>
      <c r="R58" s="27" t="n">
        <v>2440</v>
      </c>
      <c r="S58" s="26" t="n">
        <f aca="false">MROUND(R58+'Fuel &amp; Inputs'!$C$13,50)</f>
        <v>3250</v>
      </c>
      <c r="T58" s="27" t="n">
        <v>4880</v>
      </c>
      <c r="U58" s="26" t="n">
        <f aca="false">MROUND(R58*'Fuel &amp; Inputs'!$C$19*'Fuel &amp; Inputs'!$C$21,100)</f>
        <v>9300</v>
      </c>
      <c r="V58" s="26" t="n">
        <f aca="false">MROUND(S58*'Fuel &amp; Inputs'!$C$19*'Fuel &amp; Inputs'!$C$21,100)</f>
        <v>12400</v>
      </c>
      <c r="W58" s="26" t="n">
        <f aca="false">MROUND(T58*'Fuel &amp; Inputs'!$C$19*'Fuel &amp; Inputs'!$C$21,100)</f>
        <v>18500</v>
      </c>
      <c r="X58" s="26" t="n">
        <f aca="false">MROUND(R58*'Fuel &amp; Inputs'!$C$20*'Fuel &amp; Inputs'!$C$22,500)</f>
        <v>249000</v>
      </c>
      <c r="Y58" s="26" t="n">
        <f aca="false">MROUND(S58*'Fuel &amp; Inputs'!$C$20*'Fuel &amp; Inputs'!$C$22,500)</f>
        <v>331500</v>
      </c>
      <c r="Z58" s="26" t="n">
        <f aca="false">MROUND(T58*'Fuel &amp; Inputs'!$C$20*'Fuel &amp; Inputs'!$C$22,500)</f>
        <v>498000</v>
      </c>
    </row>
    <row r="59" customFormat="false" ht="15" hidden="false" customHeight="false" outlineLevel="0" collapsed="false">
      <c r="A59" s="17" t="n">
        <v>51</v>
      </c>
      <c r="B59" s="32" t="s">
        <v>74</v>
      </c>
      <c r="C59" s="32" t="s">
        <v>302</v>
      </c>
      <c r="D59" s="32" t="s">
        <v>307</v>
      </c>
      <c r="E59" s="17" t="s">
        <v>251</v>
      </c>
      <c r="F59" s="17" t="s">
        <v>308</v>
      </c>
      <c r="G59" s="17" t="s">
        <v>306</v>
      </c>
      <c r="H59" s="17" t="s">
        <v>153</v>
      </c>
      <c r="I59" s="17" t="s">
        <v>154</v>
      </c>
      <c r="J59" s="19" t="n">
        <v>7.9</v>
      </c>
      <c r="K59" s="19" t="n">
        <v>11</v>
      </c>
      <c r="L59" s="19" t="n">
        <v>14.9</v>
      </c>
      <c r="M59" s="33" t="n">
        <v>1.063</v>
      </c>
      <c r="N59" s="20" t="n">
        <f aca="false">IF(J59=0,0,IF($I59="L/km",MROUND(J59*$M59*IF($H59="Petrol",'Fuel &amp; Inputs'!$C$5,'Fuel &amp; Inputs'!$C$4),1),MROUND(J59*$M59*IF($H59="Petrol",'Fuel &amp; Inputs'!$C$5,'Fuel &amp; Inputs'!$C$4),10)))</f>
        <v>3210</v>
      </c>
      <c r="O59" s="20" t="n">
        <f aca="false">IF(K59=0,0,IF($I59="L/km",MROUND(K59*$M59*IF($H59="Petrol",'Fuel &amp; Inputs'!$C$5,'Fuel &amp; Inputs'!$C$4),1),MROUND(K59*$M59*IF($H59="Petrol",'Fuel &amp; Inputs'!$C$5,'Fuel &amp; Inputs'!$C$4),10)))</f>
        <v>4470</v>
      </c>
      <c r="P59" s="20" t="n">
        <f aca="false">IF(L59=0,0,IF($I59="L/km",MROUND(L59*$M59*IF($H59="Petrol",'Fuel &amp; Inputs'!$C$5,'Fuel &amp; Inputs'!$C$4),1),MROUND(L59*$M59*IF($H59="Petrol",'Fuel &amp; Inputs'!$C$5,'Fuel &amp; Inputs'!$C$4),10)))</f>
        <v>6050</v>
      </c>
      <c r="Q59" s="17" t="s">
        <v>155</v>
      </c>
      <c r="R59" s="21" t="n">
        <v>2440</v>
      </c>
      <c r="S59" s="20" t="n">
        <f aca="false">MROUND(R59+'Fuel &amp; Inputs'!$C$13,50)</f>
        <v>3250</v>
      </c>
      <c r="T59" s="21" t="n">
        <v>4880</v>
      </c>
      <c r="U59" s="20" t="n">
        <f aca="false">MROUND(R59*'Fuel &amp; Inputs'!$C$19*'Fuel &amp; Inputs'!$C$21,100)</f>
        <v>9300</v>
      </c>
      <c r="V59" s="20" t="n">
        <f aca="false">MROUND(S59*'Fuel &amp; Inputs'!$C$19*'Fuel &amp; Inputs'!$C$21,100)</f>
        <v>12400</v>
      </c>
      <c r="W59" s="20" t="n">
        <f aca="false">MROUND(T59*'Fuel &amp; Inputs'!$C$19*'Fuel &amp; Inputs'!$C$21,100)</f>
        <v>18500</v>
      </c>
      <c r="X59" s="20" t="n">
        <f aca="false">MROUND(R59*'Fuel &amp; Inputs'!$C$20*'Fuel &amp; Inputs'!$C$22,500)</f>
        <v>249000</v>
      </c>
      <c r="Y59" s="20" t="n">
        <f aca="false">MROUND(S59*'Fuel &amp; Inputs'!$C$20*'Fuel &amp; Inputs'!$C$22,500)</f>
        <v>331500</v>
      </c>
      <c r="Z59" s="20" t="n">
        <f aca="false">MROUND(T59*'Fuel &amp; Inputs'!$C$20*'Fuel &amp; Inputs'!$C$22,500)</f>
        <v>498000</v>
      </c>
    </row>
    <row r="60" customFormat="false" ht="15" hidden="false" customHeight="false" outlineLevel="0" collapsed="false">
      <c r="A60" s="23" t="n">
        <v>52</v>
      </c>
      <c r="B60" s="34" t="s">
        <v>74</v>
      </c>
      <c r="C60" s="34" t="s">
        <v>302</v>
      </c>
      <c r="D60" s="34" t="s">
        <v>309</v>
      </c>
      <c r="E60" s="23" t="s">
        <v>251</v>
      </c>
      <c r="F60" s="23" t="s">
        <v>310</v>
      </c>
      <c r="G60" s="23" t="s">
        <v>306</v>
      </c>
      <c r="H60" s="23" t="s">
        <v>153</v>
      </c>
      <c r="I60" s="23" t="s">
        <v>154</v>
      </c>
      <c r="J60" s="25" t="n">
        <v>7.9</v>
      </c>
      <c r="K60" s="25" t="n">
        <v>11</v>
      </c>
      <c r="L60" s="25" t="n">
        <v>14.9</v>
      </c>
      <c r="M60" s="35" t="n">
        <v>1.063</v>
      </c>
      <c r="N60" s="26" t="n">
        <f aca="false">IF(J60=0,0,IF($I60="L/km",MROUND(J60*$M60*IF($H60="Petrol",'Fuel &amp; Inputs'!$C$5,'Fuel &amp; Inputs'!$C$4),1),MROUND(J60*$M60*IF($H60="Petrol",'Fuel &amp; Inputs'!$C$5,'Fuel &amp; Inputs'!$C$4),10)))</f>
        <v>3210</v>
      </c>
      <c r="O60" s="26" t="n">
        <f aca="false">IF(K60=0,0,IF($I60="L/km",MROUND(K60*$M60*IF($H60="Petrol",'Fuel &amp; Inputs'!$C$5,'Fuel &amp; Inputs'!$C$4),1),MROUND(K60*$M60*IF($H60="Petrol",'Fuel &amp; Inputs'!$C$5,'Fuel &amp; Inputs'!$C$4),10)))</f>
        <v>4470</v>
      </c>
      <c r="P60" s="26" t="n">
        <f aca="false">IF(L60=0,0,IF($I60="L/km",MROUND(L60*$M60*IF($H60="Petrol",'Fuel &amp; Inputs'!$C$5,'Fuel &amp; Inputs'!$C$4),1),MROUND(L60*$M60*IF($H60="Petrol",'Fuel &amp; Inputs'!$C$5,'Fuel &amp; Inputs'!$C$4),10)))</f>
        <v>6050</v>
      </c>
      <c r="Q60" s="23" t="s">
        <v>155</v>
      </c>
      <c r="R60" s="27" t="n">
        <v>2440</v>
      </c>
      <c r="S60" s="26" t="n">
        <f aca="false">MROUND(R60+'Fuel &amp; Inputs'!$C$13,50)</f>
        <v>3250</v>
      </c>
      <c r="T60" s="27" t="n">
        <v>4880</v>
      </c>
      <c r="U60" s="26" t="n">
        <f aca="false">MROUND(R60*'Fuel &amp; Inputs'!$C$19*'Fuel &amp; Inputs'!$C$21,100)</f>
        <v>9300</v>
      </c>
      <c r="V60" s="26" t="n">
        <f aca="false">MROUND(S60*'Fuel &amp; Inputs'!$C$19*'Fuel &amp; Inputs'!$C$21,100)</f>
        <v>12400</v>
      </c>
      <c r="W60" s="26" t="n">
        <f aca="false">MROUND(T60*'Fuel &amp; Inputs'!$C$19*'Fuel &amp; Inputs'!$C$21,100)</f>
        <v>18500</v>
      </c>
      <c r="X60" s="26" t="n">
        <f aca="false">MROUND(R60*'Fuel &amp; Inputs'!$C$20*'Fuel &amp; Inputs'!$C$22,500)</f>
        <v>249000</v>
      </c>
      <c r="Y60" s="26" t="n">
        <f aca="false">MROUND(S60*'Fuel &amp; Inputs'!$C$20*'Fuel &amp; Inputs'!$C$22,500)</f>
        <v>331500</v>
      </c>
      <c r="Z60" s="26" t="n">
        <f aca="false">MROUND(T60*'Fuel &amp; Inputs'!$C$20*'Fuel &amp; Inputs'!$C$22,500)</f>
        <v>498000</v>
      </c>
    </row>
    <row r="61" customFormat="false" ht="15" hidden="false" customHeight="true" outlineLevel="0" collapsed="false">
      <c r="A61" s="31" t="s">
        <v>311</v>
      </c>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ustomFormat="false" ht="15" hidden="false" customHeight="false" outlineLevel="0" collapsed="false">
      <c r="A62" s="17" t="n">
        <v>53</v>
      </c>
      <c r="B62" s="32" t="s">
        <v>76</v>
      </c>
      <c r="C62" s="32" t="s">
        <v>312</v>
      </c>
      <c r="D62" s="32" t="s">
        <v>313</v>
      </c>
      <c r="E62" s="17" t="s">
        <v>150</v>
      </c>
      <c r="F62" s="17" t="s">
        <v>314</v>
      </c>
      <c r="G62" s="17" t="s">
        <v>223</v>
      </c>
      <c r="H62" s="17" t="s">
        <v>153</v>
      </c>
      <c r="I62" s="17" t="s">
        <v>154</v>
      </c>
      <c r="J62" s="19" t="n">
        <v>4.3</v>
      </c>
      <c r="K62" s="19" t="n">
        <v>6</v>
      </c>
      <c r="L62" s="19" t="n">
        <v>8.1</v>
      </c>
      <c r="M62" s="33" t="n">
        <v>1.035</v>
      </c>
      <c r="N62" s="20" t="n">
        <f aca="false">IF(J62=0,0,IF($I62="L/km",MROUND(J62*$M62*IF($H62="Petrol",'Fuel &amp; Inputs'!$C$5,'Fuel &amp; Inputs'!$C$4),1),MROUND(J62*$M62*IF($H62="Petrol",'Fuel &amp; Inputs'!$C$5,'Fuel &amp; Inputs'!$C$4),10)))</f>
        <v>1700</v>
      </c>
      <c r="O62" s="20" t="n">
        <f aca="false">IF(K62=0,0,IF($I62="L/km",MROUND(K62*$M62*IF($H62="Petrol",'Fuel &amp; Inputs'!$C$5,'Fuel &amp; Inputs'!$C$4),1),MROUND(K62*$M62*IF($H62="Petrol",'Fuel &amp; Inputs'!$C$5,'Fuel &amp; Inputs'!$C$4),10)))</f>
        <v>2370</v>
      </c>
      <c r="P62" s="20" t="n">
        <f aca="false">IF(L62=0,0,IF($I62="L/km",MROUND(L62*$M62*IF($H62="Petrol",'Fuel &amp; Inputs'!$C$5,'Fuel &amp; Inputs'!$C$4),1),MROUND(L62*$M62*IF($H62="Petrol",'Fuel &amp; Inputs'!$C$5,'Fuel &amp; Inputs'!$C$4),10)))</f>
        <v>3200</v>
      </c>
      <c r="Q62" s="17" t="s">
        <v>155</v>
      </c>
      <c r="R62" s="21" t="n">
        <v>2300</v>
      </c>
      <c r="S62" s="20" t="n">
        <f aca="false">MROUND(R62+'Fuel &amp; Inputs'!$C$13,50)</f>
        <v>3100</v>
      </c>
      <c r="T62" s="21" t="n">
        <v>4600</v>
      </c>
      <c r="U62" s="20" t="n">
        <f aca="false">MROUND(R62*'Fuel &amp; Inputs'!$C$19*'Fuel &amp; Inputs'!$C$21,100)</f>
        <v>8700</v>
      </c>
      <c r="V62" s="20" t="n">
        <f aca="false">MROUND(S62*'Fuel &amp; Inputs'!$C$19*'Fuel &amp; Inputs'!$C$21,100)</f>
        <v>11800</v>
      </c>
      <c r="W62" s="20" t="n">
        <f aca="false">MROUND(T62*'Fuel &amp; Inputs'!$C$19*'Fuel &amp; Inputs'!$C$21,100)</f>
        <v>17500</v>
      </c>
      <c r="X62" s="20" t="n">
        <f aca="false">MROUND(R62*'Fuel &amp; Inputs'!$C$20*'Fuel &amp; Inputs'!$C$22,500)</f>
        <v>234500</v>
      </c>
      <c r="Y62" s="20" t="n">
        <f aca="false">MROUND(S62*'Fuel &amp; Inputs'!$C$20*'Fuel &amp; Inputs'!$C$22,500)</f>
        <v>316000</v>
      </c>
      <c r="Z62" s="20" t="n">
        <f aca="false">MROUND(T62*'Fuel &amp; Inputs'!$C$20*'Fuel &amp; Inputs'!$C$22,500)</f>
        <v>469000</v>
      </c>
    </row>
    <row r="63" customFormat="false" ht="15" hidden="false" customHeight="false" outlineLevel="0" collapsed="false">
      <c r="A63" s="23" t="n">
        <v>54</v>
      </c>
      <c r="B63" s="34" t="s">
        <v>76</v>
      </c>
      <c r="C63" s="34" t="s">
        <v>312</v>
      </c>
      <c r="D63" s="34" t="s">
        <v>315</v>
      </c>
      <c r="E63" s="23" t="s">
        <v>150</v>
      </c>
      <c r="F63" s="23" t="s">
        <v>316</v>
      </c>
      <c r="G63" s="23" t="s">
        <v>223</v>
      </c>
      <c r="H63" s="23" t="s">
        <v>153</v>
      </c>
      <c r="I63" s="23" t="s">
        <v>154</v>
      </c>
      <c r="J63" s="25" t="n">
        <v>4.3</v>
      </c>
      <c r="K63" s="25" t="n">
        <v>6</v>
      </c>
      <c r="L63" s="25" t="n">
        <v>8.1</v>
      </c>
      <c r="M63" s="35" t="n">
        <v>1.035</v>
      </c>
      <c r="N63" s="26" t="n">
        <f aca="false">IF(J63=0,0,IF($I63="L/km",MROUND(J63*$M63*IF($H63="Petrol",'Fuel &amp; Inputs'!$C$5,'Fuel &amp; Inputs'!$C$4),1),MROUND(J63*$M63*IF($H63="Petrol",'Fuel &amp; Inputs'!$C$5,'Fuel &amp; Inputs'!$C$4),10)))</f>
        <v>1700</v>
      </c>
      <c r="O63" s="26" t="n">
        <f aca="false">IF(K63=0,0,IF($I63="L/km",MROUND(K63*$M63*IF($H63="Petrol",'Fuel &amp; Inputs'!$C$5,'Fuel &amp; Inputs'!$C$4),1),MROUND(K63*$M63*IF($H63="Petrol",'Fuel &amp; Inputs'!$C$5,'Fuel &amp; Inputs'!$C$4),10)))</f>
        <v>2370</v>
      </c>
      <c r="P63" s="26" t="n">
        <f aca="false">IF(L63=0,0,IF($I63="L/km",MROUND(L63*$M63*IF($H63="Petrol",'Fuel &amp; Inputs'!$C$5,'Fuel &amp; Inputs'!$C$4),1),MROUND(L63*$M63*IF($H63="Petrol",'Fuel &amp; Inputs'!$C$5,'Fuel &amp; Inputs'!$C$4),10)))</f>
        <v>3200</v>
      </c>
      <c r="Q63" s="23" t="s">
        <v>155</v>
      </c>
      <c r="R63" s="27" t="n">
        <v>2300</v>
      </c>
      <c r="S63" s="26" t="n">
        <f aca="false">MROUND(R63+'Fuel &amp; Inputs'!$C$13,50)</f>
        <v>3100</v>
      </c>
      <c r="T63" s="27" t="n">
        <v>4600</v>
      </c>
      <c r="U63" s="26" t="n">
        <f aca="false">MROUND(R63*'Fuel &amp; Inputs'!$C$19*'Fuel &amp; Inputs'!$C$21,100)</f>
        <v>8700</v>
      </c>
      <c r="V63" s="26" t="n">
        <f aca="false">MROUND(S63*'Fuel &amp; Inputs'!$C$19*'Fuel &amp; Inputs'!$C$21,100)</f>
        <v>11800</v>
      </c>
      <c r="W63" s="26" t="n">
        <f aca="false">MROUND(T63*'Fuel &amp; Inputs'!$C$19*'Fuel &amp; Inputs'!$C$21,100)</f>
        <v>17500</v>
      </c>
      <c r="X63" s="26" t="n">
        <f aca="false">MROUND(R63*'Fuel &amp; Inputs'!$C$20*'Fuel &amp; Inputs'!$C$22,500)</f>
        <v>234500</v>
      </c>
      <c r="Y63" s="26" t="n">
        <f aca="false">MROUND(S63*'Fuel &amp; Inputs'!$C$20*'Fuel &amp; Inputs'!$C$22,500)</f>
        <v>316000</v>
      </c>
      <c r="Z63" s="26" t="n">
        <f aca="false">MROUND(T63*'Fuel &amp; Inputs'!$C$20*'Fuel &amp; Inputs'!$C$22,500)</f>
        <v>469000</v>
      </c>
    </row>
    <row r="64" customFormat="false" ht="15" hidden="false" customHeight="false" outlineLevel="0" collapsed="false">
      <c r="A64" s="17" t="n">
        <v>55</v>
      </c>
      <c r="B64" s="32" t="s">
        <v>76</v>
      </c>
      <c r="C64" s="32" t="s">
        <v>312</v>
      </c>
      <c r="D64" s="32" t="s">
        <v>315</v>
      </c>
      <c r="E64" s="17" t="s">
        <v>150</v>
      </c>
      <c r="F64" s="17" t="s">
        <v>317</v>
      </c>
      <c r="G64" s="17" t="s">
        <v>223</v>
      </c>
      <c r="H64" s="17" t="s">
        <v>153</v>
      </c>
      <c r="I64" s="17" t="s">
        <v>154</v>
      </c>
      <c r="J64" s="19" t="n">
        <v>4.3</v>
      </c>
      <c r="K64" s="19" t="n">
        <v>6</v>
      </c>
      <c r="L64" s="19" t="n">
        <v>8.1</v>
      </c>
      <c r="M64" s="33" t="n">
        <v>1.035</v>
      </c>
      <c r="N64" s="20" t="n">
        <f aca="false">IF(J64=0,0,IF($I64="L/km",MROUND(J64*$M64*IF($H64="Petrol",'Fuel &amp; Inputs'!$C$5,'Fuel &amp; Inputs'!$C$4),1),MROUND(J64*$M64*IF($H64="Petrol",'Fuel &amp; Inputs'!$C$5,'Fuel &amp; Inputs'!$C$4),10)))</f>
        <v>1700</v>
      </c>
      <c r="O64" s="20" t="n">
        <f aca="false">IF(K64=0,0,IF($I64="L/km",MROUND(K64*$M64*IF($H64="Petrol",'Fuel &amp; Inputs'!$C$5,'Fuel &amp; Inputs'!$C$4),1),MROUND(K64*$M64*IF($H64="Petrol",'Fuel &amp; Inputs'!$C$5,'Fuel &amp; Inputs'!$C$4),10)))</f>
        <v>2370</v>
      </c>
      <c r="P64" s="20" t="n">
        <f aca="false">IF(L64=0,0,IF($I64="L/km",MROUND(L64*$M64*IF($H64="Petrol",'Fuel &amp; Inputs'!$C$5,'Fuel &amp; Inputs'!$C$4),1),MROUND(L64*$M64*IF($H64="Petrol",'Fuel &amp; Inputs'!$C$5,'Fuel &amp; Inputs'!$C$4),10)))</f>
        <v>3200</v>
      </c>
      <c r="Q64" s="17" t="s">
        <v>155</v>
      </c>
      <c r="R64" s="21" t="n">
        <v>2300</v>
      </c>
      <c r="S64" s="20" t="n">
        <f aca="false">MROUND(R64+'Fuel &amp; Inputs'!$C$13,50)</f>
        <v>3100</v>
      </c>
      <c r="T64" s="21" t="n">
        <v>4600</v>
      </c>
      <c r="U64" s="20" t="n">
        <f aca="false">MROUND(R64*'Fuel &amp; Inputs'!$C$19*'Fuel &amp; Inputs'!$C$21,100)</f>
        <v>8700</v>
      </c>
      <c r="V64" s="20" t="n">
        <f aca="false">MROUND(S64*'Fuel &amp; Inputs'!$C$19*'Fuel &amp; Inputs'!$C$21,100)</f>
        <v>11800</v>
      </c>
      <c r="W64" s="20" t="n">
        <f aca="false">MROUND(T64*'Fuel &amp; Inputs'!$C$19*'Fuel &amp; Inputs'!$C$21,100)</f>
        <v>17500</v>
      </c>
      <c r="X64" s="20" t="n">
        <f aca="false">MROUND(R64*'Fuel &amp; Inputs'!$C$20*'Fuel &amp; Inputs'!$C$22,500)</f>
        <v>234500</v>
      </c>
      <c r="Y64" s="20" t="n">
        <f aca="false">MROUND(S64*'Fuel &amp; Inputs'!$C$20*'Fuel &amp; Inputs'!$C$22,500)</f>
        <v>316000</v>
      </c>
      <c r="Z64" s="20" t="n">
        <f aca="false">MROUND(T64*'Fuel &amp; Inputs'!$C$20*'Fuel &amp; Inputs'!$C$22,500)</f>
        <v>469000</v>
      </c>
    </row>
    <row r="65" customFormat="false" ht="15" hidden="false" customHeight="false" outlineLevel="0" collapsed="false">
      <c r="A65" s="23" t="n">
        <v>56</v>
      </c>
      <c r="B65" s="34" t="s">
        <v>76</v>
      </c>
      <c r="C65" s="34" t="s">
        <v>318</v>
      </c>
      <c r="D65" s="34" t="s">
        <v>319</v>
      </c>
      <c r="E65" s="23" t="s">
        <v>251</v>
      </c>
      <c r="F65" s="23" t="s">
        <v>320</v>
      </c>
      <c r="G65" s="23" t="s">
        <v>223</v>
      </c>
      <c r="H65" s="23" t="s">
        <v>153</v>
      </c>
      <c r="I65" s="23" t="s">
        <v>154</v>
      </c>
      <c r="J65" s="25" t="n">
        <v>4.3</v>
      </c>
      <c r="K65" s="25" t="n">
        <v>6</v>
      </c>
      <c r="L65" s="25" t="n">
        <v>8.1</v>
      </c>
      <c r="M65" s="35" t="n">
        <v>1.063</v>
      </c>
      <c r="N65" s="26" t="n">
        <f aca="false">IF(J65=0,0,IF($I65="L/km",MROUND(J65*$M65*IF($H65="Petrol",'Fuel &amp; Inputs'!$C$5,'Fuel &amp; Inputs'!$C$4),1),MROUND(J65*$M65*IF($H65="Petrol",'Fuel &amp; Inputs'!$C$5,'Fuel &amp; Inputs'!$C$4),10)))</f>
        <v>1750</v>
      </c>
      <c r="O65" s="26" t="n">
        <f aca="false">IF(K65=0,0,IF($I65="L/km",MROUND(K65*$M65*IF($H65="Petrol",'Fuel &amp; Inputs'!$C$5,'Fuel &amp; Inputs'!$C$4),1),MROUND(K65*$M65*IF($H65="Petrol",'Fuel &amp; Inputs'!$C$5,'Fuel &amp; Inputs'!$C$4),10)))</f>
        <v>2440</v>
      </c>
      <c r="P65" s="26" t="n">
        <f aca="false">IF(L65=0,0,IF($I65="L/km",MROUND(L65*$M65*IF($H65="Petrol",'Fuel &amp; Inputs'!$C$5,'Fuel &amp; Inputs'!$C$4),1),MROUND(L65*$M65*IF($H65="Petrol",'Fuel &amp; Inputs'!$C$5,'Fuel &amp; Inputs'!$C$4),10)))</f>
        <v>3290</v>
      </c>
      <c r="Q65" s="23" t="s">
        <v>155</v>
      </c>
      <c r="R65" s="27" t="n">
        <v>2120</v>
      </c>
      <c r="S65" s="26" t="n">
        <f aca="false">MROUND(R65+'Fuel &amp; Inputs'!$C$13,50)</f>
        <v>2900</v>
      </c>
      <c r="T65" s="27" t="n">
        <v>4230</v>
      </c>
      <c r="U65" s="26" t="n">
        <f aca="false">MROUND(R65*'Fuel &amp; Inputs'!$C$19*'Fuel &amp; Inputs'!$C$21,100)</f>
        <v>8100</v>
      </c>
      <c r="V65" s="26" t="n">
        <f aca="false">MROUND(S65*'Fuel &amp; Inputs'!$C$19*'Fuel &amp; Inputs'!$C$21,100)</f>
        <v>11000</v>
      </c>
      <c r="W65" s="26" t="n">
        <f aca="false">MROUND(T65*'Fuel &amp; Inputs'!$C$19*'Fuel &amp; Inputs'!$C$21,100)</f>
        <v>16100</v>
      </c>
      <c r="X65" s="26" t="n">
        <f aca="false">MROUND(R65*'Fuel &amp; Inputs'!$C$20*'Fuel &amp; Inputs'!$C$22,500)</f>
        <v>216000</v>
      </c>
      <c r="Y65" s="26" t="n">
        <f aca="false">MROUND(S65*'Fuel &amp; Inputs'!$C$20*'Fuel &amp; Inputs'!$C$22,500)</f>
        <v>296000</v>
      </c>
      <c r="Z65" s="26" t="n">
        <f aca="false">MROUND(T65*'Fuel &amp; Inputs'!$C$20*'Fuel &amp; Inputs'!$C$22,500)</f>
        <v>431500</v>
      </c>
    </row>
    <row r="66" customFormat="false" ht="15" hidden="false" customHeight="false" outlineLevel="0" collapsed="false">
      <c r="A66" s="17" t="n">
        <v>57</v>
      </c>
      <c r="B66" s="32" t="s">
        <v>76</v>
      </c>
      <c r="C66" s="32" t="s">
        <v>321</v>
      </c>
      <c r="D66" s="32" t="s">
        <v>319</v>
      </c>
      <c r="E66" s="17" t="s">
        <v>251</v>
      </c>
      <c r="F66" s="17" t="s">
        <v>322</v>
      </c>
      <c r="G66" s="17" t="s">
        <v>223</v>
      </c>
      <c r="H66" s="17" t="s">
        <v>153</v>
      </c>
      <c r="I66" s="17" t="s">
        <v>154</v>
      </c>
      <c r="J66" s="19" t="n">
        <v>4.3</v>
      </c>
      <c r="K66" s="19" t="n">
        <v>6</v>
      </c>
      <c r="L66" s="19" t="n">
        <v>8.1</v>
      </c>
      <c r="M66" s="33" t="n">
        <v>1.063</v>
      </c>
      <c r="N66" s="20" t="n">
        <f aca="false">IF(J66=0,0,IF($I66="L/km",MROUND(J66*$M66*IF($H66="Petrol",'Fuel &amp; Inputs'!$C$5,'Fuel &amp; Inputs'!$C$4),1),MROUND(J66*$M66*IF($H66="Petrol",'Fuel &amp; Inputs'!$C$5,'Fuel &amp; Inputs'!$C$4),10)))</f>
        <v>1750</v>
      </c>
      <c r="O66" s="20" t="n">
        <f aca="false">IF(K66=0,0,IF($I66="L/km",MROUND(K66*$M66*IF($H66="Petrol",'Fuel &amp; Inputs'!$C$5,'Fuel &amp; Inputs'!$C$4),1),MROUND(K66*$M66*IF($H66="Petrol",'Fuel &amp; Inputs'!$C$5,'Fuel &amp; Inputs'!$C$4),10)))</f>
        <v>2440</v>
      </c>
      <c r="P66" s="20" t="n">
        <f aca="false">IF(L66=0,0,IF($I66="L/km",MROUND(L66*$M66*IF($H66="Petrol",'Fuel &amp; Inputs'!$C$5,'Fuel &amp; Inputs'!$C$4),1),MROUND(L66*$M66*IF($H66="Petrol",'Fuel &amp; Inputs'!$C$5,'Fuel &amp; Inputs'!$C$4),10)))</f>
        <v>3290</v>
      </c>
      <c r="Q66" s="17" t="s">
        <v>155</v>
      </c>
      <c r="R66" s="21" t="n">
        <v>2120</v>
      </c>
      <c r="S66" s="20" t="n">
        <f aca="false">MROUND(R66+'Fuel &amp; Inputs'!$C$13,50)</f>
        <v>2900</v>
      </c>
      <c r="T66" s="21" t="n">
        <v>4230</v>
      </c>
      <c r="U66" s="20" t="n">
        <f aca="false">MROUND(R66*'Fuel &amp; Inputs'!$C$19*'Fuel &amp; Inputs'!$C$21,100)</f>
        <v>8100</v>
      </c>
      <c r="V66" s="20" t="n">
        <f aca="false">MROUND(S66*'Fuel &amp; Inputs'!$C$19*'Fuel &amp; Inputs'!$C$21,100)</f>
        <v>11000</v>
      </c>
      <c r="W66" s="20" t="n">
        <f aca="false">MROUND(T66*'Fuel &amp; Inputs'!$C$19*'Fuel &amp; Inputs'!$C$21,100)</f>
        <v>16100</v>
      </c>
      <c r="X66" s="20" t="n">
        <f aca="false">MROUND(R66*'Fuel &amp; Inputs'!$C$20*'Fuel &amp; Inputs'!$C$22,500)</f>
        <v>216000</v>
      </c>
      <c r="Y66" s="20" t="n">
        <f aca="false">MROUND(S66*'Fuel &amp; Inputs'!$C$20*'Fuel &amp; Inputs'!$C$22,500)</f>
        <v>296000</v>
      </c>
      <c r="Z66" s="20" t="n">
        <f aca="false">MROUND(T66*'Fuel &amp; Inputs'!$C$20*'Fuel &amp; Inputs'!$C$22,500)</f>
        <v>431500</v>
      </c>
    </row>
    <row r="67" customFormat="false" ht="15" hidden="false" customHeight="false" outlineLevel="0" collapsed="false">
      <c r="A67" s="23" t="n">
        <v>58</v>
      </c>
      <c r="B67" s="34" t="s">
        <v>76</v>
      </c>
      <c r="C67" s="34" t="s">
        <v>323</v>
      </c>
      <c r="D67" s="34" t="s">
        <v>324</v>
      </c>
      <c r="E67" s="23" t="s">
        <v>174</v>
      </c>
      <c r="F67" s="23" t="s">
        <v>325</v>
      </c>
      <c r="G67" s="23" t="s">
        <v>223</v>
      </c>
      <c r="H67" s="23" t="s">
        <v>153</v>
      </c>
      <c r="I67" s="23" t="s">
        <v>154</v>
      </c>
      <c r="J67" s="25" t="n">
        <v>4.3</v>
      </c>
      <c r="K67" s="25" t="n">
        <v>6</v>
      </c>
      <c r="L67" s="25" t="n">
        <v>8.1</v>
      </c>
      <c r="M67" s="35" t="n">
        <v>1.07</v>
      </c>
      <c r="N67" s="26" t="n">
        <f aca="false">IF(J67=0,0,IF($I67="L/km",MROUND(J67*$M67*IF($H67="Petrol",'Fuel &amp; Inputs'!$C$5,'Fuel &amp; Inputs'!$C$4),1),MROUND(J67*$M67*IF($H67="Petrol",'Fuel &amp; Inputs'!$C$5,'Fuel &amp; Inputs'!$C$4),10)))</f>
        <v>1760</v>
      </c>
      <c r="O67" s="26" t="n">
        <f aca="false">IF(K67=0,0,IF($I67="L/km",MROUND(K67*$M67*IF($H67="Petrol",'Fuel &amp; Inputs'!$C$5,'Fuel &amp; Inputs'!$C$4),1),MROUND(K67*$M67*IF($H67="Petrol",'Fuel &amp; Inputs'!$C$5,'Fuel &amp; Inputs'!$C$4),10)))</f>
        <v>2450</v>
      </c>
      <c r="P67" s="26" t="n">
        <f aca="false">IF(L67=0,0,IF($I67="L/km",MROUND(L67*$M67*IF($H67="Petrol",'Fuel &amp; Inputs'!$C$5,'Fuel &amp; Inputs'!$C$4),1),MROUND(L67*$M67*IF($H67="Petrol",'Fuel &amp; Inputs'!$C$5,'Fuel &amp; Inputs'!$C$4),10)))</f>
        <v>3310</v>
      </c>
      <c r="Q67" s="23" t="s">
        <v>155</v>
      </c>
      <c r="R67" s="27" t="n">
        <v>2120</v>
      </c>
      <c r="S67" s="26" t="n">
        <f aca="false">MROUND(R67+'Fuel &amp; Inputs'!$C$13,50)</f>
        <v>2900</v>
      </c>
      <c r="T67" s="27" t="n">
        <v>4230</v>
      </c>
      <c r="U67" s="26" t="n">
        <f aca="false">MROUND(R67*'Fuel &amp; Inputs'!$C$19*'Fuel &amp; Inputs'!$C$21,100)</f>
        <v>8100</v>
      </c>
      <c r="V67" s="26" t="n">
        <f aca="false">MROUND(S67*'Fuel &amp; Inputs'!$C$19*'Fuel &amp; Inputs'!$C$21,100)</f>
        <v>11000</v>
      </c>
      <c r="W67" s="26" t="n">
        <f aca="false">MROUND(T67*'Fuel &amp; Inputs'!$C$19*'Fuel &amp; Inputs'!$C$21,100)</f>
        <v>16100</v>
      </c>
      <c r="X67" s="26" t="n">
        <f aca="false">MROUND(R67*'Fuel &amp; Inputs'!$C$20*'Fuel &amp; Inputs'!$C$22,500)</f>
        <v>216000</v>
      </c>
      <c r="Y67" s="26" t="n">
        <f aca="false">MROUND(S67*'Fuel &amp; Inputs'!$C$20*'Fuel &amp; Inputs'!$C$22,500)</f>
        <v>296000</v>
      </c>
      <c r="Z67" s="26" t="n">
        <f aca="false">MROUND(T67*'Fuel &amp; Inputs'!$C$20*'Fuel &amp; Inputs'!$C$22,500)</f>
        <v>431500</v>
      </c>
    </row>
    <row r="68" customFormat="false" ht="15" hidden="false" customHeight="false" outlineLevel="0" collapsed="false">
      <c r="A68" s="17" t="n">
        <v>59</v>
      </c>
      <c r="B68" s="32" t="s">
        <v>76</v>
      </c>
      <c r="C68" s="32" t="s">
        <v>318</v>
      </c>
      <c r="D68" s="32" t="s">
        <v>223</v>
      </c>
      <c r="E68" s="17" t="s">
        <v>166</v>
      </c>
      <c r="F68" s="17" t="s">
        <v>326</v>
      </c>
      <c r="G68" s="17" t="s">
        <v>223</v>
      </c>
      <c r="H68" s="17" t="s">
        <v>153</v>
      </c>
      <c r="I68" s="17" t="s">
        <v>154</v>
      </c>
      <c r="J68" s="19" t="n">
        <v>4.3</v>
      </c>
      <c r="K68" s="19" t="n">
        <v>6</v>
      </c>
      <c r="L68" s="19" t="n">
        <v>8.1</v>
      </c>
      <c r="M68" s="33" t="n">
        <v>1.098</v>
      </c>
      <c r="N68" s="20" t="n">
        <f aca="false">IF(J68=0,0,IF($I68="L/km",MROUND(J68*$M68*IF($H68="Petrol",'Fuel &amp; Inputs'!$C$5,'Fuel &amp; Inputs'!$C$4),1),MROUND(J68*$M68*IF($H68="Petrol",'Fuel &amp; Inputs'!$C$5,'Fuel &amp; Inputs'!$C$4),10)))</f>
        <v>1800</v>
      </c>
      <c r="O68" s="20" t="n">
        <f aca="false">IF(K68=0,0,IF($I68="L/km",MROUND(K68*$M68*IF($H68="Petrol",'Fuel &amp; Inputs'!$C$5,'Fuel &amp; Inputs'!$C$4),1),MROUND(K68*$M68*IF($H68="Petrol",'Fuel &amp; Inputs'!$C$5,'Fuel &amp; Inputs'!$C$4),10)))</f>
        <v>2520</v>
      </c>
      <c r="P68" s="20" t="n">
        <f aca="false">IF(L68=0,0,IF($I68="L/km",MROUND(L68*$M68*IF($H68="Petrol",'Fuel &amp; Inputs'!$C$5,'Fuel &amp; Inputs'!$C$4),1),MROUND(L68*$M68*IF($H68="Petrol",'Fuel &amp; Inputs'!$C$5,'Fuel &amp; Inputs'!$C$4),10)))</f>
        <v>3400</v>
      </c>
      <c r="Q68" s="17" t="s">
        <v>155</v>
      </c>
      <c r="R68" s="21" t="n">
        <v>1890</v>
      </c>
      <c r="S68" s="20" t="n">
        <f aca="false">MROUND(R68+'Fuel &amp; Inputs'!$C$13,50)</f>
        <v>2700</v>
      </c>
      <c r="T68" s="21" t="n">
        <v>3770</v>
      </c>
      <c r="U68" s="20" t="n">
        <f aca="false">MROUND(R68*'Fuel &amp; Inputs'!$C$19*'Fuel &amp; Inputs'!$C$21,100)</f>
        <v>7200</v>
      </c>
      <c r="V68" s="20" t="n">
        <f aca="false">MROUND(S68*'Fuel &amp; Inputs'!$C$19*'Fuel &amp; Inputs'!$C$21,100)</f>
        <v>10300</v>
      </c>
      <c r="W68" s="20" t="n">
        <f aca="false">MROUND(T68*'Fuel &amp; Inputs'!$C$19*'Fuel &amp; Inputs'!$C$21,100)</f>
        <v>14300</v>
      </c>
      <c r="X68" s="20" t="n">
        <f aca="false">MROUND(R68*'Fuel &amp; Inputs'!$C$20*'Fuel &amp; Inputs'!$C$22,500)</f>
        <v>193000</v>
      </c>
      <c r="Y68" s="20" t="n">
        <f aca="false">MROUND(S68*'Fuel &amp; Inputs'!$C$20*'Fuel &amp; Inputs'!$C$22,500)</f>
        <v>275500</v>
      </c>
      <c r="Z68" s="20" t="n">
        <f aca="false">MROUND(T68*'Fuel &amp; Inputs'!$C$20*'Fuel &amp; Inputs'!$C$22,500)</f>
        <v>384500</v>
      </c>
    </row>
    <row r="69" customFormat="false" ht="15" hidden="false" customHeight="false" outlineLevel="0" collapsed="false">
      <c r="A69" s="23" t="n">
        <v>60</v>
      </c>
      <c r="B69" s="34" t="s">
        <v>76</v>
      </c>
      <c r="C69" s="34" t="s">
        <v>327</v>
      </c>
      <c r="D69" s="34" t="s">
        <v>328</v>
      </c>
      <c r="E69" s="23" t="s">
        <v>228</v>
      </c>
      <c r="F69" s="23" t="s">
        <v>329</v>
      </c>
      <c r="G69" s="23" t="s">
        <v>223</v>
      </c>
      <c r="H69" s="23" t="s">
        <v>153</v>
      </c>
      <c r="I69" s="23" t="s">
        <v>154</v>
      </c>
      <c r="J69" s="25" t="n">
        <v>4.3</v>
      </c>
      <c r="K69" s="25" t="n">
        <v>6</v>
      </c>
      <c r="L69" s="25" t="n">
        <v>8.1</v>
      </c>
      <c r="M69" s="35" t="n">
        <v>1.084</v>
      </c>
      <c r="N69" s="26" t="n">
        <f aca="false">IF(J69=0,0,IF($I69="L/km",MROUND(J69*$M69*IF($H69="Petrol",'Fuel &amp; Inputs'!$C$5,'Fuel &amp; Inputs'!$C$4),1),MROUND(J69*$M69*IF($H69="Petrol",'Fuel &amp; Inputs'!$C$5,'Fuel &amp; Inputs'!$C$4),10)))</f>
        <v>1780</v>
      </c>
      <c r="O69" s="26" t="n">
        <f aca="false">IF(K69=0,0,IF($I69="L/km",MROUND(K69*$M69*IF($H69="Petrol",'Fuel &amp; Inputs'!$C$5,'Fuel &amp; Inputs'!$C$4),1),MROUND(K69*$M69*IF($H69="Petrol",'Fuel &amp; Inputs'!$C$5,'Fuel &amp; Inputs'!$C$4),10)))</f>
        <v>2480</v>
      </c>
      <c r="P69" s="26" t="n">
        <f aca="false">IF(L69=0,0,IF($I69="L/km",MROUND(L69*$M69*IF($H69="Petrol",'Fuel &amp; Inputs'!$C$5,'Fuel &amp; Inputs'!$C$4),1),MROUND(L69*$M69*IF($H69="Petrol",'Fuel &amp; Inputs'!$C$5,'Fuel &amp; Inputs'!$C$4),10)))</f>
        <v>3350</v>
      </c>
      <c r="Q69" s="23" t="s">
        <v>155</v>
      </c>
      <c r="R69" s="27" t="n">
        <v>1890</v>
      </c>
      <c r="S69" s="26" t="n">
        <f aca="false">MROUND(R69+'Fuel &amp; Inputs'!$C$13,50)</f>
        <v>2700</v>
      </c>
      <c r="T69" s="27" t="n">
        <v>3770</v>
      </c>
      <c r="U69" s="26" t="n">
        <f aca="false">MROUND(R69*'Fuel &amp; Inputs'!$C$19*'Fuel &amp; Inputs'!$C$21,100)</f>
        <v>7200</v>
      </c>
      <c r="V69" s="26" t="n">
        <f aca="false">MROUND(S69*'Fuel &amp; Inputs'!$C$19*'Fuel &amp; Inputs'!$C$21,100)</f>
        <v>10300</v>
      </c>
      <c r="W69" s="26" t="n">
        <f aca="false">MROUND(T69*'Fuel &amp; Inputs'!$C$19*'Fuel &amp; Inputs'!$C$21,100)</f>
        <v>14300</v>
      </c>
      <c r="X69" s="26" t="n">
        <f aca="false">MROUND(R69*'Fuel &amp; Inputs'!$C$20*'Fuel &amp; Inputs'!$C$22,500)</f>
        <v>193000</v>
      </c>
      <c r="Y69" s="26" t="n">
        <f aca="false">MROUND(S69*'Fuel &amp; Inputs'!$C$20*'Fuel &amp; Inputs'!$C$22,500)</f>
        <v>275500</v>
      </c>
      <c r="Z69" s="26" t="n">
        <f aca="false">MROUND(T69*'Fuel &amp; Inputs'!$C$20*'Fuel &amp; Inputs'!$C$22,500)</f>
        <v>384500</v>
      </c>
    </row>
    <row r="70" customFormat="false" ht="15" hidden="false" customHeight="false" outlineLevel="0" collapsed="false">
      <c r="A70" s="17" t="n">
        <v>61</v>
      </c>
      <c r="B70" s="32" t="s">
        <v>76</v>
      </c>
      <c r="C70" s="32" t="s">
        <v>330</v>
      </c>
      <c r="D70" s="32" t="s">
        <v>331</v>
      </c>
      <c r="E70" s="17" t="s">
        <v>246</v>
      </c>
      <c r="F70" s="17" t="s">
        <v>332</v>
      </c>
      <c r="G70" s="17" t="s">
        <v>223</v>
      </c>
      <c r="H70" s="17" t="s">
        <v>153</v>
      </c>
      <c r="I70" s="17" t="s">
        <v>154</v>
      </c>
      <c r="J70" s="19" t="n">
        <v>4.3</v>
      </c>
      <c r="K70" s="19" t="n">
        <v>6</v>
      </c>
      <c r="L70" s="19" t="n">
        <v>8.1</v>
      </c>
      <c r="M70" s="33" t="n">
        <v>1.119</v>
      </c>
      <c r="N70" s="20" t="n">
        <f aca="false">IF(J70=0,0,IF($I70="L/km",MROUND(J70*$M70*IF($H70="Petrol",'Fuel &amp; Inputs'!$C$5,'Fuel &amp; Inputs'!$C$4),1),MROUND(J70*$M70*IF($H70="Petrol",'Fuel &amp; Inputs'!$C$5,'Fuel &amp; Inputs'!$C$4),10)))</f>
        <v>1840</v>
      </c>
      <c r="O70" s="20" t="n">
        <f aca="false">IF(K70=0,0,IF($I70="L/km",MROUND(K70*$M70*IF($H70="Petrol",'Fuel &amp; Inputs'!$C$5,'Fuel &amp; Inputs'!$C$4),1),MROUND(K70*$M70*IF($H70="Petrol",'Fuel &amp; Inputs'!$C$5,'Fuel &amp; Inputs'!$C$4),10)))</f>
        <v>2560</v>
      </c>
      <c r="P70" s="20" t="n">
        <f aca="false">IF(L70=0,0,IF($I70="L/km",MROUND(L70*$M70*IF($H70="Petrol",'Fuel &amp; Inputs'!$C$5,'Fuel &amp; Inputs'!$C$4),1),MROUND(L70*$M70*IF($H70="Petrol",'Fuel &amp; Inputs'!$C$5,'Fuel &amp; Inputs'!$C$4),10)))</f>
        <v>3460</v>
      </c>
      <c r="Q70" s="17" t="s">
        <v>155</v>
      </c>
      <c r="R70" s="21" t="n">
        <v>1890</v>
      </c>
      <c r="S70" s="20" t="n">
        <f aca="false">MROUND(R70+'Fuel &amp; Inputs'!$C$13,50)</f>
        <v>2700</v>
      </c>
      <c r="T70" s="21" t="n">
        <v>3770</v>
      </c>
      <c r="U70" s="20" t="n">
        <f aca="false">MROUND(R70*'Fuel &amp; Inputs'!$C$19*'Fuel &amp; Inputs'!$C$21,100)</f>
        <v>7200</v>
      </c>
      <c r="V70" s="20" t="n">
        <f aca="false">MROUND(S70*'Fuel &amp; Inputs'!$C$19*'Fuel &amp; Inputs'!$C$21,100)</f>
        <v>10300</v>
      </c>
      <c r="W70" s="20" t="n">
        <f aca="false">MROUND(T70*'Fuel &amp; Inputs'!$C$19*'Fuel &amp; Inputs'!$C$21,100)</f>
        <v>14300</v>
      </c>
      <c r="X70" s="20" t="n">
        <f aca="false">MROUND(R70*'Fuel &amp; Inputs'!$C$20*'Fuel &amp; Inputs'!$C$22,500)</f>
        <v>193000</v>
      </c>
      <c r="Y70" s="20" t="n">
        <f aca="false">MROUND(S70*'Fuel &amp; Inputs'!$C$20*'Fuel &amp; Inputs'!$C$22,500)</f>
        <v>275500</v>
      </c>
      <c r="Z70" s="20" t="n">
        <f aca="false">MROUND(T70*'Fuel &amp; Inputs'!$C$20*'Fuel &amp; Inputs'!$C$22,500)</f>
        <v>384500</v>
      </c>
    </row>
    <row r="71" customFormat="false" ht="15" hidden="false" customHeight="false" outlineLevel="0" collapsed="false">
      <c r="A71" s="23" t="n">
        <v>62</v>
      </c>
      <c r="B71" s="34" t="s">
        <v>76</v>
      </c>
      <c r="C71" s="34" t="s">
        <v>330</v>
      </c>
      <c r="D71" s="34" t="s">
        <v>223</v>
      </c>
      <c r="E71" s="23" t="s">
        <v>166</v>
      </c>
      <c r="F71" s="23" t="s">
        <v>333</v>
      </c>
      <c r="G71" s="23" t="s">
        <v>223</v>
      </c>
      <c r="H71" s="23" t="s">
        <v>153</v>
      </c>
      <c r="I71" s="23" t="s">
        <v>154</v>
      </c>
      <c r="J71" s="25" t="n">
        <v>4.3</v>
      </c>
      <c r="K71" s="25" t="n">
        <v>6</v>
      </c>
      <c r="L71" s="25" t="n">
        <v>8.1</v>
      </c>
      <c r="M71" s="35" t="n">
        <v>1.098</v>
      </c>
      <c r="N71" s="26" t="n">
        <f aca="false">IF(J71=0,0,IF($I71="L/km",MROUND(J71*$M71*IF($H71="Petrol",'Fuel &amp; Inputs'!$C$5,'Fuel &amp; Inputs'!$C$4),1),MROUND(J71*$M71*IF($H71="Petrol",'Fuel &amp; Inputs'!$C$5,'Fuel &amp; Inputs'!$C$4),10)))</f>
        <v>1800</v>
      </c>
      <c r="O71" s="26" t="n">
        <f aca="false">IF(K71=0,0,IF($I71="L/km",MROUND(K71*$M71*IF($H71="Petrol",'Fuel &amp; Inputs'!$C$5,'Fuel &amp; Inputs'!$C$4),1),MROUND(K71*$M71*IF($H71="Petrol",'Fuel &amp; Inputs'!$C$5,'Fuel &amp; Inputs'!$C$4),10)))</f>
        <v>2520</v>
      </c>
      <c r="P71" s="26" t="n">
        <f aca="false">IF(L71=0,0,IF($I71="L/km",MROUND(L71*$M71*IF($H71="Petrol",'Fuel &amp; Inputs'!$C$5,'Fuel &amp; Inputs'!$C$4),1),MROUND(L71*$M71*IF($H71="Petrol",'Fuel &amp; Inputs'!$C$5,'Fuel &amp; Inputs'!$C$4),10)))</f>
        <v>3400</v>
      </c>
      <c r="Q71" s="23" t="s">
        <v>155</v>
      </c>
      <c r="R71" s="27" t="n">
        <v>1890</v>
      </c>
      <c r="S71" s="26" t="n">
        <f aca="false">MROUND(R71+'Fuel &amp; Inputs'!$C$13,50)</f>
        <v>2700</v>
      </c>
      <c r="T71" s="27" t="n">
        <v>3770</v>
      </c>
      <c r="U71" s="26" t="n">
        <f aca="false">MROUND(R71*'Fuel &amp; Inputs'!$C$19*'Fuel &amp; Inputs'!$C$21,100)</f>
        <v>7200</v>
      </c>
      <c r="V71" s="26" t="n">
        <f aca="false">MROUND(S71*'Fuel &amp; Inputs'!$C$19*'Fuel &amp; Inputs'!$C$21,100)</f>
        <v>10300</v>
      </c>
      <c r="W71" s="26" t="n">
        <f aca="false">MROUND(T71*'Fuel &amp; Inputs'!$C$19*'Fuel &amp; Inputs'!$C$21,100)</f>
        <v>14300</v>
      </c>
      <c r="X71" s="26" t="n">
        <f aca="false">MROUND(R71*'Fuel &amp; Inputs'!$C$20*'Fuel &amp; Inputs'!$C$22,500)</f>
        <v>193000</v>
      </c>
      <c r="Y71" s="26" t="n">
        <f aca="false">MROUND(S71*'Fuel &amp; Inputs'!$C$20*'Fuel &amp; Inputs'!$C$22,500)</f>
        <v>275500</v>
      </c>
      <c r="Z71" s="26" t="n">
        <f aca="false">MROUND(T71*'Fuel &amp; Inputs'!$C$20*'Fuel &amp; Inputs'!$C$22,500)</f>
        <v>384500</v>
      </c>
    </row>
    <row r="72" customFormat="false" ht="15" hidden="false" customHeight="false" outlineLevel="0" collapsed="false">
      <c r="A72" s="17" t="n">
        <v>63</v>
      </c>
      <c r="B72" s="32" t="s">
        <v>76</v>
      </c>
      <c r="C72" s="32" t="s">
        <v>330</v>
      </c>
      <c r="D72" s="32" t="s">
        <v>223</v>
      </c>
      <c r="E72" s="17" t="s">
        <v>234</v>
      </c>
      <c r="F72" s="17" t="s">
        <v>334</v>
      </c>
      <c r="G72" s="17" t="s">
        <v>223</v>
      </c>
      <c r="H72" s="17" t="s">
        <v>153</v>
      </c>
      <c r="I72" s="17" t="s">
        <v>154</v>
      </c>
      <c r="J72" s="19" t="n">
        <v>4.3</v>
      </c>
      <c r="K72" s="19" t="n">
        <v>6</v>
      </c>
      <c r="L72" s="19" t="n">
        <v>8.1</v>
      </c>
      <c r="M72" s="33" t="n">
        <v>1.091</v>
      </c>
      <c r="N72" s="20" t="n">
        <f aca="false">IF(J72=0,0,IF($I72="L/km",MROUND(J72*$M72*IF($H72="Petrol",'Fuel &amp; Inputs'!$C$5,'Fuel &amp; Inputs'!$C$4),1),MROUND(J72*$M72*IF($H72="Petrol",'Fuel &amp; Inputs'!$C$5,'Fuel &amp; Inputs'!$C$4),10)))</f>
        <v>1790</v>
      </c>
      <c r="O72" s="20" t="n">
        <f aca="false">IF(K72=0,0,IF($I72="L/km",MROUND(K72*$M72*IF($H72="Petrol",'Fuel &amp; Inputs'!$C$5,'Fuel &amp; Inputs'!$C$4),1),MROUND(K72*$M72*IF($H72="Petrol",'Fuel &amp; Inputs'!$C$5,'Fuel &amp; Inputs'!$C$4),10)))</f>
        <v>2500</v>
      </c>
      <c r="P72" s="20" t="n">
        <f aca="false">IF(L72=0,0,IF($I72="L/km",MROUND(L72*$M72*IF($H72="Petrol",'Fuel &amp; Inputs'!$C$5,'Fuel &amp; Inputs'!$C$4),1),MROUND(L72*$M72*IF($H72="Petrol",'Fuel &amp; Inputs'!$C$5,'Fuel &amp; Inputs'!$C$4),10)))</f>
        <v>3380</v>
      </c>
      <c r="Q72" s="17" t="s">
        <v>155</v>
      </c>
      <c r="R72" s="21" t="n">
        <v>1890</v>
      </c>
      <c r="S72" s="20" t="n">
        <f aca="false">MROUND(R72+'Fuel &amp; Inputs'!$C$13,50)</f>
        <v>2700</v>
      </c>
      <c r="T72" s="21" t="n">
        <v>3770</v>
      </c>
      <c r="U72" s="20" t="n">
        <f aca="false">MROUND(R72*'Fuel &amp; Inputs'!$C$19*'Fuel &amp; Inputs'!$C$21,100)</f>
        <v>7200</v>
      </c>
      <c r="V72" s="20" t="n">
        <f aca="false">MROUND(S72*'Fuel &amp; Inputs'!$C$19*'Fuel &amp; Inputs'!$C$21,100)</f>
        <v>10300</v>
      </c>
      <c r="W72" s="20" t="n">
        <f aca="false">MROUND(T72*'Fuel &amp; Inputs'!$C$19*'Fuel &amp; Inputs'!$C$21,100)</f>
        <v>14300</v>
      </c>
      <c r="X72" s="20" t="n">
        <f aca="false">MROUND(R72*'Fuel &amp; Inputs'!$C$20*'Fuel &amp; Inputs'!$C$22,500)</f>
        <v>193000</v>
      </c>
      <c r="Y72" s="20" t="n">
        <f aca="false">MROUND(S72*'Fuel &amp; Inputs'!$C$20*'Fuel &amp; Inputs'!$C$22,500)</f>
        <v>275500</v>
      </c>
      <c r="Z72" s="20" t="n">
        <f aca="false">MROUND(T72*'Fuel &amp; Inputs'!$C$20*'Fuel &amp; Inputs'!$C$22,500)</f>
        <v>384500</v>
      </c>
    </row>
    <row r="73" customFormat="false" ht="15" hidden="false" customHeight="false" outlineLevel="0" collapsed="false">
      <c r="A73" s="23" t="n">
        <v>64</v>
      </c>
      <c r="B73" s="34" t="s">
        <v>76</v>
      </c>
      <c r="C73" s="34" t="s">
        <v>335</v>
      </c>
      <c r="D73" s="34" t="s">
        <v>336</v>
      </c>
      <c r="E73" s="23" t="s">
        <v>243</v>
      </c>
      <c r="F73" s="23" t="s">
        <v>337</v>
      </c>
      <c r="G73" s="23" t="s">
        <v>223</v>
      </c>
      <c r="H73" s="23" t="s">
        <v>153</v>
      </c>
      <c r="I73" s="23" t="s">
        <v>154</v>
      </c>
      <c r="J73" s="25" t="n">
        <v>4.3</v>
      </c>
      <c r="K73" s="25" t="n">
        <v>6</v>
      </c>
      <c r="L73" s="25" t="n">
        <v>8.1</v>
      </c>
      <c r="M73" s="35" t="n">
        <v>1.112</v>
      </c>
      <c r="N73" s="26" t="n">
        <f aca="false">IF(J73=0,0,IF($I73="L/km",MROUND(J73*$M73*IF($H73="Petrol",'Fuel &amp; Inputs'!$C$5,'Fuel &amp; Inputs'!$C$4),1),MROUND(J73*$M73*IF($H73="Petrol",'Fuel &amp; Inputs'!$C$5,'Fuel &amp; Inputs'!$C$4),10)))</f>
        <v>1830</v>
      </c>
      <c r="O73" s="26" t="n">
        <f aca="false">IF(K73=0,0,IF($I73="L/km",MROUND(K73*$M73*IF($H73="Petrol",'Fuel &amp; Inputs'!$C$5,'Fuel &amp; Inputs'!$C$4),1),MROUND(K73*$M73*IF($H73="Petrol",'Fuel &amp; Inputs'!$C$5,'Fuel &amp; Inputs'!$C$4),10)))</f>
        <v>2550</v>
      </c>
      <c r="P73" s="26" t="n">
        <f aca="false">IF(L73=0,0,IF($I73="L/km",MROUND(L73*$M73*IF($H73="Petrol",'Fuel &amp; Inputs'!$C$5,'Fuel &amp; Inputs'!$C$4),1),MROUND(L73*$M73*IF($H73="Petrol",'Fuel &amp; Inputs'!$C$5,'Fuel &amp; Inputs'!$C$4),10)))</f>
        <v>3440</v>
      </c>
      <c r="Q73" s="23" t="s">
        <v>155</v>
      </c>
      <c r="R73" s="27" t="n">
        <v>1890</v>
      </c>
      <c r="S73" s="26" t="n">
        <f aca="false">MROUND(R73+'Fuel &amp; Inputs'!$C$13,50)</f>
        <v>2700</v>
      </c>
      <c r="T73" s="27" t="n">
        <v>3770</v>
      </c>
      <c r="U73" s="26" t="n">
        <f aca="false">MROUND(R73*'Fuel &amp; Inputs'!$C$19*'Fuel &amp; Inputs'!$C$21,100)</f>
        <v>7200</v>
      </c>
      <c r="V73" s="26" t="n">
        <f aca="false">MROUND(S73*'Fuel &amp; Inputs'!$C$19*'Fuel &amp; Inputs'!$C$21,100)</f>
        <v>10300</v>
      </c>
      <c r="W73" s="26" t="n">
        <f aca="false">MROUND(T73*'Fuel &amp; Inputs'!$C$19*'Fuel &amp; Inputs'!$C$21,100)</f>
        <v>14300</v>
      </c>
      <c r="X73" s="26" t="n">
        <f aca="false">MROUND(R73*'Fuel &amp; Inputs'!$C$20*'Fuel &amp; Inputs'!$C$22,500)</f>
        <v>193000</v>
      </c>
      <c r="Y73" s="26" t="n">
        <f aca="false">MROUND(S73*'Fuel &amp; Inputs'!$C$20*'Fuel &amp; Inputs'!$C$22,500)</f>
        <v>275500</v>
      </c>
      <c r="Z73" s="26" t="n">
        <f aca="false">MROUND(T73*'Fuel &amp; Inputs'!$C$20*'Fuel &amp; Inputs'!$C$22,500)</f>
        <v>384500</v>
      </c>
    </row>
    <row r="74" customFormat="false" ht="15" hidden="false" customHeight="false" outlineLevel="0" collapsed="false">
      <c r="A74" s="17" t="n">
        <v>65</v>
      </c>
      <c r="B74" s="32" t="s">
        <v>76</v>
      </c>
      <c r="C74" s="32" t="s">
        <v>318</v>
      </c>
      <c r="D74" s="32" t="s">
        <v>223</v>
      </c>
      <c r="E74" s="17" t="s">
        <v>228</v>
      </c>
      <c r="F74" s="17" t="s">
        <v>338</v>
      </c>
      <c r="G74" s="17" t="s">
        <v>223</v>
      </c>
      <c r="H74" s="17" t="s">
        <v>153</v>
      </c>
      <c r="I74" s="17" t="s">
        <v>154</v>
      </c>
      <c r="J74" s="19" t="n">
        <v>4.3</v>
      </c>
      <c r="K74" s="19" t="n">
        <v>6</v>
      </c>
      <c r="L74" s="19" t="n">
        <v>8.1</v>
      </c>
      <c r="M74" s="33" t="n">
        <v>1.084</v>
      </c>
      <c r="N74" s="20" t="n">
        <f aca="false">IF(J74=0,0,IF($I74="L/km",MROUND(J74*$M74*IF($H74="Petrol",'Fuel &amp; Inputs'!$C$5,'Fuel &amp; Inputs'!$C$4),1),MROUND(J74*$M74*IF($H74="Petrol",'Fuel &amp; Inputs'!$C$5,'Fuel &amp; Inputs'!$C$4),10)))</f>
        <v>1780</v>
      </c>
      <c r="O74" s="20" t="n">
        <f aca="false">IF(K74=0,0,IF($I74="L/km",MROUND(K74*$M74*IF($H74="Petrol",'Fuel &amp; Inputs'!$C$5,'Fuel &amp; Inputs'!$C$4),1),MROUND(K74*$M74*IF($H74="Petrol",'Fuel &amp; Inputs'!$C$5,'Fuel &amp; Inputs'!$C$4),10)))</f>
        <v>2480</v>
      </c>
      <c r="P74" s="20" t="n">
        <f aca="false">IF(L74=0,0,IF($I74="L/km",MROUND(L74*$M74*IF($H74="Petrol",'Fuel &amp; Inputs'!$C$5,'Fuel &amp; Inputs'!$C$4),1),MROUND(L74*$M74*IF($H74="Petrol",'Fuel &amp; Inputs'!$C$5,'Fuel &amp; Inputs'!$C$4),10)))</f>
        <v>3350</v>
      </c>
      <c r="Q74" s="17" t="s">
        <v>155</v>
      </c>
      <c r="R74" s="21" t="n">
        <v>1660</v>
      </c>
      <c r="S74" s="20" t="n">
        <f aca="false">MROUND(R74+'Fuel &amp; Inputs'!$C$13,50)</f>
        <v>2450</v>
      </c>
      <c r="T74" s="21" t="n">
        <v>3310</v>
      </c>
      <c r="U74" s="20" t="n">
        <f aca="false">MROUND(R74*'Fuel &amp; Inputs'!$C$19*'Fuel &amp; Inputs'!$C$21,100)</f>
        <v>6300</v>
      </c>
      <c r="V74" s="20" t="n">
        <f aca="false">MROUND(S74*'Fuel &amp; Inputs'!$C$19*'Fuel &amp; Inputs'!$C$21,100)</f>
        <v>9300</v>
      </c>
      <c r="W74" s="20" t="n">
        <f aca="false">MROUND(T74*'Fuel &amp; Inputs'!$C$19*'Fuel &amp; Inputs'!$C$21,100)</f>
        <v>12600</v>
      </c>
      <c r="X74" s="20" t="n">
        <f aca="false">MROUND(R74*'Fuel &amp; Inputs'!$C$20*'Fuel &amp; Inputs'!$C$22,500)</f>
        <v>169500</v>
      </c>
      <c r="Y74" s="20" t="n">
        <f aca="false">MROUND(S74*'Fuel &amp; Inputs'!$C$20*'Fuel &amp; Inputs'!$C$22,500)</f>
        <v>250000</v>
      </c>
      <c r="Z74" s="20" t="n">
        <f aca="false">MROUND(T74*'Fuel &amp; Inputs'!$C$20*'Fuel &amp; Inputs'!$C$22,500)</f>
        <v>337500</v>
      </c>
    </row>
    <row r="75" customFormat="false" ht="15" hidden="false" customHeight="false" outlineLevel="0" collapsed="false">
      <c r="A75" s="23" t="n">
        <v>66</v>
      </c>
      <c r="B75" s="34" t="s">
        <v>76</v>
      </c>
      <c r="C75" s="34" t="s">
        <v>318</v>
      </c>
      <c r="D75" s="34" t="s">
        <v>223</v>
      </c>
      <c r="E75" s="23" t="s">
        <v>223</v>
      </c>
      <c r="F75" s="23" t="s">
        <v>339</v>
      </c>
      <c r="G75" s="23" t="s">
        <v>223</v>
      </c>
      <c r="H75" s="23" t="s">
        <v>153</v>
      </c>
      <c r="I75" s="23" t="s">
        <v>154</v>
      </c>
      <c r="J75" s="25" t="n">
        <v>4.3</v>
      </c>
      <c r="K75" s="25" t="n">
        <v>6</v>
      </c>
      <c r="L75" s="25" t="n">
        <v>8.1</v>
      </c>
      <c r="M75" s="35" t="n">
        <v>1</v>
      </c>
      <c r="N75" s="26" t="n">
        <f aca="false">IF(J75=0,0,IF($I75="L/km",MROUND(J75*$M75*IF($H75="Petrol",'Fuel &amp; Inputs'!$C$5,'Fuel &amp; Inputs'!$C$4),1),MROUND(J75*$M75*IF($H75="Petrol",'Fuel &amp; Inputs'!$C$5,'Fuel &amp; Inputs'!$C$4),10)))</f>
        <v>1640</v>
      </c>
      <c r="O75" s="26" t="n">
        <f aca="false">IF(K75=0,0,IF($I75="L/km",MROUND(K75*$M75*IF($H75="Petrol",'Fuel &amp; Inputs'!$C$5,'Fuel &amp; Inputs'!$C$4),1),MROUND(K75*$M75*IF($H75="Petrol",'Fuel &amp; Inputs'!$C$5,'Fuel &amp; Inputs'!$C$4),10)))</f>
        <v>2290</v>
      </c>
      <c r="P75" s="26" t="n">
        <f aca="false">IF(L75=0,0,IF($I75="L/km",MROUND(L75*$M75*IF($H75="Petrol",'Fuel &amp; Inputs'!$C$5,'Fuel &amp; Inputs'!$C$4),1),MROUND(L75*$M75*IF($H75="Petrol",'Fuel &amp; Inputs'!$C$5,'Fuel &amp; Inputs'!$C$4),10)))</f>
        <v>3090</v>
      </c>
      <c r="Q75" s="23" t="s">
        <v>155</v>
      </c>
      <c r="R75" s="27" t="n">
        <v>1330</v>
      </c>
      <c r="S75" s="26" t="n">
        <f aca="false">MROUND(R75+'Fuel &amp; Inputs'!$C$13,50)</f>
        <v>2150</v>
      </c>
      <c r="T75" s="27" t="n">
        <v>2670</v>
      </c>
      <c r="U75" s="26" t="n">
        <f aca="false">MROUND(R75*'Fuel &amp; Inputs'!$C$19*'Fuel &amp; Inputs'!$C$21,100)</f>
        <v>5100</v>
      </c>
      <c r="V75" s="26" t="n">
        <f aca="false">MROUND(S75*'Fuel &amp; Inputs'!$C$19*'Fuel &amp; Inputs'!$C$21,100)</f>
        <v>8200</v>
      </c>
      <c r="W75" s="26" t="n">
        <f aca="false">MROUND(T75*'Fuel &amp; Inputs'!$C$19*'Fuel &amp; Inputs'!$C$21,100)</f>
        <v>10100</v>
      </c>
      <c r="X75" s="26" t="n">
        <f aca="false">MROUND(R75*'Fuel &amp; Inputs'!$C$20*'Fuel &amp; Inputs'!$C$22,500)</f>
        <v>135500</v>
      </c>
      <c r="Y75" s="26" t="n">
        <f aca="false">MROUND(S75*'Fuel &amp; Inputs'!$C$20*'Fuel &amp; Inputs'!$C$22,500)</f>
        <v>219500</v>
      </c>
      <c r="Z75" s="26" t="n">
        <f aca="false">MROUND(T75*'Fuel &amp; Inputs'!$C$20*'Fuel &amp; Inputs'!$C$22,500)</f>
        <v>272500</v>
      </c>
    </row>
    <row r="76" customFormat="false" ht="15" hidden="false" customHeight="false" outlineLevel="0" collapsed="false">
      <c r="A76" s="17" t="n">
        <v>67</v>
      </c>
      <c r="B76" s="32" t="s">
        <v>76</v>
      </c>
      <c r="C76" s="32" t="s">
        <v>312</v>
      </c>
      <c r="D76" s="32" t="s">
        <v>340</v>
      </c>
      <c r="E76" s="17" t="s">
        <v>223</v>
      </c>
      <c r="F76" s="17" t="s">
        <v>341</v>
      </c>
      <c r="G76" s="17" t="s">
        <v>223</v>
      </c>
      <c r="H76" s="17" t="s">
        <v>153</v>
      </c>
      <c r="I76" s="17" t="s">
        <v>154</v>
      </c>
      <c r="J76" s="19" t="n">
        <v>4.3</v>
      </c>
      <c r="K76" s="19" t="n">
        <v>6</v>
      </c>
      <c r="L76" s="19" t="n">
        <v>8.1</v>
      </c>
      <c r="M76" s="33" t="n">
        <v>1</v>
      </c>
      <c r="N76" s="20" t="n">
        <f aca="false">IF(J76=0,0,IF($I76="L/km",MROUND(J76*$M76*IF($H76="Petrol",'Fuel &amp; Inputs'!$C$5,'Fuel &amp; Inputs'!$C$4),1),MROUND(J76*$M76*IF($H76="Petrol",'Fuel &amp; Inputs'!$C$5,'Fuel &amp; Inputs'!$C$4),10)))</f>
        <v>1640</v>
      </c>
      <c r="O76" s="20" t="n">
        <f aca="false">IF(K76=0,0,IF($I76="L/km",MROUND(K76*$M76*IF($H76="Petrol",'Fuel &amp; Inputs'!$C$5,'Fuel &amp; Inputs'!$C$4),1),MROUND(K76*$M76*IF($H76="Petrol",'Fuel &amp; Inputs'!$C$5,'Fuel &amp; Inputs'!$C$4),10)))</f>
        <v>2290</v>
      </c>
      <c r="P76" s="20" t="n">
        <f aca="false">IF(L76=0,0,IF($I76="L/km",MROUND(L76*$M76*IF($H76="Petrol",'Fuel &amp; Inputs'!$C$5,'Fuel &amp; Inputs'!$C$4),1),MROUND(L76*$M76*IF($H76="Petrol",'Fuel &amp; Inputs'!$C$5,'Fuel &amp; Inputs'!$C$4),10)))</f>
        <v>3090</v>
      </c>
      <c r="Q76" s="17" t="s">
        <v>155</v>
      </c>
      <c r="R76" s="21" t="n">
        <v>1330</v>
      </c>
      <c r="S76" s="20" t="n">
        <f aca="false">MROUND(R76+'Fuel &amp; Inputs'!$C$13,50)</f>
        <v>2150</v>
      </c>
      <c r="T76" s="21" t="n">
        <v>2670</v>
      </c>
      <c r="U76" s="20" t="n">
        <f aca="false">MROUND(R76*'Fuel &amp; Inputs'!$C$19*'Fuel &amp; Inputs'!$C$21,100)</f>
        <v>5100</v>
      </c>
      <c r="V76" s="20" t="n">
        <f aca="false">MROUND(S76*'Fuel &amp; Inputs'!$C$19*'Fuel &amp; Inputs'!$C$21,100)</f>
        <v>8200</v>
      </c>
      <c r="W76" s="20" t="n">
        <f aca="false">MROUND(T76*'Fuel &amp; Inputs'!$C$19*'Fuel &amp; Inputs'!$C$21,100)</f>
        <v>10100</v>
      </c>
      <c r="X76" s="20" t="n">
        <f aca="false">MROUND(R76*'Fuel &amp; Inputs'!$C$20*'Fuel &amp; Inputs'!$C$22,500)</f>
        <v>135500</v>
      </c>
      <c r="Y76" s="20" t="n">
        <f aca="false">MROUND(S76*'Fuel &amp; Inputs'!$C$20*'Fuel &amp; Inputs'!$C$22,500)</f>
        <v>219500</v>
      </c>
      <c r="Z76" s="20" t="n">
        <f aca="false">MROUND(T76*'Fuel &amp; Inputs'!$C$20*'Fuel &amp; Inputs'!$C$22,500)</f>
        <v>272500</v>
      </c>
    </row>
    <row r="77" customFormat="false" ht="15" hidden="false" customHeight="false" outlineLevel="0" collapsed="false">
      <c r="A77" s="23" t="n">
        <v>68</v>
      </c>
      <c r="B77" s="34" t="s">
        <v>76</v>
      </c>
      <c r="C77" s="34" t="s">
        <v>312</v>
      </c>
      <c r="D77" s="34" t="s">
        <v>315</v>
      </c>
      <c r="E77" s="23" t="s">
        <v>223</v>
      </c>
      <c r="F77" s="23" t="s">
        <v>342</v>
      </c>
      <c r="G77" s="23" t="s">
        <v>223</v>
      </c>
      <c r="H77" s="23" t="s">
        <v>153</v>
      </c>
      <c r="I77" s="23" t="s">
        <v>154</v>
      </c>
      <c r="J77" s="25" t="n">
        <v>4.3</v>
      </c>
      <c r="K77" s="25" t="n">
        <v>6</v>
      </c>
      <c r="L77" s="25" t="n">
        <v>8.1</v>
      </c>
      <c r="M77" s="35" t="n">
        <v>1</v>
      </c>
      <c r="N77" s="26" t="n">
        <f aca="false">IF(J77=0,0,IF($I77="L/km",MROUND(J77*$M77*IF($H77="Petrol",'Fuel &amp; Inputs'!$C$5,'Fuel &amp; Inputs'!$C$4),1),MROUND(J77*$M77*IF($H77="Petrol",'Fuel &amp; Inputs'!$C$5,'Fuel &amp; Inputs'!$C$4),10)))</f>
        <v>1640</v>
      </c>
      <c r="O77" s="26" t="n">
        <f aca="false">IF(K77=0,0,IF($I77="L/km",MROUND(K77*$M77*IF($H77="Petrol",'Fuel &amp; Inputs'!$C$5,'Fuel &amp; Inputs'!$C$4),1),MROUND(K77*$M77*IF($H77="Petrol",'Fuel &amp; Inputs'!$C$5,'Fuel &amp; Inputs'!$C$4),10)))</f>
        <v>2290</v>
      </c>
      <c r="P77" s="26" t="n">
        <f aca="false">IF(L77=0,0,IF($I77="L/km",MROUND(L77*$M77*IF($H77="Petrol",'Fuel &amp; Inputs'!$C$5,'Fuel &amp; Inputs'!$C$4),1),MROUND(L77*$M77*IF($H77="Petrol",'Fuel &amp; Inputs'!$C$5,'Fuel &amp; Inputs'!$C$4),10)))</f>
        <v>3090</v>
      </c>
      <c r="Q77" s="23" t="s">
        <v>155</v>
      </c>
      <c r="R77" s="27" t="n">
        <v>1330</v>
      </c>
      <c r="S77" s="26" t="n">
        <f aca="false">MROUND(R77+'Fuel &amp; Inputs'!$C$13,50)</f>
        <v>2150</v>
      </c>
      <c r="T77" s="27" t="n">
        <v>2670</v>
      </c>
      <c r="U77" s="26" t="n">
        <f aca="false">MROUND(R77*'Fuel &amp; Inputs'!$C$19*'Fuel &amp; Inputs'!$C$21,100)</f>
        <v>5100</v>
      </c>
      <c r="V77" s="26" t="n">
        <f aca="false">MROUND(S77*'Fuel &amp; Inputs'!$C$19*'Fuel &amp; Inputs'!$C$21,100)</f>
        <v>8200</v>
      </c>
      <c r="W77" s="26" t="n">
        <f aca="false">MROUND(T77*'Fuel &amp; Inputs'!$C$19*'Fuel &amp; Inputs'!$C$21,100)</f>
        <v>10100</v>
      </c>
      <c r="X77" s="26" t="n">
        <f aca="false">MROUND(R77*'Fuel &amp; Inputs'!$C$20*'Fuel &amp; Inputs'!$C$22,500)</f>
        <v>135500</v>
      </c>
      <c r="Y77" s="26" t="n">
        <f aca="false">MROUND(S77*'Fuel &amp; Inputs'!$C$20*'Fuel &amp; Inputs'!$C$22,500)</f>
        <v>219500</v>
      </c>
      <c r="Z77" s="26" t="n">
        <f aca="false">MROUND(T77*'Fuel &amp; Inputs'!$C$20*'Fuel &amp; Inputs'!$C$22,500)</f>
        <v>272500</v>
      </c>
    </row>
    <row r="78" customFormat="false" ht="15" hidden="false" customHeight="false" outlineLevel="0" collapsed="false">
      <c r="A78" s="17" t="n">
        <v>69</v>
      </c>
      <c r="B78" s="32" t="s">
        <v>76</v>
      </c>
      <c r="C78" s="32" t="s">
        <v>323</v>
      </c>
      <c r="D78" s="32" t="s">
        <v>324</v>
      </c>
      <c r="E78" s="17" t="s">
        <v>223</v>
      </c>
      <c r="F78" s="17" t="s">
        <v>343</v>
      </c>
      <c r="G78" s="17" t="s">
        <v>223</v>
      </c>
      <c r="H78" s="17" t="s">
        <v>153</v>
      </c>
      <c r="I78" s="17" t="s">
        <v>154</v>
      </c>
      <c r="J78" s="19" t="n">
        <v>4.3</v>
      </c>
      <c r="K78" s="19" t="n">
        <v>6</v>
      </c>
      <c r="L78" s="19" t="n">
        <v>8.1</v>
      </c>
      <c r="M78" s="33" t="n">
        <v>1</v>
      </c>
      <c r="N78" s="20" t="n">
        <f aca="false">IF(J78=0,0,IF($I78="L/km",MROUND(J78*$M78*IF($H78="Petrol",'Fuel &amp; Inputs'!$C$5,'Fuel &amp; Inputs'!$C$4),1),MROUND(J78*$M78*IF($H78="Petrol",'Fuel &amp; Inputs'!$C$5,'Fuel &amp; Inputs'!$C$4),10)))</f>
        <v>1640</v>
      </c>
      <c r="O78" s="20" t="n">
        <f aca="false">IF(K78=0,0,IF($I78="L/km",MROUND(K78*$M78*IF($H78="Petrol",'Fuel &amp; Inputs'!$C$5,'Fuel &amp; Inputs'!$C$4),1),MROUND(K78*$M78*IF($H78="Petrol",'Fuel &amp; Inputs'!$C$5,'Fuel &amp; Inputs'!$C$4),10)))</f>
        <v>2290</v>
      </c>
      <c r="P78" s="20" t="n">
        <f aca="false">IF(L78=0,0,IF($I78="L/km",MROUND(L78*$M78*IF($H78="Petrol",'Fuel &amp; Inputs'!$C$5,'Fuel &amp; Inputs'!$C$4),1),MROUND(L78*$M78*IF($H78="Petrol",'Fuel &amp; Inputs'!$C$5,'Fuel &amp; Inputs'!$C$4),10)))</f>
        <v>3090</v>
      </c>
      <c r="Q78" s="17" t="s">
        <v>155</v>
      </c>
      <c r="R78" s="21" t="n">
        <v>1330</v>
      </c>
      <c r="S78" s="20" t="n">
        <f aca="false">MROUND(R78+'Fuel &amp; Inputs'!$C$13,50)</f>
        <v>2150</v>
      </c>
      <c r="T78" s="21" t="n">
        <v>2670</v>
      </c>
      <c r="U78" s="20" t="n">
        <f aca="false">MROUND(R78*'Fuel &amp; Inputs'!$C$19*'Fuel &amp; Inputs'!$C$21,100)</f>
        <v>5100</v>
      </c>
      <c r="V78" s="20" t="n">
        <f aca="false">MROUND(S78*'Fuel &amp; Inputs'!$C$19*'Fuel &amp; Inputs'!$C$21,100)</f>
        <v>8200</v>
      </c>
      <c r="W78" s="20" t="n">
        <f aca="false">MROUND(T78*'Fuel &amp; Inputs'!$C$19*'Fuel &amp; Inputs'!$C$21,100)</f>
        <v>10100</v>
      </c>
      <c r="X78" s="20" t="n">
        <f aca="false">MROUND(R78*'Fuel &amp; Inputs'!$C$20*'Fuel &amp; Inputs'!$C$22,500)</f>
        <v>135500</v>
      </c>
      <c r="Y78" s="20" t="n">
        <f aca="false">MROUND(S78*'Fuel &amp; Inputs'!$C$20*'Fuel &amp; Inputs'!$C$22,500)</f>
        <v>219500</v>
      </c>
      <c r="Z78" s="20" t="n">
        <f aca="false">MROUND(T78*'Fuel &amp; Inputs'!$C$20*'Fuel &amp; Inputs'!$C$22,500)</f>
        <v>272500</v>
      </c>
    </row>
    <row r="79" customFormat="false" ht="15" hidden="false" customHeight="false" outlineLevel="0" collapsed="false">
      <c r="A79" s="23" t="n">
        <v>70</v>
      </c>
      <c r="B79" s="34" t="s">
        <v>76</v>
      </c>
      <c r="C79" s="34" t="s">
        <v>321</v>
      </c>
      <c r="D79" s="34" t="s">
        <v>223</v>
      </c>
      <c r="E79" s="23" t="s">
        <v>223</v>
      </c>
      <c r="F79" s="23" t="s">
        <v>344</v>
      </c>
      <c r="G79" s="23" t="s">
        <v>223</v>
      </c>
      <c r="H79" s="23" t="s">
        <v>153</v>
      </c>
      <c r="I79" s="23" t="s">
        <v>154</v>
      </c>
      <c r="J79" s="25" t="n">
        <v>4.3</v>
      </c>
      <c r="K79" s="25" t="n">
        <v>6</v>
      </c>
      <c r="L79" s="25" t="n">
        <v>8.1</v>
      </c>
      <c r="M79" s="35" t="n">
        <v>1</v>
      </c>
      <c r="N79" s="26" t="n">
        <f aca="false">IF(J79=0,0,IF($I79="L/km",MROUND(J79*$M79*IF($H79="Petrol",'Fuel &amp; Inputs'!$C$5,'Fuel &amp; Inputs'!$C$4),1),MROUND(J79*$M79*IF($H79="Petrol",'Fuel &amp; Inputs'!$C$5,'Fuel &amp; Inputs'!$C$4),10)))</f>
        <v>1640</v>
      </c>
      <c r="O79" s="26" t="n">
        <f aca="false">IF(K79=0,0,IF($I79="L/km",MROUND(K79*$M79*IF($H79="Petrol",'Fuel &amp; Inputs'!$C$5,'Fuel &amp; Inputs'!$C$4),1),MROUND(K79*$M79*IF($H79="Petrol",'Fuel &amp; Inputs'!$C$5,'Fuel &amp; Inputs'!$C$4),10)))</f>
        <v>2290</v>
      </c>
      <c r="P79" s="26" t="n">
        <f aca="false">IF(L79=0,0,IF($I79="L/km",MROUND(L79*$M79*IF($H79="Petrol",'Fuel &amp; Inputs'!$C$5,'Fuel &amp; Inputs'!$C$4),1),MROUND(L79*$M79*IF($H79="Petrol",'Fuel &amp; Inputs'!$C$5,'Fuel &amp; Inputs'!$C$4),10)))</f>
        <v>3090</v>
      </c>
      <c r="Q79" s="23" t="s">
        <v>155</v>
      </c>
      <c r="R79" s="27" t="n">
        <v>1330</v>
      </c>
      <c r="S79" s="26" t="n">
        <f aca="false">MROUND(R79+'Fuel &amp; Inputs'!$C$13,50)</f>
        <v>2150</v>
      </c>
      <c r="T79" s="27" t="n">
        <v>2670</v>
      </c>
      <c r="U79" s="26" t="n">
        <f aca="false">MROUND(R79*'Fuel &amp; Inputs'!$C$19*'Fuel &amp; Inputs'!$C$21,100)</f>
        <v>5100</v>
      </c>
      <c r="V79" s="26" t="n">
        <f aca="false">MROUND(S79*'Fuel &amp; Inputs'!$C$19*'Fuel &amp; Inputs'!$C$21,100)</f>
        <v>8200</v>
      </c>
      <c r="W79" s="26" t="n">
        <f aca="false">MROUND(T79*'Fuel &amp; Inputs'!$C$19*'Fuel &amp; Inputs'!$C$21,100)</f>
        <v>10100</v>
      </c>
      <c r="X79" s="26" t="n">
        <f aca="false">MROUND(R79*'Fuel &amp; Inputs'!$C$20*'Fuel &amp; Inputs'!$C$22,500)</f>
        <v>135500</v>
      </c>
      <c r="Y79" s="26" t="n">
        <f aca="false">MROUND(S79*'Fuel &amp; Inputs'!$C$20*'Fuel &amp; Inputs'!$C$22,500)</f>
        <v>219500</v>
      </c>
      <c r="Z79" s="26" t="n">
        <f aca="false">MROUND(T79*'Fuel &amp; Inputs'!$C$20*'Fuel &amp; Inputs'!$C$22,500)</f>
        <v>272500</v>
      </c>
    </row>
    <row r="80" customFormat="false" ht="15" hidden="false" customHeight="false" outlineLevel="0" collapsed="false">
      <c r="A80" s="17" t="n">
        <v>71</v>
      </c>
      <c r="B80" s="32" t="s">
        <v>76</v>
      </c>
      <c r="C80" s="32" t="s">
        <v>327</v>
      </c>
      <c r="D80" s="32" t="s">
        <v>345</v>
      </c>
      <c r="E80" s="17" t="s">
        <v>223</v>
      </c>
      <c r="F80" s="17" t="s">
        <v>346</v>
      </c>
      <c r="G80" s="17" t="s">
        <v>223</v>
      </c>
      <c r="H80" s="17" t="s">
        <v>153</v>
      </c>
      <c r="I80" s="17" t="s">
        <v>154</v>
      </c>
      <c r="J80" s="19" t="n">
        <v>4.3</v>
      </c>
      <c r="K80" s="19" t="n">
        <v>6</v>
      </c>
      <c r="L80" s="19" t="n">
        <v>8.1</v>
      </c>
      <c r="M80" s="33" t="n">
        <v>1</v>
      </c>
      <c r="N80" s="20" t="n">
        <f aca="false">IF(J80=0,0,IF($I80="L/km",MROUND(J80*$M80*IF($H80="Petrol",'Fuel &amp; Inputs'!$C$5,'Fuel &amp; Inputs'!$C$4),1),MROUND(J80*$M80*IF($H80="Petrol",'Fuel &amp; Inputs'!$C$5,'Fuel &amp; Inputs'!$C$4),10)))</f>
        <v>1640</v>
      </c>
      <c r="O80" s="20" t="n">
        <f aca="false">IF(K80=0,0,IF($I80="L/km",MROUND(K80*$M80*IF($H80="Petrol",'Fuel &amp; Inputs'!$C$5,'Fuel &amp; Inputs'!$C$4),1),MROUND(K80*$M80*IF($H80="Petrol",'Fuel &amp; Inputs'!$C$5,'Fuel &amp; Inputs'!$C$4),10)))</f>
        <v>2290</v>
      </c>
      <c r="P80" s="20" t="n">
        <f aca="false">IF(L80=0,0,IF($I80="L/km",MROUND(L80*$M80*IF($H80="Petrol",'Fuel &amp; Inputs'!$C$5,'Fuel &amp; Inputs'!$C$4),1),MROUND(L80*$M80*IF($H80="Petrol",'Fuel &amp; Inputs'!$C$5,'Fuel &amp; Inputs'!$C$4),10)))</f>
        <v>3090</v>
      </c>
      <c r="Q80" s="17" t="s">
        <v>155</v>
      </c>
      <c r="R80" s="21" t="n">
        <v>1330</v>
      </c>
      <c r="S80" s="20" t="n">
        <f aca="false">MROUND(R80+'Fuel &amp; Inputs'!$C$13,50)</f>
        <v>2150</v>
      </c>
      <c r="T80" s="21" t="n">
        <v>2670</v>
      </c>
      <c r="U80" s="20" t="n">
        <f aca="false">MROUND(R80*'Fuel &amp; Inputs'!$C$19*'Fuel &amp; Inputs'!$C$21,100)</f>
        <v>5100</v>
      </c>
      <c r="V80" s="20" t="n">
        <f aca="false">MROUND(S80*'Fuel &amp; Inputs'!$C$19*'Fuel &amp; Inputs'!$C$21,100)</f>
        <v>8200</v>
      </c>
      <c r="W80" s="20" t="n">
        <f aca="false">MROUND(T80*'Fuel &amp; Inputs'!$C$19*'Fuel &amp; Inputs'!$C$21,100)</f>
        <v>10100</v>
      </c>
      <c r="X80" s="20" t="n">
        <f aca="false">MROUND(R80*'Fuel &amp; Inputs'!$C$20*'Fuel &amp; Inputs'!$C$22,500)</f>
        <v>135500</v>
      </c>
      <c r="Y80" s="20" t="n">
        <f aca="false">MROUND(S80*'Fuel &amp; Inputs'!$C$20*'Fuel &amp; Inputs'!$C$22,500)</f>
        <v>219500</v>
      </c>
      <c r="Z80" s="20" t="n">
        <f aca="false">MROUND(T80*'Fuel &amp; Inputs'!$C$20*'Fuel &amp; Inputs'!$C$22,500)</f>
        <v>272500</v>
      </c>
    </row>
    <row r="81" customFormat="false" ht="15" hidden="false" customHeight="true" outlineLevel="0" collapsed="false">
      <c r="A81" s="31" t="s">
        <v>347</v>
      </c>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ustomFormat="false" ht="15" hidden="false" customHeight="false" outlineLevel="0" collapsed="false">
      <c r="A82" s="23" t="n">
        <v>72</v>
      </c>
      <c r="B82" s="34" t="s">
        <v>78</v>
      </c>
      <c r="C82" s="34" t="s">
        <v>330</v>
      </c>
      <c r="D82" s="34" t="s">
        <v>223</v>
      </c>
      <c r="E82" s="23" t="s">
        <v>243</v>
      </c>
      <c r="F82" s="23" t="s">
        <v>348</v>
      </c>
      <c r="G82" s="23" t="s">
        <v>223</v>
      </c>
      <c r="H82" s="23" t="s">
        <v>153</v>
      </c>
      <c r="I82" s="23" t="s">
        <v>154</v>
      </c>
      <c r="J82" s="25" t="n">
        <v>7.2</v>
      </c>
      <c r="K82" s="25" t="n">
        <v>10</v>
      </c>
      <c r="L82" s="25" t="n">
        <v>13.5</v>
      </c>
      <c r="M82" s="35" t="n">
        <v>1.112</v>
      </c>
      <c r="N82" s="26" t="n">
        <f aca="false">IF(J82=0,0,IF($I82="L/km",MROUND(J82*$M82*IF($H82="Petrol",'Fuel &amp; Inputs'!$C$5,'Fuel &amp; Inputs'!$C$4),1),MROUND(J82*$M82*IF($H82="Petrol",'Fuel &amp; Inputs'!$C$5,'Fuel &amp; Inputs'!$C$4),10)))</f>
        <v>3060</v>
      </c>
      <c r="O82" s="26" t="n">
        <f aca="false">IF(K82=0,0,IF($I82="L/km",MROUND(K82*$M82*IF($H82="Petrol",'Fuel &amp; Inputs'!$C$5,'Fuel &amp; Inputs'!$C$4),1),MROUND(K82*$M82*IF($H82="Petrol",'Fuel &amp; Inputs'!$C$5,'Fuel &amp; Inputs'!$C$4),10)))</f>
        <v>4250</v>
      </c>
      <c r="P82" s="26" t="n">
        <f aca="false">IF(L82=0,0,IF($I82="L/km",MROUND(L82*$M82*IF($H82="Petrol",'Fuel &amp; Inputs'!$C$5,'Fuel &amp; Inputs'!$C$4),1),MROUND(L82*$M82*IF($H82="Petrol",'Fuel &amp; Inputs'!$C$5,'Fuel &amp; Inputs'!$C$4),10)))</f>
        <v>5730</v>
      </c>
      <c r="Q82" s="23" t="s">
        <v>155</v>
      </c>
      <c r="R82" s="27" t="n">
        <v>1790</v>
      </c>
      <c r="S82" s="26" t="n">
        <f aca="false">MROUND(R82+'Fuel &amp; Inputs'!$C$13,50)</f>
        <v>2600</v>
      </c>
      <c r="T82" s="27" t="n">
        <v>3590</v>
      </c>
      <c r="U82" s="26" t="n">
        <f aca="false">MROUND(R82*'Fuel &amp; Inputs'!$C$19*'Fuel &amp; Inputs'!$C$21,100)</f>
        <v>6800</v>
      </c>
      <c r="V82" s="26" t="n">
        <f aca="false">MROUND(S82*'Fuel &amp; Inputs'!$C$19*'Fuel &amp; Inputs'!$C$21,100)</f>
        <v>9900</v>
      </c>
      <c r="W82" s="26" t="n">
        <f aca="false">MROUND(T82*'Fuel &amp; Inputs'!$C$19*'Fuel &amp; Inputs'!$C$21,100)</f>
        <v>13600</v>
      </c>
      <c r="X82" s="26" t="n">
        <f aca="false">MROUND(R82*'Fuel &amp; Inputs'!$C$20*'Fuel &amp; Inputs'!$C$22,500)</f>
        <v>182500</v>
      </c>
      <c r="Y82" s="26" t="n">
        <f aca="false">MROUND(S82*'Fuel &amp; Inputs'!$C$20*'Fuel &amp; Inputs'!$C$22,500)</f>
        <v>265000</v>
      </c>
      <c r="Z82" s="26" t="n">
        <f aca="false">MROUND(T82*'Fuel &amp; Inputs'!$C$20*'Fuel &amp; Inputs'!$C$22,500)</f>
        <v>366000</v>
      </c>
    </row>
    <row r="83" customFormat="false" ht="15" hidden="false" customHeight="false" outlineLevel="0" collapsed="false">
      <c r="A83" s="17" t="n">
        <v>73</v>
      </c>
      <c r="B83" s="32" t="s">
        <v>78</v>
      </c>
      <c r="C83" s="32" t="s">
        <v>224</v>
      </c>
      <c r="D83" s="32" t="s">
        <v>349</v>
      </c>
      <c r="E83" s="17" t="s">
        <v>166</v>
      </c>
      <c r="F83" s="17" t="s">
        <v>350</v>
      </c>
      <c r="G83" s="17" t="s">
        <v>223</v>
      </c>
      <c r="H83" s="17" t="s">
        <v>153</v>
      </c>
      <c r="I83" s="17" t="s">
        <v>154</v>
      </c>
      <c r="J83" s="19" t="n">
        <v>7.2</v>
      </c>
      <c r="K83" s="19" t="n">
        <v>10</v>
      </c>
      <c r="L83" s="19" t="n">
        <v>13.5</v>
      </c>
      <c r="M83" s="33" t="n">
        <v>1.098</v>
      </c>
      <c r="N83" s="20" t="n">
        <f aca="false">IF(J83=0,0,IF($I83="L/km",MROUND(J83*$M83*IF($H83="Petrol",'Fuel &amp; Inputs'!$C$5,'Fuel &amp; Inputs'!$C$4),1),MROUND(J83*$M83*IF($H83="Petrol",'Fuel &amp; Inputs'!$C$5,'Fuel &amp; Inputs'!$C$4),10)))</f>
        <v>3020</v>
      </c>
      <c r="O83" s="20" t="n">
        <f aca="false">IF(K83=0,0,IF($I83="L/km",MROUND(K83*$M83*IF($H83="Petrol",'Fuel &amp; Inputs'!$C$5,'Fuel &amp; Inputs'!$C$4),1),MROUND(K83*$M83*IF($H83="Petrol",'Fuel &amp; Inputs'!$C$5,'Fuel &amp; Inputs'!$C$4),10)))</f>
        <v>4190</v>
      </c>
      <c r="P83" s="20" t="n">
        <f aca="false">IF(L83=0,0,IF($I83="L/km",MROUND(L83*$M83*IF($H83="Petrol",'Fuel &amp; Inputs'!$C$5,'Fuel &amp; Inputs'!$C$4),1),MROUND(L83*$M83*IF($H83="Petrol",'Fuel &amp; Inputs'!$C$5,'Fuel &amp; Inputs'!$C$4),10)))</f>
        <v>5660</v>
      </c>
      <c r="Q83" s="17" t="s">
        <v>155</v>
      </c>
      <c r="R83" s="21" t="n">
        <v>1790</v>
      </c>
      <c r="S83" s="20" t="n">
        <f aca="false">MROUND(R83+'Fuel &amp; Inputs'!$C$13,50)</f>
        <v>2600</v>
      </c>
      <c r="T83" s="21" t="n">
        <v>3590</v>
      </c>
      <c r="U83" s="20" t="n">
        <f aca="false">MROUND(R83*'Fuel &amp; Inputs'!$C$19*'Fuel &amp; Inputs'!$C$21,100)</f>
        <v>6800</v>
      </c>
      <c r="V83" s="20" t="n">
        <f aca="false">MROUND(S83*'Fuel &amp; Inputs'!$C$19*'Fuel &amp; Inputs'!$C$21,100)</f>
        <v>9900</v>
      </c>
      <c r="W83" s="20" t="n">
        <f aca="false">MROUND(T83*'Fuel &amp; Inputs'!$C$19*'Fuel &amp; Inputs'!$C$21,100)</f>
        <v>13600</v>
      </c>
      <c r="X83" s="20" t="n">
        <f aca="false">MROUND(R83*'Fuel &amp; Inputs'!$C$20*'Fuel &amp; Inputs'!$C$22,500)</f>
        <v>182500</v>
      </c>
      <c r="Y83" s="20" t="n">
        <f aca="false">MROUND(S83*'Fuel &amp; Inputs'!$C$20*'Fuel &amp; Inputs'!$C$22,500)</f>
        <v>265000</v>
      </c>
      <c r="Z83" s="20" t="n">
        <f aca="false">MROUND(T83*'Fuel &amp; Inputs'!$C$20*'Fuel &amp; Inputs'!$C$22,500)</f>
        <v>366000</v>
      </c>
    </row>
    <row r="84" customFormat="false" ht="15" hidden="false" customHeight="false" outlineLevel="0" collapsed="false">
      <c r="A84" s="23" t="n">
        <v>74</v>
      </c>
      <c r="B84" s="34" t="s">
        <v>78</v>
      </c>
      <c r="C84" s="34" t="s">
        <v>330</v>
      </c>
      <c r="D84" s="34" t="s">
        <v>223</v>
      </c>
      <c r="E84" s="23" t="s">
        <v>234</v>
      </c>
      <c r="F84" s="23" t="s">
        <v>351</v>
      </c>
      <c r="G84" s="23" t="s">
        <v>223</v>
      </c>
      <c r="H84" s="23" t="s">
        <v>153</v>
      </c>
      <c r="I84" s="23" t="s">
        <v>154</v>
      </c>
      <c r="J84" s="25" t="n">
        <v>7.2</v>
      </c>
      <c r="K84" s="25" t="n">
        <v>10</v>
      </c>
      <c r="L84" s="25" t="n">
        <v>13.5</v>
      </c>
      <c r="M84" s="35" t="n">
        <v>1.091</v>
      </c>
      <c r="N84" s="26" t="n">
        <f aca="false">IF(J84=0,0,IF($I84="L/km",MROUND(J84*$M84*IF($H84="Petrol",'Fuel &amp; Inputs'!$C$5,'Fuel &amp; Inputs'!$C$4),1),MROUND(J84*$M84*IF($H84="Petrol",'Fuel &amp; Inputs'!$C$5,'Fuel &amp; Inputs'!$C$4),10)))</f>
        <v>3000</v>
      </c>
      <c r="O84" s="26" t="n">
        <f aca="false">IF(K84=0,0,IF($I84="L/km",MROUND(K84*$M84*IF($H84="Petrol",'Fuel &amp; Inputs'!$C$5,'Fuel &amp; Inputs'!$C$4),1),MROUND(K84*$M84*IF($H84="Petrol",'Fuel &amp; Inputs'!$C$5,'Fuel &amp; Inputs'!$C$4),10)))</f>
        <v>4170</v>
      </c>
      <c r="P84" s="26" t="n">
        <f aca="false">IF(L84=0,0,IF($I84="L/km",MROUND(L84*$M84*IF($H84="Petrol",'Fuel &amp; Inputs'!$C$5,'Fuel &amp; Inputs'!$C$4),1),MROUND(L84*$M84*IF($H84="Petrol",'Fuel &amp; Inputs'!$C$5,'Fuel &amp; Inputs'!$C$4),10)))</f>
        <v>5630</v>
      </c>
      <c r="Q84" s="23" t="s">
        <v>155</v>
      </c>
      <c r="R84" s="27" t="n">
        <v>1790</v>
      </c>
      <c r="S84" s="26" t="n">
        <f aca="false">MROUND(R84+'Fuel &amp; Inputs'!$C$13,50)</f>
        <v>2600</v>
      </c>
      <c r="T84" s="27" t="n">
        <v>3590</v>
      </c>
      <c r="U84" s="26" t="n">
        <f aca="false">MROUND(R84*'Fuel &amp; Inputs'!$C$19*'Fuel &amp; Inputs'!$C$21,100)</f>
        <v>6800</v>
      </c>
      <c r="V84" s="26" t="n">
        <f aca="false">MROUND(S84*'Fuel &amp; Inputs'!$C$19*'Fuel &amp; Inputs'!$C$21,100)</f>
        <v>9900</v>
      </c>
      <c r="W84" s="26" t="n">
        <f aca="false">MROUND(T84*'Fuel &amp; Inputs'!$C$19*'Fuel &amp; Inputs'!$C$21,100)</f>
        <v>13600</v>
      </c>
      <c r="X84" s="26" t="n">
        <f aca="false">MROUND(R84*'Fuel &amp; Inputs'!$C$20*'Fuel &amp; Inputs'!$C$22,500)</f>
        <v>182500</v>
      </c>
      <c r="Y84" s="26" t="n">
        <f aca="false">MROUND(S84*'Fuel &amp; Inputs'!$C$20*'Fuel &amp; Inputs'!$C$22,500)</f>
        <v>265000</v>
      </c>
      <c r="Z84" s="26" t="n">
        <f aca="false">MROUND(T84*'Fuel &amp; Inputs'!$C$20*'Fuel &amp; Inputs'!$C$22,500)</f>
        <v>366000</v>
      </c>
    </row>
    <row r="85" customFormat="false" ht="15" hidden="false" customHeight="false" outlineLevel="0" collapsed="false">
      <c r="A85" s="17" t="n">
        <v>75</v>
      </c>
      <c r="B85" s="32" t="s">
        <v>78</v>
      </c>
      <c r="C85" s="32" t="s">
        <v>352</v>
      </c>
      <c r="D85" s="32" t="s">
        <v>353</v>
      </c>
      <c r="E85" s="17" t="s">
        <v>174</v>
      </c>
      <c r="F85" s="17" t="s">
        <v>354</v>
      </c>
      <c r="G85" s="17" t="s">
        <v>223</v>
      </c>
      <c r="H85" s="17" t="s">
        <v>153</v>
      </c>
      <c r="I85" s="17" t="s">
        <v>154</v>
      </c>
      <c r="J85" s="19" t="n">
        <v>7.2</v>
      </c>
      <c r="K85" s="19" t="n">
        <v>10</v>
      </c>
      <c r="L85" s="19" t="n">
        <v>13.5</v>
      </c>
      <c r="M85" s="33" t="n">
        <v>1.07</v>
      </c>
      <c r="N85" s="20" t="n">
        <f aca="false">IF(J85=0,0,IF($I85="L/km",MROUND(J85*$M85*IF($H85="Petrol",'Fuel &amp; Inputs'!$C$5,'Fuel &amp; Inputs'!$C$4),1),MROUND(J85*$M85*IF($H85="Petrol",'Fuel &amp; Inputs'!$C$5,'Fuel &amp; Inputs'!$C$4),10)))</f>
        <v>2940</v>
      </c>
      <c r="O85" s="20" t="n">
        <f aca="false">IF(K85=0,0,IF($I85="L/km",MROUND(K85*$M85*IF($H85="Petrol",'Fuel &amp; Inputs'!$C$5,'Fuel &amp; Inputs'!$C$4),1),MROUND(K85*$M85*IF($H85="Petrol",'Fuel &amp; Inputs'!$C$5,'Fuel &amp; Inputs'!$C$4),10)))</f>
        <v>4090</v>
      </c>
      <c r="P85" s="20" t="n">
        <f aca="false">IF(L85=0,0,IF($I85="L/km",MROUND(L85*$M85*IF($H85="Petrol",'Fuel &amp; Inputs'!$C$5,'Fuel &amp; Inputs'!$C$4),1),MROUND(L85*$M85*IF($H85="Petrol",'Fuel &amp; Inputs'!$C$5,'Fuel &amp; Inputs'!$C$4),10)))</f>
        <v>5520</v>
      </c>
      <c r="Q85" s="17" t="s">
        <v>155</v>
      </c>
      <c r="R85" s="21" t="n">
        <v>1790</v>
      </c>
      <c r="S85" s="20" t="n">
        <f aca="false">MROUND(R85+'Fuel &amp; Inputs'!$C$13,50)</f>
        <v>2600</v>
      </c>
      <c r="T85" s="21" t="n">
        <v>3590</v>
      </c>
      <c r="U85" s="20" t="n">
        <f aca="false">MROUND(R85*'Fuel &amp; Inputs'!$C$19*'Fuel &amp; Inputs'!$C$21,100)</f>
        <v>6800</v>
      </c>
      <c r="V85" s="20" t="n">
        <f aca="false">MROUND(S85*'Fuel &amp; Inputs'!$C$19*'Fuel &amp; Inputs'!$C$21,100)</f>
        <v>9900</v>
      </c>
      <c r="W85" s="20" t="n">
        <f aca="false">MROUND(T85*'Fuel &amp; Inputs'!$C$19*'Fuel &amp; Inputs'!$C$21,100)</f>
        <v>13600</v>
      </c>
      <c r="X85" s="20" t="n">
        <f aca="false">MROUND(R85*'Fuel &amp; Inputs'!$C$20*'Fuel &amp; Inputs'!$C$22,500)</f>
        <v>182500</v>
      </c>
      <c r="Y85" s="20" t="n">
        <f aca="false">MROUND(S85*'Fuel &amp; Inputs'!$C$20*'Fuel &amp; Inputs'!$C$22,500)</f>
        <v>265000</v>
      </c>
      <c r="Z85" s="20" t="n">
        <f aca="false">MROUND(T85*'Fuel &amp; Inputs'!$C$20*'Fuel &amp; Inputs'!$C$22,500)</f>
        <v>366000</v>
      </c>
    </row>
    <row r="86" customFormat="false" ht="15" hidden="false" customHeight="false" outlineLevel="0" collapsed="false">
      <c r="A86" s="23" t="n">
        <v>76</v>
      </c>
      <c r="B86" s="34" t="s">
        <v>78</v>
      </c>
      <c r="C86" s="34" t="s">
        <v>352</v>
      </c>
      <c r="D86" s="34" t="s">
        <v>355</v>
      </c>
      <c r="E86" s="23" t="s">
        <v>174</v>
      </c>
      <c r="F86" s="23" t="s">
        <v>356</v>
      </c>
      <c r="G86" s="23" t="s">
        <v>223</v>
      </c>
      <c r="H86" s="23" t="s">
        <v>153</v>
      </c>
      <c r="I86" s="23" t="s">
        <v>154</v>
      </c>
      <c r="J86" s="25" t="n">
        <v>7.2</v>
      </c>
      <c r="K86" s="25" t="n">
        <v>10</v>
      </c>
      <c r="L86" s="25" t="n">
        <v>13.5</v>
      </c>
      <c r="M86" s="35" t="n">
        <v>1.07</v>
      </c>
      <c r="N86" s="26" t="n">
        <f aca="false">IF(J86=0,0,IF($I86="L/km",MROUND(J86*$M86*IF($H86="Petrol",'Fuel &amp; Inputs'!$C$5,'Fuel &amp; Inputs'!$C$4),1),MROUND(J86*$M86*IF($H86="Petrol",'Fuel &amp; Inputs'!$C$5,'Fuel &amp; Inputs'!$C$4),10)))</f>
        <v>2940</v>
      </c>
      <c r="O86" s="26" t="n">
        <f aca="false">IF(K86=0,0,IF($I86="L/km",MROUND(K86*$M86*IF($H86="Petrol",'Fuel &amp; Inputs'!$C$5,'Fuel &amp; Inputs'!$C$4),1),MROUND(K86*$M86*IF($H86="Petrol",'Fuel &amp; Inputs'!$C$5,'Fuel &amp; Inputs'!$C$4),10)))</f>
        <v>4090</v>
      </c>
      <c r="P86" s="26" t="n">
        <f aca="false">IF(L86=0,0,IF($I86="L/km",MROUND(L86*$M86*IF($H86="Petrol",'Fuel &amp; Inputs'!$C$5,'Fuel &amp; Inputs'!$C$4),1),MROUND(L86*$M86*IF($H86="Petrol",'Fuel &amp; Inputs'!$C$5,'Fuel &amp; Inputs'!$C$4),10)))</f>
        <v>5520</v>
      </c>
      <c r="Q86" s="23" t="s">
        <v>155</v>
      </c>
      <c r="R86" s="27" t="n">
        <v>1790</v>
      </c>
      <c r="S86" s="26" t="n">
        <f aca="false">MROUND(R86+'Fuel &amp; Inputs'!$C$13,50)</f>
        <v>2600</v>
      </c>
      <c r="T86" s="27" t="n">
        <v>3590</v>
      </c>
      <c r="U86" s="26" t="n">
        <f aca="false">MROUND(R86*'Fuel &amp; Inputs'!$C$19*'Fuel &amp; Inputs'!$C$21,100)</f>
        <v>6800</v>
      </c>
      <c r="V86" s="26" t="n">
        <f aca="false">MROUND(S86*'Fuel &amp; Inputs'!$C$19*'Fuel &amp; Inputs'!$C$21,100)</f>
        <v>9900</v>
      </c>
      <c r="W86" s="26" t="n">
        <f aca="false">MROUND(T86*'Fuel &amp; Inputs'!$C$19*'Fuel &amp; Inputs'!$C$21,100)</f>
        <v>13600</v>
      </c>
      <c r="X86" s="26" t="n">
        <f aca="false">MROUND(R86*'Fuel &amp; Inputs'!$C$20*'Fuel &amp; Inputs'!$C$22,500)</f>
        <v>182500</v>
      </c>
      <c r="Y86" s="26" t="n">
        <f aca="false">MROUND(S86*'Fuel &amp; Inputs'!$C$20*'Fuel &amp; Inputs'!$C$22,500)</f>
        <v>265000</v>
      </c>
      <c r="Z86" s="26" t="n">
        <f aca="false">MROUND(T86*'Fuel &amp; Inputs'!$C$20*'Fuel &amp; Inputs'!$C$22,500)</f>
        <v>366000</v>
      </c>
    </row>
    <row r="87" customFormat="false" ht="15" hidden="false" customHeight="false" outlineLevel="0" collapsed="false">
      <c r="A87" s="17" t="n">
        <v>77</v>
      </c>
      <c r="B87" s="32" t="s">
        <v>78</v>
      </c>
      <c r="C87" s="32" t="s">
        <v>352</v>
      </c>
      <c r="D87" s="32" t="s">
        <v>357</v>
      </c>
      <c r="E87" s="17" t="s">
        <v>174</v>
      </c>
      <c r="F87" s="17" t="s">
        <v>358</v>
      </c>
      <c r="G87" s="17" t="s">
        <v>223</v>
      </c>
      <c r="H87" s="17" t="s">
        <v>153</v>
      </c>
      <c r="I87" s="17" t="s">
        <v>154</v>
      </c>
      <c r="J87" s="19" t="n">
        <v>7.2</v>
      </c>
      <c r="K87" s="19" t="n">
        <v>10</v>
      </c>
      <c r="L87" s="19" t="n">
        <v>13.5</v>
      </c>
      <c r="M87" s="33" t="n">
        <v>1.07</v>
      </c>
      <c r="N87" s="20" t="n">
        <f aca="false">IF(J87=0,0,IF($I87="L/km",MROUND(J87*$M87*IF($H87="Petrol",'Fuel &amp; Inputs'!$C$5,'Fuel &amp; Inputs'!$C$4),1),MROUND(J87*$M87*IF($H87="Petrol",'Fuel &amp; Inputs'!$C$5,'Fuel &amp; Inputs'!$C$4),10)))</f>
        <v>2940</v>
      </c>
      <c r="O87" s="20" t="n">
        <f aca="false">IF(K87=0,0,IF($I87="L/km",MROUND(K87*$M87*IF($H87="Petrol",'Fuel &amp; Inputs'!$C$5,'Fuel &amp; Inputs'!$C$4),1),MROUND(K87*$M87*IF($H87="Petrol",'Fuel &amp; Inputs'!$C$5,'Fuel &amp; Inputs'!$C$4),10)))</f>
        <v>4090</v>
      </c>
      <c r="P87" s="20" t="n">
        <f aca="false">IF(L87=0,0,IF($I87="L/km",MROUND(L87*$M87*IF($H87="Petrol",'Fuel &amp; Inputs'!$C$5,'Fuel &amp; Inputs'!$C$4),1),MROUND(L87*$M87*IF($H87="Petrol",'Fuel &amp; Inputs'!$C$5,'Fuel &amp; Inputs'!$C$4),10)))</f>
        <v>5520</v>
      </c>
      <c r="Q87" s="17" t="s">
        <v>155</v>
      </c>
      <c r="R87" s="21" t="n">
        <v>1790</v>
      </c>
      <c r="S87" s="20" t="n">
        <f aca="false">MROUND(R87+'Fuel &amp; Inputs'!$C$13,50)</f>
        <v>2600</v>
      </c>
      <c r="T87" s="21" t="n">
        <v>3590</v>
      </c>
      <c r="U87" s="20" t="n">
        <f aca="false">MROUND(R87*'Fuel &amp; Inputs'!$C$19*'Fuel &amp; Inputs'!$C$21,100)</f>
        <v>6800</v>
      </c>
      <c r="V87" s="20" t="n">
        <f aca="false">MROUND(S87*'Fuel &amp; Inputs'!$C$19*'Fuel &amp; Inputs'!$C$21,100)</f>
        <v>9900</v>
      </c>
      <c r="W87" s="20" t="n">
        <f aca="false">MROUND(T87*'Fuel &amp; Inputs'!$C$19*'Fuel &amp; Inputs'!$C$21,100)</f>
        <v>13600</v>
      </c>
      <c r="X87" s="20" t="n">
        <f aca="false">MROUND(R87*'Fuel &amp; Inputs'!$C$20*'Fuel &amp; Inputs'!$C$22,500)</f>
        <v>182500</v>
      </c>
      <c r="Y87" s="20" t="n">
        <f aca="false">MROUND(S87*'Fuel &amp; Inputs'!$C$20*'Fuel &amp; Inputs'!$C$22,500)</f>
        <v>265000</v>
      </c>
      <c r="Z87" s="20" t="n">
        <f aca="false">MROUND(T87*'Fuel &amp; Inputs'!$C$20*'Fuel &amp; Inputs'!$C$22,500)</f>
        <v>366000</v>
      </c>
    </row>
    <row r="88" customFormat="false" ht="15" hidden="false" customHeight="false" outlineLevel="0" collapsed="false">
      <c r="A88" s="23" t="n">
        <v>78</v>
      </c>
      <c r="B88" s="34" t="s">
        <v>78</v>
      </c>
      <c r="C88" s="34" t="s">
        <v>359</v>
      </c>
      <c r="D88" s="34" t="s">
        <v>360</v>
      </c>
      <c r="E88" s="23" t="s">
        <v>174</v>
      </c>
      <c r="F88" s="23" t="s">
        <v>361</v>
      </c>
      <c r="G88" s="23" t="s">
        <v>223</v>
      </c>
      <c r="H88" s="23" t="s">
        <v>153</v>
      </c>
      <c r="I88" s="23" t="s">
        <v>154</v>
      </c>
      <c r="J88" s="25" t="n">
        <v>7.2</v>
      </c>
      <c r="K88" s="25" t="n">
        <v>10</v>
      </c>
      <c r="L88" s="25" t="n">
        <v>13.5</v>
      </c>
      <c r="M88" s="35" t="n">
        <v>1.07</v>
      </c>
      <c r="N88" s="26" t="n">
        <f aca="false">IF(J88=0,0,IF($I88="L/km",MROUND(J88*$M88*IF($H88="Petrol",'Fuel &amp; Inputs'!$C$5,'Fuel &amp; Inputs'!$C$4),1),MROUND(J88*$M88*IF($H88="Petrol",'Fuel &amp; Inputs'!$C$5,'Fuel &amp; Inputs'!$C$4),10)))</f>
        <v>2940</v>
      </c>
      <c r="O88" s="26" t="n">
        <f aca="false">IF(K88=0,0,IF($I88="L/km",MROUND(K88*$M88*IF($H88="Petrol",'Fuel &amp; Inputs'!$C$5,'Fuel &amp; Inputs'!$C$4),1),MROUND(K88*$M88*IF($H88="Petrol",'Fuel &amp; Inputs'!$C$5,'Fuel &amp; Inputs'!$C$4),10)))</f>
        <v>4090</v>
      </c>
      <c r="P88" s="26" t="n">
        <f aca="false">IF(L88=0,0,IF($I88="L/km",MROUND(L88*$M88*IF($H88="Petrol",'Fuel &amp; Inputs'!$C$5,'Fuel &amp; Inputs'!$C$4),1),MROUND(L88*$M88*IF($H88="Petrol",'Fuel &amp; Inputs'!$C$5,'Fuel &amp; Inputs'!$C$4),10)))</f>
        <v>5520</v>
      </c>
      <c r="Q88" s="23" t="s">
        <v>155</v>
      </c>
      <c r="R88" s="27" t="n">
        <v>1790</v>
      </c>
      <c r="S88" s="26" t="n">
        <f aca="false">MROUND(R88+'Fuel &amp; Inputs'!$C$13,50)</f>
        <v>2600</v>
      </c>
      <c r="T88" s="27" t="n">
        <v>3590</v>
      </c>
      <c r="U88" s="26" t="n">
        <f aca="false">MROUND(R88*'Fuel &amp; Inputs'!$C$19*'Fuel &amp; Inputs'!$C$21,100)</f>
        <v>6800</v>
      </c>
      <c r="V88" s="26" t="n">
        <f aca="false">MROUND(S88*'Fuel &amp; Inputs'!$C$19*'Fuel &amp; Inputs'!$C$21,100)</f>
        <v>9900</v>
      </c>
      <c r="W88" s="26" t="n">
        <f aca="false">MROUND(T88*'Fuel &amp; Inputs'!$C$19*'Fuel &amp; Inputs'!$C$21,100)</f>
        <v>13600</v>
      </c>
      <c r="X88" s="26" t="n">
        <f aca="false">MROUND(R88*'Fuel &amp; Inputs'!$C$20*'Fuel &amp; Inputs'!$C$22,500)</f>
        <v>182500</v>
      </c>
      <c r="Y88" s="26" t="n">
        <f aca="false">MROUND(S88*'Fuel &amp; Inputs'!$C$20*'Fuel &amp; Inputs'!$C$22,500)</f>
        <v>265000</v>
      </c>
      <c r="Z88" s="26" t="n">
        <f aca="false">MROUND(T88*'Fuel &amp; Inputs'!$C$20*'Fuel &amp; Inputs'!$C$22,500)</f>
        <v>366000</v>
      </c>
    </row>
    <row r="89" customFormat="false" ht="15" hidden="false" customHeight="false" outlineLevel="0" collapsed="false">
      <c r="A89" s="17" t="n">
        <v>79</v>
      </c>
      <c r="B89" s="32" t="s">
        <v>78</v>
      </c>
      <c r="C89" s="32" t="s">
        <v>359</v>
      </c>
      <c r="D89" s="32" t="s">
        <v>357</v>
      </c>
      <c r="E89" s="17" t="s">
        <v>174</v>
      </c>
      <c r="F89" s="17" t="s">
        <v>362</v>
      </c>
      <c r="G89" s="17" t="s">
        <v>223</v>
      </c>
      <c r="H89" s="17" t="s">
        <v>153</v>
      </c>
      <c r="I89" s="17" t="s">
        <v>154</v>
      </c>
      <c r="J89" s="19" t="n">
        <v>7.2</v>
      </c>
      <c r="K89" s="19" t="n">
        <v>10</v>
      </c>
      <c r="L89" s="19" t="n">
        <v>13.5</v>
      </c>
      <c r="M89" s="33" t="n">
        <v>1.07</v>
      </c>
      <c r="N89" s="20" t="n">
        <f aca="false">IF(J89=0,0,IF($I89="L/km",MROUND(J89*$M89*IF($H89="Petrol",'Fuel &amp; Inputs'!$C$5,'Fuel &amp; Inputs'!$C$4),1),MROUND(J89*$M89*IF($H89="Petrol",'Fuel &amp; Inputs'!$C$5,'Fuel &amp; Inputs'!$C$4),10)))</f>
        <v>2940</v>
      </c>
      <c r="O89" s="20" t="n">
        <f aca="false">IF(K89=0,0,IF($I89="L/km",MROUND(K89*$M89*IF($H89="Petrol",'Fuel &amp; Inputs'!$C$5,'Fuel &amp; Inputs'!$C$4),1),MROUND(K89*$M89*IF($H89="Petrol",'Fuel &amp; Inputs'!$C$5,'Fuel &amp; Inputs'!$C$4),10)))</f>
        <v>4090</v>
      </c>
      <c r="P89" s="20" t="n">
        <f aca="false">IF(L89=0,0,IF($I89="L/km",MROUND(L89*$M89*IF($H89="Petrol",'Fuel &amp; Inputs'!$C$5,'Fuel &amp; Inputs'!$C$4),1),MROUND(L89*$M89*IF($H89="Petrol",'Fuel &amp; Inputs'!$C$5,'Fuel &amp; Inputs'!$C$4),10)))</f>
        <v>5520</v>
      </c>
      <c r="Q89" s="17" t="s">
        <v>155</v>
      </c>
      <c r="R89" s="21" t="n">
        <v>1790</v>
      </c>
      <c r="S89" s="20" t="n">
        <f aca="false">MROUND(R89+'Fuel &amp; Inputs'!$C$13,50)</f>
        <v>2600</v>
      </c>
      <c r="T89" s="21" t="n">
        <v>3590</v>
      </c>
      <c r="U89" s="20" t="n">
        <f aca="false">MROUND(R89*'Fuel &amp; Inputs'!$C$19*'Fuel &amp; Inputs'!$C$21,100)</f>
        <v>6800</v>
      </c>
      <c r="V89" s="20" t="n">
        <f aca="false">MROUND(S89*'Fuel &amp; Inputs'!$C$19*'Fuel &amp; Inputs'!$C$21,100)</f>
        <v>9900</v>
      </c>
      <c r="W89" s="20" t="n">
        <f aca="false">MROUND(T89*'Fuel &amp; Inputs'!$C$19*'Fuel &amp; Inputs'!$C$21,100)</f>
        <v>13600</v>
      </c>
      <c r="X89" s="20" t="n">
        <f aca="false">MROUND(R89*'Fuel &amp; Inputs'!$C$20*'Fuel &amp; Inputs'!$C$22,500)</f>
        <v>182500</v>
      </c>
      <c r="Y89" s="20" t="n">
        <f aca="false">MROUND(S89*'Fuel &amp; Inputs'!$C$20*'Fuel &amp; Inputs'!$C$22,500)</f>
        <v>265000</v>
      </c>
      <c r="Z89" s="20" t="n">
        <f aca="false">MROUND(T89*'Fuel &amp; Inputs'!$C$20*'Fuel &amp; Inputs'!$C$22,500)</f>
        <v>366000</v>
      </c>
    </row>
    <row r="90" customFormat="false" ht="15" hidden="false" customHeight="false" outlineLevel="0" collapsed="false">
      <c r="A90" s="23" t="n">
        <v>80</v>
      </c>
      <c r="B90" s="34" t="s">
        <v>78</v>
      </c>
      <c r="C90" s="34" t="s">
        <v>359</v>
      </c>
      <c r="D90" s="34" t="s">
        <v>357</v>
      </c>
      <c r="E90" s="23" t="s">
        <v>174</v>
      </c>
      <c r="F90" s="23" t="s">
        <v>363</v>
      </c>
      <c r="G90" s="23" t="s">
        <v>223</v>
      </c>
      <c r="H90" s="23" t="s">
        <v>153</v>
      </c>
      <c r="I90" s="23" t="s">
        <v>154</v>
      </c>
      <c r="J90" s="25" t="n">
        <v>7.2</v>
      </c>
      <c r="K90" s="25" t="n">
        <v>10</v>
      </c>
      <c r="L90" s="25" t="n">
        <v>13.5</v>
      </c>
      <c r="M90" s="35" t="n">
        <v>1.07</v>
      </c>
      <c r="N90" s="26" t="n">
        <f aca="false">IF(J90=0,0,IF($I90="L/km",MROUND(J90*$M90*IF($H90="Petrol",'Fuel &amp; Inputs'!$C$5,'Fuel &amp; Inputs'!$C$4),1),MROUND(J90*$M90*IF($H90="Petrol",'Fuel &amp; Inputs'!$C$5,'Fuel &amp; Inputs'!$C$4),10)))</f>
        <v>2940</v>
      </c>
      <c r="O90" s="26" t="n">
        <f aca="false">IF(K90=0,0,IF($I90="L/km",MROUND(K90*$M90*IF($H90="Petrol",'Fuel &amp; Inputs'!$C$5,'Fuel &amp; Inputs'!$C$4),1),MROUND(K90*$M90*IF($H90="Petrol",'Fuel &amp; Inputs'!$C$5,'Fuel &amp; Inputs'!$C$4),10)))</f>
        <v>4090</v>
      </c>
      <c r="P90" s="26" t="n">
        <f aca="false">IF(L90=0,0,IF($I90="L/km",MROUND(L90*$M90*IF($H90="Petrol",'Fuel &amp; Inputs'!$C$5,'Fuel &amp; Inputs'!$C$4),1),MROUND(L90*$M90*IF($H90="Petrol",'Fuel &amp; Inputs'!$C$5,'Fuel &amp; Inputs'!$C$4),10)))</f>
        <v>5520</v>
      </c>
      <c r="Q90" s="23" t="s">
        <v>155</v>
      </c>
      <c r="R90" s="27" t="n">
        <v>1790</v>
      </c>
      <c r="S90" s="26" t="n">
        <f aca="false">MROUND(R90+'Fuel &amp; Inputs'!$C$13,50)</f>
        <v>2600</v>
      </c>
      <c r="T90" s="27" t="n">
        <v>3590</v>
      </c>
      <c r="U90" s="26" t="n">
        <f aca="false">MROUND(R90*'Fuel &amp; Inputs'!$C$19*'Fuel &amp; Inputs'!$C$21,100)</f>
        <v>6800</v>
      </c>
      <c r="V90" s="26" t="n">
        <f aca="false">MROUND(S90*'Fuel &amp; Inputs'!$C$19*'Fuel &amp; Inputs'!$C$21,100)</f>
        <v>9900</v>
      </c>
      <c r="W90" s="26" t="n">
        <f aca="false">MROUND(T90*'Fuel &amp; Inputs'!$C$19*'Fuel &amp; Inputs'!$C$21,100)</f>
        <v>13600</v>
      </c>
      <c r="X90" s="26" t="n">
        <f aca="false">MROUND(R90*'Fuel &amp; Inputs'!$C$20*'Fuel &amp; Inputs'!$C$22,500)</f>
        <v>182500</v>
      </c>
      <c r="Y90" s="26" t="n">
        <f aca="false">MROUND(S90*'Fuel &amp; Inputs'!$C$20*'Fuel &amp; Inputs'!$C$22,500)</f>
        <v>265000</v>
      </c>
      <c r="Z90" s="26" t="n">
        <f aca="false">MROUND(T90*'Fuel &amp; Inputs'!$C$20*'Fuel &amp; Inputs'!$C$22,500)</f>
        <v>366000</v>
      </c>
    </row>
    <row r="91" customFormat="false" ht="15" hidden="false" customHeight="false" outlineLevel="0" collapsed="false">
      <c r="A91" s="17" t="n">
        <v>81</v>
      </c>
      <c r="B91" s="32" t="s">
        <v>78</v>
      </c>
      <c r="C91" s="32" t="s">
        <v>330</v>
      </c>
      <c r="D91" s="32" t="s">
        <v>223</v>
      </c>
      <c r="E91" s="17" t="s">
        <v>243</v>
      </c>
      <c r="F91" s="17" t="s">
        <v>364</v>
      </c>
      <c r="G91" s="17" t="s">
        <v>223</v>
      </c>
      <c r="H91" s="17" t="s">
        <v>153</v>
      </c>
      <c r="I91" s="17" t="s">
        <v>154</v>
      </c>
      <c r="J91" s="19" t="n">
        <v>7.2</v>
      </c>
      <c r="K91" s="19" t="n">
        <v>10</v>
      </c>
      <c r="L91" s="19" t="n">
        <v>13.5</v>
      </c>
      <c r="M91" s="33" t="n">
        <v>1.112</v>
      </c>
      <c r="N91" s="20" t="n">
        <f aca="false">IF(J91=0,0,IF($I91="L/km",MROUND(J91*$M91*IF($H91="Petrol",'Fuel &amp; Inputs'!$C$5,'Fuel &amp; Inputs'!$C$4),1),MROUND(J91*$M91*IF($H91="Petrol",'Fuel &amp; Inputs'!$C$5,'Fuel &amp; Inputs'!$C$4),10)))</f>
        <v>3060</v>
      </c>
      <c r="O91" s="20" t="n">
        <f aca="false">IF(K91=0,0,IF($I91="L/km",MROUND(K91*$M91*IF($H91="Petrol",'Fuel &amp; Inputs'!$C$5,'Fuel &amp; Inputs'!$C$4),1),MROUND(K91*$M91*IF($H91="Petrol",'Fuel &amp; Inputs'!$C$5,'Fuel &amp; Inputs'!$C$4),10)))</f>
        <v>4250</v>
      </c>
      <c r="P91" s="20" t="n">
        <f aca="false">IF(L91=0,0,IF($I91="L/km",MROUND(L91*$M91*IF($H91="Petrol",'Fuel &amp; Inputs'!$C$5,'Fuel &amp; Inputs'!$C$4),1),MROUND(L91*$M91*IF($H91="Petrol",'Fuel &amp; Inputs'!$C$5,'Fuel &amp; Inputs'!$C$4),10)))</f>
        <v>5730</v>
      </c>
      <c r="Q91" s="17" t="s">
        <v>155</v>
      </c>
      <c r="R91" s="21" t="n">
        <v>1790</v>
      </c>
      <c r="S91" s="20" t="n">
        <f aca="false">MROUND(R91+'Fuel &amp; Inputs'!$C$13,50)</f>
        <v>2600</v>
      </c>
      <c r="T91" s="21" t="n">
        <v>3590</v>
      </c>
      <c r="U91" s="20" t="n">
        <f aca="false">MROUND(R91*'Fuel &amp; Inputs'!$C$19*'Fuel &amp; Inputs'!$C$21,100)</f>
        <v>6800</v>
      </c>
      <c r="V91" s="20" t="n">
        <f aca="false">MROUND(S91*'Fuel &amp; Inputs'!$C$19*'Fuel &amp; Inputs'!$C$21,100)</f>
        <v>9900</v>
      </c>
      <c r="W91" s="20" t="n">
        <f aca="false">MROUND(T91*'Fuel &amp; Inputs'!$C$19*'Fuel &amp; Inputs'!$C$21,100)</f>
        <v>13600</v>
      </c>
      <c r="X91" s="20" t="n">
        <f aca="false">MROUND(R91*'Fuel &amp; Inputs'!$C$20*'Fuel &amp; Inputs'!$C$22,500)</f>
        <v>182500</v>
      </c>
      <c r="Y91" s="20" t="n">
        <f aca="false">MROUND(S91*'Fuel &amp; Inputs'!$C$20*'Fuel &amp; Inputs'!$C$22,500)</f>
        <v>265000</v>
      </c>
      <c r="Z91" s="20" t="n">
        <f aca="false">MROUND(T91*'Fuel &amp; Inputs'!$C$20*'Fuel &amp; Inputs'!$C$22,500)</f>
        <v>366000</v>
      </c>
    </row>
    <row r="92" customFormat="false" ht="15" hidden="false" customHeight="false" outlineLevel="0" collapsed="false">
      <c r="A92" s="23" t="n">
        <v>82</v>
      </c>
      <c r="B92" s="34" t="s">
        <v>78</v>
      </c>
      <c r="C92" s="34" t="s">
        <v>352</v>
      </c>
      <c r="D92" s="34" t="s">
        <v>357</v>
      </c>
      <c r="E92" s="23" t="s">
        <v>171</v>
      </c>
      <c r="F92" s="23" t="s">
        <v>365</v>
      </c>
      <c r="G92" s="23" t="s">
        <v>223</v>
      </c>
      <c r="H92" s="23" t="s">
        <v>153</v>
      </c>
      <c r="I92" s="23" t="s">
        <v>154</v>
      </c>
      <c r="J92" s="25" t="n">
        <v>7.2</v>
      </c>
      <c r="K92" s="25" t="n">
        <v>10</v>
      </c>
      <c r="L92" s="25" t="n">
        <v>13.5</v>
      </c>
      <c r="M92" s="35" t="n">
        <v>1.077</v>
      </c>
      <c r="N92" s="26" t="n">
        <f aca="false">IF(J92=0,0,IF($I92="L/km",MROUND(J92*$M92*IF($H92="Petrol",'Fuel &amp; Inputs'!$C$5,'Fuel &amp; Inputs'!$C$4),1),MROUND(J92*$M92*IF($H92="Petrol",'Fuel &amp; Inputs'!$C$5,'Fuel &amp; Inputs'!$C$4),10)))</f>
        <v>2960</v>
      </c>
      <c r="O92" s="26" t="n">
        <f aca="false">IF(K92=0,0,IF($I92="L/km",MROUND(K92*$M92*IF($H92="Petrol",'Fuel &amp; Inputs'!$C$5,'Fuel &amp; Inputs'!$C$4),1),MROUND(K92*$M92*IF($H92="Petrol",'Fuel &amp; Inputs'!$C$5,'Fuel &amp; Inputs'!$C$4),10)))</f>
        <v>4110</v>
      </c>
      <c r="P92" s="26" t="n">
        <f aca="false">IF(L92=0,0,IF($I92="L/km",MROUND(L92*$M92*IF($H92="Petrol",'Fuel &amp; Inputs'!$C$5,'Fuel &amp; Inputs'!$C$4),1),MROUND(L92*$M92*IF($H92="Petrol",'Fuel &amp; Inputs'!$C$5,'Fuel &amp; Inputs'!$C$4),10)))</f>
        <v>5550</v>
      </c>
      <c r="Q92" s="23" t="s">
        <v>155</v>
      </c>
      <c r="R92" s="27" t="n">
        <v>1790</v>
      </c>
      <c r="S92" s="26" t="n">
        <f aca="false">MROUND(R92+'Fuel &amp; Inputs'!$C$13,50)</f>
        <v>2600</v>
      </c>
      <c r="T92" s="27" t="n">
        <v>3590</v>
      </c>
      <c r="U92" s="26" t="n">
        <f aca="false">MROUND(R92*'Fuel &amp; Inputs'!$C$19*'Fuel &amp; Inputs'!$C$21,100)</f>
        <v>6800</v>
      </c>
      <c r="V92" s="26" t="n">
        <f aca="false">MROUND(S92*'Fuel &amp; Inputs'!$C$19*'Fuel &amp; Inputs'!$C$21,100)</f>
        <v>9900</v>
      </c>
      <c r="W92" s="26" t="n">
        <f aca="false">MROUND(T92*'Fuel &amp; Inputs'!$C$19*'Fuel &amp; Inputs'!$C$21,100)</f>
        <v>13600</v>
      </c>
      <c r="X92" s="26" t="n">
        <f aca="false">MROUND(R92*'Fuel &amp; Inputs'!$C$20*'Fuel &amp; Inputs'!$C$22,500)</f>
        <v>182500</v>
      </c>
      <c r="Y92" s="26" t="n">
        <f aca="false">MROUND(S92*'Fuel &amp; Inputs'!$C$20*'Fuel &amp; Inputs'!$C$22,500)</f>
        <v>265000</v>
      </c>
      <c r="Z92" s="26" t="n">
        <f aca="false">MROUND(T92*'Fuel &amp; Inputs'!$C$20*'Fuel &amp; Inputs'!$C$22,500)</f>
        <v>366000</v>
      </c>
    </row>
    <row r="93" customFormat="false" ht="15" hidden="false" customHeight="false" outlineLevel="0" collapsed="false">
      <c r="A93" s="17" t="n">
        <v>83</v>
      </c>
      <c r="B93" s="32" t="s">
        <v>78</v>
      </c>
      <c r="C93" s="32" t="s">
        <v>359</v>
      </c>
      <c r="D93" s="32" t="s">
        <v>360</v>
      </c>
      <c r="E93" s="17" t="s">
        <v>171</v>
      </c>
      <c r="F93" s="17" t="s">
        <v>366</v>
      </c>
      <c r="G93" s="17" t="s">
        <v>223</v>
      </c>
      <c r="H93" s="17" t="s">
        <v>153</v>
      </c>
      <c r="I93" s="17" t="s">
        <v>154</v>
      </c>
      <c r="J93" s="19" t="n">
        <v>7.2</v>
      </c>
      <c r="K93" s="19" t="n">
        <v>10</v>
      </c>
      <c r="L93" s="19" t="n">
        <v>13.5</v>
      </c>
      <c r="M93" s="33" t="n">
        <v>1.077</v>
      </c>
      <c r="N93" s="20" t="n">
        <f aca="false">IF(J93=0,0,IF($I93="L/km",MROUND(J93*$M93*IF($H93="Petrol",'Fuel &amp; Inputs'!$C$5,'Fuel &amp; Inputs'!$C$4),1),MROUND(J93*$M93*IF($H93="Petrol",'Fuel &amp; Inputs'!$C$5,'Fuel &amp; Inputs'!$C$4),10)))</f>
        <v>2960</v>
      </c>
      <c r="O93" s="20" t="n">
        <f aca="false">IF(K93=0,0,IF($I93="L/km",MROUND(K93*$M93*IF($H93="Petrol",'Fuel &amp; Inputs'!$C$5,'Fuel &amp; Inputs'!$C$4),1),MROUND(K93*$M93*IF($H93="Petrol",'Fuel &amp; Inputs'!$C$5,'Fuel &amp; Inputs'!$C$4),10)))</f>
        <v>4110</v>
      </c>
      <c r="P93" s="20" t="n">
        <f aca="false">IF(L93=0,0,IF($I93="L/km",MROUND(L93*$M93*IF($H93="Petrol",'Fuel &amp; Inputs'!$C$5,'Fuel &amp; Inputs'!$C$4),1),MROUND(L93*$M93*IF($H93="Petrol",'Fuel &amp; Inputs'!$C$5,'Fuel &amp; Inputs'!$C$4),10)))</f>
        <v>5550</v>
      </c>
      <c r="Q93" s="17" t="s">
        <v>155</v>
      </c>
      <c r="R93" s="21" t="n">
        <v>1790</v>
      </c>
      <c r="S93" s="20" t="n">
        <f aca="false">MROUND(R93+'Fuel &amp; Inputs'!$C$13,50)</f>
        <v>2600</v>
      </c>
      <c r="T93" s="21" t="n">
        <v>3590</v>
      </c>
      <c r="U93" s="20" t="n">
        <f aca="false">MROUND(R93*'Fuel &amp; Inputs'!$C$19*'Fuel &amp; Inputs'!$C$21,100)</f>
        <v>6800</v>
      </c>
      <c r="V93" s="20" t="n">
        <f aca="false">MROUND(S93*'Fuel &amp; Inputs'!$C$19*'Fuel &amp; Inputs'!$C$21,100)</f>
        <v>9900</v>
      </c>
      <c r="W93" s="20" t="n">
        <f aca="false">MROUND(T93*'Fuel &amp; Inputs'!$C$19*'Fuel &amp; Inputs'!$C$21,100)</f>
        <v>13600</v>
      </c>
      <c r="X93" s="20" t="n">
        <f aca="false">MROUND(R93*'Fuel &amp; Inputs'!$C$20*'Fuel &amp; Inputs'!$C$22,500)</f>
        <v>182500</v>
      </c>
      <c r="Y93" s="20" t="n">
        <f aca="false">MROUND(S93*'Fuel &amp; Inputs'!$C$20*'Fuel &amp; Inputs'!$C$22,500)</f>
        <v>265000</v>
      </c>
      <c r="Z93" s="20" t="n">
        <f aca="false">MROUND(T93*'Fuel &amp; Inputs'!$C$20*'Fuel &amp; Inputs'!$C$22,500)</f>
        <v>366000</v>
      </c>
    </row>
    <row r="94" customFormat="false" ht="15" hidden="false" customHeight="false" outlineLevel="0" collapsed="false">
      <c r="A94" s="23" t="n">
        <v>84</v>
      </c>
      <c r="B94" s="34" t="s">
        <v>78</v>
      </c>
      <c r="C94" s="34" t="s">
        <v>352</v>
      </c>
      <c r="D94" s="34" t="s">
        <v>357</v>
      </c>
      <c r="E94" s="23" t="s">
        <v>228</v>
      </c>
      <c r="F94" s="23" t="s">
        <v>367</v>
      </c>
      <c r="G94" s="23" t="s">
        <v>223</v>
      </c>
      <c r="H94" s="23" t="s">
        <v>153</v>
      </c>
      <c r="I94" s="23" t="s">
        <v>154</v>
      </c>
      <c r="J94" s="25" t="n">
        <v>7.2</v>
      </c>
      <c r="K94" s="25" t="n">
        <v>10</v>
      </c>
      <c r="L94" s="25" t="n">
        <v>13.5</v>
      </c>
      <c r="M94" s="35" t="n">
        <v>1.084</v>
      </c>
      <c r="N94" s="26" t="n">
        <f aca="false">IF(J94=0,0,IF($I94="L/km",MROUND(J94*$M94*IF($H94="Petrol",'Fuel &amp; Inputs'!$C$5,'Fuel &amp; Inputs'!$C$4),1),MROUND(J94*$M94*IF($H94="Petrol",'Fuel &amp; Inputs'!$C$5,'Fuel &amp; Inputs'!$C$4),10)))</f>
        <v>2980</v>
      </c>
      <c r="O94" s="26" t="n">
        <f aca="false">IF(K94=0,0,IF($I94="L/km",MROUND(K94*$M94*IF($H94="Petrol",'Fuel &amp; Inputs'!$C$5,'Fuel &amp; Inputs'!$C$4),1),MROUND(K94*$M94*IF($H94="Petrol",'Fuel &amp; Inputs'!$C$5,'Fuel &amp; Inputs'!$C$4),10)))</f>
        <v>4140</v>
      </c>
      <c r="P94" s="26" t="n">
        <f aca="false">IF(L94=0,0,IF($I94="L/km",MROUND(L94*$M94*IF($H94="Petrol",'Fuel &amp; Inputs'!$C$5,'Fuel &amp; Inputs'!$C$4),1),MROUND(L94*$M94*IF($H94="Petrol",'Fuel &amp; Inputs'!$C$5,'Fuel &amp; Inputs'!$C$4),10)))</f>
        <v>5590</v>
      </c>
      <c r="Q94" s="23" t="s">
        <v>155</v>
      </c>
      <c r="R94" s="27" t="n">
        <v>1600</v>
      </c>
      <c r="S94" s="26" t="n">
        <f aca="false">MROUND(R94+'Fuel &amp; Inputs'!$C$13,50)</f>
        <v>2400</v>
      </c>
      <c r="T94" s="27" t="n">
        <v>3200</v>
      </c>
      <c r="U94" s="26" t="n">
        <f aca="false">MROUND(R94*'Fuel &amp; Inputs'!$C$19*'Fuel &amp; Inputs'!$C$21,100)</f>
        <v>6100</v>
      </c>
      <c r="V94" s="26" t="n">
        <f aca="false">MROUND(S94*'Fuel &amp; Inputs'!$C$19*'Fuel &amp; Inputs'!$C$21,100)</f>
        <v>9100</v>
      </c>
      <c r="W94" s="26" t="n">
        <f aca="false">MROUND(T94*'Fuel &amp; Inputs'!$C$19*'Fuel &amp; Inputs'!$C$21,100)</f>
        <v>12200</v>
      </c>
      <c r="X94" s="26" t="n">
        <f aca="false">MROUND(R94*'Fuel &amp; Inputs'!$C$20*'Fuel &amp; Inputs'!$C$22,500)</f>
        <v>163000</v>
      </c>
      <c r="Y94" s="26" t="n">
        <f aca="false">MROUND(S94*'Fuel &amp; Inputs'!$C$20*'Fuel &amp; Inputs'!$C$22,500)</f>
        <v>245000</v>
      </c>
      <c r="Z94" s="26" t="n">
        <f aca="false">MROUND(T94*'Fuel &amp; Inputs'!$C$20*'Fuel &amp; Inputs'!$C$22,500)</f>
        <v>326500</v>
      </c>
    </row>
    <row r="95" customFormat="false" ht="15" hidden="false" customHeight="false" outlineLevel="0" collapsed="false">
      <c r="A95" s="17" t="n">
        <v>85</v>
      </c>
      <c r="B95" s="32" t="s">
        <v>78</v>
      </c>
      <c r="C95" s="32" t="s">
        <v>359</v>
      </c>
      <c r="D95" s="32" t="s">
        <v>360</v>
      </c>
      <c r="E95" s="17" t="s">
        <v>228</v>
      </c>
      <c r="F95" s="17" t="s">
        <v>368</v>
      </c>
      <c r="G95" s="17" t="s">
        <v>223</v>
      </c>
      <c r="H95" s="17" t="s">
        <v>153</v>
      </c>
      <c r="I95" s="17" t="s">
        <v>154</v>
      </c>
      <c r="J95" s="19" t="n">
        <v>7.2</v>
      </c>
      <c r="K95" s="19" t="n">
        <v>10</v>
      </c>
      <c r="L95" s="19" t="n">
        <v>13.5</v>
      </c>
      <c r="M95" s="33" t="n">
        <v>1.084</v>
      </c>
      <c r="N95" s="20" t="n">
        <f aca="false">IF(J95=0,0,IF($I95="L/km",MROUND(J95*$M95*IF($H95="Petrol",'Fuel &amp; Inputs'!$C$5,'Fuel &amp; Inputs'!$C$4),1),MROUND(J95*$M95*IF($H95="Petrol",'Fuel &amp; Inputs'!$C$5,'Fuel &amp; Inputs'!$C$4),10)))</f>
        <v>2980</v>
      </c>
      <c r="O95" s="20" t="n">
        <f aca="false">IF(K95=0,0,IF($I95="L/km",MROUND(K95*$M95*IF($H95="Petrol",'Fuel &amp; Inputs'!$C$5,'Fuel &amp; Inputs'!$C$4),1),MROUND(K95*$M95*IF($H95="Petrol",'Fuel &amp; Inputs'!$C$5,'Fuel &amp; Inputs'!$C$4),10)))</f>
        <v>4140</v>
      </c>
      <c r="P95" s="20" t="n">
        <f aca="false">IF(L95=0,0,IF($I95="L/km",MROUND(L95*$M95*IF($H95="Petrol",'Fuel &amp; Inputs'!$C$5,'Fuel &amp; Inputs'!$C$4),1),MROUND(L95*$M95*IF($H95="Petrol",'Fuel &amp; Inputs'!$C$5,'Fuel &amp; Inputs'!$C$4),10)))</f>
        <v>5590</v>
      </c>
      <c r="Q95" s="17" t="s">
        <v>155</v>
      </c>
      <c r="R95" s="21" t="n">
        <v>1600</v>
      </c>
      <c r="S95" s="20" t="n">
        <f aca="false">MROUND(R95+'Fuel &amp; Inputs'!$C$13,50)</f>
        <v>2400</v>
      </c>
      <c r="T95" s="21" t="n">
        <v>3200</v>
      </c>
      <c r="U95" s="20" t="n">
        <f aca="false">MROUND(R95*'Fuel &amp; Inputs'!$C$19*'Fuel &amp; Inputs'!$C$21,100)</f>
        <v>6100</v>
      </c>
      <c r="V95" s="20" t="n">
        <f aca="false">MROUND(S95*'Fuel &amp; Inputs'!$C$19*'Fuel &amp; Inputs'!$C$21,100)</f>
        <v>9100</v>
      </c>
      <c r="W95" s="20" t="n">
        <f aca="false">MROUND(T95*'Fuel &amp; Inputs'!$C$19*'Fuel &amp; Inputs'!$C$21,100)</f>
        <v>12200</v>
      </c>
      <c r="X95" s="20" t="n">
        <f aca="false">MROUND(R95*'Fuel &amp; Inputs'!$C$20*'Fuel &amp; Inputs'!$C$22,500)</f>
        <v>163000</v>
      </c>
      <c r="Y95" s="20" t="n">
        <f aca="false">MROUND(S95*'Fuel &amp; Inputs'!$C$20*'Fuel &amp; Inputs'!$C$22,500)</f>
        <v>245000</v>
      </c>
      <c r="Z95" s="20" t="n">
        <f aca="false">MROUND(T95*'Fuel &amp; Inputs'!$C$20*'Fuel &amp; Inputs'!$C$22,500)</f>
        <v>326500</v>
      </c>
    </row>
    <row r="96" customFormat="false" ht="15" hidden="false" customHeight="false" outlineLevel="0" collapsed="false">
      <c r="A96" s="23" t="n">
        <v>86</v>
      </c>
      <c r="B96" s="34" t="s">
        <v>78</v>
      </c>
      <c r="C96" s="34" t="s">
        <v>330</v>
      </c>
      <c r="D96" s="34" t="s">
        <v>223</v>
      </c>
      <c r="E96" s="23" t="s">
        <v>166</v>
      </c>
      <c r="F96" s="23" t="s">
        <v>369</v>
      </c>
      <c r="G96" s="23" t="s">
        <v>223</v>
      </c>
      <c r="H96" s="23" t="s">
        <v>153</v>
      </c>
      <c r="I96" s="23" t="s">
        <v>154</v>
      </c>
      <c r="J96" s="25" t="n">
        <v>7.2</v>
      </c>
      <c r="K96" s="25" t="n">
        <v>10</v>
      </c>
      <c r="L96" s="25" t="n">
        <v>13.5</v>
      </c>
      <c r="M96" s="35" t="n">
        <v>1.098</v>
      </c>
      <c r="N96" s="26" t="n">
        <f aca="false">IF(J96=0,0,IF($I96="L/km",MROUND(J96*$M96*IF($H96="Petrol",'Fuel &amp; Inputs'!$C$5,'Fuel &amp; Inputs'!$C$4),1),MROUND(J96*$M96*IF($H96="Petrol",'Fuel &amp; Inputs'!$C$5,'Fuel &amp; Inputs'!$C$4),10)))</f>
        <v>3020</v>
      </c>
      <c r="O96" s="26" t="n">
        <f aca="false">IF(K96=0,0,IF($I96="L/km",MROUND(K96*$M96*IF($H96="Petrol",'Fuel &amp; Inputs'!$C$5,'Fuel &amp; Inputs'!$C$4),1),MROUND(K96*$M96*IF($H96="Petrol",'Fuel &amp; Inputs'!$C$5,'Fuel &amp; Inputs'!$C$4),10)))</f>
        <v>4190</v>
      </c>
      <c r="P96" s="26" t="n">
        <f aca="false">IF(L96=0,0,IF($I96="L/km",MROUND(L96*$M96*IF($H96="Petrol",'Fuel &amp; Inputs'!$C$5,'Fuel &amp; Inputs'!$C$4),1),MROUND(L96*$M96*IF($H96="Petrol",'Fuel &amp; Inputs'!$C$5,'Fuel &amp; Inputs'!$C$4),10)))</f>
        <v>5660</v>
      </c>
      <c r="Q96" s="23" t="s">
        <v>155</v>
      </c>
      <c r="R96" s="27" t="n">
        <v>1600</v>
      </c>
      <c r="S96" s="26" t="n">
        <f aca="false">MROUND(R96+'Fuel &amp; Inputs'!$C$13,50)</f>
        <v>2400</v>
      </c>
      <c r="T96" s="27" t="n">
        <v>3200</v>
      </c>
      <c r="U96" s="26" t="n">
        <f aca="false">MROUND(R96*'Fuel &amp; Inputs'!$C$19*'Fuel &amp; Inputs'!$C$21,100)</f>
        <v>6100</v>
      </c>
      <c r="V96" s="26" t="n">
        <f aca="false">MROUND(S96*'Fuel &amp; Inputs'!$C$19*'Fuel &amp; Inputs'!$C$21,100)</f>
        <v>9100</v>
      </c>
      <c r="W96" s="26" t="n">
        <f aca="false">MROUND(T96*'Fuel &amp; Inputs'!$C$19*'Fuel &amp; Inputs'!$C$21,100)</f>
        <v>12200</v>
      </c>
      <c r="X96" s="26" t="n">
        <f aca="false">MROUND(R96*'Fuel &amp; Inputs'!$C$20*'Fuel &amp; Inputs'!$C$22,500)</f>
        <v>163000</v>
      </c>
      <c r="Y96" s="26" t="n">
        <f aca="false">MROUND(S96*'Fuel &amp; Inputs'!$C$20*'Fuel &amp; Inputs'!$C$22,500)</f>
        <v>245000</v>
      </c>
      <c r="Z96" s="26" t="n">
        <f aca="false">MROUND(T96*'Fuel &amp; Inputs'!$C$20*'Fuel &amp; Inputs'!$C$22,500)</f>
        <v>326500</v>
      </c>
    </row>
    <row r="97" customFormat="false" ht="15" hidden="false" customHeight="false" outlineLevel="0" collapsed="false">
      <c r="A97" s="17" t="n">
        <v>87</v>
      </c>
      <c r="B97" s="32" t="s">
        <v>78</v>
      </c>
      <c r="C97" s="32" t="s">
        <v>352</v>
      </c>
      <c r="D97" s="32" t="s">
        <v>223</v>
      </c>
      <c r="E97" s="17" t="s">
        <v>171</v>
      </c>
      <c r="F97" s="17" t="s">
        <v>370</v>
      </c>
      <c r="G97" s="17" t="s">
        <v>223</v>
      </c>
      <c r="H97" s="17" t="s">
        <v>153</v>
      </c>
      <c r="I97" s="17" t="s">
        <v>154</v>
      </c>
      <c r="J97" s="19" t="n">
        <v>7.2</v>
      </c>
      <c r="K97" s="19" t="n">
        <v>10</v>
      </c>
      <c r="L97" s="19" t="n">
        <v>13.5</v>
      </c>
      <c r="M97" s="33" t="n">
        <v>1.077</v>
      </c>
      <c r="N97" s="20" t="n">
        <f aca="false">IF(J97=0,0,IF($I97="L/km",MROUND(J97*$M97*IF($H97="Petrol",'Fuel &amp; Inputs'!$C$5,'Fuel &amp; Inputs'!$C$4),1),MROUND(J97*$M97*IF($H97="Petrol",'Fuel &amp; Inputs'!$C$5,'Fuel &amp; Inputs'!$C$4),10)))</f>
        <v>2960</v>
      </c>
      <c r="O97" s="20" t="n">
        <f aca="false">IF(K97=0,0,IF($I97="L/km",MROUND(K97*$M97*IF($H97="Petrol",'Fuel &amp; Inputs'!$C$5,'Fuel &amp; Inputs'!$C$4),1),MROUND(K97*$M97*IF($H97="Petrol",'Fuel &amp; Inputs'!$C$5,'Fuel &amp; Inputs'!$C$4),10)))</f>
        <v>4110</v>
      </c>
      <c r="P97" s="20" t="n">
        <f aca="false">IF(L97=0,0,IF($I97="L/km",MROUND(L97*$M97*IF($H97="Petrol",'Fuel &amp; Inputs'!$C$5,'Fuel &amp; Inputs'!$C$4),1),MROUND(L97*$M97*IF($H97="Petrol",'Fuel &amp; Inputs'!$C$5,'Fuel &amp; Inputs'!$C$4),10)))</f>
        <v>5550</v>
      </c>
      <c r="Q97" s="17" t="s">
        <v>155</v>
      </c>
      <c r="R97" s="21" t="n">
        <v>1600</v>
      </c>
      <c r="S97" s="20" t="n">
        <f aca="false">MROUND(R97+'Fuel &amp; Inputs'!$C$13,50)</f>
        <v>2400</v>
      </c>
      <c r="T97" s="21" t="n">
        <v>3200</v>
      </c>
      <c r="U97" s="20" t="n">
        <f aca="false">MROUND(R97*'Fuel &amp; Inputs'!$C$19*'Fuel &amp; Inputs'!$C$21,100)</f>
        <v>6100</v>
      </c>
      <c r="V97" s="20" t="n">
        <f aca="false">MROUND(S97*'Fuel &amp; Inputs'!$C$19*'Fuel &amp; Inputs'!$C$21,100)</f>
        <v>9100</v>
      </c>
      <c r="W97" s="20" t="n">
        <f aca="false">MROUND(T97*'Fuel &amp; Inputs'!$C$19*'Fuel &amp; Inputs'!$C$21,100)</f>
        <v>12200</v>
      </c>
      <c r="X97" s="20" t="n">
        <f aca="false">MROUND(R97*'Fuel &amp; Inputs'!$C$20*'Fuel &amp; Inputs'!$C$22,500)</f>
        <v>163000</v>
      </c>
      <c r="Y97" s="20" t="n">
        <f aca="false">MROUND(S97*'Fuel &amp; Inputs'!$C$20*'Fuel &amp; Inputs'!$C$22,500)</f>
        <v>245000</v>
      </c>
      <c r="Z97" s="20" t="n">
        <f aca="false">MROUND(T97*'Fuel &amp; Inputs'!$C$20*'Fuel &amp; Inputs'!$C$22,500)</f>
        <v>326500</v>
      </c>
    </row>
    <row r="98" customFormat="false" ht="15" hidden="false" customHeight="false" outlineLevel="0" collapsed="false">
      <c r="A98" s="23" t="n">
        <v>88</v>
      </c>
      <c r="B98" s="34" t="s">
        <v>78</v>
      </c>
      <c r="C98" s="34" t="s">
        <v>352</v>
      </c>
      <c r="D98" s="34" t="s">
        <v>371</v>
      </c>
      <c r="E98" s="23" t="s">
        <v>234</v>
      </c>
      <c r="F98" s="23" t="s">
        <v>372</v>
      </c>
      <c r="G98" s="23" t="s">
        <v>223</v>
      </c>
      <c r="H98" s="23" t="s">
        <v>153</v>
      </c>
      <c r="I98" s="23" t="s">
        <v>154</v>
      </c>
      <c r="J98" s="25" t="n">
        <v>7.2</v>
      </c>
      <c r="K98" s="25" t="n">
        <v>10</v>
      </c>
      <c r="L98" s="25" t="n">
        <v>13.5</v>
      </c>
      <c r="M98" s="35" t="n">
        <v>1.091</v>
      </c>
      <c r="N98" s="26" t="n">
        <f aca="false">IF(J98=0,0,IF($I98="L/km",MROUND(J98*$M98*IF($H98="Petrol",'Fuel &amp; Inputs'!$C$5,'Fuel &amp; Inputs'!$C$4),1),MROUND(J98*$M98*IF($H98="Petrol",'Fuel &amp; Inputs'!$C$5,'Fuel &amp; Inputs'!$C$4),10)))</f>
        <v>3000</v>
      </c>
      <c r="O98" s="26" t="n">
        <f aca="false">IF(K98=0,0,IF($I98="L/km",MROUND(K98*$M98*IF($H98="Petrol",'Fuel &amp; Inputs'!$C$5,'Fuel &amp; Inputs'!$C$4),1),MROUND(K98*$M98*IF($H98="Petrol",'Fuel &amp; Inputs'!$C$5,'Fuel &amp; Inputs'!$C$4),10)))</f>
        <v>4170</v>
      </c>
      <c r="P98" s="26" t="n">
        <f aca="false">IF(L98=0,0,IF($I98="L/km",MROUND(L98*$M98*IF($H98="Petrol",'Fuel &amp; Inputs'!$C$5,'Fuel &amp; Inputs'!$C$4),1),MROUND(L98*$M98*IF($H98="Petrol",'Fuel &amp; Inputs'!$C$5,'Fuel &amp; Inputs'!$C$4),10)))</f>
        <v>5630</v>
      </c>
      <c r="Q98" s="23" t="s">
        <v>155</v>
      </c>
      <c r="R98" s="27" t="n">
        <v>1600</v>
      </c>
      <c r="S98" s="26" t="n">
        <f aca="false">MROUND(R98+'Fuel &amp; Inputs'!$C$13,50)</f>
        <v>2400</v>
      </c>
      <c r="T98" s="27" t="n">
        <v>3200</v>
      </c>
      <c r="U98" s="26" t="n">
        <f aca="false">MROUND(R98*'Fuel &amp; Inputs'!$C$19*'Fuel &amp; Inputs'!$C$21,100)</f>
        <v>6100</v>
      </c>
      <c r="V98" s="26" t="n">
        <f aca="false">MROUND(S98*'Fuel &amp; Inputs'!$C$19*'Fuel &amp; Inputs'!$C$21,100)</f>
        <v>9100</v>
      </c>
      <c r="W98" s="26" t="n">
        <f aca="false">MROUND(T98*'Fuel &amp; Inputs'!$C$19*'Fuel &amp; Inputs'!$C$21,100)</f>
        <v>12200</v>
      </c>
      <c r="X98" s="26" t="n">
        <f aca="false">MROUND(R98*'Fuel &amp; Inputs'!$C$20*'Fuel &amp; Inputs'!$C$22,500)</f>
        <v>163000</v>
      </c>
      <c r="Y98" s="26" t="n">
        <f aca="false">MROUND(S98*'Fuel &amp; Inputs'!$C$20*'Fuel &amp; Inputs'!$C$22,500)</f>
        <v>245000</v>
      </c>
      <c r="Z98" s="26" t="n">
        <f aca="false">MROUND(T98*'Fuel &amp; Inputs'!$C$20*'Fuel &amp; Inputs'!$C$22,500)</f>
        <v>326500</v>
      </c>
    </row>
    <row r="99" customFormat="false" ht="15" hidden="false" customHeight="false" outlineLevel="0" collapsed="false">
      <c r="A99" s="17" t="n">
        <v>89</v>
      </c>
      <c r="B99" s="32" t="s">
        <v>78</v>
      </c>
      <c r="C99" s="32" t="s">
        <v>352</v>
      </c>
      <c r="D99" s="32" t="s">
        <v>371</v>
      </c>
      <c r="E99" s="17" t="s">
        <v>234</v>
      </c>
      <c r="F99" s="17" t="s">
        <v>373</v>
      </c>
      <c r="G99" s="17" t="s">
        <v>223</v>
      </c>
      <c r="H99" s="17" t="s">
        <v>153</v>
      </c>
      <c r="I99" s="17" t="s">
        <v>154</v>
      </c>
      <c r="J99" s="19" t="n">
        <v>7.2</v>
      </c>
      <c r="K99" s="19" t="n">
        <v>10</v>
      </c>
      <c r="L99" s="19" t="n">
        <v>13.5</v>
      </c>
      <c r="M99" s="33" t="n">
        <v>1.091</v>
      </c>
      <c r="N99" s="20" t="n">
        <f aca="false">IF(J99=0,0,IF($I99="L/km",MROUND(J99*$M99*IF($H99="Petrol",'Fuel &amp; Inputs'!$C$5,'Fuel &amp; Inputs'!$C$4),1),MROUND(J99*$M99*IF($H99="Petrol",'Fuel &amp; Inputs'!$C$5,'Fuel &amp; Inputs'!$C$4),10)))</f>
        <v>3000</v>
      </c>
      <c r="O99" s="20" t="n">
        <f aca="false">IF(K99=0,0,IF($I99="L/km",MROUND(K99*$M99*IF($H99="Petrol",'Fuel &amp; Inputs'!$C$5,'Fuel &amp; Inputs'!$C$4),1),MROUND(K99*$M99*IF($H99="Petrol",'Fuel &amp; Inputs'!$C$5,'Fuel &amp; Inputs'!$C$4),10)))</f>
        <v>4170</v>
      </c>
      <c r="P99" s="20" t="n">
        <f aca="false">IF(L99=0,0,IF($I99="L/km",MROUND(L99*$M99*IF($H99="Petrol",'Fuel &amp; Inputs'!$C$5,'Fuel &amp; Inputs'!$C$4),1),MROUND(L99*$M99*IF($H99="Petrol",'Fuel &amp; Inputs'!$C$5,'Fuel &amp; Inputs'!$C$4),10)))</f>
        <v>5630</v>
      </c>
      <c r="Q99" s="17" t="s">
        <v>155</v>
      </c>
      <c r="R99" s="21" t="n">
        <v>1600</v>
      </c>
      <c r="S99" s="20" t="n">
        <f aca="false">MROUND(R99+'Fuel &amp; Inputs'!$C$13,50)</f>
        <v>2400</v>
      </c>
      <c r="T99" s="21" t="n">
        <v>3200</v>
      </c>
      <c r="U99" s="20" t="n">
        <f aca="false">MROUND(R99*'Fuel &amp; Inputs'!$C$19*'Fuel &amp; Inputs'!$C$21,100)</f>
        <v>6100</v>
      </c>
      <c r="V99" s="20" t="n">
        <f aca="false">MROUND(S99*'Fuel &amp; Inputs'!$C$19*'Fuel &amp; Inputs'!$C$21,100)</f>
        <v>9100</v>
      </c>
      <c r="W99" s="20" t="n">
        <f aca="false">MROUND(T99*'Fuel &amp; Inputs'!$C$19*'Fuel &amp; Inputs'!$C$21,100)</f>
        <v>12200</v>
      </c>
      <c r="X99" s="20" t="n">
        <f aca="false">MROUND(R99*'Fuel &amp; Inputs'!$C$20*'Fuel &amp; Inputs'!$C$22,500)</f>
        <v>163000</v>
      </c>
      <c r="Y99" s="20" t="n">
        <f aca="false">MROUND(S99*'Fuel &amp; Inputs'!$C$20*'Fuel &amp; Inputs'!$C$22,500)</f>
        <v>245000</v>
      </c>
      <c r="Z99" s="20" t="n">
        <f aca="false">MROUND(T99*'Fuel &amp; Inputs'!$C$20*'Fuel &amp; Inputs'!$C$22,500)</f>
        <v>326500</v>
      </c>
    </row>
    <row r="100" customFormat="false" ht="15" hidden="false" customHeight="false" outlineLevel="0" collapsed="false">
      <c r="A100" s="23" t="n">
        <v>90</v>
      </c>
      <c r="B100" s="34" t="s">
        <v>78</v>
      </c>
      <c r="C100" s="34" t="s">
        <v>352</v>
      </c>
      <c r="D100" s="34" t="s">
        <v>357</v>
      </c>
      <c r="E100" s="23" t="s">
        <v>234</v>
      </c>
      <c r="F100" s="23" t="s">
        <v>374</v>
      </c>
      <c r="G100" s="23" t="s">
        <v>223</v>
      </c>
      <c r="H100" s="23" t="s">
        <v>153</v>
      </c>
      <c r="I100" s="23" t="s">
        <v>154</v>
      </c>
      <c r="J100" s="25" t="n">
        <v>7.2</v>
      </c>
      <c r="K100" s="25" t="n">
        <v>10</v>
      </c>
      <c r="L100" s="25" t="n">
        <v>13.5</v>
      </c>
      <c r="M100" s="35" t="n">
        <v>1.091</v>
      </c>
      <c r="N100" s="26" t="n">
        <f aca="false">IF(J100=0,0,IF($I100="L/km",MROUND(J100*$M100*IF($H100="Petrol",'Fuel &amp; Inputs'!$C$5,'Fuel &amp; Inputs'!$C$4),1),MROUND(J100*$M100*IF($H100="Petrol",'Fuel &amp; Inputs'!$C$5,'Fuel &amp; Inputs'!$C$4),10)))</f>
        <v>3000</v>
      </c>
      <c r="O100" s="26" t="n">
        <f aca="false">IF(K100=0,0,IF($I100="L/km",MROUND(K100*$M100*IF($H100="Petrol",'Fuel &amp; Inputs'!$C$5,'Fuel &amp; Inputs'!$C$4),1),MROUND(K100*$M100*IF($H100="Petrol",'Fuel &amp; Inputs'!$C$5,'Fuel &amp; Inputs'!$C$4),10)))</f>
        <v>4170</v>
      </c>
      <c r="P100" s="26" t="n">
        <f aca="false">IF(L100=0,0,IF($I100="L/km",MROUND(L100*$M100*IF($H100="Petrol",'Fuel &amp; Inputs'!$C$5,'Fuel &amp; Inputs'!$C$4),1),MROUND(L100*$M100*IF($H100="Petrol",'Fuel &amp; Inputs'!$C$5,'Fuel &amp; Inputs'!$C$4),10)))</f>
        <v>5630</v>
      </c>
      <c r="Q100" s="23" t="s">
        <v>155</v>
      </c>
      <c r="R100" s="27" t="n">
        <v>1600</v>
      </c>
      <c r="S100" s="26" t="n">
        <f aca="false">MROUND(R100+'Fuel &amp; Inputs'!$C$13,50)</f>
        <v>2400</v>
      </c>
      <c r="T100" s="27" t="n">
        <v>3200</v>
      </c>
      <c r="U100" s="26" t="n">
        <f aca="false">MROUND(R100*'Fuel &amp; Inputs'!$C$19*'Fuel &amp; Inputs'!$C$21,100)</f>
        <v>6100</v>
      </c>
      <c r="V100" s="26" t="n">
        <f aca="false">MROUND(S100*'Fuel &amp; Inputs'!$C$19*'Fuel &amp; Inputs'!$C$21,100)</f>
        <v>9100</v>
      </c>
      <c r="W100" s="26" t="n">
        <f aca="false">MROUND(T100*'Fuel &amp; Inputs'!$C$19*'Fuel &amp; Inputs'!$C$21,100)</f>
        <v>12200</v>
      </c>
      <c r="X100" s="26" t="n">
        <f aca="false">MROUND(R100*'Fuel &amp; Inputs'!$C$20*'Fuel &amp; Inputs'!$C$22,500)</f>
        <v>163000</v>
      </c>
      <c r="Y100" s="26" t="n">
        <f aca="false">MROUND(S100*'Fuel &amp; Inputs'!$C$20*'Fuel &amp; Inputs'!$C$22,500)</f>
        <v>245000</v>
      </c>
      <c r="Z100" s="26" t="n">
        <f aca="false">MROUND(T100*'Fuel &amp; Inputs'!$C$20*'Fuel &amp; Inputs'!$C$22,500)</f>
        <v>326500</v>
      </c>
    </row>
    <row r="101" customFormat="false" ht="15" hidden="false" customHeight="false" outlineLevel="0" collapsed="false">
      <c r="A101" s="17" t="n">
        <v>91</v>
      </c>
      <c r="B101" s="32" t="s">
        <v>78</v>
      </c>
      <c r="C101" s="32" t="s">
        <v>352</v>
      </c>
      <c r="D101" s="32" t="s">
        <v>357</v>
      </c>
      <c r="E101" s="17" t="s">
        <v>234</v>
      </c>
      <c r="F101" s="17" t="s">
        <v>375</v>
      </c>
      <c r="G101" s="17" t="s">
        <v>223</v>
      </c>
      <c r="H101" s="17" t="s">
        <v>153</v>
      </c>
      <c r="I101" s="17" t="s">
        <v>154</v>
      </c>
      <c r="J101" s="19" t="n">
        <v>7.2</v>
      </c>
      <c r="K101" s="19" t="n">
        <v>10</v>
      </c>
      <c r="L101" s="19" t="n">
        <v>13.5</v>
      </c>
      <c r="M101" s="33" t="n">
        <v>1.091</v>
      </c>
      <c r="N101" s="20" t="n">
        <f aca="false">IF(J101=0,0,IF($I101="L/km",MROUND(J101*$M101*IF($H101="Petrol",'Fuel &amp; Inputs'!$C$5,'Fuel &amp; Inputs'!$C$4),1),MROUND(J101*$M101*IF($H101="Petrol",'Fuel &amp; Inputs'!$C$5,'Fuel &amp; Inputs'!$C$4),10)))</f>
        <v>3000</v>
      </c>
      <c r="O101" s="20" t="n">
        <f aca="false">IF(K101=0,0,IF($I101="L/km",MROUND(K101*$M101*IF($H101="Petrol",'Fuel &amp; Inputs'!$C$5,'Fuel &amp; Inputs'!$C$4),1),MROUND(K101*$M101*IF($H101="Petrol",'Fuel &amp; Inputs'!$C$5,'Fuel &amp; Inputs'!$C$4),10)))</f>
        <v>4170</v>
      </c>
      <c r="P101" s="20" t="n">
        <f aca="false">IF(L101=0,0,IF($I101="L/km",MROUND(L101*$M101*IF($H101="Petrol",'Fuel &amp; Inputs'!$C$5,'Fuel &amp; Inputs'!$C$4),1),MROUND(L101*$M101*IF($H101="Petrol",'Fuel &amp; Inputs'!$C$5,'Fuel &amp; Inputs'!$C$4),10)))</f>
        <v>5630</v>
      </c>
      <c r="Q101" s="17" t="s">
        <v>155</v>
      </c>
      <c r="R101" s="21" t="n">
        <v>1600</v>
      </c>
      <c r="S101" s="20" t="n">
        <f aca="false">MROUND(R101+'Fuel &amp; Inputs'!$C$13,50)</f>
        <v>2400</v>
      </c>
      <c r="T101" s="21" t="n">
        <v>3200</v>
      </c>
      <c r="U101" s="20" t="n">
        <f aca="false">MROUND(R101*'Fuel &amp; Inputs'!$C$19*'Fuel &amp; Inputs'!$C$21,100)</f>
        <v>6100</v>
      </c>
      <c r="V101" s="20" t="n">
        <f aca="false">MROUND(S101*'Fuel &amp; Inputs'!$C$19*'Fuel &amp; Inputs'!$C$21,100)</f>
        <v>9100</v>
      </c>
      <c r="W101" s="20" t="n">
        <f aca="false">MROUND(T101*'Fuel &amp; Inputs'!$C$19*'Fuel &amp; Inputs'!$C$21,100)</f>
        <v>12200</v>
      </c>
      <c r="X101" s="20" t="n">
        <f aca="false">MROUND(R101*'Fuel &amp; Inputs'!$C$20*'Fuel &amp; Inputs'!$C$22,500)</f>
        <v>163000</v>
      </c>
      <c r="Y101" s="20" t="n">
        <f aca="false">MROUND(S101*'Fuel &amp; Inputs'!$C$20*'Fuel &amp; Inputs'!$C$22,500)</f>
        <v>245000</v>
      </c>
      <c r="Z101" s="20" t="n">
        <f aca="false">MROUND(T101*'Fuel &amp; Inputs'!$C$20*'Fuel &amp; Inputs'!$C$22,500)</f>
        <v>326500</v>
      </c>
    </row>
    <row r="102" customFormat="false" ht="15" hidden="false" customHeight="false" outlineLevel="0" collapsed="false">
      <c r="A102" s="23" t="n">
        <v>92</v>
      </c>
      <c r="B102" s="34" t="s">
        <v>78</v>
      </c>
      <c r="C102" s="34" t="s">
        <v>241</v>
      </c>
      <c r="D102" s="34" t="s">
        <v>376</v>
      </c>
      <c r="E102" s="23" t="s">
        <v>234</v>
      </c>
      <c r="F102" s="23" t="s">
        <v>377</v>
      </c>
      <c r="G102" s="23" t="s">
        <v>223</v>
      </c>
      <c r="H102" s="23" t="s">
        <v>153</v>
      </c>
      <c r="I102" s="23" t="s">
        <v>154</v>
      </c>
      <c r="J102" s="25" t="n">
        <v>7.2</v>
      </c>
      <c r="K102" s="25" t="n">
        <v>10</v>
      </c>
      <c r="L102" s="25" t="n">
        <v>13.5</v>
      </c>
      <c r="M102" s="35" t="n">
        <v>1.091</v>
      </c>
      <c r="N102" s="26" t="n">
        <f aca="false">IF(J102=0,0,IF($I102="L/km",MROUND(J102*$M102*IF($H102="Petrol",'Fuel &amp; Inputs'!$C$5,'Fuel &amp; Inputs'!$C$4),1),MROUND(J102*$M102*IF($H102="Petrol",'Fuel &amp; Inputs'!$C$5,'Fuel &amp; Inputs'!$C$4),10)))</f>
        <v>3000</v>
      </c>
      <c r="O102" s="26" t="n">
        <f aca="false">IF(K102=0,0,IF($I102="L/km",MROUND(K102*$M102*IF($H102="Petrol",'Fuel &amp; Inputs'!$C$5,'Fuel &amp; Inputs'!$C$4),1),MROUND(K102*$M102*IF($H102="Petrol",'Fuel &amp; Inputs'!$C$5,'Fuel &amp; Inputs'!$C$4),10)))</f>
        <v>4170</v>
      </c>
      <c r="P102" s="26" t="n">
        <f aca="false">IF(L102=0,0,IF($I102="L/km",MROUND(L102*$M102*IF($H102="Petrol",'Fuel &amp; Inputs'!$C$5,'Fuel &amp; Inputs'!$C$4),1),MROUND(L102*$M102*IF($H102="Petrol",'Fuel &amp; Inputs'!$C$5,'Fuel &amp; Inputs'!$C$4),10)))</f>
        <v>5630</v>
      </c>
      <c r="Q102" s="23" t="s">
        <v>155</v>
      </c>
      <c r="R102" s="27" t="n">
        <v>1600</v>
      </c>
      <c r="S102" s="26" t="n">
        <f aca="false">MROUND(R102+'Fuel &amp; Inputs'!$C$13,50)</f>
        <v>2400</v>
      </c>
      <c r="T102" s="27" t="n">
        <v>3200</v>
      </c>
      <c r="U102" s="26" t="n">
        <f aca="false">MROUND(R102*'Fuel &amp; Inputs'!$C$19*'Fuel &amp; Inputs'!$C$21,100)</f>
        <v>6100</v>
      </c>
      <c r="V102" s="26" t="n">
        <f aca="false">MROUND(S102*'Fuel &amp; Inputs'!$C$19*'Fuel &amp; Inputs'!$C$21,100)</f>
        <v>9100</v>
      </c>
      <c r="W102" s="26" t="n">
        <f aca="false">MROUND(T102*'Fuel &amp; Inputs'!$C$19*'Fuel &amp; Inputs'!$C$21,100)</f>
        <v>12200</v>
      </c>
      <c r="X102" s="26" t="n">
        <f aca="false">MROUND(R102*'Fuel &amp; Inputs'!$C$20*'Fuel &amp; Inputs'!$C$22,500)</f>
        <v>163000</v>
      </c>
      <c r="Y102" s="26" t="n">
        <f aca="false">MROUND(S102*'Fuel &amp; Inputs'!$C$20*'Fuel &amp; Inputs'!$C$22,500)</f>
        <v>245000</v>
      </c>
      <c r="Z102" s="26" t="n">
        <f aca="false">MROUND(T102*'Fuel &amp; Inputs'!$C$20*'Fuel &amp; Inputs'!$C$22,500)</f>
        <v>326500</v>
      </c>
    </row>
    <row r="103" customFormat="false" ht="15" hidden="false" customHeight="false" outlineLevel="0" collapsed="false">
      <c r="A103" s="17" t="n">
        <v>93</v>
      </c>
      <c r="B103" s="32" t="s">
        <v>78</v>
      </c>
      <c r="C103" s="32" t="s">
        <v>312</v>
      </c>
      <c r="D103" s="32" t="s">
        <v>378</v>
      </c>
      <c r="E103" s="17" t="s">
        <v>234</v>
      </c>
      <c r="F103" s="17" t="s">
        <v>379</v>
      </c>
      <c r="G103" s="17" t="s">
        <v>223</v>
      </c>
      <c r="H103" s="17" t="s">
        <v>153</v>
      </c>
      <c r="I103" s="17" t="s">
        <v>154</v>
      </c>
      <c r="J103" s="19" t="n">
        <v>7.2</v>
      </c>
      <c r="K103" s="19" t="n">
        <v>10</v>
      </c>
      <c r="L103" s="19" t="n">
        <v>13.5</v>
      </c>
      <c r="M103" s="33" t="n">
        <v>1.091</v>
      </c>
      <c r="N103" s="20" t="n">
        <f aca="false">IF(J103=0,0,IF($I103="L/km",MROUND(J103*$M103*IF($H103="Petrol",'Fuel &amp; Inputs'!$C$5,'Fuel &amp; Inputs'!$C$4),1),MROUND(J103*$M103*IF($H103="Petrol",'Fuel &amp; Inputs'!$C$5,'Fuel &amp; Inputs'!$C$4),10)))</f>
        <v>3000</v>
      </c>
      <c r="O103" s="20" t="n">
        <f aca="false">IF(K103=0,0,IF($I103="L/km",MROUND(K103*$M103*IF($H103="Petrol",'Fuel &amp; Inputs'!$C$5,'Fuel &amp; Inputs'!$C$4),1),MROUND(K103*$M103*IF($H103="Petrol",'Fuel &amp; Inputs'!$C$5,'Fuel &amp; Inputs'!$C$4),10)))</f>
        <v>4170</v>
      </c>
      <c r="P103" s="20" t="n">
        <f aca="false">IF(L103=0,0,IF($I103="L/km",MROUND(L103*$M103*IF($H103="Petrol",'Fuel &amp; Inputs'!$C$5,'Fuel &amp; Inputs'!$C$4),1),MROUND(L103*$M103*IF($H103="Petrol",'Fuel &amp; Inputs'!$C$5,'Fuel &amp; Inputs'!$C$4),10)))</f>
        <v>5630</v>
      </c>
      <c r="Q103" s="17" t="s">
        <v>155</v>
      </c>
      <c r="R103" s="21" t="n">
        <v>1600</v>
      </c>
      <c r="S103" s="20" t="n">
        <f aca="false">MROUND(R103+'Fuel &amp; Inputs'!$C$13,50)</f>
        <v>2400</v>
      </c>
      <c r="T103" s="21" t="n">
        <v>3200</v>
      </c>
      <c r="U103" s="20" t="n">
        <f aca="false">MROUND(R103*'Fuel &amp; Inputs'!$C$19*'Fuel &amp; Inputs'!$C$21,100)</f>
        <v>6100</v>
      </c>
      <c r="V103" s="20" t="n">
        <f aca="false">MROUND(S103*'Fuel &amp; Inputs'!$C$19*'Fuel &amp; Inputs'!$C$21,100)</f>
        <v>9100</v>
      </c>
      <c r="W103" s="20" t="n">
        <f aca="false">MROUND(T103*'Fuel &amp; Inputs'!$C$19*'Fuel &amp; Inputs'!$C$21,100)</f>
        <v>12200</v>
      </c>
      <c r="X103" s="20" t="n">
        <f aca="false">MROUND(R103*'Fuel &amp; Inputs'!$C$20*'Fuel &amp; Inputs'!$C$22,500)</f>
        <v>163000</v>
      </c>
      <c r="Y103" s="20" t="n">
        <f aca="false">MROUND(S103*'Fuel &amp; Inputs'!$C$20*'Fuel &amp; Inputs'!$C$22,500)</f>
        <v>245000</v>
      </c>
      <c r="Z103" s="20" t="n">
        <f aca="false">MROUND(T103*'Fuel &amp; Inputs'!$C$20*'Fuel &amp; Inputs'!$C$22,500)</f>
        <v>326500</v>
      </c>
    </row>
    <row r="104" customFormat="false" ht="15" hidden="false" customHeight="false" outlineLevel="0" collapsed="false">
      <c r="A104" s="23" t="n">
        <v>94</v>
      </c>
      <c r="B104" s="34" t="s">
        <v>78</v>
      </c>
      <c r="C104" s="34" t="s">
        <v>312</v>
      </c>
      <c r="D104" s="34" t="s">
        <v>380</v>
      </c>
      <c r="E104" s="23" t="s">
        <v>234</v>
      </c>
      <c r="F104" s="23" t="s">
        <v>381</v>
      </c>
      <c r="G104" s="23" t="s">
        <v>223</v>
      </c>
      <c r="H104" s="23" t="s">
        <v>153</v>
      </c>
      <c r="I104" s="23" t="s">
        <v>154</v>
      </c>
      <c r="J104" s="25" t="n">
        <v>7.2</v>
      </c>
      <c r="K104" s="25" t="n">
        <v>10</v>
      </c>
      <c r="L104" s="25" t="n">
        <v>13.5</v>
      </c>
      <c r="M104" s="35" t="n">
        <v>1.091</v>
      </c>
      <c r="N104" s="26" t="n">
        <f aca="false">IF(J104=0,0,IF($I104="L/km",MROUND(J104*$M104*IF($H104="Petrol",'Fuel &amp; Inputs'!$C$5,'Fuel &amp; Inputs'!$C$4),1),MROUND(J104*$M104*IF($H104="Petrol",'Fuel &amp; Inputs'!$C$5,'Fuel &amp; Inputs'!$C$4),10)))</f>
        <v>3000</v>
      </c>
      <c r="O104" s="26" t="n">
        <f aca="false">IF(K104=0,0,IF($I104="L/km",MROUND(K104*$M104*IF($H104="Petrol",'Fuel &amp; Inputs'!$C$5,'Fuel &amp; Inputs'!$C$4),1),MROUND(K104*$M104*IF($H104="Petrol",'Fuel &amp; Inputs'!$C$5,'Fuel &amp; Inputs'!$C$4),10)))</f>
        <v>4170</v>
      </c>
      <c r="P104" s="26" t="n">
        <f aca="false">IF(L104=0,0,IF($I104="L/km",MROUND(L104*$M104*IF($H104="Petrol",'Fuel &amp; Inputs'!$C$5,'Fuel &amp; Inputs'!$C$4),1),MROUND(L104*$M104*IF($H104="Petrol",'Fuel &amp; Inputs'!$C$5,'Fuel &amp; Inputs'!$C$4),10)))</f>
        <v>5630</v>
      </c>
      <c r="Q104" s="23" t="s">
        <v>155</v>
      </c>
      <c r="R104" s="27" t="n">
        <v>1600</v>
      </c>
      <c r="S104" s="26" t="n">
        <f aca="false">MROUND(R104+'Fuel &amp; Inputs'!$C$13,50)</f>
        <v>2400</v>
      </c>
      <c r="T104" s="27" t="n">
        <v>3200</v>
      </c>
      <c r="U104" s="26" t="n">
        <f aca="false">MROUND(R104*'Fuel &amp; Inputs'!$C$19*'Fuel &amp; Inputs'!$C$21,100)</f>
        <v>6100</v>
      </c>
      <c r="V104" s="26" t="n">
        <f aca="false">MROUND(S104*'Fuel &amp; Inputs'!$C$19*'Fuel &amp; Inputs'!$C$21,100)</f>
        <v>9100</v>
      </c>
      <c r="W104" s="26" t="n">
        <f aca="false">MROUND(T104*'Fuel &amp; Inputs'!$C$19*'Fuel &amp; Inputs'!$C$21,100)</f>
        <v>12200</v>
      </c>
      <c r="X104" s="26" t="n">
        <f aca="false">MROUND(R104*'Fuel &amp; Inputs'!$C$20*'Fuel &amp; Inputs'!$C$22,500)</f>
        <v>163000</v>
      </c>
      <c r="Y104" s="26" t="n">
        <f aca="false">MROUND(S104*'Fuel &amp; Inputs'!$C$20*'Fuel &amp; Inputs'!$C$22,500)</f>
        <v>245000</v>
      </c>
      <c r="Z104" s="26" t="n">
        <f aca="false">MROUND(T104*'Fuel &amp; Inputs'!$C$20*'Fuel &amp; Inputs'!$C$22,500)</f>
        <v>326500</v>
      </c>
    </row>
    <row r="105" customFormat="false" ht="15" hidden="false" customHeight="false" outlineLevel="0" collapsed="false">
      <c r="A105" s="17" t="n">
        <v>95</v>
      </c>
      <c r="B105" s="32" t="s">
        <v>78</v>
      </c>
      <c r="C105" s="32" t="s">
        <v>327</v>
      </c>
      <c r="D105" s="32" t="s">
        <v>382</v>
      </c>
      <c r="E105" s="17" t="s">
        <v>234</v>
      </c>
      <c r="F105" s="17" t="s">
        <v>383</v>
      </c>
      <c r="G105" s="17" t="s">
        <v>223</v>
      </c>
      <c r="H105" s="17" t="s">
        <v>153</v>
      </c>
      <c r="I105" s="17" t="s">
        <v>154</v>
      </c>
      <c r="J105" s="19" t="n">
        <v>7.2</v>
      </c>
      <c r="K105" s="19" t="n">
        <v>10</v>
      </c>
      <c r="L105" s="19" t="n">
        <v>13.5</v>
      </c>
      <c r="M105" s="33" t="n">
        <v>1.091</v>
      </c>
      <c r="N105" s="20" t="n">
        <f aca="false">IF(J105=0,0,IF($I105="L/km",MROUND(J105*$M105*IF($H105="Petrol",'Fuel &amp; Inputs'!$C$5,'Fuel &amp; Inputs'!$C$4),1),MROUND(J105*$M105*IF($H105="Petrol",'Fuel &amp; Inputs'!$C$5,'Fuel &amp; Inputs'!$C$4),10)))</f>
        <v>3000</v>
      </c>
      <c r="O105" s="20" t="n">
        <f aca="false">IF(K105=0,0,IF($I105="L/km",MROUND(K105*$M105*IF($H105="Petrol",'Fuel &amp; Inputs'!$C$5,'Fuel &amp; Inputs'!$C$4),1),MROUND(K105*$M105*IF($H105="Petrol",'Fuel &amp; Inputs'!$C$5,'Fuel &amp; Inputs'!$C$4),10)))</f>
        <v>4170</v>
      </c>
      <c r="P105" s="20" t="n">
        <f aca="false">IF(L105=0,0,IF($I105="L/km",MROUND(L105*$M105*IF($H105="Petrol",'Fuel &amp; Inputs'!$C$5,'Fuel &amp; Inputs'!$C$4),1),MROUND(L105*$M105*IF($H105="Petrol",'Fuel &amp; Inputs'!$C$5,'Fuel &amp; Inputs'!$C$4),10)))</f>
        <v>5630</v>
      </c>
      <c r="Q105" s="17" t="s">
        <v>155</v>
      </c>
      <c r="R105" s="21" t="n">
        <v>1600</v>
      </c>
      <c r="S105" s="20" t="n">
        <f aca="false">MROUND(R105+'Fuel &amp; Inputs'!$C$13,50)</f>
        <v>2400</v>
      </c>
      <c r="T105" s="21" t="n">
        <v>3200</v>
      </c>
      <c r="U105" s="20" t="n">
        <f aca="false">MROUND(R105*'Fuel &amp; Inputs'!$C$19*'Fuel &amp; Inputs'!$C$21,100)</f>
        <v>6100</v>
      </c>
      <c r="V105" s="20" t="n">
        <f aca="false">MROUND(S105*'Fuel &amp; Inputs'!$C$19*'Fuel &amp; Inputs'!$C$21,100)</f>
        <v>9100</v>
      </c>
      <c r="W105" s="20" t="n">
        <f aca="false">MROUND(T105*'Fuel &amp; Inputs'!$C$19*'Fuel &amp; Inputs'!$C$21,100)</f>
        <v>12200</v>
      </c>
      <c r="X105" s="20" t="n">
        <f aca="false">MROUND(R105*'Fuel &amp; Inputs'!$C$20*'Fuel &amp; Inputs'!$C$22,500)</f>
        <v>163000</v>
      </c>
      <c r="Y105" s="20" t="n">
        <f aca="false">MROUND(S105*'Fuel &amp; Inputs'!$C$20*'Fuel &amp; Inputs'!$C$22,500)</f>
        <v>245000</v>
      </c>
      <c r="Z105" s="20" t="n">
        <f aca="false">MROUND(T105*'Fuel &amp; Inputs'!$C$20*'Fuel &amp; Inputs'!$C$22,500)</f>
        <v>326500</v>
      </c>
    </row>
    <row r="106" customFormat="false" ht="15" hidden="false" customHeight="false" outlineLevel="0" collapsed="false">
      <c r="A106" s="23" t="n">
        <v>96</v>
      </c>
      <c r="B106" s="34" t="s">
        <v>78</v>
      </c>
      <c r="C106" s="34" t="s">
        <v>384</v>
      </c>
      <c r="D106" s="34" t="s">
        <v>223</v>
      </c>
      <c r="E106" s="23" t="s">
        <v>166</v>
      </c>
      <c r="F106" s="23" t="s">
        <v>385</v>
      </c>
      <c r="G106" s="23" t="s">
        <v>223</v>
      </c>
      <c r="H106" s="23" t="s">
        <v>153</v>
      </c>
      <c r="I106" s="23" t="s">
        <v>154</v>
      </c>
      <c r="J106" s="25" t="n">
        <v>7.2</v>
      </c>
      <c r="K106" s="25" t="n">
        <v>10</v>
      </c>
      <c r="L106" s="25" t="n">
        <v>13.5</v>
      </c>
      <c r="M106" s="35" t="n">
        <v>1.098</v>
      </c>
      <c r="N106" s="26" t="n">
        <f aca="false">IF(J106=0,0,IF($I106="L/km",MROUND(J106*$M106*IF($H106="Petrol",'Fuel &amp; Inputs'!$C$5,'Fuel &amp; Inputs'!$C$4),1),MROUND(J106*$M106*IF($H106="Petrol",'Fuel &amp; Inputs'!$C$5,'Fuel &amp; Inputs'!$C$4),10)))</f>
        <v>3020</v>
      </c>
      <c r="O106" s="26" t="n">
        <f aca="false">IF(K106=0,0,IF($I106="L/km",MROUND(K106*$M106*IF($H106="Petrol",'Fuel &amp; Inputs'!$C$5,'Fuel &amp; Inputs'!$C$4),1),MROUND(K106*$M106*IF($H106="Petrol",'Fuel &amp; Inputs'!$C$5,'Fuel &amp; Inputs'!$C$4),10)))</f>
        <v>4190</v>
      </c>
      <c r="P106" s="26" t="n">
        <f aca="false">IF(L106=0,0,IF($I106="L/km",MROUND(L106*$M106*IF($H106="Petrol",'Fuel &amp; Inputs'!$C$5,'Fuel &amp; Inputs'!$C$4),1),MROUND(L106*$M106*IF($H106="Petrol",'Fuel &amp; Inputs'!$C$5,'Fuel &amp; Inputs'!$C$4),10)))</f>
        <v>5660</v>
      </c>
      <c r="Q106" s="23" t="s">
        <v>155</v>
      </c>
      <c r="R106" s="27" t="n">
        <v>1600</v>
      </c>
      <c r="S106" s="26" t="n">
        <f aca="false">MROUND(R106+'Fuel &amp; Inputs'!$C$13,50)</f>
        <v>2400</v>
      </c>
      <c r="T106" s="27" t="n">
        <v>3200</v>
      </c>
      <c r="U106" s="26" t="n">
        <f aca="false">MROUND(R106*'Fuel &amp; Inputs'!$C$19*'Fuel &amp; Inputs'!$C$21,100)</f>
        <v>6100</v>
      </c>
      <c r="V106" s="26" t="n">
        <f aca="false">MROUND(S106*'Fuel &amp; Inputs'!$C$19*'Fuel &amp; Inputs'!$C$21,100)</f>
        <v>9100</v>
      </c>
      <c r="W106" s="26" t="n">
        <f aca="false">MROUND(T106*'Fuel &amp; Inputs'!$C$19*'Fuel &amp; Inputs'!$C$21,100)</f>
        <v>12200</v>
      </c>
      <c r="X106" s="26" t="n">
        <f aca="false">MROUND(R106*'Fuel &amp; Inputs'!$C$20*'Fuel &amp; Inputs'!$C$22,500)</f>
        <v>163000</v>
      </c>
      <c r="Y106" s="26" t="n">
        <f aca="false">MROUND(S106*'Fuel &amp; Inputs'!$C$20*'Fuel &amp; Inputs'!$C$22,500)</f>
        <v>245000</v>
      </c>
      <c r="Z106" s="26" t="n">
        <f aca="false">MROUND(T106*'Fuel &amp; Inputs'!$C$20*'Fuel &amp; Inputs'!$C$22,500)</f>
        <v>326500</v>
      </c>
    </row>
    <row r="107" customFormat="false" ht="15" hidden="false" customHeight="false" outlineLevel="0" collapsed="false">
      <c r="A107" s="17" t="n">
        <v>97</v>
      </c>
      <c r="B107" s="32" t="s">
        <v>78</v>
      </c>
      <c r="C107" s="32" t="s">
        <v>352</v>
      </c>
      <c r="D107" s="32" t="s">
        <v>223</v>
      </c>
      <c r="E107" s="17" t="s">
        <v>234</v>
      </c>
      <c r="F107" s="17" t="s">
        <v>386</v>
      </c>
      <c r="G107" s="17" t="s">
        <v>223</v>
      </c>
      <c r="H107" s="17" t="s">
        <v>153</v>
      </c>
      <c r="I107" s="17" t="s">
        <v>154</v>
      </c>
      <c r="J107" s="19" t="n">
        <v>7.2</v>
      </c>
      <c r="K107" s="19" t="n">
        <v>10</v>
      </c>
      <c r="L107" s="19" t="n">
        <v>13.5</v>
      </c>
      <c r="M107" s="33" t="n">
        <v>1.091</v>
      </c>
      <c r="N107" s="20" t="n">
        <f aca="false">IF(J107=0,0,IF($I107="L/km",MROUND(J107*$M107*IF($H107="Petrol",'Fuel &amp; Inputs'!$C$5,'Fuel &amp; Inputs'!$C$4),1),MROUND(J107*$M107*IF($H107="Petrol",'Fuel &amp; Inputs'!$C$5,'Fuel &amp; Inputs'!$C$4),10)))</f>
        <v>3000</v>
      </c>
      <c r="O107" s="20" t="n">
        <f aca="false">IF(K107=0,0,IF($I107="L/km",MROUND(K107*$M107*IF($H107="Petrol",'Fuel &amp; Inputs'!$C$5,'Fuel &amp; Inputs'!$C$4),1),MROUND(K107*$M107*IF($H107="Petrol",'Fuel &amp; Inputs'!$C$5,'Fuel &amp; Inputs'!$C$4),10)))</f>
        <v>4170</v>
      </c>
      <c r="P107" s="20" t="n">
        <f aca="false">IF(L107=0,0,IF($I107="L/km",MROUND(L107*$M107*IF($H107="Petrol",'Fuel &amp; Inputs'!$C$5,'Fuel &amp; Inputs'!$C$4),1),MROUND(L107*$M107*IF($H107="Petrol",'Fuel &amp; Inputs'!$C$5,'Fuel &amp; Inputs'!$C$4),10)))</f>
        <v>5630</v>
      </c>
      <c r="Q107" s="17" t="s">
        <v>155</v>
      </c>
      <c r="R107" s="21" t="n">
        <v>1600</v>
      </c>
      <c r="S107" s="20" t="n">
        <f aca="false">MROUND(R107+'Fuel &amp; Inputs'!$C$13,50)</f>
        <v>2400</v>
      </c>
      <c r="T107" s="21" t="n">
        <v>3200</v>
      </c>
      <c r="U107" s="20" t="n">
        <f aca="false">MROUND(R107*'Fuel &amp; Inputs'!$C$19*'Fuel &amp; Inputs'!$C$21,100)</f>
        <v>6100</v>
      </c>
      <c r="V107" s="20" t="n">
        <f aca="false">MROUND(S107*'Fuel &amp; Inputs'!$C$19*'Fuel &amp; Inputs'!$C$21,100)</f>
        <v>9100</v>
      </c>
      <c r="W107" s="20" t="n">
        <f aca="false">MROUND(T107*'Fuel &amp; Inputs'!$C$19*'Fuel &amp; Inputs'!$C$21,100)</f>
        <v>12200</v>
      </c>
      <c r="X107" s="20" t="n">
        <f aca="false">MROUND(R107*'Fuel &amp; Inputs'!$C$20*'Fuel &amp; Inputs'!$C$22,500)</f>
        <v>163000</v>
      </c>
      <c r="Y107" s="20" t="n">
        <f aca="false">MROUND(S107*'Fuel &amp; Inputs'!$C$20*'Fuel &amp; Inputs'!$C$22,500)</f>
        <v>245000</v>
      </c>
      <c r="Z107" s="20" t="n">
        <f aca="false">MROUND(T107*'Fuel &amp; Inputs'!$C$20*'Fuel &amp; Inputs'!$C$22,500)</f>
        <v>326500</v>
      </c>
    </row>
    <row r="108" customFormat="false" ht="15" hidden="false" customHeight="false" outlineLevel="0" collapsed="false">
      <c r="A108" s="23" t="n">
        <v>98</v>
      </c>
      <c r="B108" s="34" t="s">
        <v>78</v>
      </c>
      <c r="C108" s="34" t="s">
        <v>323</v>
      </c>
      <c r="D108" s="34" t="s">
        <v>223</v>
      </c>
      <c r="E108" s="23" t="s">
        <v>166</v>
      </c>
      <c r="F108" s="23" t="s">
        <v>387</v>
      </c>
      <c r="G108" s="23" t="s">
        <v>223</v>
      </c>
      <c r="H108" s="23" t="s">
        <v>153</v>
      </c>
      <c r="I108" s="23" t="s">
        <v>154</v>
      </c>
      <c r="J108" s="25" t="n">
        <v>7.2</v>
      </c>
      <c r="K108" s="25" t="n">
        <v>10</v>
      </c>
      <c r="L108" s="25" t="n">
        <v>13.5</v>
      </c>
      <c r="M108" s="35" t="n">
        <v>1.098</v>
      </c>
      <c r="N108" s="26" t="n">
        <f aca="false">IF(J108=0,0,IF($I108="L/km",MROUND(J108*$M108*IF($H108="Petrol",'Fuel &amp; Inputs'!$C$5,'Fuel &amp; Inputs'!$C$4),1),MROUND(J108*$M108*IF($H108="Petrol",'Fuel &amp; Inputs'!$C$5,'Fuel &amp; Inputs'!$C$4),10)))</f>
        <v>3020</v>
      </c>
      <c r="O108" s="26" t="n">
        <f aca="false">IF(K108=0,0,IF($I108="L/km",MROUND(K108*$M108*IF($H108="Petrol",'Fuel &amp; Inputs'!$C$5,'Fuel &amp; Inputs'!$C$4),1),MROUND(K108*$M108*IF($H108="Petrol",'Fuel &amp; Inputs'!$C$5,'Fuel &amp; Inputs'!$C$4),10)))</f>
        <v>4190</v>
      </c>
      <c r="P108" s="26" t="n">
        <f aca="false">IF(L108=0,0,IF($I108="L/km",MROUND(L108*$M108*IF($H108="Petrol",'Fuel &amp; Inputs'!$C$5,'Fuel &amp; Inputs'!$C$4),1),MROUND(L108*$M108*IF($H108="Petrol",'Fuel &amp; Inputs'!$C$5,'Fuel &amp; Inputs'!$C$4),10)))</f>
        <v>5660</v>
      </c>
      <c r="Q108" s="23" t="s">
        <v>155</v>
      </c>
      <c r="R108" s="27" t="n">
        <v>1600</v>
      </c>
      <c r="S108" s="26" t="n">
        <f aca="false">MROUND(R108+'Fuel &amp; Inputs'!$C$13,50)</f>
        <v>2400</v>
      </c>
      <c r="T108" s="27" t="n">
        <v>3200</v>
      </c>
      <c r="U108" s="26" t="n">
        <f aca="false">MROUND(R108*'Fuel &amp; Inputs'!$C$19*'Fuel &amp; Inputs'!$C$21,100)</f>
        <v>6100</v>
      </c>
      <c r="V108" s="26" t="n">
        <f aca="false">MROUND(S108*'Fuel &amp; Inputs'!$C$19*'Fuel &amp; Inputs'!$C$21,100)</f>
        <v>9100</v>
      </c>
      <c r="W108" s="26" t="n">
        <f aca="false">MROUND(T108*'Fuel &amp; Inputs'!$C$19*'Fuel &amp; Inputs'!$C$21,100)</f>
        <v>12200</v>
      </c>
      <c r="X108" s="26" t="n">
        <f aca="false">MROUND(R108*'Fuel &amp; Inputs'!$C$20*'Fuel &amp; Inputs'!$C$22,500)</f>
        <v>163000</v>
      </c>
      <c r="Y108" s="26" t="n">
        <f aca="false">MROUND(S108*'Fuel &amp; Inputs'!$C$20*'Fuel &amp; Inputs'!$C$22,500)</f>
        <v>245000</v>
      </c>
      <c r="Z108" s="26" t="n">
        <f aca="false">MROUND(T108*'Fuel &amp; Inputs'!$C$20*'Fuel &amp; Inputs'!$C$22,500)</f>
        <v>326500</v>
      </c>
    </row>
    <row r="109" customFormat="false" ht="15" hidden="false" customHeight="false" outlineLevel="0" collapsed="false">
      <c r="A109" s="17" t="n">
        <v>99</v>
      </c>
      <c r="B109" s="32" t="s">
        <v>78</v>
      </c>
      <c r="C109" s="32" t="s">
        <v>224</v>
      </c>
      <c r="D109" s="32" t="s">
        <v>223</v>
      </c>
      <c r="E109" s="17" t="s">
        <v>166</v>
      </c>
      <c r="F109" s="17" t="s">
        <v>388</v>
      </c>
      <c r="G109" s="17" t="s">
        <v>223</v>
      </c>
      <c r="H109" s="17" t="s">
        <v>153</v>
      </c>
      <c r="I109" s="17" t="s">
        <v>154</v>
      </c>
      <c r="J109" s="19" t="n">
        <v>7.2</v>
      </c>
      <c r="K109" s="19" t="n">
        <v>10</v>
      </c>
      <c r="L109" s="19" t="n">
        <v>13.5</v>
      </c>
      <c r="M109" s="33" t="n">
        <v>1.098</v>
      </c>
      <c r="N109" s="20" t="n">
        <f aca="false">IF(J109=0,0,IF($I109="L/km",MROUND(J109*$M109*IF($H109="Petrol",'Fuel &amp; Inputs'!$C$5,'Fuel &amp; Inputs'!$C$4),1),MROUND(J109*$M109*IF($H109="Petrol",'Fuel &amp; Inputs'!$C$5,'Fuel &amp; Inputs'!$C$4),10)))</f>
        <v>3020</v>
      </c>
      <c r="O109" s="20" t="n">
        <f aca="false">IF(K109=0,0,IF($I109="L/km",MROUND(K109*$M109*IF($H109="Petrol",'Fuel &amp; Inputs'!$C$5,'Fuel &amp; Inputs'!$C$4),1),MROUND(K109*$M109*IF($H109="Petrol",'Fuel &amp; Inputs'!$C$5,'Fuel &amp; Inputs'!$C$4),10)))</f>
        <v>4190</v>
      </c>
      <c r="P109" s="20" t="n">
        <f aca="false">IF(L109=0,0,IF($I109="L/km",MROUND(L109*$M109*IF($H109="Petrol",'Fuel &amp; Inputs'!$C$5,'Fuel &amp; Inputs'!$C$4),1),MROUND(L109*$M109*IF($H109="Petrol",'Fuel &amp; Inputs'!$C$5,'Fuel &amp; Inputs'!$C$4),10)))</f>
        <v>5660</v>
      </c>
      <c r="Q109" s="17" t="s">
        <v>155</v>
      </c>
      <c r="R109" s="21" t="n">
        <v>1600</v>
      </c>
      <c r="S109" s="20" t="n">
        <f aca="false">MROUND(R109+'Fuel &amp; Inputs'!$C$13,50)</f>
        <v>2400</v>
      </c>
      <c r="T109" s="21" t="n">
        <v>3200</v>
      </c>
      <c r="U109" s="20" t="n">
        <f aca="false">MROUND(R109*'Fuel &amp; Inputs'!$C$19*'Fuel &amp; Inputs'!$C$21,100)</f>
        <v>6100</v>
      </c>
      <c r="V109" s="20" t="n">
        <f aca="false">MROUND(S109*'Fuel &amp; Inputs'!$C$19*'Fuel &amp; Inputs'!$C$21,100)</f>
        <v>9100</v>
      </c>
      <c r="W109" s="20" t="n">
        <f aca="false">MROUND(T109*'Fuel &amp; Inputs'!$C$19*'Fuel &amp; Inputs'!$C$21,100)</f>
        <v>12200</v>
      </c>
      <c r="X109" s="20" t="n">
        <f aca="false">MROUND(R109*'Fuel &amp; Inputs'!$C$20*'Fuel &amp; Inputs'!$C$22,500)</f>
        <v>163000</v>
      </c>
      <c r="Y109" s="20" t="n">
        <f aca="false">MROUND(S109*'Fuel &amp; Inputs'!$C$20*'Fuel &amp; Inputs'!$C$22,500)</f>
        <v>245000</v>
      </c>
      <c r="Z109" s="20" t="n">
        <f aca="false">MROUND(T109*'Fuel &amp; Inputs'!$C$20*'Fuel &amp; Inputs'!$C$22,500)</f>
        <v>326500</v>
      </c>
    </row>
    <row r="110" customFormat="false" ht="15" hidden="false" customHeight="false" outlineLevel="0" collapsed="false">
      <c r="A110" s="23" t="n">
        <v>100</v>
      </c>
      <c r="B110" s="34" t="s">
        <v>78</v>
      </c>
      <c r="C110" s="34" t="s">
        <v>330</v>
      </c>
      <c r="D110" s="34" t="s">
        <v>223</v>
      </c>
      <c r="E110" s="23" t="s">
        <v>243</v>
      </c>
      <c r="F110" s="23" t="s">
        <v>389</v>
      </c>
      <c r="G110" s="23" t="s">
        <v>223</v>
      </c>
      <c r="H110" s="23" t="s">
        <v>153</v>
      </c>
      <c r="I110" s="23" t="s">
        <v>154</v>
      </c>
      <c r="J110" s="25" t="n">
        <v>7.2</v>
      </c>
      <c r="K110" s="25" t="n">
        <v>10</v>
      </c>
      <c r="L110" s="25" t="n">
        <v>13.5</v>
      </c>
      <c r="M110" s="35" t="n">
        <v>1.112</v>
      </c>
      <c r="N110" s="26" t="n">
        <f aca="false">IF(J110=0,0,IF($I110="L/km",MROUND(J110*$M110*IF($H110="Petrol",'Fuel &amp; Inputs'!$C$5,'Fuel &amp; Inputs'!$C$4),1),MROUND(J110*$M110*IF($H110="Petrol",'Fuel &amp; Inputs'!$C$5,'Fuel &amp; Inputs'!$C$4),10)))</f>
        <v>3060</v>
      </c>
      <c r="O110" s="26" t="n">
        <f aca="false">IF(K110=0,0,IF($I110="L/km",MROUND(K110*$M110*IF($H110="Petrol",'Fuel &amp; Inputs'!$C$5,'Fuel &amp; Inputs'!$C$4),1),MROUND(K110*$M110*IF($H110="Petrol",'Fuel &amp; Inputs'!$C$5,'Fuel &amp; Inputs'!$C$4),10)))</f>
        <v>4250</v>
      </c>
      <c r="P110" s="26" t="n">
        <f aca="false">IF(L110=0,0,IF($I110="L/km",MROUND(L110*$M110*IF($H110="Petrol",'Fuel &amp; Inputs'!$C$5,'Fuel &amp; Inputs'!$C$4),1),MROUND(L110*$M110*IF($H110="Petrol",'Fuel &amp; Inputs'!$C$5,'Fuel &amp; Inputs'!$C$4),10)))</f>
        <v>5730</v>
      </c>
      <c r="Q110" s="23" t="s">
        <v>155</v>
      </c>
      <c r="R110" s="27" t="n">
        <v>1600</v>
      </c>
      <c r="S110" s="26" t="n">
        <f aca="false">MROUND(R110+'Fuel &amp; Inputs'!$C$13,50)</f>
        <v>2400</v>
      </c>
      <c r="T110" s="27" t="n">
        <v>3200</v>
      </c>
      <c r="U110" s="26" t="n">
        <f aca="false">MROUND(R110*'Fuel &amp; Inputs'!$C$19*'Fuel &amp; Inputs'!$C$21,100)</f>
        <v>6100</v>
      </c>
      <c r="V110" s="26" t="n">
        <f aca="false">MROUND(S110*'Fuel &amp; Inputs'!$C$19*'Fuel &amp; Inputs'!$C$21,100)</f>
        <v>9100</v>
      </c>
      <c r="W110" s="26" t="n">
        <f aca="false">MROUND(T110*'Fuel &amp; Inputs'!$C$19*'Fuel &amp; Inputs'!$C$21,100)</f>
        <v>12200</v>
      </c>
      <c r="X110" s="26" t="n">
        <f aca="false">MROUND(R110*'Fuel &amp; Inputs'!$C$20*'Fuel &amp; Inputs'!$C$22,500)</f>
        <v>163000</v>
      </c>
      <c r="Y110" s="26" t="n">
        <f aca="false">MROUND(S110*'Fuel &amp; Inputs'!$C$20*'Fuel &amp; Inputs'!$C$22,500)</f>
        <v>245000</v>
      </c>
      <c r="Z110" s="26" t="n">
        <f aca="false">MROUND(T110*'Fuel &amp; Inputs'!$C$20*'Fuel &amp; Inputs'!$C$22,500)</f>
        <v>326500</v>
      </c>
    </row>
    <row r="111" customFormat="false" ht="15" hidden="false" customHeight="false" outlineLevel="0" collapsed="false">
      <c r="A111" s="17" t="n">
        <v>101</v>
      </c>
      <c r="B111" s="32" t="s">
        <v>78</v>
      </c>
      <c r="C111" s="32" t="s">
        <v>330</v>
      </c>
      <c r="D111" s="32" t="s">
        <v>223</v>
      </c>
      <c r="E111" s="17" t="s">
        <v>243</v>
      </c>
      <c r="F111" s="17" t="s">
        <v>390</v>
      </c>
      <c r="G111" s="17" t="s">
        <v>223</v>
      </c>
      <c r="H111" s="17" t="s">
        <v>153</v>
      </c>
      <c r="I111" s="17" t="s">
        <v>154</v>
      </c>
      <c r="J111" s="19" t="n">
        <v>7.2</v>
      </c>
      <c r="K111" s="19" t="n">
        <v>10</v>
      </c>
      <c r="L111" s="19" t="n">
        <v>13.5</v>
      </c>
      <c r="M111" s="33" t="n">
        <v>1.112</v>
      </c>
      <c r="N111" s="20" t="n">
        <f aca="false">IF(J111=0,0,IF($I111="L/km",MROUND(J111*$M111*IF($H111="Petrol",'Fuel &amp; Inputs'!$C$5,'Fuel &amp; Inputs'!$C$4),1),MROUND(J111*$M111*IF($H111="Petrol",'Fuel &amp; Inputs'!$C$5,'Fuel &amp; Inputs'!$C$4),10)))</f>
        <v>3060</v>
      </c>
      <c r="O111" s="20" t="n">
        <f aca="false">IF(K111=0,0,IF($I111="L/km",MROUND(K111*$M111*IF($H111="Petrol",'Fuel &amp; Inputs'!$C$5,'Fuel &amp; Inputs'!$C$4),1),MROUND(K111*$M111*IF($H111="Petrol",'Fuel &amp; Inputs'!$C$5,'Fuel &amp; Inputs'!$C$4),10)))</f>
        <v>4250</v>
      </c>
      <c r="P111" s="20" t="n">
        <f aca="false">IF(L111=0,0,IF($I111="L/km",MROUND(L111*$M111*IF($H111="Petrol",'Fuel &amp; Inputs'!$C$5,'Fuel &amp; Inputs'!$C$4),1),MROUND(L111*$M111*IF($H111="Petrol",'Fuel &amp; Inputs'!$C$5,'Fuel &amp; Inputs'!$C$4),10)))</f>
        <v>5730</v>
      </c>
      <c r="Q111" s="17" t="s">
        <v>155</v>
      </c>
      <c r="R111" s="21" t="n">
        <v>1600</v>
      </c>
      <c r="S111" s="20" t="n">
        <f aca="false">MROUND(R111+'Fuel &amp; Inputs'!$C$13,50)</f>
        <v>2400</v>
      </c>
      <c r="T111" s="21" t="n">
        <v>3200</v>
      </c>
      <c r="U111" s="20" t="n">
        <f aca="false">MROUND(R111*'Fuel &amp; Inputs'!$C$19*'Fuel &amp; Inputs'!$C$21,100)</f>
        <v>6100</v>
      </c>
      <c r="V111" s="20" t="n">
        <f aca="false">MROUND(S111*'Fuel &amp; Inputs'!$C$19*'Fuel &amp; Inputs'!$C$21,100)</f>
        <v>9100</v>
      </c>
      <c r="W111" s="20" t="n">
        <f aca="false">MROUND(T111*'Fuel &amp; Inputs'!$C$19*'Fuel &amp; Inputs'!$C$21,100)</f>
        <v>12200</v>
      </c>
      <c r="X111" s="20" t="n">
        <f aca="false">MROUND(R111*'Fuel &amp; Inputs'!$C$20*'Fuel &amp; Inputs'!$C$22,500)</f>
        <v>163000</v>
      </c>
      <c r="Y111" s="20" t="n">
        <f aca="false">MROUND(S111*'Fuel &amp; Inputs'!$C$20*'Fuel &amp; Inputs'!$C$22,500)</f>
        <v>245000</v>
      </c>
      <c r="Z111" s="20" t="n">
        <f aca="false">MROUND(T111*'Fuel &amp; Inputs'!$C$20*'Fuel &amp; Inputs'!$C$22,500)</f>
        <v>326500</v>
      </c>
    </row>
    <row r="112" customFormat="false" ht="15" hidden="false" customHeight="false" outlineLevel="0" collapsed="false">
      <c r="A112" s="23" t="n">
        <v>102</v>
      </c>
      <c r="B112" s="34" t="s">
        <v>78</v>
      </c>
      <c r="C112" s="34" t="s">
        <v>330</v>
      </c>
      <c r="D112" s="34" t="s">
        <v>223</v>
      </c>
      <c r="E112" s="23" t="s">
        <v>223</v>
      </c>
      <c r="F112" s="23" t="s">
        <v>391</v>
      </c>
      <c r="G112" s="23" t="s">
        <v>223</v>
      </c>
      <c r="H112" s="23" t="s">
        <v>153</v>
      </c>
      <c r="I112" s="23" t="s">
        <v>154</v>
      </c>
      <c r="J112" s="25" t="n">
        <v>7.2</v>
      </c>
      <c r="K112" s="25" t="n">
        <v>10</v>
      </c>
      <c r="L112" s="25" t="n">
        <v>13.5</v>
      </c>
      <c r="M112" s="35" t="n">
        <v>1</v>
      </c>
      <c r="N112" s="26" t="n">
        <f aca="false">IF(J112=0,0,IF($I112="L/km",MROUND(J112*$M112*IF($H112="Petrol",'Fuel &amp; Inputs'!$C$5,'Fuel &amp; Inputs'!$C$4),1),MROUND(J112*$M112*IF($H112="Petrol",'Fuel &amp; Inputs'!$C$5,'Fuel &amp; Inputs'!$C$4),10)))</f>
        <v>2750</v>
      </c>
      <c r="O112" s="26" t="n">
        <f aca="false">IF(K112=0,0,IF($I112="L/km",MROUND(K112*$M112*IF($H112="Petrol",'Fuel &amp; Inputs'!$C$5,'Fuel &amp; Inputs'!$C$4),1),MROUND(K112*$M112*IF($H112="Petrol",'Fuel &amp; Inputs'!$C$5,'Fuel &amp; Inputs'!$C$4),10)))</f>
        <v>3820</v>
      </c>
      <c r="P112" s="26" t="n">
        <f aca="false">IF(L112=0,0,IF($I112="L/km",MROUND(L112*$M112*IF($H112="Petrol",'Fuel &amp; Inputs'!$C$5,'Fuel &amp; Inputs'!$C$4),1),MROUND(L112*$M112*IF($H112="Petrol",'Fuel &amp; Inputs'!$C$5,'Fuel &amp; Inputs'!$C$4),10)))</f>
        <v>5160</v>
      </c>
      <c r="Q112" s="23" t="s">
        <v>155</v>
      </c>
      <c r="R112" s="27" t="n">
        <v>1130</v>
      </c>
      <c r="S112" s="26" t="n">
        <f aca="false">MROUND(R112+'Fuel &amp; Inputs'!$C$13,50)</f>
        <v>1950</v>
      </c>
      <c r="T112" s="27" t="n">
        <v>2260</v>
      </c>
      <c r="U112" s="26" t="n">
        <f aca="false">MROUND(R112*'Fuel &amp; Inputs'!$C$19*'Fuel &amp; Inputs'!$C$21,100)</f>
        <v>4300</v>
      </c>
      <c r="V112" s="26" t="n">
        <f aca="false">MROUND(S112*'Fuel &amp; Inputs'!$C$19*'Fuel &amp; Inputs'!$C$21,100)</f>
        <v>7400</v>
      </c>
      <c r="W112" s="26" t="n">
        <f aca="false">MROUND(T112*'Fuel &amp; Inputs'!$C$19*'Fuel &amp; Inputs'!$C$21,100)</f>
        <v>8600</v>
      </c>
      <c r="X112" s="26" t="n">
        <f aca="false">MROUND(R112*'Fuel &amp; Inputs'!$C$20*'Fuel &amp; Inputs'!$C$22,500)</f>
        <v>115500</v>
      </c>
      <c r="Y112" s="26" t="n">
        <f aca="false">MROUND(S112*'Fuel &amp; Inputs'!$C$20*'Fuel &amp; Inputs'!$C$22,500)</f>
        <v>199000</v>
      </c>
      <c r="Z112" s="26" t="n">
        <f aca="false">MROUND(T112*'Fuel &amp; Inputs'!$C$20*'Fuel &amp; Inputs'!$C$22,500)</f>
        <v>230500</v>
      </c>
    </row>
    <row r="113" customFormat="false" ht="15" hidden="false" customHeight="false" outlineLevel="0" collapsed="false">
      <c r="A113" s="17" t="n">
        <v>103</v>
      </c>
      <c r="B113" s="32" t="s">
        <v>78</v>
      </c>
      <c r="C113" s="32" t="s">
        <v>330</v>
      </c>
      <c r="D113" s="32" t="s">
        <v>223</v>
      </c>
      <c r="E113" s="17" t="s">
        <v>223</v>
      </c>
      <c r="F113" s="17" t="s">
        <v>392</v>
      </c>
      <c r="G113" s="17" t="s">
        <v>223</v>
      </c>
      <c r="H113" s="17" t="s">
        <v>153</v>
      </c>
      <c r="I113" s="17" t="s">
        <v>154</v>
      </c>
      <c r="J113" s="19" t="n">
        <v>7.2</v>
      </c>
      <c r="K113" s="19" t="n">
        <v>10</v>
      </c>
      <c r="L113" s="19" t="n">
        <v>13.5</v>
      </c>
      <c r="M113" s="33" t="n">
        <v>1</v>
      </c>
      <c r="N113" s="20" t="n">
        <f aca="false">IF(J113=0,0,IF($I113="L/km",MROUND(J113*$M113*IF($H113="Petrol",'Fuel &amp; Inputs'!$C$5,'Fuel &amp; Inputs'!$C$4),1),MROUND(J113*$M113*IF($H113="Petrol",'Fuel &amp; Inputs'!$C$5,'Fuel &amp; Inputs'!$C$4),10)))</f>
        <v>2750</v>
      </c>
      <c r="O113" s="20" t="n">
        <f aca="false">IF(K113=0,0,IF($I113="L/km",MROUND(K113*$M113*IF($H113="Petrol",'Fuel &amp; Inputs'!$C$5,'Fuel &amp; Inputs'!$C$4),1),MROUND(K113*$M113*IF($H113="Petrol",'Fuel &amp; Inputs'!$C$5,'Fuel &amp; Inputs'!$C$4),10)))</f>
        <v>3820</v>
      </c>
      <c r="P113" s="20" t="n">
        <f aca="false">IF(L113=0,0,IF($I113="L/km",MROUND(L113*$M113*IF($H113="Petrol",'Fuel &amp; Inputs'!$C$5,'Fuel &amp; Inputs'!$C$4),1),MROUND(L113*$M113*IF($H113="Petrol",'Fuel &amp; Inputs'!$C$5,'Fuel &amp; Inputs'!$C$4),10)))</f>
        <v>5160</v>
      </c>
      <c r="Q113" s="17" t="s">
        <v>155</v>
      </c>
      <c r="R113" s="21" t="n">
        <v>1130</v>
      </c>
      <c r="S113" s="20" t="n">
        <f aca="false">MROUND(R113+'Fuel &amp; Inputs'!$C$13,50)</f>
        <v>1950</v>
      </c>
      <c r="T113" s="21" t="n">
        <v>2260</v>
      </c>
      <c r="U113" s="20" t="n">
        <f aca="false">MROUND(R113*'Fuel &amp; Inputs'!$C$19*'Fuel &amp; Inputs'!$C$21,100)</f>
        <v>4300</v>
      </c>
      <c r="V113" s="20" t="n">
        <f aca="false">MROUND(S113*'Fuel &amp; Inputs'!$C$19*'Fuel &amp; Inputs'!$C$21,100)</f>
        <v>7400</v>
      </c>
      <c r="W113" s="20" t="n">
        <f aca="false">MROUND(T113*'Fuel &amp; Inputs'!$C$19*'Fuel &amp; Inputs'!$C$21,100)</f>
        <v>8600</v>
      </c>
      <c r="X113" s="20" t="n">
        <f aca="false">MROUND(R113*'Fuel &amp; Inputs'!$C$20*'Fuel &amp; Inputs'!$C$22,500)</f>
        <v>115500</v>
      </c>
      <c r="Y113" s="20" t="n">
        <f aca="false">MROUND(S113*'Fuel &amp; Inputs'!$C$20*'Fuel &amp; Inputs'!$C$22,500)</f>
        <v>199000</v>
      </c>
      <c r="Z113" s="20" t="n">
        <f aca="false">MROUND(T113*'Fuel &amp; Inputs'!$C$20*'Fuel &amp; Inputs'!$C$22,500)</f>
        <v>230500</v>
      </c>
    </row>
    <row r="114" customFormat="false" ht="15" hidden="false" customHeight="false" outlineLevel="0" collapsed="false">
      <c r="A114" s="23" t="n">
        <v>104</v>
      </c>
      <c r="B114" s="34" t="s">
        <v>78</v>
      </c>
      <c r="C114" s="34" t="s">
        <v>330</v>
      </c>
      <c r="D114" s="34" t="s">
        <v>223</v>
      </c>
      <c r="E114" s="23" t="s">
        <v>223</v>
      </c>
      <c r="F114" s="23" t="s">
        <v>393</v>
      </c>
      <c r="G114" s="23" t="s">
        <v>223</v>
      </c>
      <c r="H114" s="23" t="s">
        <v>153</v>
      </c>
      <c r="I114" s="23" t="s">
        <v>154</v>
      </c>
      <c r="J114" s="25" t="n">
        <v>7.2</v>
      </c>
      <c r="K114" s="25" t="n">
        <v>10</v>
      </c>
      <c r="L114" s="25" t="n">
        <v>13.5</v>
      </c>
      <c r="M114" s="35" t="n">
        <v>1</v>
      </c>
      <c r="N114" s="26" t="n">
        <f aca="false">IF(J114=0,0,IF($I114="L/km",MROUND(J114*$M114*IF($H114="Petrol",'Fuel &amp; Inputs'!$C$5,'Fuel &amp; Inputs'!$C$4),1),MROUND(J114*$M114*IF($H114="Petrol",'Fuel &amp; Inputs'!$C$5,'Fuel &amp; Inputs'!$C$4),10)))</f>
        <v>2750</v>
      </c>
      <c r="O114" s="26" t="n">
        <f aca="false">IF(K114=0,0,IF($I114="L/km",MROUND(K114*$M114*IF($H114="Petrol",'Fuel &amp; Inputs'!$C$5,'Fuel &amp; Inputs'!$C$4),1),MROUND(K114*$M114*IF($H114="Petrol",'Fuel &amp; Inputs'!$C$5,'Fuel &amp; Inputs'!$C$4),10)))</f>
        <v>3820</v>
      </c>
      <c r="P114" s="26" t="n">
        <f aca="false">IF(L114=0,0,IF($I114="L/km",MROUND(L114*$M114*IF($H114="Petrol",'Fuel &amp; Inputs'!$C$5,'Fuel &amp; Inputs'!$C$4),1),MROUND(L114*$M114*IF($H114="Petrol",'Fuel &amp; Inputs'!$C$5,'Fuel &amp; Inputs'!$C$4),10)))</f>
        <v>5160</v>
      </c>
      <c r="Q114" s="23" t="s">
        <v>155</v>
      </c>
      <c r="R114" s="27" t="n">
        <v>1130</v>
      </c>
      <c r="S114" s="26" t="n">
        <f aca="false">MROUND(R114+'Fuel &amp; Inputs'!$C$13,50)</f>
        <v>1950</v>
      </c>
      <c r="T114" s="27" t="n">
        <v>2260</v>
      </c>
      <c r="U114" s="26" t="n">
        <f aca="false">MROUND(R114*'Fuel &amp; Inputs'!$C$19*'Fuel &amp; Inputs'!$C$21,100)</f>
        <v>4300</v>
      </c>
      <c r="V114" s="26" t="n">
        <f aca="false">MROUND(S114*'Fuel &amp; Inputs'!$C$19*'Fuel &amp; Inputs'!$C$21,100)</f>
        <v>7400</v>
      </c>
      <c r="W114" s="26" t="n">
        <f aca="false">MROUND(T114*'Fuel &amp; Inputs'!$C$19*'Fuel &amp; Inputs'!$C$21,100)</f>
        <v>8600</v>
      </c>
      <c r="X114" s="26" t="n">
        <f aca="false">MROUND(R114*'Fuel &amp; Inputs'!$C$20*'Fuel &amp; Inputs'!$C$22,500)</f>
        <v>115500</v>
      </c>
      <c r="Y114" s="26" t="n">
        <f aca="false">MROUND(S114*'Fuel &amp; Inputs'!$C$20*'Fuel &amp; Inputs'!$C$22,500)</f>
        <v>199000</v>
      </c>
      <c r="Z114" s="26" t="n">
        <f aca="false">MROUND(T114*'Fuel &amp; Inputs'!$C$20*'Fuel &amp; Inputs'!$C$22,500)</f>
        <v>230500</v>
      </c>
    </row>
    <row r="115" customFormat="false" ht="15" hidden="false" customHeight="false" outlineLevel="0" collapsed="false">
      <c r="A115" s="17" t="n">
        <v>105</v>
      </c>
      <c r="B115" s="32" t="s">
        <v>78</v>
      </c>
      <c r="C115" s="32" t="s">
        <v>352</v>
      </c>
      <c r="D115" s="32" t="s">
        <v>223</v>
      </c>
      <c r="E115" s="17" t="s">
        <v>223</v>
      </c>
      <c r="F115" s="17" t="s">
        <v>394</v>
      </c>
      <c r="G115" s="17" t="s">
        <v>223</v>
      </c>
      <c r="H115" s="17" t="s">
        <v>153</v>
      </c>
      <c r="I115" s="17" t="s">
        <v>154</v>
      </c>
      <c r="J115" s="19" t="n">
        <v>7.2</v>
      </c>
      <c r="K115" s="19" t="n">
        <v>10</v>
      </c>
      <c r="L115" s="19" t="n">
        <v>13.5</v>
      </c>
      <c r="M115" s="33" t="n">
        <v>1</v>
      </c>
      <c r="N115" s="20" t="n">
        <f aca="false">IF(J115=0,0,IF($I115="L/km",MROUND(J115*$M115*IF($H115="Petrol",'Fuel &amp; Inputs'!$C$5,'Fuel &amp; Inputs'!$C$4),1),MROUND(J115*$M115*IF($H115="Petrol",'Fuel &amp; Inputs'!$C$5,'Fuel &amp; Inputs'!$C$4),10)))</f>
        <v>2750</v>
      </c>
      <c r="O115" s="20" t="n">
        <f aca="false">IF(K115=0,0,IF($I115="L/km",MROUND(K115*$M115*IF($H115="Petrol",'Fuel &amp; Inputs'!$C$5,'Fuel &amp; Inputs'!$C$4),1),MROUND(K115*$M115*IF($H115="Petrol",'Fuel &amp; Inputs'!$C$5,'Fuel &amp; Inputs'!$C$4),10)))</f>
        <v>3820</v>
      </c>
      <c r="P115" s="20" t="n">
        <f aca="false">IF(L115=0,0,IF($I115="L/km",MROUND(L115*$M115*IF($H115="Petrol",'Fuel &amp; Inputs'!$C$5,'Fuel &amp; Inputs'!$C$4),1),MROUND(L115*$M115*IF($H115="Petrol",'Fuel &amp; Inputs'!$C$5,'Fuel &amp; Inputs'!$C$4),10)))</f>
        <v>5160</v>
      </c>
      <c r="Q115" s="17" t="s">
        <v>155</v>
      </c>
      <c r="R115" s="21" t="n">
        <v>1130</v>
      </c>
      <c r="S115" s="20" t="n">
        <f aca="false">MROUND(R115+'Fuel &amp; Inputs'!$C$13,50)</f>
        <v>1950</v>
      </c>
      <c r="T115" s="21" t="n">
        <v>2260</v>
      </c>
      <c r="U115" s="20" t="n">
        <f aca="false">MROUND(R115*'Fuel &amp; Inputs'!$C$19*'Fuel &amp; Inputs'!$C$21,100)</f>
        <v>4300</v>
      </c>
      <c r="V115" s="20" t="n">
        <f aca="false">MROUND(S115*'Fuel &amp; Inputs'!$C$19*'Fuel &amp; Inputs'!$C$21,100)</f>
        <v>7400</v>
      </c>
      <c r="W115" s="20" t="n">
        <f aca="false">MROUND(T115*'Fuel &amp; Inputs'!$C$19*'Fuel &amp; Inputs'!$C$21,100)</f>
        <v>8600</v>
      </c>
      <c r="X115" s="20" t="n">
        <f aca="false">MROUND(R115*'Fuel &amp; Inputs'!$C$20*'Fuel &amp; Inputs'!$C$22,500)</f>
        <v>115500</v>
      </c>
      <c r="Y115" s="20" t="n">
        <f aca="false">MROUND(S115*'Fuel &amp; Inputs'!$C$20*'Fuel &amp; Inputs'!$C$22,500)</f>
        <v>199000</v>
      </c>
      <c r="Z115" s="20" t="n">
        <f aca="false">MROUND(T115*'Fuel &amp; Inputs'!$C$20*'Fuel &amp; Inputs'!$C$22,500)</f>
        <v>230500</v>
      </c>
    </row>
    <row r="116" customFormat="false" ht="15" hidden="false" customHeight="false" outlineLevel="0" collapsed="false">
      <c r="A116" s="23" t="n">
        <v>106</v>
      </c>
      <c r="B116" s="34" t="s">
        <v>78</v>
      </c>
      <c r="C116" s="34" t="s">
        <v>330</v>
      </c>
      <c r="D116" s="34" t="s">
        <v>223</v>
      </c>
      <c r="E116" s="23" t="s">
        <v>223</v>
      </c>
      <c r="F116" s="23" t="s">
        <v>395</v>
      </c>
      <c r="G116" s="23" t="s">
        <v>223</v>
      </c>
      <c r="H116" s="23" t="s">
        <v>153</v>
      </c>
      <c r="I116" s="23" t="s">
        <v>154</v>
      </c>
      <c r="J116" s="25" t="n">
        <v>7.2</v>
      </c>
      <c r="K116" s="25" t="n">
        <v>10</v>
      </c>
      <c r="L116" s="25" t="n">
        <v>13.5</v>
      </c>
      <c r="M116" s="35" t="n">
        <v>1</v>
      </c>
      <c r="N116" s="26" t="n">
        <f aca="false">IF(J116=0,0,IF($I116="L/km",MROUND(J116*$M116*IF($H116="Petrol",'Fuel &amp; Inputs'!$C$5,'Fuel &amp; Inputs'!$C$4),1),MROUND(J116*$M116*IF($H116="Petrol",'Fuel &amp; Inputs'!$C$5,'Fuel &amp; Inputs'!$C$4),10)))</f>
        <v>2750</v>
      </c>
      <c r="O116" s="26" t="n">
        <f aca="false">IF(K116=0,0,IF($I116="L/km",MROUND(K116*$M116*IF($H116="Petrol",'Fuel &amp; Inputs'!$C$5,'Fuel &amp; Inputs'!$C$4),1),MROUND(K116*$M116*IF($H116="Petrol",'Fuel &amp; Inputs'!$C$5,'Fuel &amp; Inputs'!$C$4),10)))</f>
        <v>3820</v>
      </c>
      <c r="P116" s="26" t="n">
        <f aca="false">IF(L116=0,0,IF($I116="L/km",MROUND(L116*$M116*IF($H116="Petrol",'Fuel &amp; Inputs'!$C$5,'Fuel &amp; Inputs'!$C$4),1),MROUND(L116*$M116*IF($H116="Petrol",'Fuel &amp; Inputs'!$C$5,'Fuel &amp; Inputs'!$C$4),10)))</f>
        <v>5160</v>
      </c>
      <c r="Q116" s="23" t="s">
        <v>155</v>
      </c>
      <c r="R116" s="27" t="n">
        <v>1130</v>
      </c>
      <c r="S116" s="26" t="n">
        <f aca="false">MROUND(R116+'Fuel &amp; Inputs'!$C$13,50)</f>
        <v>1950</v>
      </c>
      <c r="T116" s="27" t="n">
        <v>2260</v>
      </c>
      <c r="U116" s="26" t="n">
        <f aca="false">MROUND(R116*'Fuel &amp; Inputs'!$C$19*'Fuel &amp; Inputs'!$C$21,100)</f>
        <v>4300</v>
      </c>
      <c r="V116" s="26" t="n">
        <f aca="false">MROUND(S116*'Fuel &amp; Inputs'!$C$19*'Fuel &amp; Inputs'!$C$21,100)</f>
        <v>7400</v>
      </c>
      <c r="W116" s="26" t="n">
        <f aca="false">MROUND(T116*'Fuel &amp; Inputs'!$C$19*'Fuel &amp; Inputs'!$C$21,100)</f>
        <v>8600</v>
      </c>
      <c r="X116" s="26" t="n">
        <f aca="false">MROUND(R116*'Fuel &amp; Inputs'!$C$20*'Fuel &amp; Inputs'!$C$22,500)</f>
        <v>115500</v>
      </c>
      <c r="Y116" s="26" t="n">
        <f aca="false">MROUND(S116*'Fuel &amp; Inputs'!$C$20*'Fuel &amp; Inputs'!$C$22,500)</f>
        <v>199000</v>
      </c>
      <c r="Z116" s="26" t="n">
        <f aca="false">MROUND(T116*'Fuel &amp; Inputs'!$C$20*'Fuel &amp; Inputs'!$C$22,500)</f>
        <v>230500</v>
      </c>
    </row>
    <row r="117" customFormat="false" ht="15" hidden="false" customHeight="false" outlineLevel="0" collapsed="false">
      <c r="A117" s="17" t="n">
        <v>107</v>
      </c>
      <c r="B117" s="32" t="s">
        <v>78</v>
      </c>
      <c r="C117" s="32" t="s">
        <v>359</v>
      </c>
      <c r="D117" s="32" t="s">
        <v>223</v>
      </c>
      <c r="E117" s="17" t="s">
        <v>223</v>
      </c>
      <c r="F117" s="17" t="s">
        <v>396</v>
      </c>
      <c r="G117" s="17" t="s">
        <v>223</v>
      </c>
      <c r="H117" s="17" t="s">
        <v>153</v>
      </c>
      <c r="I117" s="17" t="s">
        <v>154</v>
      </c>
      <c r="J117" s="19" t="n">
        <v>7.2</v>
      </c>
      <c r="K117" s="19" t="n">
        <v>10</v>
      </c>
      <c r="L117" s="19" t="n">
        <v>13.5</v>
      </c>
      <c r="M117" s="33" t="n">
        <v>1</v>
      </c>
      <c r="N117" s="20" t="n">
        <f aca="false">IF(J117=0,0,IF($I117="L/km",MROUND(J117*$M117*IF($H117="Petrol",'Fuel &amp; Inputs'!$C$5,'Fuel &amp; Inputs'!$C$4),1),MROUND(J117*$M117*IF($H117="Petrol",'Fuel &amp; Inputs'!$C$5,'Fuel &amp; Inputs'!$C$4),10)))</f>
        <v>2750</v>
      </c>
      <c r="O117" s="20" t="n">
        <f aca="false">IF(K117=0,0,IF($I117="L/km",MROUND(K117*$M117*IF($H117="Petrol",'Fuel &amp; Inputs'!$C$5,'Fuel &amp; Inputs'!$C$4),1),MROUND(K117*$M117*IF($H117="Petrol",'Fuel &amp; Inputs'!$C$5,'Fuel &amp; Inputs'!$C$4),10)))</f>
        <v>3820</v>
      </c>
      <c r="P117" s="20" t="n">
        <f aca="false">IF(L117=0,0,IF($I117="L/km",MROUND(L117*$M117*IF($H117="Petrol",'Fuel &amp; Inputs'!$C$5,'Fuel &amp; Inputs'!$C$4),1),MROUND(L117*$M117*IF($H117="Petrol",'Fuel &amp; Inputs'!$C$5,'Fuel &amp; Inputs'!$C$4),10)))</f>
        <v>5160</v>
      </c>
      <c r="Q117" s="17" t="s">
        <v>155</v>
      </c>
      <c r="R117" s="21" t="n">
        <v>1130</v>
      </c>
      <c r="S117" s="20" t="n">
        <f aca="false">MROUND(R117+'Fuel &amp; Inputs'!$C$13,50)</f>
        <v>1950</v>
      </c>
      <c r="T117" s="21" t="n">
        <v>2260</v>
      </c>
      <c r="U117" s="20" t="n">
        <f aca="false">MROUND(R117*'Fuel &amp; Inputs'!$C$19*'Fuel &amp; Inputs'!$C$21,100)</f>
        <v>4300</v>
      </c>
      <c r="V117" s="20" t="n">
        <f aca="false">MROUND(S117*'Fuel &amp; Inputs'!$C$19*'Fuel &amp; Inputs'!$C$21,100)</f>
        <v>7400</v>
      </c>
      <c r="W117" s="20" t="n">
        <f aca="false">MROUND(T117*'Fuel &amp; Inputs'!$C$19*'Fuel &amp; Inputs'!$C$21,100)</f>
        <v>8600</v>
      </c>
      <c r="X117" s="20" t="n">
        <f aca="false">MROUND(R117*'Fuel &amp; Inputs'!$C$20*'Fuel &amp; Inputs'!$C$22,500)</f>
        <v>115500</v>
      </c>
      <c r="Y117" s="20" t="n">
        <f aca="false">MROUND(S117*'Fuel &amp; Inputs'!$C$20*'Fuel &amp; Inputs'!$C$22,500)</f>
        <v>199000</v>
      </c>
      <c r="Z117" s="20" t="n">
        <f aca="false">MROUND(T117*'Fuel &amp; Inputs'!$C$20*'Fuel &amp; Inputs'!$C$22,500)</f>
        <v>230500</v>
      </c>
    </row>
    <row r="118" customFormat="false" ht="15" hidden="false" customHeight="false" outlineLevel="0" collapsed="false">
      <c r="A118" s="23" t="n">
        <v>108</v>
      </c>
      <c r="B118" s="34" t="s">
        <v>78</v>
      </c>
      <c r="C118" s="34" t="s">
        <v>330</v>
      </c>
      <c r="D118" s="34" t="s">
        <v>223</v>
      </c>
      <c r="E118" s="23" t="s">
        <v>223</v>
      </c>
      <c r="F118" s="23" t="s">
        <v>397</v>
      </c>
      <c r="G118" s="23" t="s">
        <v>223</v>
      </c>
      <c r="H118" s="23" t="s">
        <v>153</v>
      </c>
      <c r="I118" s="23" t="s">
        <v>154</v>
      </c>
      <c r="J118" s="25" t="n">
        <v>7.2</v>
      </c>
      <c r="K118" s="25" t="n">
        <v>10</v>
      </c>
      <c r="L118" s="25" t="n">
        <v>13.5</v>
      </c>
      <c r="M118" s="35" t="n">
        <v>1</v>
      </c>
      <c r="N118" s="26" t="n">
        <f aca="false">IF(J118=0,0,IF($I118="L/km",MROUND(J118*$M118*IF($H118="Petrol",'Fuel &amp; Inputs'!$C$5,'Fuel &amp; Inputs'!$C$4),1),MROUND(J118*$M118*IF($H118="Petrol",'Fuel &amp; Inputs'!$C$5,'Fuel &amp; Inputs'!$C$4),10)))</f>
        <v>2750</v>
      </c>
      <c r="O118" s="26" t="n">
        <f aca="false">IF(K118=0,0,IF($I118="L/km",MROUND(K118*$M118*IF($H118="Petrol",'Fuel &amp; Inputs'!$C$5,'Fuel &amp; Inputs'!$C$4),1),MROUND(K118*$M118*IF($H118="Petrol",'Fuel &amp; Inputs'!$C$5,'Fuel &amp; Inputs'!$C$4),10)))</f>
        <v>3820</v>
      </c>
      <c r="P118" s="26" t="n">
        <f aca="false">IF(L118=0,0,IF($I118="L/km",MROUND(L118*$M118*IF($H118="Petrol",'Fuel &amp; Inputs'!$C$5,'Fuel &amp; Inputs'!$C$4),1),MROUND(L118*$M118*IF($H118="Petrol",'Fuel &amp; Inputs'!$C$5,'Fuel &amp; Inputs'!$C$4),10)))</f>
        <v>5160</v>
      </c>
      <c r="Q118" s="23" t="s">
        <v>155</v>
      </c>
      <c r="R118" s="27" t="n">
        <v>1130</v>
      </c>
      <c r="S118" s="26" t="n">
        <f aca="false">MROUND(R118+'Fuel &amp; Inputs'!$C$13,50)</f>
        <v>1950</v>
      </c>
      <c r="T118" s="27" t="n">
        <v>2260</v>
      </c>
      <c r="U118" s="26" t="n">
        <f aca="false">MROUND(R118*'Fuel &amp; Inputs'!$C$19*'Fuel &amp; Inputs'!$C$21,100)</f>
        <v>4300</v>
      </c>
      <c r="V118" s="26" t="n">
        <f aca="false">MROUND(S118*'Fuel &amp; Inputs'!$C$19*'Fuel &amp; Inputs'!$C$21,100)</f>
        <v>7400</v>
      </c>
      <c r="W118" s="26" t="n">
        <f aca="false">MROUND(T118*'Fuel &amp; Inputs'!$C$19*'Fuel &amp; Inputs'!$C$21,100)</f>
        <v>8600</v>
      </c>
      <c r="X118" s="26" t="n">
        <f aca="false">MROUND(R118*'Fuel &amp; Inputs'!$C$20*'Fuel &amp; Inputs'!$C$22,500)</f>
        <v>115500</v>
      </c>
      <c r="Y118" s="26" t="n">
        <f aca="false">MROUND(S118*'Fuel &amp; Inputs'!$C$20*'Fuel &amp; Inputs'!$C$22,500)</f>
        <v>199000</v>
      </c>
      <c r="Z118" s="26" t="n">
        <f aca="false">MROUND(T118*'Fuel &amp; Inputs'!$C$20*'Fuel &amp; Inputs'!$C$22,500)</f>
        <v>230500</v>
      </c>
    </row>
    <row r="119" customFormat="false" ht="15" hidden="false" customHeight="false" outlineLevel="0" collapsed="false">
      <c r="A119" s="17" t="n">
        <v>109</v>
      </c>
      <c r="B119" s="32" t="s">
        <v>78</v>
      </c>
      <c r="C119" s="32" t="s">
        <v>330</v>
      </c>
      <c r="D119" s="32" t="s">
        <v>223</v>
      </c>
      <c r="E119" s="17" t="s">
        <v>223</v>
      </c>
      <c r="F119" s="17" t="s">
        <v>398</v>
      </c>
      <c r="G119" s="17" t="s">
        <v>223</v>
      </c>
      <c r="H119" s="17" t="s">
        <v>153</v>
      </c>
      <c r="I119" s="17" t="s">
        <v>154</v>
      </c>
      <c r="J119" s="19" t="n">
        <v>7.2</v>
      </c>
      <c r="K119" s="19" t="n">
        <v>10</v>
      </c>
      <c r="L119" s="19" t="n">
        <v>13.5</v>
      </c>
      <c r="M119" s="33" t="n">
        <v>1</v>
      </c>
      <c r="N119" s="20" t="n">
        <f aca="false">IF(J119=0,0,IF($I119="L/km",MROUND(J119*$M119*IF($H119="Petrol",'Fuel &amp; Inputs'!$C$5,'Fuel &amp; Inputs'!$C$4),1),MROUND(J119*$M119*IF($H119="Petrol",'Fuel &amp; Inputs'!$C$5,'Fuel &amp; Inputs'!$C$4),10)))</f>
        <v>2750</v>
      </c>
      <c r="O119" s="20" t="n">
        <f aca="false">IF(K119=0,0,IF($I119="L/km",MROUND(K119*$M119*IF($H119="Petrol",'Fuel &amp; Inputs'!$C$5,'Fuel &amp; Inputs'!$C$4),1),MROUND(K119*$M119*IF($H119="Petrol",'Fuel &amp; Inputs'!$C$5,'Fuel &amp; Inputs'!$C$4),10)))</f>
        <v>3820</v>
      </c>
      <c r="P119" s="20" t="n">
        <f aca="false">IF(L119=0,0,IF($I119="L/km",MROUND(L119*$M119*IF($H119="Petrol",'Fuel &amp; Inputs'!$C$5,'Fuel &amp; Inputs'!$C$4),1),MROUND(L119*$M119*IF($H119="Petrol",'Fuel &amp; Inputs'!$C$5,'Fuel &amp; Inputs'!$C$4),10)))</f>
        <v>5160</v>
      </c>
      <c r="Q119" s="17" t="s">
        <v>155</v>
      </c>
      <c r="R119" s="21" t="n">
        <v>1130</v>
      </c>
      <c r="S119" s="20" t="n">
        <f aca="false">MROUND(R119+'Fuel &amp; Inputs'!$C$13,50)</f>
        <v>1950</v>
      </c>
      <c r="T119" s="21" t="n">
        <v>2260</v>
      </c>
      <c r="U119" s="20" t="n">
        <f aca="false">MROUND(R119*'Fuel &amp; Inputs'!$C$19*'Fuel &amp; Inputs'!$C$21,100)</f>
        <v>4300</v>
      </c>
      <c r="V119" s="20" t="n">
        <f aca="false">MROUND(S119*'Fuel &amp; Inputs'!$C$19*'Fuel &amp; Inputs'!$C$21,100)</f>
        <v>7400</v>
      </c>
      <c r="W119" s="20" t="n">
        <f aca="false">MROUND(T119*'Fuel &amp; Inputs'!$C$19*'Fuel &amp; Inputs'!$C$21,100)</f>
        <v>8600</v>
      </c>
      <c r="X119" s="20" t="n">
        <f aca="false">MROUND(R119*'Fuel &amp; Inputs'!$C$20*'Fuel &amp; Inputs'!$C$22,500)</f>
        <v>115500</v>
      </c>
      <c r="Y119" s="20" t="n">
        <f aca="false">MROUND(S119*'Fuel &amp; Inputs'!$C$20*'Fuel &amp; Inputs'!$C$22,500)</f>
        <v>199000</v>
      </c>
      <c r="Z119" s="20" t="n">
        <f aca="false">MROUND(T119*'Fuel &amp; Inputs'!$C$20*'Fuel &amp; Inputs'!$C$22,500)</f>
        <v>230500</v>
      </c>
    </row>
    <row r="120" customFormat="false" ht="15" hidden="false" customHeight="false" outlineLevel="0" collapsed="false">
      <c r="A120" s="23" t="n">
        <v>110</v>
      </c>
      <c r="B120" s="34" t="s">
        <v>78</v>
      </c>
      <c r="C120" s="34" t="s">
        <v>330</v>
      </c>
      <c r="D120" s="34" t="s">
        <v>223</v>
      </c>
      <c r="E120" s="23" t="s">
        <v>223</v>
      </c>
      <c r="F120" s="23" t="s">
        <v>399</v>
      </c>
      <c r="G120" s="23" t="s">
        <v>223</v>
      </c>
      <c r="H120" s="23" t="s">
        <v>153</v>
      </c>
      <c r="I120" s="23" t="s">
        <v>154</v>
      </c>
      <c r="J120" s="25" t="n">
        <v>7.2</v>
      </c>
      <c r="K120" s="25" t="n">
        <v>10</v>
      </c>
      <c r="L120" s="25" t="n">
        <v>13.5</v>
      </c>
      <c r="M120" s="35" t="n">
        <v>1</v>
      </c>
      <c r="N120" s="26" t="n">
        <f aca="false">IF(J120=0,0,IF($I120="L/km",MROUND(J120*$M120*IF($H120="Petrol",'Fuel &amp; Inputs'!$C$5,'Fuel &amp; Inputs'!$C$4),1),MROUND(J120*$M120*IF($H120="Petrol",'Fuel &amp; Inputs'!$C$5,'Fuel &amp; Inputs'!$C$4),10)))</f>
        <v>2750</v>
      </c>
      <c r="O120" s="26" t="n">
        <f aca="false">IF(K120=0,0,IF($I120="L/km",MROUND(K120*$M120*IF($H120="Petrol",'Fuel &amp; Inputs'!$C$5,'Fuel &amp; Inputs'!$C$4),1),MROUND(K120*$M120*IF($H120="Petrol",'Fuel &amp; Inputs'!$C$5,'Fuel &amp; Inputs'!$C$4),10)))</f>
        <v>3820</v>
      </c>
      <c r="P120" s="26" t="n">
        <f aca="false">IF(L120=0,0,IF($I120="L/km",MROUND(L120*$M120*IF($H120="Petrol",'Fuel &amp; Inputs'!$C$5,'Fuel &amp; Inputs'!$C$4),1),MROUND(L120*$M120*IF($H120="Petrol",'Fuel &amp; Inputs'!$C$5,'Fuel &amp; Inputs'!$C$4),10)))</f>
        <v>5160</v>
      </c>
      <c r="Q120" s="23" t="s">
        <v>155</v>
      </c>
      <c r="R120" s="27" t="n">
        <v>1130</v>
      </c>
      <c r="S120" s="26" t="n">
        <f aca="false">MROUND(R120+'Fuel &amp; Inputs'!$C$13,50)</f>
        <v>1950</v>
      </c>
      <c r="T120" s="27" t="n">
        <v>2260</v>
      </c>
      <c r="U120" s="26" t="n">
        <f aca="false">MROUND(R120*'Fuel &amp; Inputs'!$C$19*'Fuel &amp; Inputs'!$C$21,100)</f>
        <v>4300</v>
      </c>
      <c r="V120" s="26" t="n">
        <f aca="false">MROUND(S120*'Fuel &amp; Inputs'!$C$19*'Fuel &amp; Inputs'!$C$21,100)</f>
        <v>7400</v>
      </c>
      <c r="W120" s="26" t="n">
        <f aca="false">MROUND(T120*'Fuel &amp; Inputs'!$C$19*'Fuel &amp; Inputs'!$C$21,100)</f>
        <v>8600</v>
      </c>
      <c r="X120" s="26" t="n">
        <f aca="false">MROUND(R120*'Fuel &amp; Inputs'!$C$20*'Fuel &amp; Inputs'!$C$22,500)</f>
        <v>115500</v>
      </c>
      <c r="Y120" s="26" t="n">
        <f aca="false">MROUND(S120*'Fuel &amp; Inputs'!$C$20*'Fuel &amp; Inputs'!$C$22,500)</f>
        <v>199000</v>
      </c>
      <c r="Z120" s="26" t="n">
        <f aca="false">MROUND(T120*'Fuel &amp; Inputs'!$C$20*'Fuel &amp; Inputs'!$C$22,500)</f>
        <v>230500</v>
      </c>
    </row>
    <row r="121" customFormat="false" ht="15" hidden="false" customHeight="false" outlineLevel="0" collapsed="false">
      <c r="A121" s="17" t="n">
        <v>111</v>
      </c>
      <c r="B121" s="32" t="s">
        <v>78</v>
      </c>
      <c r="C121" s="32" t="s">
        <v>327</v>
      </c>
      <c r="D121" s="32" t="s">
        <v>223</v>
      </c>
      <c r="E121" s="17" t="s">
        <v>223</v>
      </c>
      <c r="F121" s="17" t="s">
        <v>400</v>
      </c>
      <c r="G121" s="17" t="s">
        <v>223</v>
      </c>
      <c r="H121" s="17" t="s">
        <v>153</v>
      </c>
      <c r="I121" s="17" t="s">
        <v>154</v>
      </c>
      <c r="J121" s="19" t="n">
        <v>7.2</v>
      </c>
      <c r="K121" s="19" t="n">
        <v>10</v>
      </c>
      <c r="L121" s="19" t="n">
        <v>13.5</v>
      </c>
      <c r="M121" s="33" t="n">
        <v>1</v>
      </c>
      <c r="N121" s="20" t="n">
        <f aca="false">IF(J121=0,0,IF($I121="L/km",MROUND(J121*$M121*IF($H121="Petrol",'Fuel &amp; Inputs'!$C$5,'Fuel &amp; Inputs'!$C$4),1),MROUND(J121*$M121*IF($H121="Petrol",'Fuel &amp; Inputs'!$C$5,'Fuel &amp; Inputs'!$C$4),10)))</f>
        <v>2750</v>
      </c>
      <c r="O121" s="20" t="n">
        <f aca="false">IF(K121=0,0,IF($I121="L/km",MROUND(K121*$M121*IF($H121="Petrol",'Fuel &amp; Inputs'!$C$5,'Fuel &amp; Inputs'!$C$4),1),MROUND(K121*$M121*IF($H121="Petrol",'Fuel &amp; Inputs'!$C$5,'Fuel &amp; Inputs'!$C$4),10)))</f>
        <v>3820</v>
      </c>
      <c r="P121" s="20" t="n">
        <f aca="false">IF(L121=0,0,IF($I121="L/km",MROUND(L121*$M121*IF($H121="Petrol",'Fuel &amp; Inputs'!$C$5,'Fuel &amp; Inputs'!$C$4),1),MROUND(L121*$M121*IF($H121="Petrol",'Fuel &amp; Inputs'!$C$5,'Fuel &amp; Inputs'!$C$4),10)))</f>
        <v>5160</v>
      </c>
      <c r="Q121" s="17" t="s">
        <v>155</v>
      </c>
      <c r="R121" s="21" t="n">
        <v>1130</v>
      </c>
      <c r="S121" s="20" t="n">
        <f aca="false">MROUND(R121+'Fuel &amp; Inputs'!$C$13,50)</f>
        <v>1950</v>
      </c>
      <c r="T121" s="21" t="n">
        <v>2260</v>
      </c>
      <c r="U121" s="20" t="n">
        <f aca="false">MROUND(R121*'Fuel &amp; Inputs'!$C$19*'Fuel &amp; Inputs'!$C$21,100)</f>
        <v>4300</v>
      </c>
      <c r="V121" s="20" t="n">
        <f aca="false">MROUND(S121*'Fuel &amp; Inputs'!$C$19*'Fuel &amp; Inputs'!$C$21,100)</f>
        <v>7400</v>
      </c>
      <c r="W121" s="20" t="n">
        <f aca="false">MROUND(T121*'Fuel &amp; Inputs'!$C$19*'Fuel &amp; Inputs'!$C$21,100)</f>
        <v>8600</v>
      </c>
      <c r="X121" s="20" t="n">
        <f aca="false">MROUND(R121*'Fuel &amp; Inputs'!$C$20*'Fuel &amp; Inputs'!$C$22,500)</f>
        <v>115500</v>
      </c>
      <c r="Y121" s="20" t="n">
        <f aca="false">MROUND(S121*'Fuel &amp; Inputs'!$C$20*'Fuel &amp; Inputs'!$C$22,500)</f>
        <v>199000</v>
      </c>
      <c r="Z121" s="20" t="n">
        <f aca="false">MROUND(T121*'Fuel &amp; Inputs'!$C$20*'Fuel &amp; Inputs'!$C$22,500)</f>
        <v>230500</v>
      </c>
    </row>
    <row r="122" customFormat="false" ht="15" hidden="false" customHeight="false" outlineLevel="0" collapsed="false">
      <c r="A122" s="23" t="n">
        <v>112</v>
      </c>
      <c r="B122" s="34" t="s">
        <v>78</v>
      </c>
      <c r="C122" s="34" t="s">
        <v>330</v>
      </c>
      <c r="D122" s="34" t="s">
        <v>223</v>
      </c>
      <c r="E122" s="23" t="s">
        <v>223</v>
      </c>
      <c r="F122" s="23" t="s">
        <v>401</v>
      </c>
      <c r="G122" s="23" t="s">
        <v>223</v>
      </c>
      <c r="H122" s="23" t="s">
        <v>153</v>
      </c>
      <c r="I122" s="23" t="s">
        <v>154</v>
      </c>
      <c r="J122" s="25" t="n">
        <v>7.2</v>
      </c>
      <c r="K122" s="25" t="n">
        <v>10</v>
      </c>
      <c r="L122" s="25" t="n">
        <v>13.5</v>
      </c>
      <c r="M122" s="35" t="n">
        <v>1</v>
      </c>
      <c r="N122" s="26" t="n">
        <f aca="false">IF(J122=0,0,IF($I122="L/km",MROUND(J122*$M122*IF($H122="Petrol",'Fuel &amp; Inputs'!$C$5,'Fuel &amp; Inputs'!$C$4),1),MROUND(J122*$M122*IF($H122="Petrol",'Fuel &amp; Inputs'!$C$5,'Fuel &amp; Inputs'!$C$4),10)))</f>
        <v>2750</v>
      </c>
      <c r="O122" s="26" t="n">
        <f aca="false">IF(K122=0,0,IF($I122="L/km",MROUND(K122*$M122*IF($H122="Petrol",'Fuel &amp; Inputs'!$C$5,'Fuel &amp; Inputs'!$C$4),1),MROUND(K122*$M122*IF($H122="Petrol",'Fuel &amp; Inputs'!$C$5,'Fuel &amp; Inputs'!$C$4),10)))</f>
        <v>3820</v>
      </c>
      <c r="P122" s="26" t="n">
        <f aca="false">IF(L122=0,0,IF($I122="L/km",MROUND(L122*$M122*IF($H122="Petrol",'Fuel &amp; Inputs'!$C$5,'Fuel &amp; Inputs'!$C$4),1),MROUND(L122*$M122*IF($H122="Petrol",'Fuel &amp; Inputs'!$C$5,'Fuel &amp; Inputs'!$C$4),10)))</f>
        <v>5160</v>
      </c>
      <c r="Q122" s="23" t="s">
        <v>155</v>
      </c>
      <c r="R122" s="27" t="n">
        <v>1130</v>
      </c>
      <c r="S122" s="26" t="n">
        <f aca="false">MROUND(R122+'Fuel &amp; Inputs'!$C$13,50)</f>
        <v>1950</v>
      </c>
      <c r="T122" s="27" t="n">
        <v>2260</v>
      </c>
      <c r="U122" s="26" t="n">
        <f aca="false">MROUND(R122*'Fuel &amp; Inputs'!$C$19*'Fuel &amp; Inputs'!$C$21,100)</f>
        <v>4300</v>
      </c>
      <c r="V122" s="26" t="n">
        <f aca="false">MROUND(S122*'Fuel &amp; Inputs'!$C$19*'Fuel &amp; Inputs'!$C$21,100)</f>
        <v>7400</v>
      </c>
      <c r="W122" s="26" t="n">
        <f aca="false">MROUND(T122*'Fuel &amp; Inputs'!$C$19*'Fuel &amp; Inputs'!$C$21,100)</f>
        <v>8600</v>
      </c>
      <c r="X122" s="26" t="n">
        <f aca="false">MROUND(R122*'Fuel &amp; Inputs'!$C$20*'Fuel &amp; Inputs'!$C$22,500)</f>
        <v>115500</v>
      </c>
      <c r="Y122" s="26" t="n">
        <f aca="false">MROUND(S122*'Fuel &amp; Inputs'!$C$20*'Fuel &amp; Inputs'!$C$22,500)</f>
        <v>199000</v>
      </c>
      <c r="Z122" s="26" t="n">
        <f aca="false">MROUND(T122*'Fuel &amp; Inputs'!$C$20*'Fuel &amp; Inputs'!$C$22,500)</f>
        <v>230500</v>
      </c>
    </row>
    <row r="123" customFormat="false" ht="15" hidden="false" customHeight="false" outlineLevel="0" collapsed="false">
      <c r="A123" s="17" t="n">
        <v>113</v>
      </c>
      <c r="B123" s="32" t="s">
        <v>78</v>
      </c>
      <c r="C123" s="32" t="s">
        <v>330</v>
      </c>
      <c r="D123" s="32" t="s">
        <v>223</v>
      </c>
      <c r="E123" s="17" t="s">
        <v>223</v>
      </c>
      <c r="F123" s="17" t="s">
        <v>402</v>
      </c>
      <c r="G123" s="17" t="s">
        <v>223</v>
      </c>
      <c r="H123" s="17" t="s">
        <v>153</v>
      </c>
      <c r="I123" s="17" t="s">
        <v>154</v>
      </c>
      <c r="J123" s="19" t="n">
        <v>7.2</v>
      </c>
      <c r="K123" s="19" t="n">
        <v>10</v>
      </c>
      <c r="L123" s="19" t="n">
        <v>13.5</v>
      </c>
      <c r="M123" s="33" t="n">
        <v>1</v>
      </c>
      <c r="N123" s="20" t="n">
        <f aca="false">IF(J123=0,0,IF($I123="L/km",MROUND(J123*$M123*IF($H123="Petrol",'Fuel &amp; Inputs'!$C$5,'Fuel &amp; Inputs'!$C$4),1),MROUND(J123*$M123*IF($H123="Petrol",'Fuel &amp; Inputs'!$C$5,'Fuel &amp; Inputs'!$C$4),10)))</f>
        <v>2750</v>
      </c>
      <c r="O123" s="20" t="n">
        <f aca="false">IF(K123=0,0,IF($I123="L/km",MROUND(K123*$M123*IF($H123="Petrol",'Fuel &amp; Inputs'!$C$5,'Fuel &amp; Inputs'!$C$4),1),MROUND(K123*$M123*IF($H123="Petrol",'Fuel &amp; Inputs'!$C$5,'Fuel &amp; Inputs'!$C$4),10)))</f>
        <v>3820</v>
      </c>
      <c r="P123" s="20" t="n">
        <f aca="false">IF(L123=0,0,IF($I123="L/km",MROUND(L123*$M123*IF($H123="Petrol",'Fuel &amp; Inputs'!$C$5,'Fuel &amp; Inputs'!$C$4),1),MROUND(L123*$M123*IF($H123="Petrol",'Fuel &amp; Inputs'!$C$5,'Fuel &amp; Inputs'!$C$4),10)))</f>
        <v>5160</v>
      </c>
      <c r="Q123" s="17" t="s">
        <v>155</v>
      </c>
      <c r="R123" s="21" t="n">
        <v>1130</v>
      </c>
      <c r="S123" s="20" t="n">
        <f aca="false">MROUND(R123+'Fuel &amp; Inputs'!$C$13,50)</f>
        <v>1950</v>
      </c>
      <c r="T123" s="21" t="n">
        <v>2260</v>
      </c>
      <c r="U123" s="20" t="n">
        <f aca="false">MROUND(R123*'Fuel &amp; Inputs'!$C$19*'Fuel &amp; Inputs'!$C$21,100)</f>
        <v>4300</v>
      </c>
      <c r="V123" s="20" t="n">
        <f aca="false">MROUND(S123*'Fuel &amp; Inputs'!$C$19*'Fuel &amp; Inputs'!$C$21,100)</f>
        <v>7400</v>
      </c>
      <c r="W123" s="20" t="n">
        <f aca="false">MROUND(T123*'Fuel &amp; Inputs'!$C$19*'Fuel &amp; Inputs'!$C$21,100)</f>
        <v>8600</v>
      </c>
      <c r="X123" s="20" t="n">
        <f aca="false">MROUND(R123*'Fuel &amp; Inputs'!$C$20*'Fuel &amp; Inputs'!$C$22,500)</f>
        <v>115500</v>
      </c>
      <c r="Y123" s="20" t="n">
        <f aca="false">MROUND(S123*'Fuel &amp; Inputs'!$C$20*'Fuel &amp; Inputs'!$C$22,500)</f>
        <v>199000</v>
      </c>
      <c r="Z123" s="20" t="n">
        <f aca="false">MROUND(T123*'Fuel &amp; Inputs'!$C$20*'Fuel &amp; Inputs'!$C$22,500)</f>
        <v>230500</v>
      </c>
    </row>
    <row r="124" customFormat="false" ht="15" hidden="false" customHeight="false" outlineLevel="0" collapsed="false">
      <c r="A124" s="23" t="n">
        <v>114</v>
      </c>
      <c r="B124" s="34" t="s">
        <v>78</v>
      </c>
      <c r="C124" s="34" t="s">
        <v>330</v>
      </c>
      <c r="D124" s="34" t="s">
        <v>223</v>
      </c>
      <c r="E124" s="23" t="s">
        <v>223</v>
      </c>
      <c r="F124" s="23" t="s">
        <v>403</v>
      </c>
      <c r="G124" s="23" t="s">
        <v>223</v>
      </c>
      <c r="H124" s="23" t="s">
        <v>153</v>
      </c>
      <c r="I124" s="23" t="s">
        <v>154</v>
      </c>
      <c r="J124" s="25" t="n">
        <v>7.2</v>
      </c>
      <c r="K124" s="25" t="n">
        <v>10</v>
      </c>
      <c r="L124" s="25" t="n">
        <v>13.5</v>
      </c>
      <c r="M124" s="35" t="n">
        <v>1</v>
      </c>
      <c r="N124" s="26" t="n">
        <f aca="false">IF(J124=0,0,IF($I124="L/km",MROUND(J124*$M124*IF($H124="Petrol",'Fuel &amp; Inputs'!$C$5,'Fuel &amp; Inputs'!$C$4),1),MROUND(J124*$M124*IF($H124="Petrol",'Fuel &amp; Inputs'!$C$5,'Fuel &amp; Inputs'!$C$4),10)))</f>
        <v>2750</v>
      </c>
      <c r="O124" s="26" t="n">
        <f aca="false">IF(K124=0,0,IF($I124="L/km",MROUND(K124*$M124*IF($H124="Petrol",'Fuel &amp; Inputs'!$C$5,'Fuel &amp; Inputs'!$C$4),1),MROUND(K124*$M124*IF($H124="Petrol",'Fuel &amp; Inputs'!$C$5,'Fuel &amp; Inputs'!$C$4),10)))</f>
        <v>3820</v>
      </c>
      <c r="P124" s="26" t="n">
        <f aca="false">IF(L124=0,0,IF($I124="L/km",MROUND(L124*$M124*IF($H124="Petrol",'Fuel &amp; Inputs'!$C$5,'Fuel &amp; Inputs'!$C$4),1),MROUND(L124*$M124*IF($H124="Petrol",'Fuel &amp; Inputs'!$C$5,'Fuel &amp; Inputs'!$C$4),10)))</f>
        <v>5160</v>
      </c>
      <c r="Q124" s="23" t="s">
        <v>155</v>
      </c>
      <c r="R124" s="27" t="n">
        <v>1130</v>
      </c>
      <c r="S124" s="26" t="n">
        <f aca="false">MROUND(R124+'Fuel &amp; Inputs'!$C$13,50)</f>
        <v>1950</v>
      </c>
      <c r="T124" s="27" t="n">
        <v>2260</v>
      </c>
      <c r="U124" s="26" t="n">
        <f aca="false">MROUND(R124*'Fuel &amp; Inputs'!$C$19*'Fuel &amp; Inputs'!$C$21,100)</f>
        <v>4300</v>
      </c>
      <c r="V124" s="26" t="n">
        <f aca="false">MROUND(S124*'Fuel &amp; Inputs'!$C$19*'Fuel &amp; Inputs'!$C$21,100)</f>
        <v>7400</v>
      </c>
      <c r="W124" s="26" t="n">
        <f aca="false">MROUND(T124*'Fuel &amp; Inputs'!$C$19*'Fuel &amp; Inputs'!$C$21,100)</f>
        <v>8600</v>
      </c>
      <c r="X124" s="26" t="n">
        <f aca="false">MROUND(R124*'Fuel &amp; Inputs'!$C$20*'Fuel &amp; Inputs'!$C$22,500)</f>
        <v>115500</v>
      </c>
      <c r="Y124" s="26" t="n">
        <f aca="false">MROUND(S124*'Fuel &amp; Inputs'!$C$20*'Fuel &amp; Inputs'!$C$22,500)</f>
        <v>199000</v>
      </c>
      <c r="Z124" s="26" t="n">
        <f aca="false">MROUND(T124*'Fuel &amp; Inputs'!$C$20*'Fuel &amp; Inputs'!$C$22,500)</f>
        <v>230500</v>
      </c>
    </row>
    <row r="125" customFormat="false" ht="15" hidden="false" customHeight="false" outlineLevel="0" collapsed="false">
      <c r="A125" s="17" t="n">
        <v>115</v>
      </c>
      <c r="B125" s="32" t="s">
        <v>78</v>
      </c>
      <c r="C125" s="32" t="s">
        <v>330</v>
      </c>
      <c r="D125" s="32" t="s">
        <v>223</v>
      </c>
      <c r="E125" s="17" t="s">
        <v>223</v>
      </c>
      <c r="F125" s="17" t="s">
        <v>404</v>
      </c>
      <c r="G125" s="17" t="s">
        <v>223</v>
      </c>
      <c r="H125" s="17" t="s">
        <v>153</v>
      </c>
      <c r="I125" s="17" t="s">
        <v>154</v>
      </c>
      <c r="J125" s="19" t="n">
        <v>7.2</v>
      </c>
      <c r="K125" s="19" t="n">
        <v>10</v>
      </c>
      <c r="L125" s="19" t="n">
        <v>13.5</v>
      </c>
      <c r="M125" s="33" t="n">
        <v>1</v>
      </c>
      <c r="N125" s="20" t="n">
        <f aca="false">IF(J125=0,0,IF($I125="L/km",MROUND(J125*$M125*IF($H125="Petrol",'Fuel &amp; Inputs'!$C$5,'Fuel &amp; Inputs'!$C$4),1),MROUND(J125*$M125*IF($H125="Petrol",'Fuel &amp; Inputs'!$C$5,'Fuel &amp; Inputs'!$C$4),10)))</f>
        <v>2750</v>
      </c>
      <c r="O125" s="20" t="n">
        <f aca="false">IF(K125=0,0,IF($I125="L/km",MROUND(K125*$M125*IF($H125="Petrol",'Fuel &amp; Inputs'!$C$5,'Fuel &amp; Inputs'!$C$4),1),MROUND(K125*$M125*IF($H125="Petrol",'Fuel &amp; Inputs'!$C$5,'Fuel &amp; Inputs'!$C$4),10)))</f>
        <v>3820</v>
      </c>
      <c r="P125" s="20" t="n">
        <f aca="false">IF(L125=0,0,IF($I125="L/km",MROUND(L125*$M125*IF($H125="Petrol",'Fuel &amp; Inputs'!$C$5,'Fuel &amp; Inputs'!$C$4),1),MROUND(L125*$M125*IF($H125="Petrol",'Fuel &amp; Inputs'!$C$5,'Fuel &amp; Inputs'!$C$4),10)))</f>
        <v>5160</v>
      </c>
      <c r="Q125" s="17" t="s">
        <v>155</v>
      </c>
      <c r="R125" s="21" t="n">
        <v>1130</v>
      </c>
      <c r="S125" s="20" t="n">
        <f aca="false">MROUND(R125+'Fuel &amp; Inputs'!$C$13,50)</f>
        <v>1950</v>
      </c>
      <c r="T125" s="21" t="n">
        <v>2260</v>
      </c>
      <c r="U125" s="20" t="n">
        <f aca="false">MROUND(R125*'Fuel &amp; Inputs'!$C$19*'Fuel &amp; Inputs'!$C$21,100)</f>
        <v>4300</v>
      </c>
      <c r="V125" s="20" t="n">
        <f aca="false">MROUND(S125*'Fuel &amp; Inputs'!$C$19*'Fuel &amp; Inputs'!$C$21,100)</f>
        <v>7400</v>
      </c>
      <c r="W125" s="20" t="n">
        <f aca="false">MROUND(T125*'Fuel &amp; Inputs'!$C$19*'Fuel &amp; Inputs'!$C$21,100)</f>
        <v>8600</v>
      </c>
      <c r="X125" s="20" t="n">
        <f aca="false">MROUND(R125*'Fuel &amp; Inputs'!$C$20*'Fuel &amp; Inputs'!$C$22,500)</f>
        <v>115500</v>
      </c>
      <c r="Y125" s="20" t="n">
        <f aca="false">MROUND(S125*'Fuel &amp; Inputs'!$C$20*'Fuel &amp; Inputs'!$C$22,500)</f>
        <v>199000</v>
      </c>
      <c r="Z125" s="20" t="n">
        <f aca="false">MROUND(T125*'Fuel &amp; Inputs'!$C$20*'Fuel &amp; Inputs'!$C$22,500)</f>
        <v>230500</v>
      </c>
    </row>
    <row r="126" customFormat="false" ht="15" hidden="false" customHeight="false" outlineLevel="0" collapsed="false">
      <c r="A126" s="23" t="n">
        <v>116</v>
      </c>
      <c r="B126" s="34" t="s">
        <v>78</v>
      </c>
      <c r="C126" s="34" t="s">
        <v>330</v>
      </c>
      <c r="D126" s="34" t="s">
        <v>223</v>
      </c>
      <c r="E126" s="23" t="s">
        <v>223</v>
      </c>
      <c r="F126" s="23" t="s">
        <v>405</v>
      </c>
      <c r="G126" s="23" t="s">
        <v>223</v>
      </c>
      <c r="H126" s="23" t="s">
        <v>153</v>
      </c>
      <c r="I126" s="23" t="s">
        <v>154</v>
      </c>
      <c r="J126" s="25" t="n">
        <v>7.2</v>
      </c>
      <c r="K126" s="25" t="n">
        <v>10</v>
      </c>
      <c r="L126" s="25" t="n">
        <v>13.5</v>
      </c>
      <c r="M126" s="35" t="n">
        <v>1</v>
      </c>
      <c r="N126" s="26" t="n">
        <f aca="false">IF(J126=0,0,IF($I126="L/km",MROUND(J126*$M126*IF($H126="Petrol",'Fuel &amp; Inputs'!$C$5,'Fuel &amp; Inputs'!$C$4),1),MROUND(J126*$M126*IF($H126="Petrol",'Fuel &amp; Inputs'!$C$5,'Fuel &amp; Inputs'!$C$4),10)))</f>
        <v>2750</v>
      </c>
      <c r="O126" s="26" t="n">
        <f aca="false">IF(K126=0,0,IF($I126="L/km",MROUND(K126*$M126*IF($H126="Petrol",'Fuel &amp; Inputs'!$C$5,'Fuel &amp; Inputs'!$C$4),1),MROUND(K126*$M126*IF($H126="Petrol",'Fuel &amp; Inputs'!$C$5,'Fuel &amp; Inputs'!$C$4),10)))</f>
        <v>3820</v>
      </c>
      <c r="P126" s="26" t="n">
        <f aca="false">IF(L126=0,0,IF($I126="L/km",MROUND(L126*$M126*IF($H126="Petrol",'Fuel &amp; Inputs'!$C$5,'Fuel &amp; Inputs'!$C$4),1),MROUND(L126*$M126*IF($H126="Petrol",'Fuel &amp; Inputs'!$C$5,'Fuel &amp; Inputs'!$C$4),10)))</f>
        <v>5160</v>
      </c>
      <c r="Q126" s="23" t="s">
        <v>155</v>
      </c>
      <c r="R126" s="27" t="n">
        <v>1130</v>
      </c>
      <c r="S126" s="26" t="n">
        <f aca="false">MROUND(R126+'Fuel &amp; Inputs'!$C$13,50)</f>
        <v>1950</v>
      </c>
      <c r="T126" s="27" t="n">
        <v>2260</v>
      </c>
      <c r="U126" s="26" t="n">
        <f aca="false">MROUND(R126*'Fuel &amp; Inputs'!$C$19*'Fuel &amp; Inputs'!$C$21,100)</f>
        <v>4300</v>
      </c>
      <c r="V126" s="26" t="n">
        <f aca="false">MROUND(S126*'Fuel &amp; Inputs'!$C$19*'Fuel &amp; Inputs'!$C$21,100)</f>
        <v>7400</v>
      </c>
      <c r="W126" s="26" t="n">
        <f aca="false">MROUND(T126*'Fuel &amp; Inputs'!$C$19*'Fuel &amp; Inputs'!$C$21,100)</f>
        <v>8600</v>
      </c>
      <c r="X126" s="26" t="n">
        <f aca="false">MROUND(R126*'Fuel &amp; Inputs'!$C$20*'Fuel &amp; Inputs'!$C$22,500)</f>
        <v>115500</v>
      </c>
      <c r="Y126" s="26" t="n">
        <f aca="false">MROUND(S126*'Fuel &amp; Inputs'!$C$20*'Fuel &amp; Inputs'!$C$22,500)</f>
        <v>199000</v>
      </c>
      <c r="Z126" s="26" t="n">
        <f aca="false">MROUND(T126*'Fuel &amp; Inputs'!$C$20*'Fuel &amp; Inputs'!$C$22,500)</f>
        <v>230500</v>
      </c>
    </row>
    <row r="127" customFormat="false" ht="15" hidden="false" customHeight="false" outlineLevel="0" collapsed="false">
      <c r="A127" s="17" t="n">
        <v>117</v>
      </c>
      <c r="B127" s="32" t="s">
        <v>78</v>
      </c>
      <c r="C127" s="32" t="s">
        <v>327</v>
      </c>
      <c r="D127" s="32" t="s">
        <v>223</v>
      </c>
      <c r="E127" s="17" t="s">
        <v>223</v>
      </c>
      <c r="F127" s="17" t="s">
        <v>406</v>
      </c>
      <c r="G127" s="17" t="s">
        <v>223</v>
      </c>
      <c r="H127" s="17" t="s">
        <v>153</v>
      </c>
      <c r="I127" s="17" t="s">
        <v>154</v>
      </c>
      <c r="J127" s="19" t="n">
        <v>7.2</v>
      </c>
      <c r="K127" s="19" t="n">
        <v>10</v>
      </c>
      <c r="L127" s="19" t="n">
        <v>13.5</v>
      </c>
      <c r="M127" s="33" t="n">
        <v>1</v>
      </c>
      <c r="N127" s="20" t="n">
        <f aca="false">IF(J127=0,0,IF($I127="L/km",MROUND(J127*$M127*IF($H127="Petrol",'Fuel &amp; Inputs'!$C$5,'Fuel &amp; Inputs'!$C$4),1),MROUND(J127*$M127*IF($H127="Petrol",'Fuel &amp; Inputs'!$C$5,'Fuel &amp; Inputs'!$C$4),10)))</f>
        <v>2750</v>
      </c>
      <c r="O127" s="20" t="n">
        <f aca="false">IF(K127=0,0,IF($I127="L/km",MROUND(K127*$M127*IF($H127="Petrol",'Fuel &amp; Inputs'!$C$5,'Fuel &amp; Inputs'!$C$4),1),MROUND(K127*$M127*IF($H127="Petrol",'Fuel &amp; Inputs'!$C$5,'Fuel &amp; Inputs'!$C$4),10)))</f>
        <v>3820</v>
      </c>
      <c r="P127" s="20" t="n">
        <f aca="false">IF(L127=0,0,IF($I127="L/km",MROUND(L127*$M127*IF($H127="Petrol",'Fuel &amp; Inputs'!$C$5,'Fuel &amp; Inputs'!$C$4),1),MROUND(L127*$M127*IF($H127="Petrol",'Fuel &amp; Inputs'!$C$5,'Fuel &amp; Inputs'!$C$4),10)))</f>
        <v>5160</v>
      </c>
      <c r="Q127" s="17" t="s">
        <v>155</v>
      </c>
      <c r="R127" s="21" t="n">
        <v>1130</v>
      </c>
      <c r="S127" s="20" t="n">
        <f aca="false">MROUND(R127+'Fuel &amp; Inputs'!$C$13,50)</f>
        <v>1950</v>
      </c>
      <c r="T127" s="21" t="n">
        <v>2260</v>
      </c>
      <c r="U127" s="20" t="n">
        <f aca="false">MROUND(R127*'Fuel &amp; Inputs'!$C$19*'Fuel &amp; Inputs'!$C$21,100)</f>
        <v>4300</v>
      </c>
      <c r="V127" s="20" t="n">
        <f aca="false">MROUND(S127*'Fuel &amp; Inputs'!$C$19*'Fuel &amp; Inputs'!$C$21,100)</f>
        <v>7400</v>
      </c>
      <c r="W127" s="20" t="n">
        <f aca="false">MROUND(T127*'Fuel &amp; Inputs'!$C$19*'Fuel &amp; Inputs'!$C$21,100)</f>
        <v>8600</v>
      </c>
      <c r="X127" s="20" t="n">
        <f aca="false">MROUND(R127*'Fuel &amp; Inputs'!$C$20*'Fuel &amp; Inputs'!$C$22,500)</f>
        <v>115500</v>
      </c>
      <c r="Y127" s="20" t="n">
        <f aca="false">MROUND(S127*'Fuel &amp; Inputs'!$C$20*'Fuel &amp; Inputs'!$C$22,500)</f>
        <v>199000</v>
      </c>
      <c r="Z127" s="20" t="n">
        <f aca="false">MROUND(T127*'Fuel &amp; Inputs'!$C$20*'Fuel &amp; Inputs'!$C$22,500)</f>
        <v>230500</v>
      </c>
    </row>
    <row r="128" customFormat="false" ht="15" hidden="false" customHeight="false" outlineLevel="0" collapsed="false">
      <c r="A128" s="23" t="n">
        <v>118</v>
      </c>
      <c r="B128" s="34" t="s">
        <v>78</v>
      </c>
      <c r="C128" s="34" t="s">
        <v>330</v>
      </c>
      <c r="D128" s="34" t="s">
        <v>223</v>
      </c>
      <c r="E128" s="23" t="s">
        <v>223</v>
      </c>
      <c r="F128" s="23" t="s">
        <v>407</v>
      </c>
      <c r="G128" s="23" t="s">
        <v>223</v>
      </c>
      <c r="H128" s="23" t="s">
        <v>153</v>
      </c>
      <c r="I128" s="23" t="s">
        <v>154</v>
      </c>
      <c r="J128" s="25" t="n">
        <v>7.2</v>
      </c>
      <c r="K128" s="25" t="n">
        <v>10</v>
      </c>
      <c r="L128" s="25" t="n">
        <v>13.5</v>
      </c>
      <c r="M128" s="35" t="n">
        <v>1</v>
      </c>
      <c r="N128" s="26" t="n">
        <f aca="false">IF(J128=0,0,IF($I128="L/km",MROUND(J128*$M128*IF($H128="Petrol",'Fuel &amp; Inputs'!$C$5,'Fuel &amp; Inputs'!$C$4),1),MROUND(J128*$M128*IF($H128="Petrol",'Fuel &amp; Inputs'!$C$5,'Fuel &amp; Inputs'!$C$4),10)))</f>
        <v>2750</v>
      </c>
      <c r="O128" s="26" t="n">
        <f aca="false">IF(K128=0,0,IF($I128="L/km",MROUND(K128*$M128*IF($H128="Petrol",'Fuel &amp; Inputs'!$C$5,'Fuel &amp; Inputs'!$C$4),1),MROUND(K128*$M128*IF($H128="Petrol",'Fuel &amp; Inputs'!$C$5,'Fuel &amp; Inputs'!$C$4),10)))</f>
        <v>3820</v>
      </c>
      <c r="P128" s="26" t="n">
        <f aca="false">IF(L128=0,0,IF($I128="L/km",MROUND(L128*$M128*IF($H128="Petrol",'Fuel &amp; Inputs'!$C$5,'Fuel &amp; Inputs'!$C$4),1),MROUND(L128*$M128*IF($H128="Petrol",'Fuel &amp; Inputs'!$C$5,'Fuel &amp; Inputs'!$C$4),10)))</f>
        <v>5160</v>
      </c>
      <c r="Q128" s="23" t="s">
        <v>155</v>
      </c>
      <c r="R128" s="27" t="n">
        <v>1130</v>
      </c>
      <c r="S128" s="26" t="n">
        <f aca="false">MROUND(R128+'Fuel &amp; Inputs'!$C$13,50)</f>
        <v>1950</v>
      </c>
      <c r="T128" s="27" t="n">
        <v>2260</v>
      </c>
      <c r="U128" s="26" t="n">
        <f aca="false">MROUND(R128*'Fuel &amp; Inputs'!$C$19*'Fuel &amp; Inputs'!$C$21,100)</f>
        <v>4300</v>
      </c>
      <c r="V128" s="26" t="n">
        <f aca="false">MROUND(S128*'Fuel &amp; Inputs'!$C$19*'Fuel &amp; Inputs'!$C$21,100)</f>
        <v>7400</v>
      </c>
      <c r="W128" s="26" t="n">
        <f aca="false">MROUND(T128*'Fuel &amp; Inputs'!$C$19*'Fuel &amp; Inputs'!$C$21,100)</f>
        <v>8600</v>
      </c>
      <c r="X128" s="26" t="n">
        <f aca="false">MROUND(R128*'Fuel &amp; Inputs'!$C$20*'Fuel &amp; Inputs'!$C$22,500)</f>
        <v>115500</v>
      </c>
      <c r="Y128" s="26" t="n">
        <f aca="false">MROUND(S128*'Fuel &amp; Inputs'!$C$20*'Fuel &amp; Inputs'!$C$22,500)</f>
        <v>199000</v>
      </c>
      <c r="Z128" s="26" t="n">
        <f aca="false">MROUND(T128*'Fuel &amp; Inputs'!$C$20*'Fuel &amp; Inputs'!$C$22,500)</f>
        <v>230500</v>
      </c>
    </row>
    <row r="129" customFormat="false" ht="15" hidden="false" customHeight="false" outlineLevel="0" collapsed="false">
      <c r="A129" s="17" t="n">
        <v>119</v>
      </c>
      <c r="B129" s="32" t="s">
        <v>78</v>
      </c>
      <c r="C129" s="32" t="s">
        <v>330</v>
      </c>
      <c r="D129" s="32" t="s">
        <v>223</v>
      </c>
      <c r="E129" s="17" t="s">
        <v>223</v>
      </c>
      <c r="F129" s="17" t="s">
        <v>408</v>
      </c>
      <c r="G129" s="17" t="s">
        <v>223</v>
      </c>
      <c r="H129" s="17" t="s">
        <v>153</v>
      </c>
      <c r="I129" s="17" t="s">
        <v>154</v>
      </c>
      <c r="J129" s="19" t="n">
        <v>7.2</v>
      </c>
      <c r="K129" s="19" t="n">
        <v>10</v>
      </c>
      <c r="L129" s="19" t="n">
        <v>13.5</v>
      </c>
      <c r="M129" s="33" t="n">
        <v>1</v>
      </c>
      <c r="N129" s="20" t="n">
        <f aca="false">IF(J129=0,0,IF($I129="L/km",MROUND(J129*$M129*IF($H129="Petrol",'Fuel &amp; Inputs'!$C$5,'Fuel &amp; Inputs'!$C$4),1),MROUND(J129*$M129*IF($H129="Petrol",'Fuel &amp; Inputs'!$C$5,'Fuel &amp; Inputs'!$C$4),10)))</f>
        <v>2750</v>
      </c>
      <c r="O129" s="20" t="n">
        <f aca="false">IF(K129=0,0,IF($I129="L/km",MROUND(K129*$M129*IF($H129="Petrol",'Fuel &amp; Inputs'!$C$5,'Fuel &amp; Inputs'!$C$4),1),MROUND(K129*$M129*IF($H129="Petrol",'Fuel &amp; Inputs'!$C$5,'Fuel &amp; Inputs'!$C$4),10)))</f>
        <v>3820</v>
      </c>
      <c r="P129" s="20" t="n">
        <f aca="false">IF(L129=0,0,IF($I129="L/km",MROUND(L129*$M129*IF($H129="Petrol",'Fuel &amp; Inputs'!$C$5,'Fuel &amp; Inputs'!$C$4),1),MROUND(L129*$M129*IF($H129="Petrol",'Fuel &amp; Inputs'!$C$5,'Fuel &amp; Inputs'!$C$4),10)))</f>
        <v>5160</v>
      </c>
      <c r="Q129" s="17" t="s">
        <v>155</v>
      </c>
      <c r="R129" s="21" t="n">
        <v>1130</v>
      </c>
      <c r="S129" s="20" t="n">
        <f aca="false">MROUND(R129+'Fuel &amp; Inputs'!$C$13,50)</f>
        <v>1950</v>
      </c>
      <c r="T129" s="21" t="n">
        <v>2260</v>
      </c>
      <c r="U129" s="20" t="n">
        <f aca="false">MROUND(R129*'Fuel &amp; Inputs'!$C$19*'Fuel &amp; Inputs'!$C$21,100)</f>
        <v>4300</v>
      </c>
      <c r="V129" s="20" t="n">
        <f aca="false">MROUND(S129*'Fuel &amp; Inputs'!$C$19*'Fuel &amp; Inputs'!$C$21,100)</f>
        <v>7400</v>
      </c>
      <c r="W129" s="20" t="n">
        <f aca="false">MROUND(T129*'Fuel &amp; Inputs'!$C$19*'Fuel &amp; Inputs'!$C$21,100)</f>
        <v>8600</v>
      </c>
      <c r="X129" s="20" t="n">
        <f aca="false">MROUND(R129*'Fuel &amp; Inputs'!$C$20*'Fuel &amp; Inputs'!$C$22,500)</f>
        <v>115500</v>
      </c>
      <c r="Y129" s="20" t="n">
        <f aca="false">MROUND(S129*'Fuel &amp; Inputs'!$C$20*'Fuel &amp; Inputs'!$C$22,500)</f>
        <v>199000</v>
      </c>
      <c r="Z129" s="20" t="n">
        <f aca="false">MROUND(T129*'Fuel &amp; Inputs'!$C$20*'Fuel &amp; Inputs'!$C$22,500)</f>
        <v>230500</v>
      </c>
    </row>
    <row r="130" customFormat="false" ht="15" hidden="false" customHeight="false" outlineLevel="0" collapsed="false">
      <c r="A130" s="23" t="n">
        <v>120</v>
      </c>
      <c r="B130" s="34" t="s">
        <v>78</v>
      </c>
      <c r="C130" s="34" t="s">
        <v>330</v>
      </c>
      <c r="D130" s="34" t="s">
        <v>223</v>
      </c>
      <c r="E130" s="23" t="s">
        <v>223</v>
      </c>
      <c r="F130" s="23" t="s">
        <v>409</v>
      </c>
      <c r="G130" s="23" t="s">
        <v>223</v>
      </c>
      <c r="H130" s="23" t="s">
        <v>153</v>
      </c>
      <c r="I130" s="23" t="s">
        <v>154</v>
      </c>
      <c r="J130" s="25" t="n">
        <v>7.2</v>
      </c>
      <c r="K130" s="25" t="n">
        <v>10</v>
      </c>
      <c r="L130" s="25" t="n">
        <v>13.5</v>
      </c>
      <c r="M130" s="35" t="n">
        <v>1</v>
      </c>
      <c r="N130" s="26" t="n">
        <f aca="false">IF(J130=0,0,IF($I130="L/km",MROUND(J130*$M130*IF($H130="Petrol",'Fuel &amp; Inputs'!$C$5,'Fuel &amp; Inputs'!$C$4),1),MROUND(J130*$M130*IF($H130="Petrol",'Fuel &amp; Inputs'!$C$5,'Fuel &amp; Inputs'!$C$4),10)))</f>
        <v>2750</v>
      </c>
      <c r="O130" s="26" t="n">
        <f aca="false">IF(K130=0,0,IF($I130="L/km",MROUND(K130*$M130*IF($H130="Petrol",'Fuel &amp; Inputs'!$C$5,'Fuel &amp; Inputs'!$C$4),1),MROUND(K130*$M130*IF($H130="Petrol",'Fuel &amp; Inputs'!$C$5,'Fuel &amp; Inputs'!$C$4),10)))</f>
        <v>3820</v>
      </c>
      <c r="P130" s="26" t="n">
        <f aca="false">IF(L130=0,0,IF($I130="L/km",MROUND(L130*$M130*IF($H130="Petrol",'Fuel &amp; Inputs'!$C$5,'Fuel &amp; Inputs'!$C$4),1),MROUND(L130*$M130*IF($H130="Petrol",'Fuel &amp; Inputs'!$C$5,'Fuel &amp; Inputs'!$C$4),10)))</f>
        <v>5160</v>
      </c>
      <c r="Q130" s="23" t="s">
        <v>155</v>
      </c>
      <c r="R130" s="27" t="n">
        <v>1130</v>
      </c>
      <c r="S130" s="26" t="n">
        <f aca="false">MROUND(R130+'Fuel &amp; Inputs'!$C$13,50)</f>
        <v>1950</v>
      </c>
      <c r="T130" s="27" t="n">
        <v>2260</v>
      </c>
      <c r="U130" s="26" t="n">
        <f aca="false">MROUND(R130*'Fuel &amp; Inputs'!$C$19*'Fuel &amp; Inputs'!$C$21,100)</f>
        <v>4300</v>
      </c>
      <c r="V130" s="26" t="n">
        <f aca="false">MROUND(S130*'Fuel &amp; Inputs'!$C$19*'Fuel &amp; Inputs'!$C$21,100)</f>
        <v>7400</v>
      </c>
      <c r="W130" s="26" t="n">
        <f aca="false">MROUND(T130*'Fuel &amp; Inputs'!$C$19*'Fuel &amp; Inputs'!$C$21,100)</f>
        <v>8600</v>
      </c>
      <c r="X130" s="26" t="n">
        <f aca="false">MROUND(R130*'Fuel &amp; Inputs'!$C$20*'Fuel &amp; Inputs'!$C$22,500)</f>
        <v>115500</v>
      </c>
      <c r="Y130" s="26" t="n">
        <f aca="false">MROUND(S130*'Fuel &amp; Inputs'!$C$20*'Fuel &amp; Inputs'!$C$22,500)</f>
        <v>199000</v>
      </c>
      <c r="Z130" s="26" t="n">
        <f aca="false">MROUND(T130*'Fuel &amp; Inputs'!$C$20*'Fuel &amp; Inputs'!$C$22,500)</f>
        <v>230500</v>
      </c>
    </row>
    <row r="131" customFormat="false" ht="15" hidden="false" customHeight="false" outlineLevel="0" collapsed="false">
      <c r="A131" s="17" t="n">
        <v>121</v>
      </c>
      <c r="B131" s="32" t="s">
        <v>78</v>
      </c>
      <c r="C131" s="32" t="s">
        <v>330</v>
      </c>
      <c r="D131" s="32" t="s">
        <v>223</v>
      </c>
      <c r="E131" s="17" t="s">
        <v>223</v>
      </c>
      <c r="F131" s="17" t="s">
        <v>410</v>
      </c>
      <c r="G131" s="17" t="s">
        <v>223</v>
      </c>
      <c r="H131" s="17" t="s">
        <v>153</v>
      </c>
      <c r="I131" s="17" t="s">
        <v>154</v>
      </c>
      <c r="J131" s="19" t="n">
        <v>7.2</v>
      </c>
      <c r="K131" s="19" t="n">
        <v>10</v>
      </c>
      <c r="L131" s="19" t="n">
        <v>13.5</v>
      </c>
      <c r="M131" s="33" t="n">
        <v>1</v>
      </c>
      <c r="N131" s="20" t="n">
        <f aca="false">IF(J131=0,0,IF($I131="L/km",MROUND(J131*$M131*IF($H131="Petrol",'Fuel &amp; Inputs'!$C$5,'Fuel &amp; Inputs'!$C$4),1),MROUND(J131*$M131*IF($H131="Petrol",'Fuel &amp; Inputs'!$C$5,'Fuel &amp; Inputs'!$C$4),10)))</f>
        <v>2750</v>
      </c>
      <c r="O131" s="20" t="n">
        <f aca="false">IF(K131=0,0,IF($I131="L/km",MROUND(K131*$M131*IF($H131="Petrol",'Fuel &amp; Inputs'!$C$5,'Fuel &amp; Inputs'!$C$4),1),MROUND(K131*$M131*IF($H131="Petrol",'Fuel &amp; Inputs'!$C$5,'Fuel &amp; Inputs'!$C$4),10)))</f>
        <v>3820</v>
      </c>
      <c r="P131" s="20" t="n">
        <f aca="false">IF(L131=0,0,IF($I131="L/km",MROUND(L131*$M131*IF($H131="Petrol",'Fuel &amp; Inputs'!$C$5,'Fuel &amp; Inputs'!$C$4),1),MROUND(L131*$M131*IF($H131="Petrol",'Fuel &amp; Inputs'!$C$5,'Fuel &amp; Inputs'!$C$4),10)))</f>
        <v>5160</v>
      </c>
      <c r="Q131" s="17" t="s">
        <v>155</v>
      </c>
      <c r="R131" s="21" t="n">
        <v>1130</v>
      </c>
      <c r="S131" s="20" t="n">
        <f aca="false">MROUND(R131+'Fuel &amp; Inputs'!$C$13,50)</f>
        <v>1950</v>
      </c>
      <c r="T131" s="21" t="n">
        <v>2260</v>
      </c>
      <c r="U131" s="20" t="n">
        <f aca="false">MROUND(R131*'Fuel &amp; Inputs'!$C$19*'Fuel &amp; Inputs'!$C$21,100)</f>
        <v>4300</v>
      </c>
      <c r="V131" s="20" t="n">
        <f aca="false">MROUND(S131*'Fuel &amp; Inputs'!$C$19*'Fuel &amp; Inputs'!$C$21,100)</f>
        <v>7400</v>
      </c>
      <c r="W131" s="20" t="n">
        <f aca="false">MROUND(T131*'Fuel &amp; Inputs'!$C$19*'Fuel &amp; Inputs'!$C$21,100)</f>
        <v>8600</v>
      </c>
      <c r="X131" s="20" t="n">
        <f aca="false">MROUND(R131*'Fuel &amp; Inputs'!$C$20*'Fuel &amp; Inputs'!$C$22,500)</f>
        <v>115500</v>
      </c>
      <c r="Y131" s="20" t="n">
        <f aca="false">MROUND(S131*'Fuel &amp; Inputs'!$C$20*'Fuel &amp; Inputs'!$C$22,500)</f>
        <v>199000</v>
      </c>
      <c r="Z131" s="20" t="n">
        <f aca="false">MROUND(T131*'Fuel &amp; Inputs'!$C$20*'Fuel &amp; Inputs'!$C$22,500)</f>
        <v>230500</v>
      </c>
    </row>
    <row r="132" customFormat="false" ht="15" hidden="false" customHeight="false" outlineLevel="0" collapsed="false">
      <c r="A132" s="23" t="n">
        <v>122</v>
      </c>
      <c r="B132" s="34" t="s">
        <v>78</v>
      </c>
      <c r="C132" s="34" t="s">
        <v>330</v>
      </c>
      <c r="D132" s="34" t="s">
        <v>223</v>
      </c>
      <c r="E132" s="23" t="s">
        <v>223</v>
      </c>
      <c r="F132" s="23" t="s">
        <v>411</v>
      </c>
      <c r="G132" s="23" t="s">
        <v>223</v>
      </c>
      <c r="H132" s="23" t="s">
        <v>153</v>
      </c>
      <c r="I132" s="23" t="s">
        <v>154</v>
      </c>
      <c r="J132" s="25" t="n">
        <v>7.2</v>
      </c>
      <c r="K132" s="25" t="n">
        <v>10</v>
      </c>
      <c r="L132" s="25" t="n">
        <v>13.5</v>
      </c>
      <c r="M132" s="35" t="n">
        <v>1</v>
      </c>
      <c r="N132" s="26" t="n">
        <f aca="false">IF(J132=0,0,IF($I132="L/km",MROUND(J132*$M132*IF($H132="Petrol",'Fuel &amp; Inputs'!$C$5,'Fuel &amp; Inputs'!$C$4),1),MROUND(J132*$M132*IF($H132="Petrol",'Fuel &amp; Inputs'!$C$5,'Fuel &amp; Inputs'!$C$4),10)))</f>
        <v>2750</v>
      </c>
      <c r="O132" s="26" t="n">
        <f aca="false">IF(K132=0,0,IF($I132="L/km",MROUND(K132*$M132*IF($H132="Petrol",'Fuel &amp; Inputs'!$C$5,'Fuel &amp; Inputs'!$C$4),1),MROUND(K132*$M132*IF($H132="Petrol",'Fuel &amp; Inputs'!$C$5,'Fuel &amp; Inputs'!$C$4),10)))</f>
        <v>3820</v>
      </c>
      <c r="P132" s="26" t="n">
        <f aca="false">IF(L132=0,0,IF($I132="L/km",MROUND(L132*$M132*IF($H132="Petrol",'Fuel &amp; Inputs'!$C$5,'Fuel &amp; Inputs'!$C$4),1),MROUND(L132*$M132*IF($H132="Petrol",'Fuel &amp; Inputs'!$C$5,'Fuel &amp; Inputs'!$C$4),10)))</f>
        <v>5160</v>
      </c>
      <c r="Q132" s="23" t="s">
        <v>155</v>
      </c>
      <c r="R132" s="27" t="n">
        <v>1130</v>
      </c>
      <c r="S132" s="26" t="n">
        <f aca="false">MROUND(R132+'Fuel &amp; Inputs'!$C$13,50)</f>
        <v>1950</v>
      </c>
      <c r="T132" s="27" t="n">
        <v>2260</v>
      </c>
      <c r="U132" s="26" t="n">
        <f aca="false">MROUND(R132*'Fuel &amp; Inputs'!$C$19*'Fuel &amp; Inputs'!$C$21,100)</f>
        <v>4300</v>
      </c>
      <c r="V132" s="26" t="n">
        <f aca="false">MROUND(S132*'Fuel &amp; Inputs'!$C$19*'Fuel &amp; Inputs'!$C$21,100)</f>
        <v>7400</v>
      </c>
      <c r="W132" s="26" t="n">
        <f aca="false">MROUND(T132*'Fuel &amp; Inputs'!$C$19*'Fuel &amp; Inputs'!$C$21,100)</f>
        <v>8600</v>
      </c>
      <c r="X132" s="26" t="n">
        <f aca="false">MROUND(R132*'Fuel &amp; Inputs'!$C$20*'Fuel &amp; Inputs'!$C$22,500)</f>
        <v>115500</v>
      </c>
      <c r="Y132" s="26" t="n">
        <f aca="false">MROUND(S132*'Fuel &amp; Inputs'!$C$20*'Fuel &amp; Inputs'!$C$22,500)</f>
        <v>199000</v>
      </c>
      <c r="Z132" s="26" t="n">
        <f aca="false">MROUND(T132*'Fuel &amp; Inputs'!$C$20*'Fuel &amp; Inputs'!$C$22,500)</f>
        <v>230500</v>
      </c>
    </row>
    <row r="133" customFormat="false" ht="15" hidden="false" customHeight="false" outlineLevel="0" collapsed="false">
      <c r="A133" s="17" t="n">
        <v>123</v>
      </c>
      <c r="B133" s="32" t="s">
        <v>78</v>
      </c>
      <c r="C133" s="32" t="s">
        <v>330</v>
      </c>
      <c r="D133" s="32" t="s">
        <v>223</v>
      </c>
      <c r="E133" s="17" t="s">
        <v>223</v>
      </c>
      <c r="F133" s="17" t="s">
        <v>412</v>
      </c>
      <c r="G133" s="17" t="s">
        <v>223</v>
      </c>
      <c r="H133" s="17" t="s">
        <v>153</v>
      </c>
      <c r="I133" s="17" t="s">
        <v>154</v>
      </c>
      <c r="J133" s="19" t="n">
        <v>7.2</v>
      </c>
      <c r="K133" s="19" t="n">
        <v>10</v>
      </c>
      <c r="L133" s="19" t="n">
        <v>13.5</v>
      </c>
      <c r="M133" s="33" t="n">
        <v>1</v>
      </c>
      <c r="N133" s="20" t="n">
        <f aca="false">IF(J133=0,0,IF($I133="L/km",MROUND(J133*$M133*IF($H133="Petrol",'Fuel &amp; Inputs'!$C$5,'Fuel &amp; Inputs'!$C$4),1),MROUND(J133*$M133*IF($H133="Petrol",'Fuel &amp; Inputs'!$C$5,'Fuel &amp; Inputs'!$C$4),10)))</f>
        <v>2750</v>
      </c>
      <c r="O133" s="20" t="n">
        <f aca="false">IF(K133=0,0,IF($I133="L/km",MROUND(K133*$M133*IF($H133="Petrol",'Fuel &amp; Inputs'!$C$5,'Fuel &amp; Inputs'!$C$4),1),MROUND(K133*$M133*IF($H133="Petrol",'Fuel &amp; Inputs'!$C$5,'Fuel &amp; Inputs'!$C$4),10)))</f>
        <v>3820</v>
      </c>
      <c r="P133" s="20" t="n">
        <f aca="false">IF(L133=0,0,IF($I133="L/km",MROUND(L133*$M133*IF($H133="Petrol",'Fuel &amp; Inputs'!$C$5,'Fuel &amp; Inputs'!$C$4),1),MROUND(L133*$M133*IF($H133="Petrol",'Fuel &amp; Inputs'!$C$5,'Fuel &amp; Inputs'!$C$4),10)))</f>
        <v>5160</v>
      </c>
      <c r="Q133" s="17" t="s">
        <v>155</v>
      </c>
      <c r="R133" s="21" t="n">
        <v>1130</v>
      </c>
      <c r="S133" s="20" t="n">
        <f aca="false">MROUND(R133+'Fuel &amp; Inputs'!$C$13,50)</f>
        <v>1950</v>
      </c>
      <c r="T133" s="21" t="n">
        <v>2260</v>
      </c>
      <c r="U133" s="20" t="n">
        <f aca="false">MROUND(R133*'Fuel &amp; Inputs'!$C$19*'Fuel &amp; Inputs'!$C$21,100)</f>
        <v>4300</v>
      </c>
      <c r="V133" s="20" t="n">
        <f aca="false">MROUND(S133*'Fuel &amp; Inputs'!$C$19*'Fuel &amp; Inputs'!$C$21,100)</f>
        <v>7400</v>
      </c>
      <c r="W133" s="20" t="n">
        <f aca="false">MROUND(T133*'Fuel &amp; Inputs'!$C$19*'Fuel &amp; Inputs'!$C$21,100)</f>
        <v>8600</v>
      </c>
      <c r="X133" s="20" t="n">
        <f aca="false">MROUND(R133*'Fuel &amp; Inputs'!$C$20*'Fuel &amp; Inputs'!$C$22,500)</f>
        <v>115500</v>
      </c>
      <c r="Y133" s="20" t="n">
        <f aca="false">MROUND(S133*'Fuel &amp; Inputs'!$C$20*'Fuel &amp; Inputs'!$C$22,500)</f>
        <v>199000</v>
      </c>
      <c r="Z133" s="20" t="n">
        <f aca="false">MROUND(T133*'Fuel &amp; Inputs'!$C$20*'Fuel &amp; Inputs'!$C$22,500)</f>
        <v>230500</v>
      </c>
    </row>
    <row r="134" customFormat="false" ht="15" hidden="false" customHeight="false" outlineLevel="0" collapsed="false">
      <c r="A134" s="23" t="n">
        <v>124</v>
      </c>
      <c r="B134" s="34" t="s">
        <v>78</v>
      </c>
      <c r="C134" s="34" t="s">
        <v>330</v>
      </c>
      <c r="D134" s="34" t="s">
        <v>223</v>
      </c>
      <c r="E134" s="23" t="s">
        <v>223</v>
      </c>
      <c r="F134" s="23" t="s">
        <v>413</v>
      </c>
      <c r="G134" s="23" t="s">
        <v>223</v>
      </c>
      <c r="H134" s="23" t="s">
        <v>153</v>
      </c>
      <c r="I134" s="23" t="s">
        <v>154</v>
      </c>
      <c r="J134" s="25" t="n">
        <v>7.2</v>
      </c>
      <c r="K134" s="25" t="n">
        <v>10</v>
      </c>
      <c r="L134" s="25" t="n">
        <v>13.5</v>
      </c>
      <c r="M134" s="35" t="n">
        <v>1</v>
      </c>
      <c r="N134" s="26" t="n">
        <f aca="false">IF(J134=0,0,IF($I134="L/km",MROUND(J134*$M134*IF($H134="Petrol",'Fuel &amp; Inputs'!$C$5,'Fuel &amp; Inputs'!$C$4),1),MROUND(J134*$M134*IF($H134="Petrol",'Fuel &amp; Inputs'!$C$5,'Fuel &amp; Inputs'!$C$4),10)))</f>
        <v>2750</v>
      </c>
      <c r="O134" s="26" t="n">
        <f aca="false">IF(K134=0,0,IF($I134="L/km",MROUND(K134*$M134*IF($H134="Petrol",'Fuel &amp; Inputs'!$C$5,'Fuel &amp; Inputs'!$C$4),1),MROUND(K134*$M134*IF($H134="Petrol",'Fuel &amp; Inputs'!$C$5,'Fuel &amp; Inputs'!$C$4),10)))</f>
        <v>3820</v>
      </c>
      <c r="P134" s="26" t="n">
        <f aca="false">IF(L134=0,0,IF($I134="L/km",MROUND(L134*$M134*IF($H134="Petrol",'Fuel &amp; Inputs'!$C$5,'Fuel &amp; Inputs'!$C$4),1),MROUND(L134*$M134*IF($H134="Petrol",'Fuel &amp; Inputs'!$C$5,'Fuel &amp; Inputs'!$C$4),10)))</f>
        <v>5160</v>
      </c>
      <c r="Q134" s="23" t="s">
        <v>155</v>
      </c>
      <c r="R134" s="27" t="n">
        <v>1130</v>
      </c>
      <c r="S134" s="26" t="n">
        <f aca="false">MROUND(R134+'Fuel &amp; Inputs'!$C$13,50)</f>
        <v>1950</v>
      </c>
      <c r="T134" s="27" t="n">
        <v>2260</v>
      </c>
      <c r="U134" s="26" t="n">
        <f aca="false">MROUND(R134*'Fuel &amp; Inputs'!$C$19*'Fuel &amp; Inputs'!$C$21,100)</f>
        <v>4300</v>
      </c>
      <c r="V134" s="26" t="n">
        <f aca="false">MROUND(S134*'Fuel &amp; Inputs'!$C$19*'Fuel &amp; Inputs'!$C$21,100)</f>
        <v>7400</v>
      </c>
      <c r="W134" s="26" t="n">
        <f aca="false">MROUND(T134*'Fuel &amp; Inputs'!$C$19*'Fuel &amp; Inputs'!$C$21,100)</f>
        <v>8600</v>
      </c>
      <c r="X134" s="26" t="n">
        <f aca="false">MROUND(R134*'Fuel &amp; Inputs'!$C$20*'Fuel &amp; Inputs'!$C$22,500)</f>
        <v>115500</v>
      </c>
      <c r="Y134" s="26" t="n">
        <f aca="false">MROUND(S134*'Fuel &amp; Inputs'!$C$20*'Fuel &amp; Inputs'!$C$22,500)</f>
        <v>199000</v>
      </c>
      <c r="Z134" s="26" t="n">
        <f aca="false">MROUND(T134*'Fuel &amp; Inputs'!$C$20*'Fuel &amp; Inputs'!$C$22,500)</f>
        <v>230500</v>
      </c>
    </row>
    <row r="135" customFormat="false" ht="15" hidden="false" customHeight="false" outlineLevel="0" collapsed="false">
      <c r="A135" s="17" t="n">
        <v>125</v>
      </c>
      <c r="B135" s="32" t="s">
        <v>78</v>
      </c>
      <c r="C135" s="32" t="s">
        <v>330</v>
      </c>
      <c r="D135" s="32" t="s">
        <v>223</v>
      </c>
      <c r="E135" s="17" t="s">
        <v>223</v>
      </c>
      <c r="F135" s="17" t="s">
        <v>414</v>
      </c>
      <c r="G135" s="17" t="s">
        <v>223</v>
      </c>
      <c r="H135" s="17" t="s">
        <v>153</v>
      </c>
      <c r="I135" s="17" t="s">
        <v>154</v>
      </c>
      <c r="J135" s="19" t="n">
        <v>7.2</v>
      </c>
      <c r="K135" s="19" t="n">
        <v>10</v>
      </c>
      <c r="L135" s="19" t="n">
        <v>13.5</v>
      </c>
      <c r="M135" s="33" t="n">
        <v>1</v>
      </c>
      <c r="N135" s="20" t="n">
        <f aca="false">IF(J135=0,0,IF($I135="L/km",MROUND(J135*$M135*IF($H135="Petrol",'Fuel &amp; Inputs'!$C$5,'Fuel &amp; Inputs'!$C$4),1),MROUND(J135*$M135*IF($H135="Petrol",'Fuel &amp; Inputs'!$C$5,'Fuel &amp; Inputs'!$C$4),10)))</f>
        <v>2750</v>
      </c>
      <c r="O135" s="20" t="n">
        <f aca="false">IF(K135=0,0,IF($I135="L/km",MROUND(K135*$M135*IF($H135="Petrol",'Fuel &amp; Inputs'!$C$5,'Fuel &amp; Inputs'!$C$4),1),MROUND(K135*$M135*IF($H135="Petrol",'Fuel &amp; Inputs'!$C$5,'Fuel &amp; Inputs'!$C$4),10)))</f>
        <v>3820</v>
      </c>
      <c r="P135" s="20" t="n">
        <f aca="false">IF(L135=0,0,IF($I135="L/km",MROUND(L135*$M135*IF($H135="Petrol",'Fuel &amp; Inputs'!$C$5,'Fuel &amp; Inputs'!$C$4),1),MROUND(L135*$M135*IF($H135="Petrol",'Fuel &amp; Inputs'!$C$5,'Fuel &amp; Inputs'!$C$4),10)))</f>
        <v>5160</v>
      </c>
      <c r="Q135" s="17" t="s">
        <v>155</v>
      </c>
      <c r="R135" s="21" t="n">
        <v>1130</v>
      </c>
      <c r="S135" s="20" t="n">
        <f aca="false">MROUND(R135+'Fuel &amp; Inputs'!$C$13,50)</f>
        <v>1950</v>
      </c>
      <c r="T135" s="21" t="n">
        <v>2260</v>
      </c>
      <c r="U135" s="20" t="n">
        <f aca="false">MROUND(R135*'Fuel &amp; Inputs'!$C$19*'Fuel &amp; Inputs'!$C$21,100)</f>
        <v>4300</v>
      </c>
      <c r="V135" s="20" t="n">
        <f aca="false">MROUND(S135*'Fuel &amp; Inputs'!$C$19*'Fuel &amp; Inputs'!$C$21,100)</f>
        <v>7400</v>
      </c>
      <c r="W135" s="20" t="n">
        <f aca="false">MROUND(T135*'Fuel &amp; Inputs'!$C$19*'Fuel &amp; Inputs'!$C$21,100)</f>
        <v>8600</v>
      </c>
      <c r="X135" s="20" t="n">
        <f aca="false">MROUND(R135*'Fuel &amp; Inputs'!$C$20*'Fuel &amp; Inputs'!$C$22,500)</f>
        <v>115500</v>
      </c>
      <c r="Y135" s="20" t="n">
        <f aca="false">MROUND(S135*'Fuel &amp; Inputs'!$C$20*'Fuel &amp; Inputs'!$C$22,500)</f>
        <v>199000</v>
      </c>
      <c r="Z135" s="20" t="n">
        <f aca="false">MROUND(T135*'Fuel &amp; Inputs'!$C$20*'Fuel &amp; Inputs'!$C$22,500)</f>
        <v>230500</v>
      </c>
    </row>
    <row r="136" customFormat="false" ht="15" hidden="false" customHeight="false" outlineLevel="0" collapsed="false">
      <c r="A136" s="23" t="n">
        <v>126</v>
      </c>
      <c r="B136" s="34" t="s">
        <v>78</v>
      </c>
      <c r="C136" s="34" t="s">
        <v>330</v>
      </c>
      <c r="D136" s="34" t="s">
        <v>223</v>
      </c>
      <c r="E136" s="23" t="s">
        <v>223</v>
      </c>
      <c r="F136" s="23" t="s">
        <v>415</v>
      </c>
      <c r="G136" s="23" t="s">
        <v>223</v>
      </c>
      <c r="H136" s="23" t="s">
        <v>153</v>
      </c>
      <c r="I136" s="23" t="s">
        <v>154</v>
      </c>
      <c r="J136" s="25" t="n">
        <v>7.2</v>
      </c>
      <c r="K136" s="25" t="n">
        <v>10</v>
      </c>
      <c r="L136" s="25" t="n">
        <v>13.5</v>
      </c>
      <c r="M136" s="35" t="n">
        <v>1</v>
      </c>
      <c r="N136" s="26" t="n">
        <f aca="false">IF(J136=0,0,IF($I136="L/km",MROUND(J136*$M136*IF($H136="Petrol",'Fuel &amp; Inputs'!$C$5,'Fuel &amp; Inputs'!$C$4),1),MROUND(J136*$M136*IF($H136="Petrol",'Fuel &amp; Inputs'!$C$5,'Fuel &amp; Inputs'!$C$4),10)))</f>
        <v>2750</v>
      </c>
      <c r="O136" s="26" t="n">
        <f aca="false">IF(K136=0,0,IF($I136="L/km",MROUND(K136*$M136*IF($H136="Petrol",'Fuel &amp; Inputs'!$C$5,'Fuel &amp; Inputs'!$C$4),1),MROUND(K136*$M136*IF($H136="Petrol",'Fuel &amp; Inputs'!$C$5,'Fuel &amp; Inputs'!$C$4),10)))</f>
        <v>3820</v>
      </c>
      <c r="P136" s="26" t="n">
        <f aca="false">IF(L136=0,0,IF($I136="L/km",MROUND(L136*$M136*IF($H136="Petrol",'Fuel &amp; Inputs'!$C$5,'Fuel &amp; Inputs'!$C$4),1),MROUND(L136*$M136*IF($H136="Petrol",'Fuel &amp; Inputs'!$C$5,'Fuel &amp; Inputs'!$C$4),10)))</f>
        <v>5160</v>
      </c>
      <c r="Q136" s="23" t="s">
        <v>155</v>
      </c>
      <c r="R136" s="27" t="n">
        <v>1130</v>
      </c>
      <c r="S136" s="26" t="n">
        <f aca="false">MROUND(R136+'Fuel &amp; Inputs'!$C$13,50)</f>
        <v>1950</v>
      </c>
      <c r="T136" s="27" t="n">
        <v>2260</v>
      </c>
      <c r="U136" s="26" t="n">
        <f aca="false">MROUND(R136*'Fuel &amp; Inputs'!$C$19*'Fuel &amp; Inputs'!$C$21,100)</f>
        <v>4300</v>
      </c>
      <c r="V136" s="26" t="n">
        <f aca="false">MROUND(S136*'Fuel &amp; Inputs'!$C$19*'Fuel &amp; Inputs'!$C$21,100)</f>
        <v>7400</v>
      </c>
      <c r="W136" s="26" t="n">
        <f aca="false">MROUND(T136*'Fuel &amp; Inputs'!$C$19*'Fuel &amp; Inputs'!$C$21,100)</f>
        <v>8600</v>
      </c>
      <c r="X136" s="26" t="n">
        <f aca="false">MROUND(R136*'Fuel &amp; Inputs'!$C$20*'Fuel &amp; Inputs'!$C$22,500)</f>
        <v>115500</v>
      </c>
      <c r="Y136" s="26" t="n">
        <f aca="false">MROUND(S136*'Fuel &amp; Inputs'!$C$20*'Fuel &amp; Inputs'!$C$22,500)</f>
        <v>199000</v>
      </c>
      <c r="Z136" s="26" t="n">
        <f aca="false">MROUND(T136*'Fuel &amp; Inputs'!$C$20*'Fuel &amp; Inputs'!$C$22,500)</f>
        <v>230500</v>
      </c>
    </row>
    <row r="137" customFormat="false" ht="15" hidden="false" customHeight="false" outlineLevel="0" collapsed="false">
      <c r="A137" s="17" t="n">
        <v>127</v>
      </c>
      <c r="B137" s="32" t="s">
        <v>78</v>
      </c>
      <c r="C137" s="32" t="s">
        <v>330</v>
      </c>
      <c r="D137" s="32" t="s">
        <v>223</v>
      </c>
      <c r="E137" s="17" t="s">
        <v>223</v>
      </c>
      <c r="F137" s="17" t="s">
        <v>416</v>
      </c>
      <c r="G137" s="17" t="s">
        <v>223</v>
      </c>
      <c r="H137" s="17" t="s">
        <v>153</v>
      </c>
      <c r="I137" s="17" t="s">
        <v>154</v>
      </c>
      <c r="J137" s="19" t="n">
        <v>7.2</v>
      </c>
      <c r="K137" s="19" t="n">
        <v>10</v>
      </c>
      <c r="L137" s="19" t="n">
        <v>13.5</v>
      </c>
      <c r="M137" s="33" t="n">
        <v>1</v>
      </c>
      <c r="N137" s="20" t="n">
        <f aca="false">IF(J137=0,0,IF($I137="L/km",MROUND(J137*$M137*IF($H137="Petrol",'Fuel &amp; Inputs'!$C$5,'Fuel &amp; Inputs'!$C$4),1),MROUND(J137*$M137*IF($H137="Petrol",'Fuel &amp; Inputs'!$C$5,'Fuel &amp; Inputs'!$C$4),10)))</f>
        <v>2750</v>
      </c>
      <c r="O137" s="20" t="n">
        <f aca="false">IF(K137=0,0,IF($I137="L/km",MROUND(K137*$M137*IF($H137="Petrol",'Fuel &amp; Inputs'!$C$5,'Fuel &amp; Inputs'!$C$4),1),MROUND(K137*$M137*IF($H137="Petrol",'Fuel &amp; Inputs'!$C$5,'Fuel &amp; Inputs'!$C$4),10)))</f>
        <v>3820</v>
      </c>
      <c r="P137" s="20" t="n">
        <f aca="false">IF(L137=0,0,IF($I137="L/km",MROUND(L137*$M137*IF($H137="Petrol",'Fuel &amp; Inputs'!$C$5,'Fuel &amp; Inputs'!$C$4),1),MROUND(L137*$M137*IF($H137="Petrol",'Fuel &amp; Inputs'!$C$5,'Fuel &amp; Inputs'!$C$4),10)))</f>
        <v>5160</v>
      </c>
      <c r="Q137" s="17" t="s">
        <v>155</v>
      </c>
      <c r="R137" s="21" t="n">
        <v>1130</v>
      </c>
      <c r="S137" s="20" t="n">
        <f aca="false">MROUND(R137+'Fuel &amp; Inputs'!$C$13,50)</f>
        <v>1950</v>
      </c>
      <c r="T137" s="21" t="n">
        <v>2260</v>
      </c>
      <c r="U137" s="20" t="n">
        <f aca="false">MROUND(R137*'Fuel &amp; Inputs'!$C$19*'Fuel &amp; Inputs'!$C$21,100)</f>
        <v>4300</v>
      </c>
      <c r="V137" s="20" t="n">
        <f aca="false">MROUND(S137*'Fuel &amp; Inputs'!$C$19*'Fuel &amp; Inputs'!$C$21,100)</f>
        <v>7400</v>
      </c>
      <c r="W137" s="20" t="n">
        <f aca="false">MROUND(T137*'Fuel &amp; Inputs'!$C$19*'Fuel &amp; Inputs'!$C$21,100)</f>
        <v>8600</v>
      </c>
      <c r="X137" s="20" t="n">
        <f aca="false">MROUND(R137*'Fuel &amp; Inputs'!$C$20*'Fuel &amp; Inputs'!$C$22,500)</f>
        <v>115500</v>
      </c>
      <c r="Y137" s="20" t="n">
        <f aca="false">MROUND(S137*'Fuel &amp; Inputs'!$C$20*'Fuel &amp; Inputs'!$C$22,500)</f>
        <v>199000</v>
      </c>
      <c r="Z137" s="20" t="n">
        <f aca="false">MROUND(T137*'Fuel &amp; Inputs'!$C$20*'Fuel &amp; Inputs'!$C$22,500)</f>
        <v>230500</v>
      </c>
    </row>
    <row r="138" customFormat="false" ht="15" hidden="false" customHeight="false" outlineLevel="0" collapsed="false">
      <c r="A138" s="23" t="n">
        <v>128</v>
      </c>
      <c r="B138" s="34" t="s">
        <v>78</v>
      </c>
      <c r="C138" s="34" t="s">
        <v>330</v>
      </c>
      <c r="D138" s="34" t="s">
        <v>417</v>
      </c>
      <c r="E138" s="23" t="s">
        <v>223</v>
      </c>
      <c r="F138" s="23" t="s">
        <v>418</v>
      </c>
      <c r="G138" s="23" t="s">
        <v>223</v>
      </c>
      <c r="H138" s="23" t="s">
        <v>153</v>
      </c>
      <c r="I138" s="23" t="s">
        <v>154</v>
      </c>
      <c r="J138" s="25" t="n">
        <v>7.2</v>
      </c>
      <c r="K138" s="25" t="n">
        <v>10</v>
      </c>
      <c r="L138" s="25" t="n">
        <v>13.5</v>
      </c>
      <c r="M138" s="35" t="n">
        <v>1</v>
      </c>
      <c r="N138" s="26" t="n">
        <f aca="false">IF(J138=0,0,IF($I138="L/km",MROUND(J138*$M138*IF($H138="Petrol",'Fuel &amp; Inputs'!$C$5,'Fuel &amp; Inputs'!$C$4),1),MROUND(J138*$M138*IF($H138="Petrol",'Fuel &amp; Inputs'!$C$5,'Fuel &amp; Inputs'!$C$4),10)))</f>
        <v>2750</v>
      </c>
      <c r="O138" s="26" t="n">
        <f aca="false">IF(K138=0,0,IF($I138="L/km",MROUND(K138*$M138*IF($H138="Petrol",'Fuel &amp; Inputs'!$C$5,'Fuel &amp; Inputs'!$C$4),1),MROUND(K138*$M138*IF($H138="Petrol",'Fuel &amp; Inputs'!$C$5,'Fuel &amp; Inputs'!$C$4),10)))</f>
        <v>3820</v>
      </c>
      <c r="P138" s="26" t="n">
        <f aca="false">IF(L138=0,0,IF($I138="L/km",MROUND(L138*$M138*IF($H138="Petrol",'Fuel &amp; Inputs'!$C$5,'Fuel &amp; Inputs'!$C$4),1),MROUND(L138*$M138*IF($H138="Petrol",'Fuel &amp; Inputs'!$C$5,'Fuel &amp; Inputs'!$C$4),10)))</f>
        <v>5160</v>
      </c>
      <c r="Q138" s="23" t="s">
        <v>155</v>
      </c>
      <c r="R138" s="27" t="n">
        <v>1130</v>
      </c>
      <c r="S138" s="26" t="n">
        <f aca="false">MROUND(R138+'Fuel &amp; Inputs'!$C$13,50)</f>
        <v>1950</v>
      </c>
      <c r="T138" s="27" t="n">
        <v>2260</v>
      </c>
      <c r="U138" s="26" t="n">
        <f aca="false">MROUND(R138*'Fuel &amp; Inputs'!$C$19*'Fuel &amp; Inputs'!$C$21,100)</f>
        <v>4300</v>
      </c>
      <c r="V138" s="26" t="n">
        <f aca="false">MROUND(S138*'Fuel &amp; Inputs'!$C$19*'Fuel &amp; Inputs'!$C$21,100)</f>
        <v>7400</v>
      </c>
      <c r="W138" s="26" t="n">
        <f aca="false">MROUND(T138*'Fuel &amp; Inputs'!$C$19*'Fuel &amp; Inputs'!$C$21,100)</f>
        <v>8600</v>
      </c>
      <c r="X138" s="26" t="n">
        <f aca="false">MROUND(R138*'Fuel &amp; Inputs'!$C$20*'Fuel &amp; Inputs'!$C$22,500)</f>
        <v>115500</v>
      </c>
      <c r="Y138" s="26" t="n">
        <f aca="false">MROUND(S138*'Fuel &amp; Inputs'!$C$20*'Fuel &amp; Inputs'!$C$22,500)</f>
        <v>199000</v>
      </c>
      <c r="Z138" s="26" t="n">
        <f aca="false">MROUND(T138*'Fuel &amp; Inputs'!$C$20*'Fuel &amp; Inputs'!$C$22,500)</f>
        <v>230500</v>
      </c>
    </row>
    <row r="139" customFormat="false" ht="15" hidden="false" customHeight="false" outlineLevel="0" collapsed="false">
      <c r="A139" s="17" t="n">
        <v>129</v>
      </c>
      <c r="B139" s="32" t="s">
        <v>78</v>
      </c>
      <c r="C139" s="32" t="s">
        <v>330</v>
      </c>
      <c r="D139" s="32" t="s">
        <v>417</v>
      </c>
      <c r="E139" s="17" t="s">
        <v>223</v>
      </c>
      <c r="F139" s="17" t="s">
        <v>419</v>
      </c>
      <c r="G139" s="17" t="s">
        <v>223</v>
      </c>
      <c r="H139" s="17" t="s">
        <v>153</v>
      </c>
      <c r="I139" s="17" t="s">
        <v>154</v>
      </c>
      <c r="J139" s="19" t="n">
        <v>7.2</v>
      </c>
      <c r="K139" s="19" t="n">
        <v>10</v>
      </c>
      <c r="L139" s="19" t="n">
        <v>13.5</v>
      </c>
      <c r="M139" s="33" t="n">
        <v>1</v>
      </c>
      <c r="N139" s="20" t="n">
        <f aca="false">IF(J139=0,0,IF($I139="L/km",MROUND(J139*$M139*IF($H139="Petrol",'Fuel &amp; Inputs'!$C$5,'Fuel &amp; Inputs'!$C$4),1),MROUND(J139*$M139*IF($H139="Petrol",'Fuel &amp; Inputs'!$C$5,'Fuel &amp; Inputs'!$C$4),10)))</f>
        <v>2750</v>
      </c>
      <c r="O139" s="20" t="n">
        <f aca="false">IF(K139=0,0,IF($I139="L/km",MROUND(K139*$M139*IF($H139="Petrol",'Fuel &amp; Inputs'!$C$5,'Fuel &amp; Inputs'!$C$4),1),MROUND(K139*$M139*IF($H139="Petrol",'Fuel &amp; Inputs'!$C$5,'Fuel &amp; Inputs'!$C$4),10)))</f>
        <v>3820</v>
      </c>
      <c r="P139" s="20" t="n">
        <f aca="false">IF(L139=0,0,IF($I139="L/km",MROUND(L139*$M139*IF($H139="Petrol",'Fuel &amp; Inputs'!$C$5,'Fuel &amp; Inputs'!$C$4),1),MROUND(L139*$M139*IF($H139="Petrol",'Fuel &amp; Inputs'!$C$5,'Fuel &amp; Inputs'!$C$4),10)))</f>
        <v>5160</v>
      </c>
      <c r="Q139" s="17" t="s">
        <v>155</v>
      </c>
      <c r="R139" s="21" t="n">
        <v>1130</v>
      </c>
      <c r="S139" s="20" t="n">
        <f aca="false">MROUND(R139+'Fuel &amp; Inputs'!$C$13,50)</f>
        <v>1950</v>
      </c>
      <c r="T139" s="21" t="n">
        <v>2260</v>
      </c>
      <c r="U139" s="20" t="n">
        <f aca="false">MROUND(R139*'Fuel &amp; Inputs'!$C$19*'Fuel &amp; Inputs'!$C$21,100)</f>
        <v>4300</v>
      </c>
      <c r="V139" s="20" t="n">
        <f aca="false">MROUND(S139*'Fuel &amp; Inputs'!$C$19*'Fuel &amp; Inputs'!$C$21,100)</f>
        <v>7400</v>
      </c>
      <c r="W139" s="20" t="n">
        <f aca="false">MROUND(T139*'Fuel &amp; Inputs'!$C$19*'Fuel &amp; Inputs'!$C$21,100)</f>
        <v>8600</v>
      </c>
      <c r="X139" s="20" t="n">
        <f aca="false">MROUND(R139*'Fuel &amp; Inputs'!$C$20*'Fuel &amp; Inputs'!$C$22,500)</f>
        <v>115500</v>
      </c>
      <c r="Y139" s="20" t="n">
        <f aca="false">MROUND(S139*'Fuel &amp; Inputs'!$C$20*'Fuel &amp; Inputs'!$C$22,500)</f>
        <v>199000</v>
      </c>
      <c r="Z139" s="20" t="n">
        <f aca="false">MROUND(T139*'Fuel &amp; Inputs'!$C$20*'Fuel &amp; Inputs'!$C$22,500)</f>
        <v>230500</v>
      </c>
    </row>
    <row r="140" customFormat="false" ht="15" hidden="false" customHeight="false" outlineLevel="0" collapsed="false">
      <c r="A140" s="23" t="n">
        <v>130</v>
      </c>
      <c r="B140" s="34" t="s">
        <v>78</v>
      </c>
      <c r="C140" s="34" t="s">
        <v>330</v>
      </c>
      <c r="D140" s="34" t="s">
        <v>417</v>
      </c>
      <c r="E140" s="23" t="s">
        <v>223</v>
      </c>
      <c r="F140" s="23" t="s">
        <v>420</v>
      </c>
      <c r="G140" s="23" t="s">
        <v>223</v>
      </c>
      <c r="H140" s="23" t="s">
        <v>153</v>
      </c>
      <c r="I140" s="23" t="s">
        <v>154</v>
      </c>
      <c r="J140" s="25" t="n">
        <v>7.2</v>
      </c>
      <c r="K140" s="25" t="n">
        <v>10</v>
      </c>
      <c r="L140" s="25" t="n">
        <v>13.5</v>
      </c>
      <c r="M140" s="35" t="n">
        <v>1</v>
      </c>
      <c r="N140" s="26" t="n">
        <f aca="false">IF(J140=0,0,IF($I140="L/km",MROUND(J140*$M140*IF($H140="Petrol",'Fuel &amp; Inputs'!$C$5,'Fuel &amp; Inputs'!$C$4),1),MROUND(J140*$M140*IF($H140="Petrol",'Fuel &amp; Inputs'!$C$5,'Fuel &amp; Inputs'!$C$4),10)))</f>
        <v>2750</v>
      </c>
      <c r="O140" s="26" t="n">
        <f aca="false">IF(K140=0,0,IF($I140="L/km",MROUND(K140*$M140*IF($H140="Petrol",'Fuel &amp; Inputs'!$C$5,'Fuel &amp; Inputs'!$C$4),1),MROUND(K140*$M140*IF($H140="Petrol",'Fuel &amp; Inputs'!$C$5,'Fuel &amp; Inputs'!$C$4),10)))</f>
        <v>3820</v>
      </c>
      <c r="P140" s="26" t="n">
        <f aca="false">IF(L140=0,0,IF($I140="L/km",MROUND(L140*$M140*IF($H140="Petrol",'Fuel &amp; Inputs'!$C$5,'Fuel &amp; Inputs'!$C$4),1),MROUND(L140*$M140*IF($H140="Petrol",'Fuel &amp; Inputs'!$C$5,'Fuel &amp; Inputs'!$C$4),10)))</f>
        <v>5160</v>
      </c>
      <c r="Q140" s="23" t="s">
        <v>155</v>
      </c>
      <c r="R140" s="27" t="n">
        <v>1130</v>
      </c>
      <c r="S140" s="26" t="n">
        <f aca="false">MROUND(R140+'Fuel &amp; Inputs'!$C$13,50)</f>
        <v>1950</v>
      </c>
      <c r="T140" s="27" t="n">
        <v>2260</v>
      </c>
      <c r="U140" s="26" t="n">
        <f aca="false">MROUND(R140*'Fuel &amp; Inputs'!$C$19*'Fuel &amp; Inputs'!$C$21,100)</f>
        <v>4300</v>
      </c>
      <c r="V140" s="26" t="n">
        <f aca="false">MROUND(S140*'Fuel &amp; Inputs'!$C$19*'Fuel &amp; Inputs'!$C$21,100)</f>
        <v>7400</v>
      </c>
      <c r="W140" s="26" t="n">
        <f aca="false">MROUND(T140*'Fuel &amp; Inputs'!$C$19*'Fuel &amp; Inputs'!$C$21,100)</f>
        <v>8600</v>
      </c>
      <c r="X140" s="26" t="n">
        <f aca="false">MROUND(R140*'Fuel &amp; Inputs'!$C$20*'Fuel &amp; Inputs'!$C$22,500)</f>
        <v>115500</v>
      </c>
      <c r="Y140" s="26" t="n">
        <f aca="false">MROUND(S140*'Fuel &amp; Inputs'!$C$20*'Fuel &amp; Inputs'!$C$22,500)</f>
        <v>199000</v>
      </c>
      <c r="Z140" s="26" t="n">
        <f aca="false">MROUND(T140*'Fuel &amp; Inputs'!$C$20*'Fuel &amp; Inputs'!$C$22,500)</f>
        <v>230500</v>
      </c>
    </row>
    <row r="141" customFormat="false" ht="15" hidden="false" customHeight="false" outlineLevel="0" collapsed="false">
      <c r="A141" s="17" t="n">
        <v>131</v>
      </c>
      <c r="B141" s="32" t="s">
        <v>78</v>
      </c>
      <c r="C141" s="32" t="s">
        <v>330</v>
      </c>
      <c r="D141" s="32" t="s">
        <v>417</v>
      </c>
      <c r="E141" s="17" t="s">
        <v>223</v>
      </c>
      <c r="F141" s="17" t="s">
        <v>421</v>
      </c>
      <c r="G141" s="17" t="s">
        <v>223</v>
      </c>
      <c r="H141" s="17" t="s">
        <v>153</v>
      </c>
      <c r="I141" s="17" t="s">
        <v>154</v>
      </c>
      <c r="J141" s="19" t="n">
        <v>7.2</v>
      </c>
      <c r="K141" s="19" t="n">
        <v>10</v>
      </c>
      <c r="L141" s="19" t="n">
        <v>13.5</v>
      </c>
      <c r="M141" s="33" t="n">
        <v>1</v>
      </c>
      <c r="N141" s="20" t="n">
        <f aca="false">IF(J141=0,0,IF($I141="L/km",MROUND(J141*$M141*IF($H141="Petrol",'Fuel &amp; Inputs'!$C$5,'Fuel &amp; Inputs'!$C$4),1),MROUND(J141*$M141*IF($H141="Petrol",'Fuel &amp; Inputs'!$C$5,'Fuel &amp; Inputs'!$C$4),10)))</f>
        <v>2750</v>
      </c>
      <c r="O141" s="20" t="n">
        <f aca="false">IF(K141=0,0,IF($I141="L/km",MROUND(K141*$M141*IF($H141="Petrol",'Fuel &amp; Inputs'!$C$5,'Fuel &amp; Inputs'!$C$4),1),MROUND(K141*$M141*IF($H141="Petrol",'Fuel &amp; Inputs'!$C$5,'Fuel &amp; Inputs'!$C$4),10)))</f>
        <v>3820</v>
      </c>
      <c r="P141" s="20" t="n">
        <f aca="false">IF(L141=0,0,IF($I141="L/km",MROUND(L141*$M141*IF($H141="Petrol",'Fuel &amp; Inputs'!$C$5,'Fuel &amp; Inputs'!$C$4),1),MROUND(L141*$M141*IF($H141="Petrol",'Fuel &amp; Inputs'!$C$5,'Fuel &amp; Inputs'!$C$4),10)))</f>
        <v>5160</v>
      </c>
      <c r="Q141" s="17" t="s">
        <v>155</v>
      </c>
      <c r="R141" s="21" t="n">
        <v>1130</v>
      </c>
      <c r="S141" s="20" t="n">
        <f aca="false">MROUND(R141+'Fuel &amp; Inputs'!$C$13,50)</f>
        <v>1950</v>
      </c>
      <c r="T141" s="21" t="n">
        <v>2260</v>
      </c>
      <c r="U141" s="20" t="n">
        <f aca="false">MROUND(R141*'Fuel &amp; Inputs'!$C$19*'Fuel &amp; Inputs'!$C$21,100)</f>
        <v>4300</v>
      </c>
      <c r="V141" s="20" t="n">
        <f aca="false">MROUND(S141*'Fuel &amp; Inputs'!$C$19*'Fuel &amp; Inputs'!$C$21,100)</f>
        <v>7400</v>
      </c>
      <c r="W141" s="20" t="n">
        <f aca="false">MROUND(T141*'Fuel &amp; Inputs'!$C$19*'Fuel &amp; Inputs'!$C$21,100)</f>
        <v>8600</v>
      </c>
      <c r="X141" s="20" t="n">
        <f aca="false">MROUND(R141*'Fuel &amp; Inputs'!$C$20*'Fuel &amp; Inputs'!$C$22,500)</f>
        <v>115500</v>
      </c>
      <c r="Y141" s="20" t="n">
        <f aca="false">MROUND(S141*'Fuel &amp; Inputs'!$C$20*'Fuel &amp; Inputs'!$C$22,500)</f>
        <v>199000</v>
      </c>
      <c r="Z141" s="20" t="n">
        <f aca="false">MROUND(T141*'Fuel &amp; Inputs'!$C$20*'Fuel &amp; Inputs'!$C$22,500)</f>
        <v>230500</v>
      </c>
    </row>
    <row r="142" customFormat="false" ht="15" hidden="false" customHeight="false" outlineLevel="0" collapsed="false">
      <c r="A142" s="23" t="n">
        <v>132</v>
      </c>
      <c r="B142" s="34" t="s">
        <v>78</v>
      </c>
      <c r="C142" s="34" t="s">
        <v>330</v>
      </c>
      <c r="D142" s="34" t="s">
        <v>417</v>
      </c>
      <c r="E142" s="23" t="s">
        <v>223</v>
      </c>
      <c r="F142" s="23" t="s">
        <v>422</v>
      </c>
      <c r="G142" s="23" t="s">
        <v>223</v>
      </c>
      <c r="H142" s="23" t="s">
        <v>153</v>
      </c>
      <c r="I142" s="23" t="s">
        <v>154</v>
      </c>
      <c r="J142" s="25" t="n">
        <v>7.2</v>
      </c>
      <c r="K142" s="25" t="n">
        <v>10</v>
      </c>
      <c r="L142" s="25" t="n">
        <v>13.5</v>
      </c>
      <c r="M142" s="35" t="n">
        <v>1</v>
      </c>
      <c r="N142" s="26" t="n">
        <f aca="false">IF(J142=0,0,IF($I142="L/km",MROUND(J142*$M142*IF($H142="Petrol",'Fuel &amp; Inputs'!$C$5,'Fuel &amp; Inputs'!$C$4),1),MROUND(J142*$M142*IF($H142="Petrol",'Fuel &amp; Inputs'!$C$5,'Fuel &amp; Inputs'!$C$4),10)))</f>
        <v>2750</v>
      </c>
      <c r="O142" s="26" t="n">
        <f aca="false">IF(K142=0,0,IF($I142="L/km",MROUND(K142*$M142*IF($H142="Petrol",'Fuel &amp; Inputs'!$C$5,'Fuel &amp; Inputs'!$C$4),1),MROUND(K142*$M142*IF($H142="Petrol",'Fuel &amp; Inputs'!$C$5,'Fuel &amp; Inputs'!$C$4),10)))</f>
        <v>3820</v>
      </c>
      <c r="P142" s="26" t="n">
        <f aca="false">IF(L142=0,0,IF($I142="L/km",MROUND(L142*$M142*IF($H142="Petrol",'Fuel &amp; Inputs'!$C$5,'Fuel &amp; Inputs'!$C$4),1),MROUND(L142*$M142*IF($H142="Petrol",'Fuel &amp; Inputs'!$C$5,'Fuel &amp; Inputs'!$C$4),10)))</f>
        <v>5160</v>
      </c>
      <c r="Q142" s="23" t="s">
        <v>155</v>
      </c>
      <c r="R142" s="27" t="n">
        <v>1130</v>
      </c>
      <c r="S142" s="26" t="n">
        <f aca="false">MROUND(R142+'Fuel &amp; Inputs'!$C$13,50)</f>
        <v>1950</v>
      </c>
      <c r="T142" s="27" t="n">
        <v>2260</v>
      </c>
      <c r="U142" s="26" t="n">
        <f aca="false">MROUND(R142*'Fuel &amp; Inputs'!$C$19*'Fuel &amp; Inputs'!$C$21,100)</f>
        <v>4300</v>
      </c>
      <c r="V142" s="26" t="n">
        <f aca="false">MROUND(S142*'Fuel &amp; Inputs'!$C$19*'Fuel &amp; Inputs'!$C$21,100)</f>
        <v>7400</v>
      </c>
      <c r="W142" s="26" t="n">
        <f aca="false">MROUND(T142*'Fuel &amp; Inputs'!$C$19*'Fuel &amp; Inputs'!$C$21,100)</f>
        <v>8600</v>
      </c>
      <c r="X142" s="26" t="n">
        <f aca="false">MROUND(R142*'Fuel &amp; Inputs'!$C$20*'Fuel &amp; Inputs'!$C$22,500)</f>
        <v>115500</v>
      </c>
      <c r="Y142" s="26" t="n">
        <f aca="false">MROUND(S142*'Fuel &amp; Inputs'!$C$20*'Fuel &amp; Inputs'!$C$22,500)</f>
        <v>199000</v>
      </c>
      <c r="Z142" s="26" t="n">
        <f aca="false">MROUND(T142*'Fuel &amp; Inputs'!$C$20*'Fuel &amp; Inputs'!$C$22,500)</f>
        <v>230500</v>
      </c>
    </row>
    <row r="143" customFormat="false" ht="15" hidden="false" customHeight="false" outlineLevel="0" collapsed="false">
      <c r="A143" s="17" t="n">
        <v>133</v>
      </c>
      <c r="B143" s="32" t="s">
        <v>78</v>
      </c>
      <c r="C143" s="32" t="s">
        <v>330</v>
      </c>
      <c r="D143" s="32" t="s">
        <v>417</v>
      </c>
      <c r="E143" s="17" t="s">
        <v>223</v>
      </c>
      <c r="F143" s="17" t="s">
        <v>423</v>
      </c>
      <c r="G143" s="17" t="s">
        <v>223</v>
      </c>
      <c r="H143" s="17" t="s">
        <v>153</v>
      </c>
      <c r="I143" s="17" t="s">
        <v>154</v>
      </c>
      <c r="J143" s="19" t="n">
        <v>7.2</v>
      </c>
      <c r="K143" s="19" t="n">
        <v>10</v>
      </c>
      <c r="L143" s="19" t="n">
        <v>13.5</v>
      </c>
      <c r="M143" s="33" t="n">
        <v>1</v>
      </c>
      <c r="N143" s="20" t="n">
        <f aca="false">IF(J143=0,0,IF($I143="L/km",MROUND(J143*$M143*IF($H143="Petrol",'Fuel &amp; Inputs'!$C$5,'Fuel &amp; Inputs'!$C$4),1),MROUND(J143*$M143*IF($H143="Petrol",'Fuel &amp; Inputs'!$C$5,'Fuel &amp; Inputs'!$C$4),10)))</f>
        <v>2750</v>
      </c>
      <c r="O143" s="20" t="n">
        <f aca="false">IF(K143=0,0,IF($I143="L/km",MROUND(K143*$M143*IF($H143="Petrol",'Fuel &amp; Inputs'!$C$5,'Fuel &amp; Inputs'!$C$4),1),MROUND(K143*$M143*IF($H143="Petrol",'Fuel &amp; Inputs'!$C$5,'Fuel &amp; Inputs'!$C$4),10)))</f>
        <v>3820</v>
      </c>
      <c r="P143" s="20" t="n">
        <f aca="false">IF(L143=0,0,IF($I143="L/km",MROUND(L143*$M143*IF($H143="Petrol",'Fuel &amp; Inputs'!$C$5,'Fuel &amp; Inputs'!$C$4),1),MROUND(L143*$M143*IF($H143="Petrol",'Fuel &amp; Inputs'!$C$5,'Fuel &amp; Inputs'!$C$4),10)))</f>
        <v>5160</v>
      </c>
      <c r="Q143" s="17" t="s">
        <v>155</v>
      </c>
      <c r="R143" s="21" t="n">
        <v>1130</v>
      </c>
      <c r="S143" s="20" t="n">
        <f aca="false">MROUND(R143+'Fuel &amp; Inputs'!$C$13,50)</f>
        <v>1950</v>
      </c>
      <c r="T143" s="21" t="n">
        <v>2260</v>
      </c>
      <c r="U143" s="20" t="n">
        <f aca="false">MROUND(R143*'Fuel &amp; Inputs'!$C$19*'Fuel &amp; Inputs'!$C$21,100)</f>
        <v>4300</v>
      </c>
      <c r="V143" s="20" t="n">
        <f aca="false">MROUND(S143*'Fuel &amp; Inputs'!$C$19*'Fuel &amp; Inputs'!$C$21,100)</f>
        <v>7400</v>
      </c>
      <c r="W143" s="20" t="n">
        <f aca="false">MROUND(T143*'Fuel &amp; Inputs'!$C$19*'Fuel &amp; Inputs'!$C$21,100)</f>
        <v>8600</v>
      </c>
      <c r="X143" s="20" t="n">
        <f aca="false">MROUND(R143*'Fuel &amp; Inputs'!$C$20*'Fuel &amp; Inputs'!$C$22,500)</f>
        <v>115500</v>
      </c>
      <c r="Y143" s="20" t="n">
        <f aca="false">MROUND(S143*'Fuel &amp; Inputs'!$C$20*'Fuel &amp; Inputs'!$C$22,500)</f>
        <v>199000</v>
      </c>
      <c r="Z143" s="20" t="n">
        <f aca="false">MROUND(T143*'Fuel &amp; Inputs'!$C$20*'Fuel &amp; Inputs'!$C$22,500)</f>
        <v>230500</v>
      </c>
    </row>
    <row r="144" customFormat="false" ht="15" hidden="false" customHeight="false" outlineLevel="0" collapsed="false">
      <c r="A144" s="23" t="n">
        <v>134</v>
      </c>
      <c r="B144" s="34" t="s">
        <v>78</v>
      </c>
      <c r="C144" s="34" t="s">
        <v>330</v>
      </c>
      <c r="D144" s="34" t="s">
        <v>417</v>
      </c>
      <c r="E144" s="23" t="s">
        <v>223</v>
      </c>
      <c r="F144" s="23" t="s">
        <v>424</v>
      </c>
      <c r="G144" s="23" t="s">
        <v>223</v>
      </c>
      <c r="H144" s="23" t="s">
        <v>153</v>
      </c>
      <c r="I144" s="23" t="s">
        <v>154</v>
      </c>
      <c r="J144" s="25" t="n">
        <v>7.2</v>
      </c>
      <c r="K144" s="25" t="n">
        <v>10</v>
      </c>
      <c r="L144" s="25" t="n">
        <v>13.5</v>
      </c>
      <c r="M144" s="35" t="n">
        <v>1</v>
      </c>
      <c r="N144" s="26" t="n">
        <f aca="false">IF(J144=0,0,IF($I144="L/km",MROUND(J144*$M144*IF($H144="Petrol",'Fuel &amp; Inputs'!$C$5,'Fuel &amp; Inputs'!$C$4),1),MROUND(J144*$M144*IF($H144="Petrol",'Fuel &amp; Inputs'!$C$5,'Fuel &amp; Inputs'!$C$4),10)))</f>
        <v>2750</v>
      </c>
      <c r="O144" s="26" t="n">
        <f aca="false">IF(K144=0,0,IF($I144="L/km",MROUND(K144*$M144*IF($H144="Petrol",'Fuel &amp; Inputs'!$C$5,'Fuel &amp; Inputs'!$C$4),1),MROUND(K144*$M144*IF($H144="Petrol",'Fuel &amp; Inputs'!$C$5,'Fuel &amp; Inputs'!$C$4),10)))</f>
        <v>3820</v>
      </c>
      <c r="P144" s="26" t="n">
        <f aca="false">IF(L144=0,0,IF($I144="L/km",MROUND(L144*$M144*IF($H144="Petrol",'Fuel &amp; Inputs'!$C$5,'Fuel &amp; Inputs'!$C$4),1),MROUND(L144*$M144*IF($H144="Petrol",'Fuel &amp; Inputs'!$C$5,'Fuel &amp; Inputs'!$C$4),10)))</f>
        <v>5160</v>
      </c>
      <c r="Q144" s="23" t="s">
        <v>155</v>
      </c>
      <c r="R144" s="27" t="n">
        <v>1130</v>
      </c>
      <c r="S144" s="26" t="n">
        <f aca="false">MROUND(R144+'Fuel &amp; Inputs'!$C$13,50)</f>
        <v>1950</v>
      </c>
      <c r="T144" s="27" t="n">
        <v>2260</v>
      </c>
      <c r="U144" s="26" t="n">
        <f aca="false">MROUND(R144*'Fuel &amp; Inputs'!$C$19*'Fuel &amp; Inputs'!$C$21,100)</f>
        <v>4300</v>
      </c>
      <c r="V144" s="26" t="n">
        <f aca="false">MROUND(S144*'Fuel &amp; Inputs'!$C$19*'Fuel &amp; Inputs'!$C$21,100)</f>
        <v>7400</v>
      </c>
      <c r="W144" s="26" t="n">
        <f aca="false">MROUND(T144*'Fuel &amp; Inputs'!$C$19*'Fuel &amp; Inputs'!$C$21,100)</f>
        <v>8600</v>
      </c>
      <c r="X144" s="26" t="n">
        <f aca="false">MROUND(R144*'Fuel &amp; Inputs'!$C$20*'Fuel &amp; Inputs'!$C$22,500)</f>
        <v>115500</v>
      </c>
      <c r="Y144" s="26" t="n">
        <f aca="false">MROUND(S144*'Fuel &amp; Inputs'!$C$20*'Fuel &amp; Inputs'!$C$22,500)</f>
        <v>199000</v>
      </c>
      <c r="Z144" s="26" t="n">
        <f aca="false">MROUND(T144*'Fuel &amp; Inputs'!$C$20*'Fuel &amp; Inputs'!$C$22,500)</f>
        <v>230500</v>
      </c>
    </row>
    <row r="145" customFormat="false" ht="15" hidden="false" customHeight="false" outlineLevel="0" collapsed="false">
      <c r="A145" s="17" t="n">
        <v>135</v>
      </c>
      <c r="B145" s="32" t="s">
        <v>78</v>
      </c>
      <c r="C145" s="32" t="s">
        <v>330</v>
      </c>
      <c r="D145" s="32" t="s">
        <v>417</v>
      </c>
      <c r="E145" s="17" t="s">
        <v>223</v>
      </c>
      <c r="F145" s="17" t="s">
        <v>425</v>
      </c>
      <c r="G145" s="17" t="s">
        <v>223</v>
      </c>
      <c r="H145" s="17" t="s">
        <v>153</v>
      </c>
      <c r="I145" s="17" t="s">
        <v>154</v>
      </c>
      <c r="J145" s="19" t="n">
        <v>7.2</v>
      </c>
      <c r="K145" s="19" t="n">
        <v>10</v>
      </c>
      <c r="L145" s="19" t="n">
        <v>13.5</v>
      </c>
      <c r="M145" s="33" t="n">
        <v>1</v>
      </c>
      <c r="N145" s="20" t="n">
        <f aca="false">IF(J145=0,0,IF($I145="L/km",MROUND(J145*$M145*IF($H145="Petrol",'Fuel &amp; Inputs'!$C$5,'Fuel &amp; Inputs'!$C$4),1),MROUND(J145*$M145*IF($H145="Petrol",'Fuel &amp; Inputs'!$C$5,'Fuel &amp; Inputs'!$C$4),10)))</f>
        <v>2750</v>
      </c>
      <c r="O145" s="20" t="n">
        <f aca="false">IF(K145=0,0,IF($I145="L/km",MROUND(K145*$M145*IF($H145="Petrol",'Fuel &amp; Inputs'!$C$5,'Fuel &amp; Inputs'!$C$4),1),MROUND(K145*$M145*IF($H145="Petrol",'Fuel &amp; Inputs'!$C$5,'Fuel &amp; Inputs'!$C$4),10)))</f>
        <v>3820</v>
      </c>
      <c r="P145" s="20" t="n">
        <f aca="false">IF(L145=0,0,IF($I145="L/km",MROUND(L145*$M145*IF($H145="Petrol",'Fuel &amp; Inputs'!$C$5,'Fuel &amp; Inputs'!$C$4),1),MROUND(L145*$M145*IF($H145="Petrol",'Fuel &amp; Inputs'!$C$5,'Fuel &amp; Inputs'!$C$4),10)))</f>
        <v>5160</v>
      </c>
      <c r="Q145" s="17" t="s">
        <v>155</v>
      </c>
      <c r="R145" s="21" t="n">
        <v>1130</v>
      </c>
      <c r="S145" s="20" t="n">
        <f aca="false">MROUND(R145+'Fuel &amp; Inputs'!$C$13,50)</f>
        <v>1950</v>
      </c>
      <c r="T145" s="21" t="n">
        <v>2260</v>
      </c>
      <c r="U145" s="20" t="n">
        <f aca="false">MROUND(R145*'Fuel &amp; Inputs'!$C$19*'Fuel &amp; Inputs'!$C$21,100)</f>
        <v>4300</v>
      </c>
      <c r="V145" s="20" t="n">
        <f aca="false">MROUND(S145*'Fuel &amp; Inputs'!$C$19*'Fuel &amp; Inputs'!$C$21,100)</f>
        <v>7400</v>
      </c>
      <c r="W145" s="20" t="n">
        <f aca="false">MROUND(T145*'Fuel &amp; Inputs'!$C$19*'Fuel &amp; Inputs'!$C$21,100)</f>
        <v>8600</v>
      </c>
      <c r="X145" s="20" t="n">
        <f aca="false">MROUND(R145*'Fuel &amp; Inputs'!$C$20*'Fuel &amp; Inputs'!$C$22,500)</f>
        <v>115500</v>
      </c>
      <c r="Y145" s="20" t="n">
        <f aca="false">MROUND(S145*'Fuel &amp; Inputs'!$C$20*'Fuel &amp; Inputs'!$C$22,500)</f>
        <v>199000</v>
      </c>
      <c r="Z145" s="20" t="n">
        <f aca="false">MROUND(T145*'Fuel &amp; Inputs'!$C$20*'Fuel &amp; Inputs'!$C$22,500)</f>
        <v>230500</v>
      </c>
    </row>
    <row r="146" customFormat="false" ht="15" hidden="false" customHeight="false" outlineLevel="0" collapsed="false">
      <c r="A146" s="23" t="n">
        <v>136</v>
      </c>
      <c r="B146" s="34" t="s">
        <v>78</v>
      </c>
      <c r="C146" s="34" t="s">
        <v>330</v>
      </c>
      <c r="D146" s="34" t="s">
        <v>417</v>
      </c>
      <c r="E146" s="23" t="s">
        <v>223</v>
      </c>
      <c r="F146" s="23" t="s">
        <v>426</v>
      </c>
      <c r="G146" s="23" t="s">
        <v>223</v>
      </c>
      <c r="H146" s="23" t="s">
        <v>153</v>
      </c>
      <c r="I146" s="23" t="s">
        <v>154</v>
      </c>
      <c r="J146" s="25" t="n">
        <v>7.2</v>
      </c>
      <c r="K146" s="25" t="n">
        <v>10</v>
      </c>
      <c r="L146" s="25" t="n">
        <v>13.5</v>
      </c>
      <c r="M146" s="35" t="n">
        <v>1</v>
      </c>
      <c r="N146" s="26" t="n">
        <f aca="false">IF(J146=0,0,IF($I146="L/km",MROUND(J146*$M146*IF($H146="Petrol",'Fuel &amp; Inputs'!$C$5,'Fuel &amp; Inputs'!$C$4),1),MROUND(J146*$M146*IF($H146="Petrol",'Fuel &amp; Inputs'!$C$5,'Fuel &amp; Inputs'!$C$4),10)))</f>
        <v>2750</v>
      </c>
      <c r="O146" s="26" t="n">
        <f aca="false">IF(K146=0,0,IF($I146="L/km",MROUND(K146*$M146*IF($H146="Petrol",'Fuel &amp; Inputs'!$C$5,'Fuel &amp; Inputs'!$C$4),1),MROUND(K146*$M146*IF($H146="Petrol",'Fuel &amp; Inputs'!$C$5,'Fuel &amp; Inputs'!$C$4),10)))</f>
        <v>3820</v>
      </c>
      <c r="P146" s="26" t="n">
        <f aca="false">IF(L146=0,0,IF($I146="L/km",MROUND(L146*$M146*IF($H146="Petrol",'Fuel &amp; Inputs'!$C$5,'Fuel &amp; Inputs'!$C$4),1),MROUND(L146*$M146*IF($H146="Petrol",'Fuel &amp; Inputs'!$C$5,'Fuel &amp; Inputs'!$C$4),10)))</f>
        <v>5160</v>
      </c>
      <c r="Q146" s="23" t="s">
        <v>155</v>
      </c>
      <c r="R146" s="27" t="n">
        <v>1130</v>
      </c>
      <c r="S146" s="26" t="n">
        <f aca="false">MROUND(R146+'Fuel &amp; Inputs'!$C$13,50)</f>
        <v>1950</v>
      </c>
      <c r="T146" s="27" t="n">
        <v>2260</v>
      </c>
      <c r="U146" s="26" t="n">
        <f aca="false">MROUND(R146*'Fuel &amp; Inputs'!$C$19*'Fuel &amp; Inputs'!$C$21,100)</f>
        <v>4300</v>
      </c>
      <c r="V146" s="26" t="n">
        <f aca="false">MROUND(S146*'Fuel &amp; Inputs'!$C$19*'Fuel &amp; Inputs'!$C$21,100)</f>
        <v>7400</v>
      </c>
      <c r="W146" s="26" t="n">
        <f aca="false">MROUND(T146*'Fuel &amp; Inputs'!$C$19*'Fuel &amp; Inputs'!$C$21,100)</f>
        <v>8600</v>
      </c>
      <c r="X146" s="26" t="n">
        <f aca="false">MROUND(R146*'Fuel &amp; Inputs'!$C$20*'Fuel &amp; Inputs'!$C$22,500)</f>
        <v>115500</v>
      </c>
      <c r="Y146" s="26" t="n">
        <f aca="false">MROUND(S146*'Fuel &amp; Inputs'!$C$20*'Fuel &amp; Inputs'!$C$22,500)</f>
        <v>199000</v>
      </c>
      <c r="Z146" s="26" t="n">
        <f aca="false">MROUND(T146*'Fuel &amp; Inputs'!$C$20*'Fuel &amp; Inputs'!$C$22,500)</f>
        <v>230500</v>
      </c>
    </row>
    <row r="147" customFormat="false" ht="15" hidden="false" customHeight="false" outlineLevel="0" collapsed="false">
      <c r="A147" s="17" t="n">
        <v>137</v>
      </c>
      <c r="B147" s="32" t="s">
        <v>78</v>
      </c>
      <c r="C147" s="32" t="s">
        <v>330</v>
      </c>
      <c r="D147" s="32" t="s">
        <v>417</v>
      </c>
      <c r="E147" s="17" t="s">
        <v>223</v>
      </c>
      <c r="F147" s="17" t="s">
        <v>427</v>
      </c>
      <c r="G147" s="17" t="s">
        <v>223</v>
      </c>
      <c r="H147" s="17" t="s">
        <v>153</v>
      </c>
      <c r="I147" s="17" t="s">
        <v>154</v>
      </c>
      <c r="J147" s="19" t="n">
        <v>7.2</v>
      </c>
      <c r="K147" s="19" t="n">
        <v>10</v>
      </c>
      <c r="L147" s="19" t="n">
        <v>13.5</v>
      </c>
      <c r="M147" s="33" t="n">
        <v>1</v>
      </c>
      <c r="N147" s="20" t="n">
        <f aca="false">IF(J147=0,0,IF($I147="L/km",MROUND(J147*$M147*IF($H147="Petrol",'Fuel &amp; Inputs'!$C$5,'Fuel &amp; Inputs'!$C$4),1),MROUND(J147*$M147*IF($H147="Petrol",'Fuel &amp; Inputs'!$C$5,'Fuel &amp; Inputs'!$C$4),10)))</f>
        <v>2750</v>
      </c>
      <c r="O147" s="20" t="n">
        <f aca="false">IF(K147=0,0,IF($I147="L/km",MROUND(K147*$M147*IF($H147="Petrol",'Fuel &amp; Inputs'!$C$5,'Fuel &amp; Inputs'!$C$4),1),MROUND(K147*$M147*IF($H147="Petrol",'Fuel &amp; Inputs'!$C$5,'Fuel &amp; Inputs'!$C$4),10)))</f>
        <v>3820</v>
      </c>
      <c r="P147" s="20" t="n">
        <f aca="false">IF(L147=0,0,IF($I147="L/km",MROUND(L147*$M147*IF($H147="Petrol",'Fuel &amp; Inputs'!$C$5,'Fuel &amp; Inputs'!$C$4),1),MROUND(L147*$M147*IF($H147="Petrol",'Fuel &amp; Inputs'!$C$5,'Fuel &amp; Inputs'!$C$4),10)))</f>
        <v>5160</v>
      </c>
      <c r="Q147" s="17" t="s">
        <v>155</v>
      </c>
      <c r="R147" s="21" t="n">
        <v>1130</v>
      </c>
      <c r="S147" s="20" t="n">
        <f aca="false">MROUND(R147+'Fuel &amp; Inputs'!$C$13,50)</f>
        <v>1950</v>
      </c>
      <c r="T147" s="21" t="n">
        <v>2260</v>
      </c>
      <c r="U147" s="20" t="n">
        <f aca="false">MROUND(R147*'Fuel &amp; Inputs'!$C$19*'Fuel &amp; Inputs'!$C$21,100)</f>
        <v>4300</v>
      </c>
      <c r="V147" s="20" t="n">
        <f aca="false">MROUND(S147*'Fuel &amp; Inputs'!$C$19*'Fuel &amp; Inputs'!$C$21,100)</f>
        <v>7400</v>
      </c>
      <c r="W147" s="20" t="n">
        <f aca="false">MROUND(T147*'Fuel &amp; Inputs'!$C$19*'Fuel &amp; Inputs'!$C$21,100)</f>
        <v>8600</v>
      </c>
      <c r="X147" s="20" t="n">
        <f aca="false">MROUND(R147*'Fuel &amp; Inputs'!$C$20*'Fuel &amp; Inputs'!$C$22,500)</f>
        <v>115500</v>
      </c>
      <c r="Y147" s="20" t="n">
        <f aca="false">MROUND(S147*'Fuel &amp; Inputs'!$C$20*'Fuel &amp; Inputs'!$C$22,500)</f>
        <v>199000</v>
      </c>
      <c r="Z147" s="20" t="n">
        <f aca="false">MROUND(T147*'Fuel &amp; Inputs'!$C$20*'Fuel &amp; Inputs'!$C$22,500)</f>
        <v>230500</v>
      </c>
    </row>
    <row r="148" customFormat="false" ht="15" hidden="false" customHeight="false" outlineLevel="0" collapsed="false">
      <c r="A148" s="23" t="n">
        <v>138</v>
      </c>
      <c r="B148" s="34" t="s">
        <v>78</v>
      </c>
      <c r="C148" s="34" t="s">
        <v>330</v>
      </c>
      <c r="D148" s="34" t="s">
        <v>417</v>
      </c>
      <c r="E148" s="23" t="s">
        <v>223</v>
      </c>
      <c r="F148" s="23" t="s">
        <v>428</v>
      </c>
      <c r="G148" s="23" t="s">
        <v>223</v>
      </c>
      <c r="H148" s="23" t="s">
        <v>153</v>
      </c>
      <c r="I148" s="23" t="s">
        <v>154</v>
      </c>
      <c r="J148" s="25" t="n">
        <v>7.2</v>
      </c>
      <c r="K148" s="25" t="n">
        <v>10</v>
      </c>
      <c r="L148" s="25" t="n">
        <v>13.5</v>
      </c>
      <c r="M148" s="35" t="n">
        <v>1</v>
      </c>
      <c r="N148" s="26" t="n">
        <f aca="false">IF(J148=0,0,IF($I148="L/km",MROUND(J148*$M148*IF($H148="Petrol",'Fuel &amp; Inputs'!$C$5,'Fuel &amp; Inputs'!$C$4),1),MROUND(J148*$M148*IF($H148="Petrol",'Fuel &amp; Inputs'!$C$5,'Fuel &amp; Inputs'!$C$4),10)))</f>
        <v>2750</v>
      </c>
      <c r="O148" s="26" t="n">
        <f aca="false">IF(K148=0,0,IF($I148="L/km",MROUND(K148*$M148*IF($H148="Petrol",'Fuel &amp; Inputs'!$C$5,'Fuel &amp; Inputs'!$C$4),1),MROUND(K148*$M148*IF($H148="Petrol",'Fuel &amp; Inputs'!$C$5,'Fuel &amp; Inputs'!$C$4),10)))</f>
        <v>3820</v>
      </c>
      <c r="P148" s="26" t="n">
        <f aca="false">IF(L148=0,0,IF($I148="L/km",MROUND(L148*$M148*IF($H148="Petrol",'Fuel &amp; Inputs'!$C$5,'Fuel &amp; Inputs'!$C$4),1),MROUND(L148*$M148*IF($H148="Petrol",'Fuel &amp; Inputs'!$C$5,'Fuel &amp; Inputs'!$C$4),10)))</f>
        <v>5160</v>
      </c>
      <c r="Q148" s="23" t="s">
        <v>155</v>
      </c>
      <c r="R148" s="27" t="n">
        <v>1130</v>
      </c>
      <c r="S148" s="26" t="n">
        <f aca="false">MROUND(R148+'Fuel &amp; Inputs'!$C$13,50)</f>
        <v>1950</v>
      </c>
      <c r="T148" s="27" t="n">
        <v>2260</v>
      </c>
      <c r="U148" s="26" t="n">
        <f aca="false">MROUND(R148*'Fuel &amp; Inputs'!$C$19*'Fuel &amp; Inputs'!$C$21,100)</f>
        <v>4300</v>
      </c>
      <c r="V148" s="26" t="n">
        <f aca="false">MROUND(S148*'Fuel &amp; Inputs'!$C$19*'Fuel &amp; Inputs'!$C$21,100)</f>
        <v>7400</v>
      </c>
      <c r="W148" s="26" t="n">
        <f aca="false">MROUND(T148*'Fuel &amp; Inputs'!$C$19*'Fuel &amp; Inputs'!$C$21,100)</f>
        <v>8600</v>
      </c>
      <c r="X148" s="26" t="n">
        <f aca="false">MROUND(R148*'Fuel &amp; Inputs'!$C$20*'Fuel &amp; Inputs'!$C$22,500)</f>
        <v>115500</v>
      </c>
      <c r="Y148" s="26" t="n">
        <f aca="false">MROUND(S148*'Fuel &amp; Inputs'!$C$20*'Fuel &amp; Inputs'!$C$22,500)</f>
        <v>199000</v>
      </c>
      <c r="Z148" s="26" t="n">
        <f aca="false">MROUND(T148*'Fuel &amp; Inputs'!$C$20*'Fuel &amp; Inputs'!$C$22,500)</f>
        <v>230500</v>
      </c>
    </row>
    <row r="149" customFormat="false" ht="15" hidden="false" customHeight="false" outlineLevel="0" collapsed="false">
      <c r="A149" s="17" t="n">
        <v>139</v>
      </c>
      <c r="B149" s="32" t="s">
        <v>78</v>
      </c>
      <c r="C149" s="32" t="s">
        <v>384</v>
      </c>
      <c r="D149" s="32" t="s">
        <v>223</v>
      </c>
      <c r="E149" s="17" t="s">
        <v>223</v>
      </c>
      <c r="F149" s="17" t="s">
        <v>429</v>
      </c>
      <c r="G149" s="17" t="s">
        <v>223</v>
      </c>
      <c r="H149" s="17" t="s">
        <v>153</v>
      </c>
      <c r="I149" s="17" t="s">
        <v>154</v>
      </c>
      <c r="J149" s="19" t="n">
        <v>7.2</v>
      </c>
      <c r="K149" s="19" t="n">
        <v>10</v>
      </c>
      <c r="L149" s="19" t="n">
        <v>13.5</v>
      </c>
      <c r="M149" s="33" t="n">
        <v>1</v>
      </c>
      <c r="N149" s="20" t="n">
        <f aca="false">IF(J149=0,0,IF($I149="L/km",MROUND(J149*$M149*IF($H149="Petrol",'Fuel &amp; Inputs'!$C$5,'Fuel &amp; Inputs'!$C$4),1),MROUND(J149*$M149*IF($H149="Petrol",'Fuel &amp; Inputs'!$C$5,'Fuel &amp; Inputs'!$C$4),10)))</f>
        <v>2750</v>
      </c>
      <c r="O149" s="20" t="n">
        <f aca="false">IF(K149=0,0,IF($I149="L/km",MROUND(K149*$M149*IF($H149="Petrol",'Fuel &amp; Inputs'!$C$5,'Fuel &amp; Inputs'!$C$4),1),MROUND(K149*$M149*IF($H149="Petrol",'Fuel &amp; Inputs'!$C$5,'Fuel &amp; Inputs'!$C$4),10)))</f>
        <v>3820</v>
      </c>
      <c r="P149" s="20" t="n">
        <f aca="false">IF(L149=0,0,IF($I149="L/km",MROUND(L149*$M149*IF($H149="Petrol",'Fuel &amp; Inputs'!$C$5,'Fuel &amp; Inputs'!$C$4),1),MROUND(L149*$M149*IF($H149="Petrol",'Fuel &amp; Inputs'!$C$5,'Fuel &amp; Inputs'!$C$4),10)))</f>
        <v>5160</v>
      </c>
      <c r="Q149" s="17" t="s">
        <v>155</v>
      </c>
      <c r="R149" s="21" t="n">
        <v>1130</v>
      </c>
      <c r="S149" s="20" t="n">
        <f aca="false">MROUND(R149+'Fuel &amp; Inputs'!$C$13,50)</f>
        <v>1950</v>
      </c>
      <c r="T149" s="21" t="n">
        <v>2260</v>
      </c>
      <c r="U149" s="20" t="n">
        <f aca="false">MROUND(R149*'Fuel &amp; Inputs'!$C$19*'Fuel &amp; Inputs'!$C$21,100)</f>
        <v>4300</v>
      </c>
      <c r="V149" s="20" t="n">
        <f aca="false">MROUND(S149*'Fuel &amp; Inputs'!$C$19*'Fuel &amp; Inputs'!$C$21,100)</f>
        <v>7400</v>
      </c>
      <c r="W149" s="20" t="n">
        <f aca="false">MROUND(T149*'Fuel &amp; Inputs'!$C$19*'Fuel &amp; Inputs'!$C$21,100)</f>
        <v>8600</v>
      </c>
      <c r="X149" s="20" t="n">
        <f aca="false">MROUND(R149*'Fuel &amp; Inputs'!$C$20*'Fuel &amp; Inputs'!$C$22,500)</f>
        <v>115500</v>
      </c>
      <c r="Y149" s="20" t="n">
        <f aca="false">MROUND(S149*'Fuel &amp; Inputs'!$C$20*'Fuel &amp; Inputs'!$C$22,500)</f>
        <v>199000</v>
      </c>
      <c r="Z149" s="20" t="n">
        <f aca="false">MROUND(T149*'Fuel &amp; Inputs'!$C$20*'Fuel &amp; Inputs'!$C$22,500)</f>
        <v>230500</v>
      </c>
    </row>
    <row r="150" customFormat="false" ht="15" hidden="false" customHeight="false" outlineLevel="0" collapsed="false">
      <c r="A150" s="23" t="n">
        <v>140</v>
      </c>
      <c r="B150" s="34" t="s">
        <v>78</v>
      </c>
      <c r="C150" s="34" t="s">
        <v>241</v>
      </c>
      <c r="D150" s="34" t="s">
        <v>430</v>
      </c>
      <c r="E150" s="23" t="s">
        <v>223</v>
      </c>
      <c r="F150" s="23" t="s">
        <v>431</v>
      </c>
      <c r="G150" s="23" t="s">
        <v>223</v>
      </c>
      <c r="H150" s="23" t="s">
        <v>153</v>
      </c>
      <c r="I150" s="23" t="s">
        <v>154</v>
      </c>
      <c r="J150" s="25" t="n">
        <v>7.2</v>
      </c>
      <c r="K150" s="25" t="n">
        <v>10</v>
      </c>
      <c r="L150" s="25" t="n">
        <v>13.5</v>
      </c>
      <c r="M150" s="35" t="n">
        <v>1</v>
      </c>
      <c r="N150" s="26" t="n">
        <f aca="false">IF(J150=0,0,IF($I150="L/km",MROUND(J150*$M150*IF($H150="Petrol",'Fuel &amp; Inputs'!$C$5,'Fuel &amp; Inputs'!$C$4),1),MROUND(J150*$M150*IF($H150="Petrol",'Fuel &amp; Inputs'!$C$5,'Fuel &amp; Inputs'!$C$4),10)))</f>
        <v>2750</v>
      </c>
      <c r="O150" s="26" t="n">
        <f aca="false">IF(K150=0,0,IF($I150="L/km",MROUND(K150*$M150*IF($H150="Petrol",'Fuel &amp; Inputs'!$C$5,'Fuel &amp; Inputs'!$C$4),1),MROUND(K150*$M150*IF($H150="Petrol",'Fuel &amp; Inputs'!$C$5,'Fuel &amp; Inputs'!$C$4),10)))</f>
        <v>3820</v>
      </c>
      <c r="P150" s="26" t="n">
        <f aca="false">IF(L150=0,0,IF($I150="L/km",MROUND(L150*$M150*IF($H150="Petrol",'Fuel &amp; Inputs'!$C$5,'Fuel &amp; Inputs'!$C$4),1),MROUND(L150*$M150*IF($H150="Petrol",'Fuel &amp; Inputs'!$C$5,'Fuel &amp; Inputs'!$C$4),10)))</f>
        <v>5160</v>
      </c>
      <c r="Q150" s="23" t="s">
        <v>155</v>
      </c>
      <c r="R150" s="27" t="n">
        <v>1130</v>
      </c>
      <c r="S150" s="26" t="n">
        <f aca="false">MROUND(R150+'Fuel &amp; Inputs'!$C$13,50)</f>
        <v>1950</v>
      </c>
      <c r="T150" s="27" t="n">
        <v>2260</v>
      </c>
      <c r="U150" s="26" t="n">
        <f aca="false">MROUND(R150*'Fuel &amp; Inputs'!$C$19*'Fuel &amp; Inputs'!$C$21,100)</f>
        <v>4300</v>
      </c>
      <c r="V150" s="26" t="n">
        <f aca="false">MROUND(S150*'Fuel &amp; Inputs'!$C$19*'Fuel &amp; Inputs'!$C$21,100)</f>
        <v>7400</v>
      </c>
      <c r="W150" s="26" t="n">
        <f aca="false">MROUND(T150*'Fuel &amp; Inputs'!$C$19*'Fuel &amp; Inputs'!$C$21,100)</f>
        <v>8600</v>
      </c>
      <c r="X150" s="26" t="n">
        <f aca="false">MROUND(R150*'Fuel &amp; Inputs'!$C$20*'Fuel &amp; Inputs'!$C$22,500)</f>
        <v>115500</v>
      </c>
      <c r="Y150" s="26" t="n">
        <f aca="false">MROUND(S150*'Fuel &amp; Inputs'!$C$20*'Fuel &amp; Inputs'!$C$22,500)</f>
        <v>199000</v>
      </c>
      <c r="Z150" s="26" t="n">
        <f aca="false">MROUND(T150*'Fuel &amp; Inputs'!$C$20*'Fuel &amp; Inputs'!$C$22,500)</f>
        <v>230500</v>
      </c>
    </row>
    <row r="151" customFormat="false" ht="15" hidden="false" customHeight="false" outlineLevel="0" collapsed="false">
      <c r="A151" s="17" t="n">
        <v>141</v>
      </c>
      <c r="B151" s="32" t="s">
        <v>78</v>
      </c>
      <c r="C151" s="32" t="s">
        <v>327</v>
      </c>
      <c r="D151" s="32" t="s">
        <v>382</v>
      </c>
      <c r="E151" s="17" t="s">
        <v>223</v>
      </c>
      <c r="F151" s="17" t="s">
        <v>223</v>
      </c>
      <c r="G151" s="17" t="s">
        <v>223</v>
      </c>
      <c r="H151" s="17" t="s">
        <v>153</v>
      </c>
      <c r="I151" s="17" t="s">
        <v>154</v>
      </c>
      <c r="J151" s="19" t="n">
        <v>5</v>
      </c>
      <c r="K151" s="19" t="n">
        <v>7</v>
      </c>
      <c r="L151" s="19" t="n">
        <v>9.5</v>
      </c>
      <c r="M151" s="33" t="n">
        <v>1</v>
      </c>
      <c r="N151" s="20" t="n">
        <f aca="false">IF(J151=0,0,IF($I151="L/km",MROUND(J151*$M151*IF($H151="Petrol",'Fuel &amp; Inputs'!$C$5,'Fuel &amp; Inputs'!$C$4),1),MROUND(J151*$M151*IF($H151="Petrol",'Fuel &amp; Inputs'!$C$5,'Fuel &amp; Inputs'!$C$4),10)))</f>
        <v>1910</v>
      </c>
      <c r="O151" s="20" t="n">
        <f aca="false">IF(K151=0,0,IF($I151="L/km",MROUND(K151*$M151*IF($H151="Petrol",'Fuel &amp; Inputs'!$C$5,'Fuel &amp; Inputs'!$C$4),1),MROUND(K151*$M151*IF($H151="Petrol",'Fuel &amp; Inputs'!$C$5,'Fuel &amp; Inputs'!$C$4),10)))</f>
        <v>2670</v>
      </c>
      <c r="P151" s="20" t="n">
        <f aca="false">IF(L151=0,0,IF($I151="L/km",MROUND(L151*$M151*IF($H151="Petrol",'Fuel &amp; Inputs'!$C$5,'Fuel &amp; Inputs'!$C$4),1),MROUND(L151*$M151*IF($H151="Petrol",'Fuel &amp; Inputs'!$C$5,'Fuel &amp; Inputs'!$C$4),10)))</f>
        <v>3630</v>
      </c>
      <c r="Q151" s="17" t="s">
        <v>155</v>
      </c>
      <c r="R151" s="21" t="n">
        <v>1130</v>
      </c>
      <c r="S151" s="20" t="n">
        <f aca="false">MROUND(R151+'Fuel &amp; Inputs'!$C$13,50)</f>
        <v>1950</v>
      </c>
      <c r="T151" s="21" t="n">
        <v>2260</v>
      </c>
      <c r="U151" s="20" t="n">
        <f aca="false">MROUND(R151*'Fuel &amp; Inputs'!$C$19*'Fuel &amp; Inputs'!$C$21,100)</f>
        <v>4300</v>
      </c>
      <c r="V151" s="20" t="n">
        <f aca="false">MROUND(S151*'Fuel &amp; Inputs'!$C$19*'Fuel &amp; Inputs'!$C$21,100)</f>
        <v>7400</v>
      </c>
      <c r="W151" s="20" t="n">
        <f aca="false">MROUND(T151*'Fuel &amp; Inputs'!$C$19*'Fuel &amp; Inputs'!$C$21,100)</f>
        <v>8600</v>
      </c>
      <c r="X151" s="20" t="n">
        <f aca="false">MROUND(R151*'Fuel &amp; Inputs'!$C$20*'Fuel &amp; Inputs'!$C$22,500)</f>
        <v>115500</v>
      </c>
      <c r="Y151" s="20" t="n">
        <f aca="false">MROUND(S151*'Fuel &amp; Inputs'!$C$20*'Fuel &amp; Inputs'!$C$22,500)</f>
        <v>199000</v>
      </c>
      <c r="Z151" s="20" t="n">
        <f aca="false">MROUND(T151*'Fuel &amp; Inputs'!$C$20*'Fuel &amp; Inputs'!$C$22,500)</f>
        <v>230500</v>
      </c>
    </row>
    <row r="152" customFormat="false" ht="15" hidden="false" customHeight="false" outlineLevel="0" collapsed="false">
      <c r="A152" s="23" t="n">
        <v>142</v>
      </c>
      <c r="B152" s="34" t="s">
        <v>78</v>
      </c>
      <c r="C152" s="34" t="s">
        <v>327</v>
      </c>
      <c r="D152" s="34" t="s">
        <v>223</v>
      </c>
      <c r="E152" s="23" t="s">
        <v>223</v>
      </c>
      <c r="F152" s="23" t="s">
        <v>432</v>
      </c>
      <c r="G152" s="23" t="s">
        <v>223</v>
      </c>
      <c r="H152" s="23" t="s">
        <v>153</v>
      </c>
      <c r="I152" s="23" t="s">
        <v>154</v>
      </c>
      <c r="J152" s="25" t="n">
        <v>7.2</v>
      </c>
      <c r="K152" s="25" t="n">
        <v>10</v>
      </c>
      <c r="L152" s="25" t="n">
        <v>13.5</v>
      </c>
      <c r="M152" s="35" t="n">
        <v>1</v>
      </c>
      <c r="N152" s="26" t="n">
        <f aca="false">IF(J152=0,0,IF($I152="L/km",MROUND(J152*$M152*IF($H152="Petrol",'Fuel &amp; Inputs'!$C$5,'Fuel &amp; Inputs'!$C$4),1),MROUND(J152*$M152*IF($H152="Petrol",'Fuel &amp; Inputs'!$C$5,'Fuel &amp; Inputs'!$C$4),10)))</f>
        <v>2750</v>
      </c>
      <c r="O152" s="26" t="n">
        <f aca="false">IF(K152=0,0,IF($I152="L/km",MROUND(K152*$M152*IF($H152="Petrol",'Fuel &amp; Inputs'!$C$5,'Fuel &amp; Inputs'!$C$4),1),MROUND(K152*$M152*IF($H152="Petrol",'Fuel &amp; Inputs'!$C$5,'Fuel &amp; Inputs'!$C$4),10)))</f>
        <v>3820</v>
      </c>
      <c r="P152" s="26" t="n">
        <f aca="false">IF(L152=0,0,IF($I152="L/km",MROUND(L152*$M152*IF($H152="Petrol",'Fuel &amp; Inputs'!$C$5,'Fuel &amp; Inputs'!$C$4),1),MROUND(L152*$M152*IF($H152="Petrol",'Fuel &amp; Inputs'!$C$5,'Fuel &amp; Inputs'!$C$4),10)))</f>
        <v>5160</v>
      </c>
      <c r="Q152" s="23" t="s">
        <v>155</v>
      </c>
      <c r="R152" s="27" t="n">
        <v>1130</v>
      </c>
      <c r="S152" s="26" t="n">
        <f aca="false">MROUND(R152+'Fuel &amp; Inputs'!$C$13,50)</f>
        <v>1950</v>
      </c>
      <c r="T152" s="27" t="n">
        <v>2260</v>
      </c>
      <c r="U152" s="26" t="n">
        <f aca="false">MROUND(R152*'Fuel &amp; Inputs'!$C$19*'Fuel &amp; Inputs'!$C$21,100)</f>
        <v>4300</v>
      </c>
      <c r="V152" s="26" t="n">
        <f aca="false">MROUND(S152*'Fuel &amp; Inputs'!$C$19*'Fuel &amp; Inputs'!$C$21,100)</f>
        <v>7400</v>
      </c>
      <c r="W152" s="26" t="n">
        <f aca="false">MROUND(T152*'Fuel &amp; Inputs'!$C$19*'Fuel &amp; Inputs'!$C$21,100)</f>
        <v>8600</v>
      </c>
      <c r="X152" s="26" t="n">
        <f aca="false">MROUND(R152*'Fuel &amp; Inputs'!$C$20*'Fuel &amp; Inputs'!$C$22,500)</f>
        <v>115500</v>
      </c>
      <c r="Y152" s="26" t="n">
        <f aca="false">MROUND(S152*'Fuel &amp; Inputs'!$C$20*'Fuel &amp; Inputs'!$C$22,500)</f>
        <v>199000</v>
      </c>
      <c r="Z152" s="26" t="n">
        <f aca="false">MROUND(T152*'Fuel &amp; Inputs'!$C$20*'Fuel &amp; Inputs'!$C$22,500)</f>
        <v>230500</v>
      </c>
    </row>
    <row r="153" customFormat="false" ht="15" hidden="false" customHeight="false" outlineLevel="0" collapsed="false">
      <c r="A153" s="17" t="n">
        <v>143</v>
      </c>
      <c r="B153" s="32" t="s">
        <v>78</v>
      </c>
      <c r="C153" s="32" t="s">
        <v>327</v>
      </c>
      <c r="D153" s="32" t="s">
        <v>433</v>
      </c>
      <c r="E153" s="17" t="s">
        <v>223</v>
      </c>
      <c r="F153" s="17" t="s">
        <v>434</v>
      </c>
      <c r="G153" s="17" t="s">
        <v>223</v>
      </c>
      <c r="H153" s="17" t="s">
        <v>153</v>
      </c>
      <c r="I153" s="17" t="s">
        <v>154</v>
      </c>
      <c r="J153" s="19" t="n">
        <v>7.2</v>
      </c>
      <c r="K153" s="19" t="n">
        <v>10</v>
      </c>
      <c r="L153" s="19" t="n">
        <v>13.5</v>
      </c>
      <c r="M153" s="33" t="n">
        <v>1</v>
      </c>
      <c r="N153" s="20" t="n">
        <f aca="false">IF(J153=0,0,IF($I153="L/km",MROUND(J153*$M153*IF($H153="Petrol",'Fuel &amp; Inputs'!$C$5,'Fuel &amp; Inputs'!$C$4),1),MROUND(J153*$M153*IF($H153="Petrol",'Fuel &amp; Inputs'!$C$5,'Fuel &amp; Inputs'!$C$4),10)))</f>
        <v>2750</v>
      </c>
      <c r="O153" s="20" t="n">
        <f aca="false">IF(K153=0,0,IF($I153="L/km",MROUND(K153*$M153*IF($H153="Petrol",'Fuel &amp; Inputs'!$C$5,'Fuel &amp; Inputs'!$C$4),1),MROUND(K153*$M153*IF($H153="Petrol",'Fuel &amp; Inputs'!$C$5,'Fuel &amp; Inputs'!$C$4),10)))</f>
        <v>3820</v>
      </c>
      <c r="P153" s="20" t="n">
        <f aca="false">IF(L153=0,0,IF($I153="L/km",MROUND(L153*$M153*IF($H153="Petrol",'Fuel &amp; Inputs'!$C$5,'Fuel &amp; Inputs'!$C$4),1),MROUND(L153*$M153*IF($H153="Petrol",'Fuel &amp; Inputs'!$C$5,'Fuel &amp; Inputs'!$C$4),10)))</f>
        <v>5160</v>
      </c>
      <c r="Q153" s="17" t="s">
        <v>155</v>
      </c>
      <c r="R153" s="21" t="n">
        <v>1130</v>
      </c>
      <c r="S153" s="20" t="n">
        <f aca="false">MROUND(R153+'Fuel &amp; Inputs'!$C$13,50)</f>
        <v>1950</v>
      </c>
      <c r="T153" s="21" t="n">
        <v>2260</v>
      </c>
      <c r="U153" s="20" t="n">
        <f aca="false">MROUND(R153*'Fuel &amp; Inputs'!$C$19*'Fuel &amp; Inputs'!$C$21,100)</f>
        <v>4300</v>
      </c>
      <c r="V153" s="20" t="n">
        <f aca="false">MROUND(S153*'Fuel &amp; Inputs'!$C$19*'Fuel &amp; Inputs'!$C$21,100)</f>
        <v>7400</v>
      </c>
      <c r="W153" s="20" t="n">
        <f aca="false">MROUND(T153*'Fuel &amp; Inputs'!$C$19*'Fuel &amp; Inputs'!$C$21,100)</f>
        <v>8600</v>
      </c>
      <c r="X153" s="20" t="n">
        <f aca="false">MROUND(R153*'Fuel &amp; Inputs'!$C$20*'Fuel &amp; Inputs'!$C$22,500)</f>
        <v>115500</v>
      </c>
      <c r="Y153" s="20" t="n">
        <f aca="false">MROUND(S153*'Fuel &amp; Inputs'!$C$20*'Fuel &amp; Inputs'!$C$22,500)</f>
        <v>199000</v>
      </c>
      <c r="Z153" s="20" t="n">
        <f aca="false">MROUND(T153*'Fuel &amp; Inputs'!$C$20*'Fuel &amp; Inputs'!$C$22,500)</f>
        <v>230500</v>
      </c>
    </row>
    <row r="154" customFormat="false" ht="15" hidden="false" customHeight="true" outlineLevel="0" collapsed="false">
      <c r="A154" s="31" t="s">
        <v>435</v>
      </c>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ustomFormat="false" ht="15" hidden="false" customHeight="false" outlineLevel="0" collapsed="false">
      <c r="A155" s="23" t="n">
        <v>144</v>
      </c>
      <c r="B155" s="34" t="s">
        <v>80</v>
      </c>
      <c r="C155" s="34" t="s">
        <v>330</v>
      </c>
      <c r="D155" s="34" t="s">
        <v>223</v>
      </c>
      <c r="E155" s="23" t="s">
        <v>166</v>
      </c>
      <c r="F155" s="23" t="s">
        <v>436</v>
      </c>
      <c r="G155" s="23" t="s">
        <v>223</v>
      </c>
      <c r="H155" s="23" t="s">
        <v>153</v>
      </c>
      <c r="I155" s="23" t="s">
        <v>154</v>
      </c>
      <c r="J155" s="25" t="n">
        <v>6.5</v>
      </c>
      <c r="K155" s="25" t="n">
        <v>9</v>
      </c>
      <c r="L155" s="25" t="n">
        <v>12.2</v>
      </c>
      <c r="M155" s="35" t="n">
        <v>1.098</v>
      </c>
      <c r="N155" s="26" t="n">
        <f aca="false">IF(J155=0,0,IF($I155="L/km",MROUND(J155*$M155*IF($H155="Petrol",'Fuel &amp; Inputs'!$C$5,'Fuel &amp; Inputs'!$C$4),1),MROUND(J155*$M155*IF($H155="Petrol",'Fuel &amp; Inputs'!$C$5,'Fuel &amp; Inputs'!$C$4),10)))</f>
        <v>2730</v>
      </c>
      <c r="O155" s="26" t="n">
        <f aca="false">IF(K155=0,0,IF($I155="L/km",MROUND(K155*$M155*IF($H155="Petrol",'Fuel &amp; Inputs'!$C$5,'Fuel &amp; Inputs'!$C$4),1),MROUND(K155*$M155*IF($H155="Petrol",'Fuel &amp; Inputs'!$C$5,'Fuel &amp; Inputs'!$C$4),10)))</f>
        <v>3770</v>
      </c>
      <c r="P155" s="26" t="n">
        <f aca="false">IF(L155=0,0,IF($I155="L/km",MROUND(L155*$M155*IF($H155="Petrol",'Fuel &amp; Inputs'!$C$5,'Fuel &amp; Inputs'!$C$4),1),MROUND(L155*$M155*IF($H155="Petrol",'Fuel &amp; Inputs'!$C$5,'Fuel &amp; Inputs'!$C$4),10)))</f>
        <v>5120</v>
      </c>
      <c r="Q155" s="23" t="s">
        <v>155</v>
      </c>
      <c r="R155" s="27" t="n">
        <v>1640</v>
      </c>
      <c r="S155" s="26" t="n">
        <f aca="false">MROUND(R155+'Fuel &amp; Inputs'!$C$13,50)</f>
        <v>2450</v>
      </c>
      <c r="T155" s="27" t="n">
        <v>3240</v>
      </c>
      <c r="U155" s="26" t="n">
        <f aca="false">MROUND(R155*'Fuel &amp; Inputs'!$C$19*'Fuel &amp; Inputs'!$C$21,100)</f>
        <v>6200</v>
      </c>
      <c r="V155" s="26" t="n">
        <f aca="false">MROUND(S155*'Fuel &amp; Inputs'!$C$19*'Fuel &amp; Inputs'!$C$21,100)</f>
        <v>9300</v>
      </c>
      <c r="W155" s="26" t="n">
        <f aca="false">MROUND(T155*'Fuel &amp; Inputs'!$C$19*'Fuel &amp; Inputs'!$C$21,100)</f>
        <v>12300</v>
      </c>
      <c r="X155" s="26" t="n">
        <f aca="false">MROUND(R155*'Fuel &amp; Inputs'!$C$20*'Fuel &amp; Inputs'!$C$22,500)</f>
        <v>167500</v>
      </c>
      <c r="Y155" s="26" t="n">
        <f aca="false">MROUND(S155*'Fuel &amp; Inputs'!$C$20*'Fuel &amp; Inputs'!$C$22,500)</f>
        <v>250000</v>
      </c>
      <c r="Z155" s="26" t="n">
        <f aca="false">MROUND(T155*'Fuel &amp; Inputs'!$C$20*'Fuel &amp; Inputs'!$C$22,500)</f>
        <v>330500</v>
      </c>
    </row>
    <row r="156" customFormat="false" ht="15" hidden="false" customHeight="false" outlineLevel="0" collapsed="false">
      <c r="A156" s="17" t="n">
        <v>145</v>
      </c>
      <c r="B156" s="32" t="s">
        <v>80</v>
      </c>
      <c r="C156" s="32" t="s">
        <v>312</v>
      </c>
      <c r="D156" s="32" t="s">
        <v>437</v>
      </c>
      <c r="E156" s="17" t="s">
        <v>166</v>
      </c>
      <c r="F156" s="17" t="s">
        <v>438</v>
      </c>
      <c r="G156" s="17" t="s">
        <v>223</v>
      </c>
      <c r="H156" s="17" t="s">
        <v>153</v>
      </c>
      <c r="I156" s="17" t="s">
        <v>154</v>
      </c>
      <c r="J156" s="19" t="n">
        <v>6.5</v>
      </c>
      <c r="K156" s="19" t="n">
        <v>9</v>
      </c>
      <c r="L156" s="19" t="n">
        <v>12.2</v>
      </c>
      <c r="M156" s="33" t="n">
        <v>1.098</v>
      </c>
      <c r="N156" s="20" t="n">
        <f aca="false">IF(J156=0,0,IF($I156="L/km",MROUND(J156*$M156*IF($H156="Petrol",'Fuel &amp; Inputs'!$C$5,'Fuel &amp; Inputs'!$C$4),1),MROUND(J156*$M156*IF($H156="Petrol",'Fuel &amp; Inputs'!$C$5,'Fuel &amp; Inputs'!$C$4),10)))</f>
        <v>2730</v>
      </c>
      <c r="O156" s="20" t="n">
        <f aca="false">IF(K156=0,0,IF($I156="L/km",MROUND(K156*$M156*IF($H156="Petrol",'Fuel &amp; Inputs'!$C$5,'Fuel &amp; Inputs'!$C$4),1),MROUND(K156*$M156*IF($H156="Petrol",'Fuel &amp; Inputs'!$C$5,'Fuel &amp; Inputs'!$C$4),10)))</f>
        <v>3770</v>
      </c>
      <c r="P156" s="20" t="n">
        <f aca="false">IF(L156=0,0,IF($I156="L/km",MROUND(L156*$M156*IF($H156="Petrol",'Fuel &amp; Inputs'!$C$5,'Fuel &amp; Inputs'!$C$4),1),MROUND(L156*$M156*IF($H156="Petrol",'Fuel &amp; Inputs'!$C$5,'Fuel &amp; Inputs'!$C$4),10)))</f>
        <v>5120</v>
      </c>
      <c r="Q156" s="17" t="s">
        <v>155</v>
      </c>
      <c r="R156" s="21" t="n">
        <v>1640</v>
      </c>
      <c r="S156" s="20" t="n">
        <f aca="false">MROUND(R156+'Fuel &amp; Inputs'!$C$13,50)</f>
        <v>2450</v>
      </c>
      <c r="T156" s="21" t="n">
        <v>3240</v>
      </c>
      <c r="U156" s="20" t="n">
        <f aca="false">MROUND(R156*'Fuel &amp; Inputs'!$C$19*'Fuel &amp; Inputs'!$C$21,100)</f>
        <v>6200</v>
      </c>
      <c r="V156" s="20" t="n">
        <f aca="false">MROUND(S156*'Fuel &amp; Inputs'!$C$19*'Fuel &amp; Inputs'!$C$21,100)</f>
        <v>9300</v>
      </c>
      <c r="W156" s="20" t="n">
        <f aca="false">MROUND(T156*'Fuel &amp; Inputs'!$C$19*'Fuel &amp; Inputs'!$C$21,100)</f>
        <v>12300</v>
      </c>
      <c r="X156" s="20" t="n">
        <f aca="false">MROUND(R156*'Fuel &amp; Inputs'!$C$20*'Fuel &amp; Inputs'!$C$22,500)</f>
        <v>167500</v>
      </c>
      <c r="Y156" s="20" t="n">
        <f aca="false">MROUND(S156*'Fuel &amp; Inputs'!$C$20*'Fuel &amp; Inputs'!$C$22,500)</f>
        <v>250000</v>
      </c>
      <c r="Z156" s="20" t="n">
        <f aca="false">MROUND(T156*'Fuel &amp; Inputs'!$C$20*'Fuel &amp; Inputs'!$C$22,500)</f>
        <v>330500</v>
      </c>
    </row>
    <row r="157" customFormat="false" ht="15" hidden="false" customHeight="false" outlineLevel="0" collapsed="false">
      <c r="A157" s="23" t="n">
        <v>146</v>
      </c>
      <c r="B157" s="34" t="s">
        <v>80</v>
      </c>
      <c r="C157" s="34" t="s">
        <v>312</v>
      </c>
      <c r="D157" s="34" t="s">
        <v>437</v>
      </c>
      <c r="E157" s="23" t="s">
        <v>166</v>
      </c>
      <c r="F157" s="23" t="s">
        <v>439</v>
      </c>
      <c r="G157" s="23" t="s">
        <v>223</v>
      </c>
      <c r="H157" s="23" t="s">
        <v>153</v>
      </c>
      <c r="I157" s="23" t="s">
        <v>154</v>
      </c>
      <c r="J157" s="25" t="n">
        <v>6.5</v>
      </c>
      <c r="K157" s="25" t="n">
        <v>9</v>
      </c>
      <c r="L157" s="25" t="n">
        <v>12.2</v>
      </c>
      <c r="M157" s="35" t="n">
        <v>1.098</v>
      </c>
      <c r="N157" s="26" t="n">
        <f aca="false">IF(J157=0,0,IF($I157="L/km",MROUND(J157*$M157*IF($H157="Petrol",'Fuel &amp; Inputs'!$C$5,'Fuel &amp; Inputs'!$C$4),1),MROUND(J157*$M157*IF($H157="Petrol",'Fuel &amp; Inputs'!$C$5,'Fuel &amp; Inputs'!$C$4),10)))</f>
        <v>2730</v>
      </c>
      <c r="O157" s="26" t="n">
        <f aca="false">IF(K157=0,0,IF($I157="L/km",MROUND(K157*$M157*IF($H157="Petrol",'Fuel &amp; Inputs'!$C$5,'Fuel &amp; Inputs'!$C$4),1),MROUND(K157*$M157*IF($H157="Petrol",'Fuel &amp; Inputs'!$C$5,'Fuel &amp; Inputs'!$C$4),10)))</f>
        <v>3770</v>
      </c>
      <c r="P157" s="26" t="n">
        <f aca="false">IF(L157=0,0,IF($I157="L/km",MROUND(L157*$M157*IF($H157="Petrol",'Fuel &amp; Inputs'!$C$5,'Fuel &amp; Inputs'!$C$4),1),MROUND(L157*$M157*IF($H157="Petrol",'Fuel &amp; Inputs'!$C$5,'Fuel &amp; Inputs'!$C$4),10)))</f>
        <v>5120</v>
      </c>
      <c r="Q157" s="23" t="s">
        <v>155</v>
      </c>
      <c r="R157" s="27" t="n">
        <v>1640</v>
      </c>
      <c r="S157" s="26" t="n">
        <f aca="false">MROUND(R157+'Fuel &amp; Inputs'!$C$13,50)</f>
        <v>2450</v>
      </c>
      <c r="T157" s="27" t="n">
        <v>3240</v>
      </c>
      <c r="U157" s="26" t="n">
        <f aca="false">MROUND(R157*'Fuel &amp; Inputs'!$C$19*'Fuel &amp; Inputs'!$C$21,100)</f>
        <v>6200</v>
      </c>
      <c r="V157" s="26" t="n">
        <f aca="false">MROUND(S157*'Fuel &amp; Inputs'!$C$19*'Fuel &amp; Inputs'!$C$21,100)</f>
        <v>9300</v>
      </c>
      <c r="W157" s="26" t="n">
        <f aca="false">MROUND(T157*'Fuel &amp; Inputs'!$C$19*'Fuel &amp; Inputs'!$C$21,100)</f>
        <v>12300</v>
      </c>
      <c r="X157" s="26" t="n">
        <f aca="false">MROUND(R157*'Fuel &amp; Inputs'!$C$20*'Fuel &amp; Inputs'!$C$22,500)</f>
        <v>167500</v>
      </c>
      <c r="Y157" s="26" t="n">
        <f aca="false">MROUND(S157*'Fuel &amp; Inputs'!$C$20*'Fuel &amp; Inputs'!$C$22,500)</f>
        <v>250000</v>
      </c>
      <c r="Z157" s="26" t="n">
        <f aca="false">MROUND(T157*'Fuel &amp; Inputs'!$C$20*'Fuel &amp; Inputs'!$C$22,500)</f>
        <v>330500</v>
      </c>
    </row>
    <row r="158" customFormat="false" ht="15" hidden="false" customHeight="false" outlineLevel="0" collapsed="false">
      <c r="A158" s="17" t="n">
        <v>147</v>
      </c>
      <c r="B158" s="32" t="s">
        <v>80</v>
      </c>
      <c r="C158" s="32" t="s">
        <v>440</v>
      </c>
      <c r="D158" s="32" t="s">
        <v>441</v>
      </c>
      <c r="E158" s="17" t="s">
        <v>166</v>
      </c>
      <c r="F158" s="17" t="s">
        <v>442</v>
      </c>
      <c r="G158" s="17" t="s">
        <v>223</v>
      </c>
      <c r="H158" s="17" t="s">
        <v>153</v>
      </c>
      <c r="I158" s="17" t="s">
        <v>154</v>
      </c>
      <c r="J158" s="19" t="n">
        <v>6.5</v>
      </c>
      <c r="K158" s="19" t="n">
        <v>9</v>
      </c>
      <c r="L158" s="19" t="n">
        <v>12.2</v>
      </c>
      <c r="M158" s="33" t="n">
        <v>1.098</v>
      </c>
      <c r="N158" s="20" t="n">
        <f aca="false">IF(J158=0,0,IF($I158="L/km",MROUND(J158*$M158*IF($H158="Petrol",'Fuel &amp; Inputs'!$C$5,'Fuel &amp; Inputs'!$C$4),1),MROUND(J158*$M158*IF($H158="Petrol",'Fuel &amp; Inputs'!$C$5,'Fuel &amp; Inputs'!$C$4),10)))</f>
        <v>2730</v>
      </c>
      <c r="O158" s="20" t="n">
        <f aca="false">IF(K158=0,0,IF($I158="L/km",MROUND(K158*$M158*IF($H158="Petrol",'Fuel &amp; Inputs'!$C$5,'Fuel &amp; Inputs'!$C$4),1),MROUND(K158*$M158*IF($H158="Petrol",'Fuel &amp; Inputs'!$C$5,'Fuel &amp; Inputs'!$C$4),10)))</f>
        <v>3770</v>
      </c>
      <c r="P158" s="20" t="n">
        <f aca="false">IF(L158=0,0,IF($I158="L/km",MROUND(L158*$M158*IF($H158="Petrol",'Fuel &amp; Inputs'!$C$5,'Fuel &amp; Inputs'!$C$4),1),MROUND(L158*$M158*IF($H158="Petrol",'Fuel &amp; Inputs'!$C$5,'Fuel &amp; Inputs'!$C$4),10)))</f>
        <v>5120</v>
      </c>
      <c r="Q158" s="17" t="s">
        <v>155</v>
      </c>
      <c r="R158" s="21" t="n">
        <v>1640</v>
      </c>
      <c r="S158" s="20" t="n">
        <f aca="false">MROUND(R158+'Fuel &amp; Inputs'!$C$13,50)</f>
        <v>2450</v>
      </c>
      <c r="T158" s="21" t="n">
        <v>3240</v>
      </c>
      <c r="U158" s="20" t="n">
        <f aca="false">MROUND(R158*'Fuel &amp; Inputs'!$C$19*'Fuel &amp; Inputs'!$C$21,100)</f>
        <v>6200</v>
      </c>
      <c r="V158" s="20" t="n">
        <f aca="false">MROUND(S158*'Fuel &amp; Inputs'!$C$19*'Fuel &amp; Inputs'!$C$21,100)</f>
        <v>9300</v>
      </c>
      <c r="W158" s="20" t="n">
        <f aca="false">MROUND(T158*'Fuel &amp; Inputs'!$C$19*'Fuel &amp; Inputs'!$C$21,100)</f>
        <v>12300</v>
      </c>
      <c r="X158" s="20" t="n">
        <f aca="false">MROUND(R158*'Fuel &amp; Inputs'!$C$20*'Fuel &amp; Inputs'!$C$22,500)</f>
        <v>167500</v>
      </c>
      <c r="Y158" s="20" t="n">
        <f aca="false">MROUND(S158*'Fuel &amp; Inputs'!$C$20*'Fuel &amp; Inputs'!$C$22,500)</f>
        <v>250000</v>
      </c>
      <c r="Z158" s="20" t="n">
        <f aca="false">MROUND(T158*'Fuel &amp; Inputs'!$C$20*'Fuel &amp; Inputs'!$C$22,500)</f>
        <v>330500</v>
      </c>
    </row>
    <row r="159" customFormat="false" ht="15" hidden="false" customHeight="false" outlineLevel="0" collapsed="false">
      <c r="A159" s="23" t="n">
        <v>148</v>
      </c>
      <c r="B159" s="34" t="s">
        <v>80</v>
      </c>
      <c r="C159" s="34" t="s">
        <v>443</v>
      </c>
      <c r="D159" s="34" t="s">
        <v>444</v>
      </c>
      <c r="E159" s="23" t="s">
        <v>166</v>
      </c>
      <c r="F159" s="23" t="s">
        <v>445</v>
      </c>
      <c r="G159" s="23" t="s">
        <v>223</v>
      </c>
      <c r="H159" s="23" t="s">
        <v>153</v>
      </c>
      <c r="I159" s="23" t="s">
        <v>154</v>
      </c>
      <c r="J159" s="25" t="n">
        <v>6.5</v>
      </c>
      <c r="K159" s="25" t="n">
        <v>9</v>
      </c>
      <c r="L159" s="25" t="n">
        <v>12.2</v>
      </c>
      <c r="M159" s="35" t="n">
        <v>1.098</v>
      </c>
      <c r="N159" s="26" t="n">
        <f aca="false">IF(J159=0,0,IF($I159="L/km",MROUND(J159*$M159*IF($H159="Petrol",'Fuel &amp; Inputs'!$C$5,'Fuel &amp; Inputs'!$C$4),1),MROUND(J159*$M159*IF($H159="Petrol",'Fuel &amp; Inputs'!$C$5,'Fuel &amp; Inputs'!$C$4),10)))</f>
        <v>2730</v>
      </c>
      <c r="O159" s="26" t="n">
        <f aca="false">IF(K159=0,0,IF($I159="L/km",MROUND(K159*$M159*IF($H159="Petrol",'Fuel &amp; Inputs'!$C$5,'Fuel &amp; Inputs'!$C$4),1),MROUND(K159*$M159*IF($H159="Petrol",'Fuel &amp; Inputs'!$C$5,'Fuel &amp; Inputs'!$C$4),10)))</f>
        <v>3770</v>
      </c>
      <c r="P159" s="26" t="n">
        <f aca="false">IF(L159=0,0,IF($I159="L/km",MROUND(L159*$M159*IF($H159="Petrol",'Fuel &amp; Inputs'!$C$5,'Fuel &amp; Inputs'!$C$4),1),MROUND(L159*$M159*IF($H159="Petrol",'Fuel &amp; Inputs'!$C$5,'Fuel &amp; Inputs'!$C$4),10)))</f>
        <v>5120</v>
      </c>
      <c r="Q159" s="23" t="s">
        <v>155</v>
      </c>
      <c r="R159" s="27" t="n">
        <v>1640</v>
      </c>
      <c r="S159" s="26" t="n">
        <f aca="false">MROUND(R159+'Fuel &amp; Inputs'!$C$13,50)</f>
        <v>2450</v>
      </c>
      <c r="T159" s="27" t="n">
        <v>3240</v>
      </c>
      <c r="U159" s="26" t="n">
        <f aca="false">MROUND(R159*'Fuel &amp; Inputs'!$C$19*'Fuel &amp; Inputs'!$C$21,100)</f>
        <v>6200</v>
      </c>
      <c r="V159" s="26" t="n">
        <f aca="false">MROUND(S159*'Fuel &amp; Inputs'!$C$19*'Fuel &amp; Inputs'!$C$21,100)</f>
        <v>9300</v>
      </c>
      <c r="W159" s="26" t="n">
        <f aca="false">MROUND(T159*'Fuel &amp; Inputs'!$C$19*'Fuel &amp; Inputs'!$C$21,100)</f>
        <v>12300</v>
      </c>
      <c r="X159" s="26" t="n">
        <f aca="false">MROUND(R159*'Fuel &amp; Inputs'!$C$20*'Fuel &amp; Inputs'!$C$22,500)</f>
        <v>167500</v>
      </c>
      <c r="Y159" s="26" t="n">
        <f aca="false">MROUND(S159*'Fuel &amp; Inputs'!$C$20*'Fuel &amp; Inputs'!$C$22,500)</f>
        <v>250000</v>
      </c>
      <c r="Z159" s="26" t="n">
        <f aca="false">MROUND(T159*'Fuel &amp; Inputs'!$C$20*'Fuel &amp; Inputs'!$C$22,500)</f>
        <v>330500</v>
      </c>
    </row>
    <row r="160" customFormat="false" ht="15" hidden="false" customHeight="false" outlineLevel="0" collapsed="false">
      <c r="A160" s="17" t="n">
        <v>149</v>
      </c>
      <c r="B160" s="32" t="s">
        <v>80</v>
      </c>
      <c r="C160" s="32" t="s">
        <v>446</v>
      </c>
      <c r="D160" s="32" t="s">
        <v>447</v>
      </c>
      <c r="E160" s="17" t="s">
        <v>166</v>
      </c>
      <c r="F160" s="17" t="s">
        <v>448</v>
      </c>
      <c r="G160" s="17" t="s">
        <v>223</v>
      </c>
      <c r="H160" s="17" t="s">
        <v>153</v>
      </c>
      <c r="I160" s="17" t="s">
        <v>154</v>
      </c>
      <c r="J160" s="19" t="n">
        <v>6.5</v>
      </c>
      <c r="K160" s="19" t="n">
        <v>9</v>
      </c>
      <c r="L160" s="19" t="n">
        <v>12.2</v>
      </c>
      <c r="M160" s="33" t="n">
        <v>1.098</v>
      </c>
      <c r="N160" s="20" t="n">
        <f aca="false">IF(J160=0,0,IF($I160="L/km",MROUND(J160*$M160*IF($H160="Petrol",'Fuel &amp; Inputs'!$C$5,'Fuel &amp; Inputs'!$C$4),1),MROUND(J160*$M160*IF($H160="Petrol",'Fuel &amp; Inputs'!$C$5,'Fuel &amp; Inputs'!$C$4),10)))</f>
        <v>2730</v>
      </c>
      <c r="O160" s="20" t="n">
        <f aca="false">IF(K160=0,0,IF($I160="L/km",MROUND(K160*$M160*IF($H160="Petrol",'Fuel &amp; Inputs'!$C$5,'Fuel &amp; Inputs'!$C$4),1),MROUND(K160*$M160*IF($H160="Petrol",'Fuel &amp; Inputs'!$C$5,'Fuel &amp; Inputs'!$C$4),10)))</f>
        <v>3770</v>
      </c>
      <c r="P160" s="20" t="n">
        <f aca="false">IF(L160=0,0,IF($I160="L/km",MROUND(L160*$M160*IF($H160="Petrol",'Fuel &amp; Inputs'!$C$5,'Fuel &amp; Inputs'!$C$4),1),MROUND(L160*$M160*IF($H160="Petrol",'Fuel &amp; Inputs'!$C$5,'Fuel &amp; Inputs'!$C$4),10)))</f>
        <v>5120</v>
      </c>
      <c r="Q160" s="17" t="s">
        <v>155</v>
      </c>
      <c r="R160" s="21" t="n">
        <v>1640</v>
      </c>
      <c r="S160" s="20" t="n">
        <f aca="false">MROUND(R160+'Fuel &amp; Inputs'!$C$13,50)</f>
        <v>2450</v>
      </c>
      <c r="T160" s="21" t="n">
        <v>3240</v>
      </c>
      <c r="U160" s="20" t="n">
        <f aca="false">MROUND(R160*'Fuel &amp; Inputs'!$C$19*'Fuel &amp; Inputs'!$C$21,100)</f>
        <v>6200</v>
      </c>
      <c r="V160" s="20" t="n">
        <f aca="false">MROUND(S160*'Fuel &amp; Inputs'!$C$19*'Fuel &amp; Inputs'!$C$21,100)</f>
        <v>9300</v>
      </c>
      <c r="W160" s="20" t="n">
        <f aca="false">MROUND(T160*'Fuel &amp; Inputs'!$C$19*'Fuel &amp; Inputs'!$C$21,100)</f>
        <v>12300</v>
      </c>
      <c r="X160" s="20" t="n">
        <f aca="false">MROUND(R160*'Fuel &amp; Inputs'!$C$20*'Fuel &amp; Inputs'!$C$22,500)</f>
        <v>167500</v>
      </c>
      <c r="Y160" s="20" t="n">
        <f aca="false">MROUND(S160*'Fuel &amp; Inputs'!$C$20*'Fuel &amp; Inputs'!$C$22,500)</f>
        <v>250000</v>
      </c>
      <c r="Z160" s="20" t="n">
        <f aca="false">MROUND(T160*'Fuel &amp; Inputs'!$C$20*'Fuel &amp; Inputs'!$C$22,500)</f>
        <v>330500</v>
      </c>
    </row>
    <row r="161" customFormat="false" ht="15" hidden="false" customHeight="false" outlineLevel="0" collapsed="false">
      <c r="A161" s="23" t="n">
        <v>150</v>
      </c>
      <c r="B161" s="34" t="s">
        <v>80</v>
      </c>
      <c r="C161" s="34" t="s">
        <v>327</v>
      </c>
      <c r="D161" s="34" t="s">
        <v>449</v>
      </c>
      <c r="E161" s="23" t="s">
        <v>166</v>
      </c>
      <c r="F161" s="23" t="s">
        <v>450</v>
      </c>
      <c r="G161" s="23" t="s">
        <v>223</v>
      </c>
      <c r="H161" s="23" t="s">
        <v>153</v>
      </c>
      <c r="I161" s="23" t="s">
        <v>154</v>
      </c>
      <c r="J161" s="25" t="n">
        <v>6.5</v>
      </c>
      <c r="K161" s="25" t="n">
        <v>9</v>
      </c>
      <c r="L161" s="25" t="n">
        <v>12.2</v>
      </c>
      <c r="M161" s="35" t="n">
        <v>1.098</v>
      </c>
      <c r="N161" s="26" t="n">
        <f aca="false">IF(J161=0,0,IF($I161="L/km",MROUND(J161*$M161*IF($H161="Petrol",'Fuel &amp; Inputs'!$C$5,'Fuel &amp; Inputs'!$C$4),1),MROUND(J161*$M161*IF($H161="Petrol",'Fuel &amp; Inputs'!$C$5,'Fuel &amp; Inputs'!$C$4),10)))</f>
        <v>2730</v>
      </c>
      <c r="O161" s="26" t="n">
        <f aca="false">IF(K161=0,0,IF($I161="L/km",MROUND(K161*$M161*IF($H161="Petrol",'Fuel &amp; Inputs'!$C$5,'Fuel &amp; Inputs'!$C$4),1),MROUND(K161*$M161*IF($H161="Petrol",'Fuel &amp; Inputs'!$C$5,'Fuel &amp; Inputs'!$C$4),10)))</f>
        <v>3770</v>
      </c>
      <c r="P161" s="26" t="n">
        <f aca="false">IF(L161=0,0,IF($I161="L/km",MROUND(L161*$M161*IF($H161="Petrol",'Fuel &amp; Inputs'!$C$5,'Fuel &amp; Inputs'!$C$4),1),MROUND(L161*$M161*IF($H161="Petrol",'Fuel &amp; Inputs'!$C$5,'Fuel &amp; Inputs'!$C$4),10)))</f>
        <v>5120</v>
      </c>
      <c r="Q161" s="23" t="s">
        <v>155</v>
      </c>
      <c r="R161" s="27" t="n">
        <v>1640</v>
      </c>
      <c r="S161" s="26" t="n">
        <f aca="false">MROUND(R161+'Fuel &amp; Inputs'!$C$13,50)</f>
        <v>2450</v>
      </c>
      <c r="T161" s="27" t="n">
        <v>3240</v>
      </c>
      <c r="U161" s="26" t="n">
        <f aca="false">MROUND(R161*'Fuel &amp; Inputs'!$C$19*'Fuel &amp; Inputs'!$C$21,100)</f>
        <v>6200</v>
      </c>
      <c r="V161" s="26" t="n">
        <f aca="false">MROUND(S161*'Fuel &amp; Inputs'!$C$19*'Fuel &amp; Inputs'!$C$21,100)</f>
        <v>9300</v>
      </c>
      <c r="W161" s="26" t="n">
        <f aca="false">MROUND(T161*'Fuel &amp; Inputs'!$C$19*'Fuel &amp; Inputs'!$C$21,100)</f>
        <v>12300</v>
      </c>
      <c r="X161" s="26" t="n">
        <f aca="false">MROUND(R161*'Fuel &amp; Inputs'!$C$20*'Fuel &amp; Inputs'!$C$22,500)</f>
        <v>167500</v>
      </c>
      <c r="Y161" s="26" t="n">
        <f aca="false">MROUND(S161*'Fuel &amp; Inputs'!$C$20*'Fuel &amp; Inputs'!$C$22,500)</f>
        <v>250000</v>
      </c>
      <c r="Z161" s="26" t="n">
        <f aca="false">MROUND(T161*'Fuel &amp; Inputs'!$C$20*'Fuel &amp; Inputs'!$C$22,500)</f>
        <v>330500</v>
      </c>
    </row>
    <row r="162" customFormat="false" ht="15" hidden="false" customHeight="false" outlineLevel="0" collapsed="false">
      <c r="A162" s="17" t="n">
        <v>151</v>
      </c>
      <c r="B162" s="32" t="s">
        <v>80</v>
      </c>
      <c r="C162" s="32" t="s">
        <v>327</v>
      </c>
      <c r="D162" s="32" t="s">
        <v>451</v>
      </c>
      <c r="E162" s="17" t="s">
        <v>282</v>
      </c>
      <c r="F162" s="17" t="s">
        <v>452</v>
      </c>
      <c r="G162" s="17" t="s">
        <v>223</v>
      </c>
      <c r="H162" s="17" t="s">
        <v>153</v>
      </c>
      <c r="I162" s="17" t="s">
        <v>154</v>
      </c>
      <c r="J162" s="19" t="n">
        <v>6.5</v>
      </c>
      <c r="K162" s="19" t="n">
        <v>9</v>
      </c>
      <c r="L162" s="19" t="n">
        <v>12.2</v>
      </c>
      <c r="M162" s="33" t="n">
        <v>1.175</v>
      </c>
      <c r="N162" s="20" t="n">
        <f aca="false">IF(J162=0,0,IF($I162="L/km",MROUND(J162*$M162*IF($H162="Petrol",'Fuel &amp; Inputs'!$C$5,'Fuel &amp; Inputs'!$C$4),1),MROUND(J162*$M162*IF($H162="Petrol",'Fuel &amp; Inputs'!$C$5,'Fuel &amp; Inputs'!$C$4),10)))</f>
        <v>2920</v>
      </c>
      <c r="O162" s="20" t="n">
        <f aca="false">IF(K162=0,0,IF($I162="L/km",MROUND(K162*$M162*IF($H162="Petrol",'Fuel &amp; Inputs'!$C$5,'Fuel &amp; Inputs'!$C$4),1),MROUND(K162*$M162*IF($H162="Petrol",'Fuel &amp; Inputs'!$C$5,'Fuel &amp; Inputs'!$C$4),10)))</f>
        <v>4040</v>
      </c>
      <c r="P162" s="20" t="n">
        <f aca="false">IF(L162=0,0,IF($I162="L/km",MROUND(L162*$M162*IF($H162="Petrol",'Fuel &amp; Inputs'!$C$5,'Fuel &amp; Inputs'!$C$4),1),MROUND(L162*$M162*IF($H162="Petrol",'Fuel &amp; Inputs'!$C$5,'Fuel &amp; Inputs'!$C$4),10)))</f>
        <v>5480</v>
      </c>
      <c r="Q162" s="17" t="s">
        <v>155</v>
      </c>
      <c r="R162" s="21" t="n">
        <v>1300</v>
      </c>
      <c r="S162" s="20" t="n">
        <f aca="false">MROUND(R162+'Fuel &amp; Inputs'!$C$13,50)</f>
        <v>2100</v>
      </c>
      <c r="T162" s="21" t="n">
        <v>2570</v>
      </c>
      <c r="U162" s="20" t="n">
        <f aca="false">MROUND(R162*'Fuel &amp; Inputs'!$C$19*'Fuel &amp; Inputs'!$C$21,100)</f>
        <v>4900</v>
      </c>
      <c r="V162" s="20" t="n">
        <f aca="false">MROUND(S162*'Fuel &amp; Inputs'!$C$19*'Fuel &amp; Inputs'!$C$21,100)</f>
        <v>8000</v>
      </c>
      <c r="W162" s="20" t="n">
        <f aca="false">MROUND(T162*'Fuel &amp; Inputs'!$C$19*'Fuel &amp; Inputs'!$C$21,100)</f>
        <v>9800</v>
      </c>
      <c r="X162" s="20" t="n">
        <f aca="false">MROUND(R162*'Fuel &amp; Inputs'!$C$20*'Fuel &amp; Inputs'!$C$22,500)</f>
        <v>132500</v>
      </c>
      <c r="Y162" s="20" t="n">
        <f aca="false">MROUND(S162*'Fuel &amp; Inputs'!$C$20*'Fuel &amp; Inputs'!$C$22,500)</f>
        <v>214000</v>
      </c>
      <c r="Z162" s="20" t="n">
        <f aca="false">MROUND(T162*'Fuel &amp; Inputs'!$C$20*'Fuel &amp; Inputs'!$C$22,500)</f>
        <v>262000</v>
      </c>
    </row>
    <row r="163" customFormat="false" ht="15" hidden="false" customHeight="false" outlineLevel="0" collapsed="false">
      <c r="A163" s="23" t="n">
        <v>152</v>
      </c>
      <c r="B163" s="34" t="s">
        <v>80</v>
      </c>
      <c r="C163" s="34" t="s">
        <v>327</v>
      </c>
      <c r="D163" s="34" t="s">
        <v>453</v>
      </c>
      <c r="E163" s="23" t="s">
        <v>454</v>
      </c>
      <c r="F163" s="23" t="s">
        <v>455</v>
      </c>
      <c r="G163" s="23" t="s">
        <v>223</v>
      </c>
      <c r="H163" s="23" t="s">
        <v>153</v>
      </c>
      <c r="I163" s="23" t="s">
        <v>154</v>
      </c>
      <c r="J163" s="25" t="n">
        <v>6.5</v>
      </c>
      <c r="K163" s="25" t="n">
        <v>9</v>
      </c>
      <c r="L163" s="25" t="n">
        <v>12.2</v>
      </c>
      <c r="M163" s="35" t="n">
        <v>1.175</v>
      </c>
      <c r="N163" s="26" t="n">
        <f aca="false">IF(J163=0,0,IF($I163="L/km",MROUND(J163*$M163*IF($H163="Petrol",'Fuel &amp; Inputs'!$C$5,'Fuel &amp; Inputs'!$C$4),1),MROUND(J163*$M163*IF($H163="Petrol",'Fuel &amp; Inputs'!$C$5,'Fuel &amp; Inputs'!$C$4),10)))</f>
        <v>2920</v>
      </c>
      <c r="O163" s="26" t="n">
        <f aca="false">IF(K163=0,0,IF($I163="L/km",MROUND(K163*$M163*IF($H163="Petrol",'Fuel &amp; Inputs'!$C$5,'Fuel &amp; Inputs'!$C$4),1),MROUND(K163*$M163*IF($H163="Petrol",'Fuel &amp; Inputs'!$C$5,'Fuel &amp; Inputs'!$C$4),10)))</f>
        <v>4040</v>
      </c>
      <c r="P163" s="26" t="n">
        <f aca="false">IF(L163=0,0,IF($I163="L/km",MROUND(L163*$M163*IF($H163="Petrol",'Fuel &amp; Inputs'!$C$5,'Fuel &amp; Inputs'!$C$4),1),MROUND(L163*$M163*IF($H163="Petrol",'Fuel &amp; Inputs'!$C$5,'Fuel &amp; Inputs'!$C$4),10)))</f>
        <v>5480</v>
      </c>
      <c r="Q163" s="23" t="s">
        <v>155</v>
      </c>
      <c r="R163" s="27" t="n">
        <v>1160</v>
      </c>
      <c r="S163" s="26" t="n">
        <f aca="false">MROUND(R163+'Fuel &amp; Inputs'!$C$13,50)</f>
        <v>1950</v>
      </c>
      <c r="T163" s="27" t="n">
        <v>2290</v>
      </c>
      <c r="U163" s="26" t="n">
        <f aca="false">MROUND(R163*'Fuel &amp; Inputs'!$C$19*'Fuel &amp; Inputs'!$C$21,100)</f>
        <v>4400</v>
      </c>
      <c r="V163" s="26" t="n">
        <f aca="false">MROUND(S163*'Fuel &amp; Inputs'!$C$19*'Fuel &amp; Inputs'!$C$21,100)</f>
        <v>7400</v>
      </c>
      <c r="W163" s="26" t="n">
        <f aca="false">MROUND(T163*'Fuel &amp; Inputs'!$C$19*'Fuel &amp; Inputs'!$C$21,100)</f>
        <v>8700</v>
      </c>
      <c r="X163" s="26" t="n">
        <f aca="false">MROUND(R163*'Fuel &amp; Inputs'!$C$20*'Fuel &amp; Inputs'!$C$22,500)</f>
        <v>118500</v>
      </c>
      <c r="Y163" s="26" t="n">
        <f aca="false">MROUND(S163*'Fuel &amp; Inputs'!$C$20*'Fuel &amp; Inputs'!$C$22,500)</f>
        <v>199000</v>
      </c>
      <c r="Z163" s="26" t="n">
        <f aca="false">MROUND(T163*'Fuel &amp; Inputs'!$C$20*'Fuel &amp; Inputs'!$C$22,500)</f>
        <v>233500</v>
      </c>
    </row>
    <row r="164" customFormat="false" ht="15" hidden="false" customHeight="false" outlineLevel="0" collapsed="false">
      <c r="A164" s="17" t="n">
        <v>153</v>
      </c>
      <c r="B164" s="32" t="s">
        <v>80</v>
      </c>
      <c r="C164" s="32" t="s">
        <v>224</v>
      </c>
      <c r="D164" s="32" t="s">
        <v>456</v>
      </c>
      <c r="E164" s="17" t="s">
        <v>223</v>
      </c>
      <c r="F164" s="17" t="s">
        <v>457</v>
      </c>
      <c r="G164" s="17" t="s">
        <v>223</v>
      </c>
      <c r="H164" s="17" t="s">
        <v>153</v>
      </c>
      <c r="I164" s="17" t="s">
        <v>154</v>
      </c>
      <c r="J164" s="19" t="n">
        <v>6.5</v>
      </c>
      <c r="K164" s="19" t="n">
        <v>9</v>
      </c>
      <c r="L164" s="19" t="n">
        <v>12.2</v>
      </c>
      <c r="M164" s="33" t="n">
        <v>1</v>
      </c>
      <c r="N164" s="20" t="n">
        <f aca="false">IF(J164=0,0,IF($I164="L/km",MROUND(J164*$M164*IF($H164="Petrol",'Fuel &amp; Inputs'!$C$5,'Fuel &amp; Inputs'!$C$4),1),MROUND(J164*$M164*IF($H164="Petrol",'Fuel &amp; Inputs'!$C$5,'Fuel &amp; Inputs'!$C$4),10)))</f>
        <v>2480</v>
      </c>
      <c r="O164" s="20" t="n">
        <f aca="false">IF(K164=0,0,IF($I164="L/km",MROUND(K164*$M164*IF($H164="Petrol",'Fuel &amp; Inputs'!$C$5,'Fuel &amp; Inputs'!$C$4),1),MROUND(K164*$M164*IF($H164="Petrol",'Fuel &amp; Inputs'!$C$5,'Fuel &amp; Inputs'!$C$4),10)))</f>
        <v>3440</v>
      </c>
      <c r="P164" s="20" t="n">
        <f aca="false">IF(L164=0,0,IF($I164="L/km",MROUND(L164*$M164*IF($H164="Petrol",'Fuel &amp; Inputs'!$C$5,'Fuel &amp; Inputs'!$C$4),1),MROUND(L164*$M164*IF($H164="Petrol",'Fuel &amp; Inputs'!$C$5,'Fuel &amp; Inputs'!$C$4),10)))</f>
        <v>4660</v>
      </c>
      <c r="Q164" s="17" t="s">
        <v>155</v>
      </c>
      <c r="R164" s="21" t="n">
        <v>1160</v>
      </c>
      <c r="S164" s="20" t="n">
        <f aca="false">MROUND(R164+'Fuel &amp; Inputs'!$C$13,50)</f>
        <v>1950</v>
      </c>
      <c r="T164" s="21" t="n">
        <v>2290</v>
      </c>
      <c r="U164" s="20" t="n">
        <f aca="false">MROUND(R164*'Fuel &amp; Inputs'!$C$19*'Fuel &amp; Inputs'!$C$21,100)</f>
        <v>4400</v>
      </c>
      <c r="V164" s="20" t="n">
        <f aca="false">MROUND(S164*'Fuel &amp; Inputs'!$C$19*'Fuel &amp; Inputs'!$C$21,100)</f>
        <v>7400</v>
      </c>
      <c r="W164" s="20" t="n">
        <f aca="false">MROUND(T164*'Fuel &amp; Inputs'!$C$19*'Fuel &amp; Inputs'!$C$21,100)</f>
        <v>8700</v>
      </c>
      <c r="X164" s="20" t="n">
        <f aca="false">MROUND(R164*'Fuel &amp; Inputs'!$C$20*'Fuel &amp; Inputs'!$C$22,500)</f>
        <v>118500</v>
      </c>
      <c r="Y164" s="20" t="n">
        <f aca="false">MROUND(S164*'Fuel &amp; Inputs'!$C$20*'Fuel &amp; Inputs'!$C$22,500)</f>
        <v>199000</v>
      </c>
      <c r="Z164" s="20" t="n">
        <f aca="false">MROUND(T164*'Fuel &amp; Inputs'!$C$20*'Fuel &amp; Inputs'!$C$22,500)</f>
        <v>233500</v>
      </c>
    </row>
    <row r="165" customFormat="false" ht="15" hidden="false" customHeight="true" outlineLevel="0" collapsed="false">
      <c r="A165" s="31" t="s">
        <v>458</v>
      </c>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ustomFormat="false" ht="15" hidden="false" customHeight="false" outlineLevel="0" collapsed="false">
      <c r="A166" s="23" t="n">
        <v>154</v>
      </c>
      <c r="B166" s="34" t="s">
        <v>82</v>
      </c>
      <c r="C166" s="34" t="s">
        <v>459</v>
      </c>
      <c r="D166" s="34" t="s">
        <v>460</v>
      </c>
      <c r="E166" s="23" t="s">
        <v>150</v>
      </c>
      <c r="F166" s="23" t="s">
        <v>461</v>
      </c>
      <c r="G166" s="23" t="s">
        <v>462</v>
      </c>
      <c r="H166" s="23" t="s">
        <v>153</v>
      </c>
      <c r="I166" s="23" t="s">
        <v>154</v>
      </c>
      <c r="J166" s="25" t="n">
        <v>13</v>
      </c>
      <c r="K166" s="25" t="n">
        <v>18</v>
      </c>
      <c r="L166" s="25" t="n">
        <v>24.3</v>
      </c>
      <c r="M166" s="35" t="n">
        <v>1.035</v>
      </c>
      <c r="N166" s="26" t="n">
        <f aca="false">IF(J166=0,0,IF($I166="L/km",MROUND(J166*$M166*IF($H166="Petrol",'Fuel &amp; Inputs'!$C$5,'Fuel &amp; Inputs'!$C$4),1),MROUND(J166*$M166*IF($H166="Petrol",'Fuel &amp; Inputs'!$C$5,'Fuel &amp; Inputs'!$C$4),10)))</f>
        <v>5140</v>
      </c>
      <c r="O166" s="26" t="n">
        <f aca="false">IF(K166=0,0,IF($I166="L/km",MROUND(K166*$M166*IF($H166="Petrol",'Fuel &amp; Inputs'!$C$5,'Fuel &amp; Inputs'!$C$4),1),MROUND(K166*$M166*IF($H166="Petrol",'Fuel &amp; Inputs'!$C$5,'Fuel &amp; Inputs'!$C$4),10)))</f>
        <v>7120</v>
      </c>
      <c r="P166" s="26" t="n">
        <f aca="false">IF(L166=0,0,IF($I166="L/km",MROUND(L166*$M166*IF($H166="Petrol",'Fuel &amp; Inputs'!$C$5,'Fuel &amp; Inputs'!$C$4),1),MROUND(L166*$M166*IF($H166="Petrol",'Fuel &amp; Inputs'!$C$5,'Fuel &amp; Inputs'!$C$4),10)))</f>
        <v>9610</v>
      </c>
      <c r="Q166" s="23" t="s">
        <v>155</v>
      </c>
      <c r="R166" s="27" t="n">
        <v>4350</v>
      </c>
      <c r="S166" s="26" t="n">
        <f aca="false">MROUND(R166+'Fuel &amp; Inputs'!$C$13,50)</f>
        <v>5150</v>
      </c>
      <c r="T166" s="27" t="n">
        <v>9650</v>
      </c>
      <c r="U166" s="26" t="n">
        <f aca="false">MROUND(R166*'Fuel &amp; Inputs'!$C$19*'Fuel &amp; Inputs'!$C$21,100)</f>
        <v>16500</v>
      </c>
      <c r="V166" s="26" t="n">
        <f aca="false">MROUND(S166*'Fuel &amp; Inputs'!$C$19*'Fuel &amp; Inputs'!$C$21,100)</f>
        <v>19600</v>
      </c>
      <c r="W166" s="26" t="n">
        <f aca="false">MROUND(T166*'Fuel &amp; Inputs'!$C$19*'Fuel &amp; Inputs'!$C$21,100)</f>
        <v>36700</v>
      </c>
      <c r="X166" s="26" t="n">
        <f aca="false">MROUND(R166*'Fuel &amp; Inputs'!$C$20*'Fuel &amp; Inputs'!$C$22,500)</f>
        <v>443500</v>
      </c>
      <c r="Y166" s="26" t="n">
        <f aca="false">MROUND(S166*'Fuel &amp; Inputs'!$C$20*'Fuel &amp; Inputs'!$C$22,500)</f>
        <v>525500</v>
      </c>
      <c r="Z166" s="26" t="n">
        <f aca="false">MROUND(T166*'Fuel &amp; Inputs'!$C$20*'Fuel &amp; Inputs'!$C$22,500)</f>
        <v>984500</v>
      </c>
    </row>
    <row r="167" customFormat="false" ht="15" hidden="false" customHeight="false" outlineLevel="0" collapsed="false">
      <c r="A167" s="17" t="n">
        <v>155</v>
      </c>
      <c r="B167" s="32" t="s">
        <v>82</v>
      </c>
      <c r="C167" s="32" t="s">
        <v>459</v>
      </c>
      <c r="D167" s="32" t="s">
        <v>463</v>
      </c>
      <c r="E167" s="17" t="s">
        <v>150</v>
      </c>
      <c r="F167" s="17" t="s">
        <v>464</v>
      </c>
      <c r="G167" s="17" t="s">
        <v>465</v>
      </c>
      <c r="H167" s="17" t="s">
        <v>153</v>
      </c>
      <c r="I167" s="17" t="s">
        <v>154</v>
      </c>
      <c r="J167" s="19" t="n">
        <v>13</v>
      </c>
      <c r="K167" s="19" t="n">
        <v>18</v>
      </c>
      <c r="L167" s="19" t="n">
        <v>24.3</v>
      </c>
      <c r="M167" s="33" t="n">
        <v>1.035</v>
      </c>
      <c r="N167" s="20" t="n">
        <f aca="false">IF(J167=0,0,IF($I167="L/km",MROUND(J167*$M167*IF($H167="Petrol",'Fuel &amp; Inputs'!$C$5,'Fuel &amp; Inputs'!$C$4),1),MROUND(J167*$M167*IF($H167="Petrol",'Fuel &amp; Inputs'!$C$5,'Fuel &amp; Inputs'!$C$4),10)))</f>
        <v>5140</v>
      </c>
      <c r="O167" s="20" t="n">
        <f aca="false">IF(K167=0,0,IF($I167="L/km",MROUND(K167*$M167*IF($H167="Petrol",'Fuel &amp; Inputs'!$C$5,'Fuel &amp; Inputs'!$C$4),1),MROUND(K167*$M167*IF($H167="Petrol",'Fuel &amp; Inputs'!$C$5,'Fuel &amp; Inputs'!$C$4),10)))</f>
        <v>7120</v>
      </c>
      <c r="P167" s="20" t="n">
        <f aca="false">IF(L167=0,0,IF($I167="L/km",MROUND(L167*$M167*IF($H167="Petrol",'Fuel &amp; Inputs'!$C$5,'Fuel &amp; Inputs'!$C$4),1),MROUND(L167*$M167*IF($H167="Petrol",'Fuel &amp; Inputs'!$C$5,'Fuel &amp; Inputs'!$C$4),10)))</f>
        <v>9610</v>
      </c>
      <c r="Q167" s="17" t="s">
        <v>155</v>
      </c>
      <c r="R167" s="21" t="n">
        <v>4350</v>
      </c>
      <c r="S167" s="20" t="n">
        <f aca="false">MROUND(R167+'Fuel &amp; Inputs'!$C$13,50)</f>
        <v>5150</v>
      </c>
      <c r="T167" s="21" t="n">
        <v>9650</v>
      </c>
      <c r="U167" s="20" t="n">
        <f aca="false">MROUND(R167*'Fuel &amp; Inputs'!$C$19*'Fuel &amp; Inputs'!$C$21,100)</f>
        <v>16500</v>
      </c>
      <c r="V167" s="20" t="n">
        <f aca="false">MROUND(S167*'Fuel &amp; Inputs'!$C$19*'Fuel &amp; Inputs'!$C$21,100)</f>
        <v>19600</v>
      </c>
      <c r="W167" s="20" t="n">
        <f aca="false">MROUND(T167*'Fuel &amp; Inputs'!$C$19*'Fuel &amp; Inputs'!$C$21,100)</f>
        <v>36700</v>
      </c>
      <c r="X167" s="20" t="n">
        <f aca="false">MROUND(R167*'Fuel &amp; Inputs'!$C$20*'Fuel &amp; Inputs'!$C$22,500)</f>
        <v>443500</v>
      </c>
      <c r="Y167" s="20" t="n">
        <f aca="false">MROUND(S167*'Fuel &amp; Inputs'!$C$20*'Fuel &amp; Inputs'!$C$22,500)</f>
        <v>525500</v>
      </c>
      <c r="Z167" s="20" t="n">
        <f aca="false">MROUND(T167*'Fuel &amp; Inputs'!$C$20*'Fuel &amp; Inputs'!$C$22,500)</f>
        <v>984500</v>
      </c>
    </row>
    <row r="168" customFormat="false" ht="15" hidden="false" customHeight="false" outlineLevel="0" collapsed="false">
      <c r="A168" s="23" t="n">
        <v>156</v>
      </c>
      <c r="B168" s="34" t="s">
        <v>82</v>
      </c>
      <c r="C168" s="34" t="s">
        <v>459</v>
      </c>
      <c r="D168" s="34" t="s">
        <v>460</v>
      </c>
      <c r="E168" s="23" t="s">
        <v>162</v>
      </c>
      <c r="F168" s="23" t="s">
        <v>466</v>
      </c>
      <c r="G168" s="23" t="s">
        <v>467</v>
      </c>
      <c r="H168" s="23" t="s">
        <v>153</v>
      </c>
      <c r="I168" s="23" t="s">
        <v>154</v>
      </c>
      <c r="J168" s="25" t="n">
        <v>13</v>
      </c>
      <c r="K168" s="25" t="n">
        <v>18</v>
      </c>
      <c r="L168" s="25" t="n">
        <v>24.3</v>
      </c>
      <c r="M168" s="35" t="n">
        <v>1.042</v>
      </c>
      <c r="N168" s="26" t="n">
        <f aca="false">IF(J168=0,0,IF($I168="L/km",MROUND(J168*$M168*IF($H168="Petrol",'Fuel &amp; Inputs'!$C$5,'Fuel &amp; Inputs'!$C$4),1),MROUND(J168*$M168*IF($H168="Petrol",'Fuel &amp; Inputs'!$C$5,'Fuel &amp; Inputs'!$C$4),10)))</f>
        <v>5170</v>
      </c>
      <c r="O168" s="26" t="n">
        <f aca="false">IF(K168=0,0,IF($I168="L/km",MROUND(K168*$M168*IF($H168="Petrol",'Fuel &amp; Inputs'!$C$5,'Fuel &amp; Inputs'!$C$4),1),MROUND(K168*$M168*IF($H168="Petrol",'Fuel &amp; Inputs'!$C$5,'Fuel &amp; Inputs'!$C$4),10)))</f>
        <v>7160</v>
      </c>
      <c r="P168" s="26" t="n">
        <f aca="false">IF(L168=0,0,IF($I168="L/km",MROUND(L168*$M168*IF($H168="Petrol",'Fuel &amp; Inputs'!$C$5,'Fuel &amp; Inputs'!$C$4),1),MROUND(L168*$M168*IF($H168="Petrol",'Fuel &amp; Inputs'!$C$5,'Fuel &amp; Inputs'!$C$4),10)))</f>
        <v>9670</v>
      </c>
      <c r="Q168" s="23" t="s">
        <v>155</v>
      </c>
      <c r="R168" s="27" t="n">
        <v>4350</v>
      </c>
      <c r="S168" s="26" t="n">
        <f aca="false">MROUND(R168+'Fuel &amp; Inputs'!$C$13,50)</f>
        <v>5150</v>
      </c>
      <c r="T168" s="27" t="n">
        <v>9650</v>
      </c>
      <c r="U168" s="26" t="n">
        <f aca="false">MROUND(R168*'Fuel &amp; Inputs'!$C$19*'Fuel &amp; Inputs'!$C$21,100)</f>
        <v>16500</v>
      </c>
      <c r="V168" s="26" t="n">
        <f aca="false">MROUND(S168*'Fuel &amp; Inputs'!$C$19*'Fuel &amp; Inputs'!$C$21,100)</f>
        <v>19600</v>
      </c>
      <c r="W168" s="26" t="n">
        <f aca="false">MROUND(T168*'Fuel &amp; Inputs'!$C$19*'Fuel &amp; Inputs'!$C$21,100)</f>
        <v>36700</v>
      </c>
      <c r="X168" s="26" t="n">
        <f aca="false">MROUND(R168*'Fuel &amp; Inputs'!$C$20*'Fuel &amp; Inputs'!$C$22,500)</f>
        <v>443500</v>
      </c>
      <c r="Y168" s="26" t="n">
        <f aca="false">MROUND(S168*'Fuel &amp; Inputs'!$C$20*'Fuel &amp; Inputs'!$C$22,500)</f>
        <v>525500</v>
      </c>
      <c r="Z168" s="26" t="n">
        <f aca="false">MROUND(T168*'Fuel &amp; Inputs'!$C$20*'Fuel &amp; Inputs'!$C$22,500)</f>
        <v>984500</v>
      </c>
    </row>
    <row r="169" customFormat="false" ht="15" hidden="false" customHeight="false" outlineLevel="0" collapsed="false">
      <c r="A169" s="17" t="n">
        <v>157</v>
      </c>
      <c r="B169" s="32" t="s">
        <v>82</v>
      </c>
      <c r="C169" s="32" t="s">
        <v>459</v>
      </c>
      <c r="D169" s="32" t="s">
        <v>460</v>
      </c>
      <c r="E169" s="17" t="s">
        <v>162</v>
      </c>
      <c r="F169" s="17" t="s">
        <v>468</v>
      </c>
      <c r="G169" s="17" t="s">
        <v>469</v>
      </c>
      <c r="H169" s="17" t="s">
        <v>153</v>
      </c>
      <c r="I169" s="17" t="s">
        <v>154</v>
      </c>
      <c r="J169" s="19" t="n">
        <v>13</v>
      </c>
      <c r="K169" s="19" t="n">
        <v>18</v>
      </c>
      <c r="L169" s="19" t="n">
        <v>24.3</v>
      </c>
      <c r="M169" s="33" t="n">
        <v>1.042</v>
      </c>
      <c r="N169" s="20" t="n">
        <f aca="false">IF(J169=0,0,IF($I169="L/km",MROUND(J169*$M169*IF($H169="Petrol",'Fuel &amp; Inputs'!$C$5,'Fuel &amp; Inputs'!$C$4),1),MROUND(J169*$M169*IF($H169="Petrol",'Fuel &amp; Inputs'!$C$5,'Fuel &amp; Inputs'!$C$4),10)))</f>
        <v>5170</v>
      </c>
      <c r="O169" s="20" t="n">
        <f aca="false">IF(K169=0,0,IF($I169="L/km",MROUND(K169*$M169*IF($H169="Petrol",'Fuel &amp; Inputs'!$C$5,'Fuel &amp; Inputs'!$C$4),1),MROUND(K169*$M169*IF($H169="Petrol",'Fuel &amp; Inputs'!$C$5,'Fuel &amp; Inputs'!$C$4),10)))</f>
        <v>7160</v>
      </c>
      <c r="P169" s="20" t="n">
        <f aca="false">IF(L169=0,0,IF($I169="L/km",MROUND(L169*$M169*IF($H169="Petrol",'Fuel &amp; Inputs'!$C$5,'Fuel &amp; Inputs'!$C$4),1),MROUND(L169*$M169*IF($H169="Petrol",'Fuel &amp; Inputs'!$C$5,'Fuel &amp; Inputs'!$C$4),10)))</f>
        <v>9670</v>
      </c>
      <c r="Q169" s="17" t="s">
        <v>155</v>
      </c>
      <c r="R169" s="21" t="n">
        <v>4350</v>
      </c>
      <c r="S169" s="20" t="n">
        <f aca="false">MROUND(R169+'Fuel &amp; Inputs'!$C$13,50)</f>
        <v>5150</v>
      </c>
      <c r="T169" s="21" t="n">
        <v>9650</v>
      </c>
      <c r="U169" s="20" t="n">
        <f aca="false">MROUND(R169*'Fuel &amp; Inputs'!$C$19*'Fuel &amp; Inputs'!$C$21,100)</f>
        <v>16500</v>
      </c>
      <c r="V169" s="20" t="n">
        <f aca="false">MROUND(S169*'Fuel &amp; Inputs'!$C$19*'Fuel &amp; Inputs'!$C$21,100)</f>
        <v>19600</v>
      </c>
      <c r="W169" s="20" t="n">
        <f aca="false">MROUND(T169*'Fuel &amp; Inputs'!$C$19*'Fuel &amp; Inputs'!$C$21,100)</f>
        <v>36700</v>
      </c>
      <c r="X169" s="20" t="n">
        <f aca="false">MROUND(R169*'Fuel &amp; Inputs'!$C$20*'Fuel &amp; Inputs'!$C$22,500)</f>
        <v>443500</v>
      </c>
      <c r="Y169" s="20" t="n">
        <f aca="false">MROUND(S169*'Fuel &amp; Inputs'!$C$20*'Fuel &amp; Inputs'!$C$22,500)</f>
        <v>525500</v>
      </c>
      <c r="Z169" s="20" t="n">
        <f aca="false">MROUND(T169*'Fuel &amp; Inputs'!$C$20*'Fuel &amp; Inputs'!$C$22,500)</f>
        <v>984500</v>
      </c>
    </row>
    <row r="170" customFormat="false" ht="15" hidden="false" customHeight="false" outlineLevel="0" collapsed="false">
      <c r="A170" s="23" t="n">
        <v>158</v>
      </c>
      <c r="B170" s="34" t="s">
        <v>82</v>
      </c>
      <c r="C170" s="34" t="s">
        <v>459</v>
      </c>
      <c r="D170" s="34" t="s">
        <v>460</v>
      </c>
      <c r="E170" s="23" t="s">
        <v>162</v>
      </c>
      <c r="F170" s="23" t="s">
        <v>470</v>
      </c>
      <c r="G170" s="23" t="s">
        <v>471</v>
      </c>
      <c r="H170" s="23" t="s">
        <v>153</v>
      </c>
      <c r="I170" s="23" t="s">
        <v>154</v>
      </c>
      <c r="J170" s="25" t="n">
        <v>13</v>
      </c>
      <c r="K170" s="25" t="n">
        <v>18</v>
      </c>
      <c r="L170" s="25" t="n">
        <v>24.3</v>
      </c>
      <c r="M170" s="35" t="n">
        <v>1.042</v>
      </c>
      <c r="N170" s="26" t="n">
        <f aca="false">IF(J170=0,0,IF($I170="L/km",MROUND(J170*$M170*IF($H170="Petrol",'Fuel &amp; Inputs'!$C$5,'Fuel &amp; Inputs'!$C$4),1),MROUND(J170*$M170*IF($H170="Petrol",'Fuel &amp; Inputs'!$C$5,'Fuel &amp; Inputs'!$C$4),10)))</f>
        <v>5170</v>
      </c>
      <c r="O170" s="26" t="n">
        <f aca="false">IF(K170=0,0,IF($I170="L/km",MROUND(K170*$M170*IF($H170="Petrol",'Fuel &amp; Inputs'!$C$5,'Fuel &amp; Inputs'!$C$4),1),MROUND(K170*$M170*IF($H170="Petrol",'Fuel &amp; Inputs'!$C$5,'Fuel &amp; Inputs'!$C$4),10)))</f>
        <v>7160</v>
      </c>
      <c r="P170" s="26" t="n">
        <f aca="false">IF(L170=0,0,IF($I170="L/km",MROUND(L170*$M170*IF($H170="Petrol",'Fuel &amp; Inputs'!$C$5,'Fuel &amp; Inputs'!$C$4),1),MROUND(L170*$M170*IF($H170="Petrol",'Fuel &amp; Inputs'!$C$5,'Fuel &amp; Inputs'!$C$4),10)))</f>
        <v>9670</v>
      </c>
      <c r="Q170" s="23" t="s">
        <v>155</v>
      </c>
      <c r="R170" s="27" t="n">
        <v>4350</v>
      </c>
      <c r="S170" s="26" t="n">
        <f aca="false">MROUND(R170+'Fuel &amp; Inputs'!$C$13,50)</f>
        <v>5150</v>
      </c>
      <c r="T170" s="27" t="n">
        <v>9650</v>
      </c>
      <c r="U170" s="26" t="n">
        <f aca="false">MROUND(R170*'Fuel &amp; Inputs'!$C$19*'Fuel &amp; Inputs'!$C$21,100)</f>
        <v>16500</v>
      </c>
      <c r="V170" s="26" t="n">
        <f aca="false">MROUND(S170*'Fuel &amp; Inputs'!$C$19*'Fuel &amp; Inputs'!$C$21,100)</f>
        <v>19600</v>
      </c>
      <c r="W170" s="26" t="n">
        <f aca="false">MROUND(T170*'Fuel &amp; Inputs'!$C$19*'Fuel &amp; Inputs'!$C$21,100)</f>
        <v>36700</v>
      </c>
      <c r="X170" s="26" t="n">
        <f aca="false">MROUND(R170*'Fuel &amp; Inputs'!$C$20*'Fuel &amp; Inputs'!$C$22,500)</f>
        <v>443500</v>
      </c>
      <c r="Y170" s="26" t="n">
        <f aca="false">MROUND(S170*'Fuel &amp; Inputs'!$C$20*'Fuel &amp; Inputs'!$C$22,500)</f>
        <v>525500</v>
      </c>
      <c r="Z170" s="26" t="n">
        <f aca="false">MROUND(T170*'Fuel &amp; Inputs'!$C$20*'Fuel &amp; Inputs'!$C$22,500)</f>
        <v>984500</v>
      </c>
    </row>
    <row r="171" customFormat="false" ht="15" hidden="false" customHeight="false" outlineLevel="0" collapsed="false">
      <c r="A171" s="17" t="n">
        <v>159</v>
      </c>
      <c r="B171" s="32" t="s">
        <v>82</v>
      </c>
      <c r="C171" s="32" t="s">
        <v>275</v>
      </c>
      <c r="D171" s="32" t="s">
        <v>472</v>
      </c>
      <c r="E171" s="17" t="s">
        <v>228</v>
      </c>
      <c r="F171" s="17" t="s">
        <v>473</v>
      </c>
      <c r="G171" s="17" t="s">
        <v>223</v>
      </c>
      <c r="H171" s="17" t="s">
        <v>153</v>
      </c>
      <c r="I171" s="17" t="s">
        <v>154</v>
      </c>
      <c r="J171" s="19" t="n">
        <v>13</v>
      </c>
      <c r="K171" s="19" t="n">
        <v>18</v>
      </c>
      <c r="L171" s="19" t="n">
        <v>24.3</v>
      </c>
      <c r="M171" s="33" t="n">
        <v>1.084</v>
      </c>
      <c r="N171" s="20" t="n">
        <f aca="false">IF(J171=0,0,IF($I171="L/km",MROUND(J171*$M171*IF($H171="Petrol",'Fuel &amp; Inputs'!$C$5,'Fuel &amp; Inputs'!$C$4),1),MROUND(J171*$M171*IF($H171="Petrol",'Fuel &amp; Inputs'!$C$5,'Fuel &amp; Inputs'!$C$4),10)))</f>
        <v>5380</v>
      </c>
      <c r="O171" s="20" t="n">
        <f aca="false">IF(K171=0,0,IF($I171="L/km",MROUND(K171*$M171*IF($H171="Petrol",'Fuel &amp; Inputs'!$C$5,'Fuel &amp; Inputs'!$C$4),1),MROUND(K171*$M171*IF($H171="Petrol",'Fuel &amp; Inputs'!$C$5,'Fuel &amp; Inputs'!$C$4),10)))</f>
        <v>7450</v>
      </c>
      <c r="P171" s="20" t="n">
        <f aca="false">IF(L171=0,0,IF($I171="L/km",MROUND(L171*$M171*IF($H171="Petrol",'Fuel &amp; Inputs'!$C$5,'Fuel &amp; Inputs'!$C$4),1),MROUND(L171*$M171*IF($H171="Petrol",'Fuel &amp; Inputs'!$C$5,'Fuel &amp; Inputs'!$C$4),10)))</f>
        <v>10060</v>
      </c>
      <c r="Q171" s="17" t="s">
        <v>155</v>
      </c>
      <c r="R171" s="21" t="n">
        <v>3570</v>
      </c>
      <c r="S171" s="20" t="n">
        <f aca="false">MROUND(R171+'Fuel &amp; Inputs'!$C$13,50)</f>
        <v>4350</v>
      </c>
      <c r="T171" s="21" t="n">
        <v>7910</v>
      </c>
      <c r="U171" s="20" t="n">
        <f aca="false">MROUND(R171*'Fuel &amp; Inputs'!$C$19*'Fuel &amp; Inputs'!$C$21,100)</f>
        <v>13600</v>
      </c>
      <c r="V171" s="20" t="n">
        <f aca="false">MROUND(S171*'Fuel &amp; Inputs'!$C$19*'Fuel &amp; Inputs'!$C$21,100)</f>
        <v>16500</v>
      </c>
      <c r="W171" s="20" t="n">
        <f aca="false">MROUND(T171*'Fuel &amp; Inputs'!$C$19*'Fuel &amp; Inputs'!$C$21,100)</f>
        <v>30100</v>
      </c>
      <c r="X171" s="20" t="n">
        <f aca="false">MROUND(R171*'Fuel &amp; Inputs'!$C$20*'Fuel &amp; Inputs'!$C$22,500)</f>
        <v>364000</v>
      </c>
      <c r="Y171" s="20" t="n">
        <f aca="false">MROUND(S171*'Fuel &amp; Inputs'!$C$20*'Fuel &amp; Inputs'!$C$22,500)</f>
        <v>443500</v>
      </c>
      <c r="Z171" s="20" t="n">
        <f aca="false">MROUND(T171*'Fuel &amp; Inputs'!$C$20*'Fuel &amp; Inputs'!$C$22,500)</f>
        <v>807000</v>
      </c>
    </row>
    <row r="172" customFormat="false" ht="15" hidden="false" customHeight="false" outlineLevel="0" collapsed="false">
      <c r="A172" s="23" t="n">
        <v>160</v>
      </c>
      <c r="B172" s="34" t="s">
        <v>82</v>
      </c>
      <c r="C172" s="34" t="s">
        <v>275</v>
      </c>
      <c r="D172" s="34" t="s">
        <v>474</v>
      </c>
      <c r="E172" s="23" t="s">
        <v>475</v>
      </c>
      <c r="F172" s="23" t="s">
        <v>476</v>
      </c>
      <c r="G172" s="23" t="s">
        <v>223</v>
      </c>
      <c r="H172" s="23" t="s">
        <v>153</v>
      </c>
      <c r="I172" s="23" t="s">
        <v>154</v>
      </c>
      <c r="J172" s="25" t="n">
        <v>13</v>
      </c>
      <c r="K172" s="25" t="n">
        <v>18</v>
      </c>
      <c r="L172" s="25" t="n">
        <v>24.3</v>
      </c>
      <c r="M172" s="35" t="n">
        <v>1.126</v>
      </c>
      <c r="N172" s="26" t="n">
        <f aca="false">IF(J172=0,0,IF($I172="L/km",MROUND(J172*$M172*IF($H172="Petrol",'Fuel &amp; Inputs'!$C$5,'Fuel &amp; Inputs'!$C$4),1),MROUND(J172*$M172*IF($H172="Petrol",'Fuel &amp; Inputs'!$C$5,'Fuel &amp; Inputs'!$C$4),10)))</f>
        <v>5590</v>
      </c>
      <c r="O172" s="26" t="n">
        <f aca="false">IF(K172=0,0,IF($I172="L/km",MROUND(K172*$M172*IF($H172="Petrol",'Fuel &amp; Inputs'!$C$5,'Fuel &amp; Inputs'!$C$4),1),MROUND(K172*$M172*IF($H172="Petrol",'Fuel &amp; Inputs'!$C$5,'Fuel &amp; Inputs'!$C$4),10)))</f>
        <v>7740</v>
      </c>
      <c r="P172" s="26" t="n">
        <f aca="false">IF(L172=0,0,IF($I172="L/km",MROUND(L172*$M172*IF($H172="Petrol",'Fuel &amp; Inputs'!$C$5,'Fuel &amp; Inputs'!$C$4),1),MROUND(L172*$M172*IF($H172="Petrol",'Fuel &amp; Inputs'!$C$5,'Fuel &amp; Inputs'!$C$4),10)))</f>
        <v>10450</v>
      </c>
      <c r="Q172" s="23" t="s">
        <v>155</v>
      </c>
      <c r="R172" s="27" t="n">
        <v>3130</v>
      </c>
      <c r="S172" s="26" t="n">
        <f aca="false">MROUND(R172+'Fuel &amp; Inputs'!$C$13,50)</f>
        <v>3950</v>
      </c>
      <c r="T172" s="27" t="n">
        <v>6950</v>
      </c>
      <c r="U172" s="26" t="n">
        <f aca="false">MROUND(R172*'Fuel &amp; Inputs'!$C$19*'Fuel &amp; Inputs'!$C$21,100)</f>
        <v>11900</v>
      </c>
      <c r="V172" s="26" t="n">
        <f aca="false">MROUND(S172*'Fuel &amp; Inputs'!$C$19*'Fuel &amp; Inputs'!$C$21,100)</f>
        <v>15000</v>
      </c>
      <c r="W172" s="26" t="n">
        <f aca="false">MROUND(T172*'Fuel &amp; Inputs'!$C$19*'Fuel &amp; Inputs'!$C$21,100)</f>
        <v>26400</v>
      </c>
      <c r="X172" s="26" t="n">
        <f aca="false">MROUND(R172*'Fuel &amp; Inputs'!$C$20*'Fuel &amp; Inputs'!$C$22,500)</f>
        <v>319500</v>
      </c>
      <c r="Y172" s="26" t="n">
        <f aca="false">MROUND(S172*'Fuel &amp; Inputs'!$C$20*'Fuel &amp; Inputs'!$C$22,500)</f>
        <v>403000</v>
      </c>
      <c r="Z172" s="26" t="n">
        <f aca="false">MROUND(T172*'Fuel &amp; Inputs'!$C$20*'Fuel &amp; Inputs'!$C$22,500)</f>
        <v>709000</v>
      </c>
    </row>
    <row r="173" customFormat="false" ht="15" hidden="false" customHeight="false" outlineLevel="0" collapsed="false">
      <c r="A173" s="17" t="n">
        <v>161</v>
      </c>
      <c r="B173" s="32" t="s">
        <v>82</v>
      </c>
      <c r="C173" s="32" t="s">
        <v>224</v>
      </c>
      <c r="D173" s="32" t="s">
        <v>223</v>
      </c>
      <c r="E173" s="17" t="s">
        <v>223</v>
      </c>
      <c r="F173" s="17" t="s">
        <v>477</v>
      </c>
      <c r="G173" s="17" t="s">
        <v>223</v>
      </c>
      <c r="H173" s="17" t="s">
        <v>153</v>
      </c>
      <c r="I173" s="17" t="s">
        <v>154</v>
      </c>
      <c r="J173" s="19" t="n">
        <v>13</v>
      </c>
      <c r="K173" s="19" t="n">
        <v>18</v>
      </c>
      <c r="L173" s="19" t="n">
        <v>24.3</v>
      </c>
      <c r="M173" s="33" t="n">
        <v>1</v>
      </c>
      <c r="N173" s="20" t="n">
        <f aca="false">IF(J173=0,0,IF($I173="L/km",MROUND(J173*$M173*IF($H173="Petrol",'Fuel &amp; Inputs'!$C$5,'Fuel &amp; Inputs'!$C$4),1),MROUND(J173*$M173*IF($H173="Petrol",'Fuel &amp; Inputs'!$C$5,'Fuel &amp; Inputs'!$C$4),10)))</f>
        <v>4970</v>
      </c>
      <c r="O173" s="20" t="n">
        <f aca="false">IF(K173=0,0,IF($I173="L/km",MROUND(K173*$M173*IF($H173="Petrol",'Fuel &amp; Inputs'!$C$5,'Fuel &amp; Inputs'!$C$4),1),MROUND(K173*$M173*IF($H173="Petrol",'Fuel &amp; Inputs'!$C$5,'Fuel &amp; Inputs'!$C$4),10)))</f>
        <v>6880</v>
      </c>
      <c r="P173" s="20" t="n">
        <f aca="false">IF(L173=0,0,IF($I173="L/km",MROUND(L173*$M173*IF($H173="Petrol",'Fuel &amp; Inputs'!$C$5,'Fuel &amp; Inputs'!$C$4),1),MROUND(L173*$M173*IF($H173="Petrol",'Fuel &amp; Inputs'!$C$5,'Fuel &amp; Inputs'!$C$4),10)))</f>
        <v>9280</v>
      </c>
      <c r="Q173" s="17" t="s">
        <v>155</v>
      </c>
      <c r="R173" s="21" t="n">
        <v>2520</v>
      </c>
      <c r="S173" s="20" t="n">
        <f aca="false">MROUND(R173+'Fuel &amp; Inputs'!$C$13,50)</f>
        <v>3300</v>
      </c>
      <c r="T173" s="21" t="n">
        <v>5600</v>
      </c>
      <c r="U173" s="20" t="n">
        <f aca="false">MROUND(R173*'Fuel &amp; Inputs'!$C$19*'Fuel &amp; Inputs'!$C$21,100)</f>
        <v>9600</v>
      </c>
      <c r="V173" s="20" t="n">
        <f aca="false">MROUND(S173*'Fuel &amp; Inputs'!$C$19*'Fuel &amp; Inputs'!$C$21,100)</f>
        <v>12500</v>
      </c>
      <c r="W173" s="20" t="n">
        <f aca="false">MROUND(T173*'Fuel &amp; Inputs'!$C$19*'Fuel &amp; Inputs'!$C$21,100)</f>
        <v>21300</v>
      </c>
      <c r="X173" s="20" t="n">
        <f aca="false">MROUND(R173*'Fuel &amp; Inputs'!$C$20*'Fuel &amp; Inputs'!$C$22,500)</f>
        <v>257000</v>
      </c>
      <c r="Y173" s="20" t="n">
        <f aca="false">MROUND(S173*'Fuel &amp; Inputs'!$C$20*'Fuel &amp; Inputs'!$C$22,500)</f>
        <v>336500</v>
      </c>
      <c r="Z173" s="20" t="n">
        <f aca="false">MROUND(T173*'Fuel &amp; Inputs'!$C$20*'Fuel &amp; Inputs'!$C$22,500)</f>
        <v>571000</v>
      </c>
    </row>
    <row r="174" customFormat="false" ht="15" hidden="false" customHeight="false" outlineLevel="0" collapsed="false">
      <c r="A174" s="23" t="n">
        <v>162</v>
      </c>
      <c r="B174" s="34" t="s">
        <v>82</v>
      </c>
      <c r="C174" s="34" t="s">
        <v>330</v>
      </c>
      <c r="D174" s="34" t="s">
        <v>223</v>
      </c>
      <c r="E174" s="23" t="s">
        <v>223</v>
      </c>
      <c r="F174" s="23" t="s">
        <v>478</v>
      </c>
      <c r="G174" s="23" t="s">
        <v>223</v>
      </c>
      <c r="H174" s="23" t="s">
        <v>153</v>
      </c>
      <c r="I174" s="23" t="s">
        <v>154</v>
      </c>
      <c r="J174" s="25" t="n">
        <v>13</v>
      </c>
      <c r="K174" s="25" t="n">
        <v>18</v>
      </c>
      <c r="L174" s="25" t="n">
        <v>24.3</v>
      </c>
      <c r="M174" s="35" t="n">
        <v>1</v>
      </c>
      <c r="N174" s="26" t="n">
        <f aca="false">IF(J174=0,0,IF($I174="L/km",MROUND(J174*$M174*IF($H174="Petrol",'Fuel &amp; Inputs'!$C$5,'Fuel &amp; Inputs'!$C$4),1),MROUND(J174*$M174*IF($H174="Petrol",'Fuel &amp; Inputs'!$C$5,'Fuel &amp; Inputs'!$C$4),10)))</f>
        <v>4970</v>
      </c>
      <c r="O174" s="26" t="n">
        <f aca="false">IF(K174=0,0,IF($I174="L/km",MROUND(K174*$M174*IF($H174="Petrol",'Fuel &amp; Inputs'!$C$5,'Fuel &amp; Inputs'!$C$4),1),MROUND(K174*$M174*IF($H174="Petrol",'Fuel &amp; Inputs'!$C$5,'Fuel &amp; Inputs'!$C$4),10)))</f>
        <v>6880</v>
      </c>
      <c r="P174" s="26" t="n">
        <f aca="false">IF(L174=0,0,IF($I174="L/km",MROUND(L174*$M174*IF($H174="Petrol",'Fuel &amp; Inputs'!$C$5,'Fuel &amp; Inputs'!$C$4),1),MROUND(L174*$M174*IF($H174="Petrol",'Fuel &amp; Inputs'!$C$5,'Fuel &amp; Inputs'!$C$4),10)))</f>
        <v>9280</v>
      </c>
      <c r="Q174" s="23" t="s">
        <v>155</v>
      </c>
      <c r="R174" s="27" t="n">
        <v>2520</v>
      </c>
      <c r="S174" s="26" t="n">
        <f aca="false">MROUND(R174+'Fuel &amp; Inputs'!$C$13,50)</f>
        <v>3300</v>
      </c>
      <c r="T174" s="27" t="n">
        <v>5600</v>
      </c>
      <c r="U174" s="26" t="n">
        <f aca="false">MROUND(R174*'Fuel &amp; Inputs'!$C$19*'Fuel &amp; Inputs'!$C$21,100)</f>
        <v>9600</v>
      </c>
      <c r="V174" s="26" t="n">
        <f aca="false">MROUND(S174*'Fuel &amp; Inputs'!$C$19*'Fuel &amp; Inputs'!$C$21,100)</f>
        <v>12500</v>
      </c>
      <c r="W174" s="26" t="n">
        <f aca="false">MROUND(T174*'Fuel &amp; Inputs'!$C$19*'Fuel &amp; Inputs'!$C$21,100)</f>
        <v>21300</v>
      </c>
      <c r="X174" s="26" t="n">
        <f aca="false">MROUND(R174*'Fuel &amp; Inputs'!$C$20*'Fuel &amp; Inputs'!$C$22,500)</f>
        <v>257000</v>
      </c>
      <c r="Y174" s="26" t="n">
        <f aca="false">MROUND(S174*'Fuel &amp; Inputs'!$C$20*'Fuel &amp; Inputs'!$C$22,500)</f>
        <v>336500</v>
      </c>
      <c r="Z174" s="26" t="n">
        <f aca="false">MROUND(T174*'Fuel &amp; Inputs'!$C$20*'Fuel &amp; Inputs'!$C$22,500)</f>
        <v>571000</v>
      </c>
    </row>
    <row r="175" customFormat="false" ht="23.85" hidden="false" customHeight="false" outlineLevel="0" collapsed="false">
      <c r="A175" s="17" t="n">
        <v>163</v>
      </c>
      <c r="B175" s="32" t="s">
        <v>82</v>
      </c>
      <c r="C175" s="32" t="s">
        <v>479</v>
      </c>
      <c r="D175" s="32" t="s">
        <v>480</v>
      </c>
      <c r="E175" s="17" t="s">
        <v>223</v>
      </c>
      <c r="F175" s="17" t="s">
        <v>481</v>
      </c>
      <c r="G175" s="17" t="s">
        <v>223</v>
      </c>
      <c r="H175" s="17" t="s">
        <v>153</v>
      </c>
      <c r="I175" s="17" t="s">
        <v>154</v>
      </c>
      <c r="J175" s="19" t="n">
        <v>13</v>
      </c>
      <c r="K175" s="19" t="n">
        <v>18</v>
      </c>
      <c r="L175" s="19" t="n">
        <v>24.3</v>
      </c>
      <c r="M175" s="33" t="n">
        <v>1</v>
      </c>
      <c r="N175" s="20" t="n">
        <f aca="false">IF(J175=0,0,IF($I175="L/km",MROUND(J175*$M175*IF($H175="Petrol",'Fuel &amp; Inputs'!$C$5,'Fuel &amp; Inputs'!$C$4),1),MROUND(J175*$M175*IF($H175="Petrol",'Fuel &amp; Inputs'!$C$5,'Fuel &amp; Inputs'!$C$4),10)))</f>
        <v>4970</v>
      </c>
      <c r="O175" s="20" t="n">
        <f aca="false">IF(K175=0,0,IF($I175="L/km",MROUND(K175*$M175*IF($H175="Petrol",'Fuel &amp; Inputs'!$C$5,'Fuel &amp; Inputs'!$C$4),1),MROUND(K175*$M175*IF($H175="Petrol",'Fuel &amp; Inputs'!$C$5,'Fuel &amp; Inputs'!$C$4),10)))</f>
        <v>6880</v>
      </c>
      <c r="P175" s="20" t="n">
        <f aca="false">IF(L175=0,0,IF($I175="L/km",MROUND(L175*$M175*IF($H175="Petrol",'Fuel &amp; Inputs'!$C$5,'Fuel &amp; Inputs'!$C$4),1),MROUND(L175*$M175*IF($H175="Petrol",'Fuel &amp; Inputs'!$C$5,'Fuel &amp; Inputs'!$C$4),10)))</f>
        <v>9280</v>
      </c>
      <c r="Q175" s="17" t="s">
        <v>155</v>
      </c>
      <c r="R175" s="21" t="n">
        <v>2520</v>
      </c>
      <c r="S175" s="20" t="n">
        <f aca="false">MROUND(R175+'Fuel &amp; Inputs'!$C$13,50)</f>
        <v>3300</v>
      </c>
      <c r="T175" s="21" t="n">
        <v>5600</v>
      </c>
      <c r="U175" s="20" t="n">
        <f aca="false">MROUND(R175*'Fuel &amp; Inputs'!$C$19*'Fuel &amp; Inputs'!$C$21,100)</f>
        <v>9600</v>
      </c>
      <c r="V175" s="20" t="n">
        <f aca="false">MROUND(S175*'Fuel &amp; Inputs'!$C$19*'Fuel &amp; Inputs'!$C$21,100)</f>
        <v>12500</v>
      </c>
      <c r="W175" s="20" t="n">
        <f aca="false">MROUND(T175*'Fuel &amp; Inputs'!$C$19*'Fuel &amp; Inputs'!$C$21,100)</f>
        <v>21300</v>
      </c>
      <c r="X175" s="20" t="n">
        <f aca="false">MROUND(R175*'Fuel &amp; Inputs'!$C$20*'Fuel &amp; Inputs'!$C$22,500)</f>
        <v>257000</v>
      </c>
      <c r="Y175" s="20" t="n">
        <f aca="false">MROUND(S175*'Fuel &amp; Inputs'!$C$20*'Fuel &amp; Inputs'!$C$22,500)</f>
        <v>336500</v>
      </c>
      <c r="Z175" s="20" t="n">
        <f aca="false">MROUND(T175*'Fuel &amp; Inputs'!$C$20*'Fuel &amp; Inputs'!$C$22,500)</f>
        <v>571000</v>
      </c>
    </row>
    <row r="176" customFormat="false" ht="15" hidden="false" customHeight="false" outlineLevel="0" collapsed="false">
      <c r="A176" s="23" t="n">
        <v>164</v>
      </c>
      <c r="B176" s="34" t="s">
        <v>82</v>
      </c>
      <c r="C176" s="34" t="s">
        <v>224</v>
      </c>
      <c r="D176" s="34" t="s">
        <v>223</v>
      </c>
      <c r="E176" s="23" t="s">
        <v>223</v>
      </c>
      <c r="F176" s="23" t="s">
        <v>482</v>
      </c>
      <c r="G176" s="23" t="s">
        <v>223</v>
      </c>
      <c r="H176" s="23" t="s">
        <v>153</v>
      </c>
      <c r="I176" s="23" t="s">
        <v>154</v>
      </c>
      <c r="J176" s="25" t="n">
        <v>13</v>
      </c>
      <c r="K176" s="25" t="n">
        <v>18</v>
      </c>
      <c r="L176" s="25" t="n">
        <v>24.3</v>
      </c>
      <c r="M176" s="35" t="n">
        <v>1</v>
      </c>
      <c r="N176" s="26" t="n">
        <f aca="false">IF(J176=0,0,IF($I176="L/km",MROUND(J176*$M176*IF($H176="Petrol",'Fuel &amp; Inputs'!$C$5,'Fuel &amp; Inputs'!$C$4),1),MROUND(J176*$M176*IF($H176="Petrol",'Fuel &amp; Inputs'!$C$5,'Fuel &amp; Inputs'!$C$4),10)))</f>
        <v>4970</v>
      </c>
      <c r="O176" s="26" t="n">
        <f aca="false">IF(K176=0,0,IF($I176="L/km",MROUND(K176*$M176*IF($H176="Petrol",'Fuel &amp; Inputs'!$C$5,'Fuel &amp; Inputs'!$C$4),1),MROUND(K176*$M176*IF($H176="Petrol",'Fuel &amp; Inputs'!$C$5,'Fuel &amp; Inputs'!$C$4),10)))</f>
        <v>6880</v>
      </c>
      <c r="P176" s="26" t="n">
        <f aca="false">IF(L176=0,0,IF($I176="L/km",MROUND(L176*$M176*IF($H176="Petrol",'Fuel &amp; Inputs'!$C$5,'Fuel &amp; Inputs'!$C$4),1),MROUND(L176*$M176*IF($H176="Petrol",'Fuel &amp; Inputs'!$C$5,'Fuel &amp; Inputs'!$C$4),10)))</f>
        <v>9280</v>
      </c>
      <c r="Q176" s="23" t="s">
        <v>155</v>
      </c>
      <c r="R176" s="27" t="n">
        <v>2520</v>
      </c>
      <c r="S176" s="26" t="n">
        <f aca="false">MROUND(R176+'Fuel &amp; Inputs'!$C$13,50)</f>
        <v>3300</v>
      </c>
      <c r="T176" s="27" t="n">
        <v>5600</v>
      </c>
      <c r="U176" s="26" t="n">
        <f aca="false">MROUND(R176*'Fuel &amp; Inputs'!$C$19*'Fuel &amp; Inputs'!$C$21,100)</f>
        <v>9600</v>
      </c>
      <c r="V176" s="26" t="n">
        <f aca="false">MROUND(S176*'Fuel &amp; Inputs'!$C$19*'Fuel &amp; Inputs'!$C$21,100)</f>
        <v>12500</v>
      </c>
      <c r="W176" s="26" t="n">
        <f aca="false">MROUND(T176*'Fuel &amp; Inputs'!$C$19*'Fuel &amp; Inputs'!$C$21,100)</f>
        <v>21300</v>
      </c>
      <c r="X176" s="26" t="n">
        <f aca="false">MROUND(R176*'Fuel &amp; Inputs'!$C$20*'Fuel &amp; Inputs'!$C$22,500)</f>
        <v>257000</v>
      </c>
      <c r="Y176" s="26" t="n">
        <f aca="false">MROUND(S176*'Fuel &amp; Inputs'!$C$20*'Fuel &amp; Inputs'!$C$22,500)</f>
        <v>336500</v>
      </c>
      <c r="Z176" s="26" t="n">
        <f aca="false">MROUND(T176*'Fuel &amp; Inputs'!$C$20*'Fuel &amp; Inputs'!$C$22,500)</f>
        <v>571000</v>
      </c>
    </row>
    <row r="177" customFormat="false" ht="15" hidden="false" customHeight="false" outlineLevel="0" collapsed="false">
      <c r="A177" s="17" t="n">
        <v>165</v>
      </c>
      <c r="B177" s="32" t="s">
        <v>82</v>
      </c>
      <c r="C177" s="32" t="s">
        <v>224</v>
      </c>
      <c r="D177" s="32" t="s">
        <v>483</v>
      </c>
      <c r="E177" s="17" t="s">
        <v>223</v>
      </c>
      <c r="F177" s="17" t="s">
        <v>484</v>
      </c>
      <c r="G177" s="17" t="s">
        <v>223</v>
      </c>
      <c r="H177" s="17" t="s">
        <v>153</v>
      </c>
      <c r="I177" s="17" t="s">
        <v>154</v>
      </c>
      <c r="J177" s="19" t="n">
        <v>13</v>
      </c>
      <c r="K177" s="19" t="n">
        <v>18</v>
      </c>
      <c r="L177" s="19" t="n">
        <v>24.3</v>
      </c>
      <c r="M177" s="33" t="n">
        <v>1</v>
      </c>
      <c r="N177" s="20" t="n">
        <f aca="false">IF(J177=0,0,IF($I177="L/km",MROUND(J177*$M177*IF($H177="Petrol",'Fuel &amp; Inputs'!$C$5,'Fuel &amp; Inputs'!$C$4),1),MROUND(J177*$M177*IF($H177="Petrol",'Fuel &amp; Inputs'!$C$5,'Fuel &amp; Inputs'!$C$4),10)))</f>
        <v>4970</v>
      </c>
      <c r="O177" s="20" t="n">
        <f aca="false">IF(K177=0,0,IF($I177="L/km",MROUND(K177*$M177*IF($H177="Petrol",'Fuel &amp; Inputs'!$C$5,'Fuel &amp; Inputs'!$C$4),1),MROUND(K177*$M177*IF($H177="Petrol",'Fuel &amp; Inputs'!$C$5,'Fuel &amp; Inputs'!$C$4),10)))</f>
        <v>6880</v>
      </c>
      <c r="P177" s="20" t="n">
        <f aca="false">IF(L177=0,0,IF($I177="L/km",MROUND(L177*$M177*IF($H177="Petrol",'Fuel &amp; Inputs'!$C$5,'Fuel &amp; Inputs'!$C$4),1),MROUND(L177*$M177*IF($H177="Petrol",'Fuel &amp; Inputs'!$C$5,'Fuel &amp; Inputs'!$C$4),10)))</f>
        <v>9280</v>
      </c>
      <c r="Q177" s="17" t="s">
        <v>155</v>
      </c>
      <c r="R177" s="21" t="n">
        <v>2520</v>
      </c>
      <c r="S177" s="20" t="n">
        <f aca="false">MROUND(R177+'Fuel &amp; Inputs'!$C$13,50)</f>
        <v>3300</v>
      </c>
      <c r="T177" s="21" t="n">
        <v>5600</v>
      </c>
      <c r="U177" s="20" t="n">
        <f aca="false">MROUND(R177*'Fuel &amp; Inputs'!$C$19*'Fuel &amp; Inputs'!$C$21,100)</f>
        <v>9600</v>
      </c>
      <c r="V177" s="20" t="n">
        <f aca="false">MROUND(S177*'Fuel &amp; Inputs'!$C$19*'Fuel &amp; Inputs'!$C$21,100)</f>
        <v>12500</v>
      </c>
      <c r="W177" s="20" t="n">
        <f aca="false">MROUND(T177*'Fuel &amp; Inputs'!$C$19*'Fuel &amp; Inputs'!$C$21,100)</f>
        <v>21300</v>
      </c>
      <c r="X177" s="20" t="n">
        <f aca="false">MROUND(R177*'Fuel &amp; Inputs'!$C$20*'Fuel &amp; Inputs'!$C$22,500)</f>
        <v>257000</v>
      </c>
      <c r="Y177" s="20" t="n">
        <f aca="false">MROUND(S177*'Fuel &amp; Inputs'!$C$20*'Fuel &amp; Inputs'!$C$22,500)</f>
        <v>336500</v>
      </c>
      <c r="Z177" s="20" t="n">
        <f aca="false">MROUND(T177*'Fuel &amp; Inputs'!$C$20*'Fuel &amp; Inputs'!$C$22,500)</f>
        <v>571000</v>
      </c>
    </row>
    <row r="178" customFormat="false" ht="15" hidden="false" customHeight="false" outlineLevel="0" collapsed="false">
      <c r="A178" s="23" t="n">
        <v>166</v>
      </c>
      <c r="B178" s="34" t="s">
        <v>82</v>
      </c>
      <c r="C178" s="34" t="s">
        <v>224</v>
      </c>
      <c r="D178" s="34" t="s">
        <v>223</v>
      </c>
      <c r="E178" s="23" t="s">
        <v>223</v>
      </c>
      <c r="F178" s="23" t="s">
        <v>485</v>
      </c>
      <c r="G178" s="23" t="s">
        <v>486</v>
      </c>
      <c r="H178" s="23" t="s">
        <v>153</v>
      </c>
      <c r="I178" s="23" t="s">
        <v>154</v>
      </c>
      <c r="J178" s="25" t="n">
        <v>13</v>
      </c>
      <c r="K178" s="25" t="n">
        <v>18</v>
      </c>
      <c r="L178" s="25" t="n">
        <v>24.3</v>
      </c>
      <c r="M178" s="35" t="n">
        <v>1</v>
      </c>
      <c r="N178" s="26" t="n">
        <f aca="false">IF(J178=0,0,IF($I178="L/km",MROUND(J178*$M178*IF($H178="Petrol",'Fuel &amp; Inputs'!$C$5,'Fuel &amp; Inputs'!$C$4),1),MROUND(J178*$M178*IF($H178="Petrol",'Fuel &amp; Inputs'!$C$5,'Fuel &amp; Inputs'!$C$4),10)))</f>
        <v>4970</v>
      </c>
      <c r="O178" s="26" t="n">
        <f aca="false">IF(K178=0,0,IF($I178="L/km",MROUND(K178*$M178*IF($H178="Petrol",'Fuel &amp; Inputs'!$C$5,'Fuel &amp; Inputs'!$C$4),1),MROUND(K178*$M178*IF($H178="Petrol",'Fuel &amp; Inputs'!$C$5,'Fuel &amp; Inputs'!$C$4),10)))</f>
        <v>6880</v>
      </c>
      <c r="P178" s="26" t="n">
        <f aca="false">IF(L178=0,0,IF($I178="L/km",MROUND(L178*$M178*IF($H178="Petrol",'Fuel &amp; Inputs'!$C$5,'Fuel &amp; Inputs'!$C$4),1),MROUND(L178*$M178*IF($H178="Petrol",'Fuel &amp; Inputs'!$C$5,'Fuel &amp; Inputs'!$C$4),10)))</f>
        <v>9280</v>
      </c>
      <c r="Q178" s="23" t="s">
        <v>155</v>
      </c>
      <c r="R178" s="27" t="n">
        <v>2520</v>
      </c>
      <c r="S178" s="26" t="n">
        <f aca="false">MROUND(R178+'Fuel &amp; Inputs'!$C$13,50)</f>
        <v>3300</v>
      </c>
      <c r="T178" s="27" t="n">
        <v>5600</v>
      </c>
      <c r="U178" s="26" t="n">
        <f aca="false">MROUND(R178*'Fuel &amp; Inputs'!$C$19*'Fuel &amp; Inputs'!$C$21,100)</f>
        <v>9600</v>
      </c>
      <c r="V178" s="26" t="n">
        <f aca="false">MROUND(S178*'Fuel &amp; Inputs'!$C$19*'Fuel &amp; Inputs'!$C$21,100)</f>
        <v>12500</v>
      </c>
      <c r="W178" s="26" t="n">
        <f aca="false">MROUND(T178*'Fuel &amp; Inputs'!$C$19*'Fuel &amp; Inputs'!$C$21,100)</f>
        <v>21300</v>
      </c>
      <c r="X178" s="26" t="n">
        <f aca="false">MROUND(R178*'Fuel &amp; Inputs'!$C$20*'Fuel &amp; Inputs'!$C$22,500)</f>
        <v>257000</v>
      </c>
      <c r="Y178" s="26" t="n">
        <f aca="false">MROUND(S178*'Fuel &amp; Inputs'!$C$20*'Fuel &amp; Inputs'!$C$22,500)</f>
        <v>336500</v>
      </c>
      <c r="Z178" s="26" t="n">
        <f aca="false">MROUND(T178*'Fuel &amp; Inputs'!$C$20*'Fuel &amp; Inputs'!$C$22,500)</f>
        <v>571000</v>
      </c>
    </row>
    <row r="179" customFormat="false" ht="23.85" hidden="false" customHeight="false" outlineLevel="0" collapsed="false">
      <c r="A179" s="17" t="n">
        <v>167</v>
      </c>
      <c r="B179" s="32" t="s">
        <v>82</v>
      </c>
      <c r="C179" s="32" t="s">
        <v>487</v>
      </c>
      <c r="D179" s="32" t="s">
        <v>488</v>
      </c>
      <c r="E179" s="17" t="s">
        <v>223</v>
      </c>
      <c r="F179" s="17" t="s">
        <v>489</v>
      </c>
      <c r="G179" s="17" t="s">
        <v>223</v>
      </c>
      <c r="H179" s="17" t="s">
        <v>153</v>
      </c>
      <c r="I179" s="17" t="s">
        <v>154</v>
      </c>
      <c r="J179" s="19" t="n">
        <v>13</v>
      </c>
      <c r="K179" s="19" t="n">
        <v>18</v>
      </c>
      <c r="L179" s="19" t="n">
        <v>24.3</v>
      </c>
      <c r="M179" s="33" t="n">
        <v>1</v>
      </c>
      <c r="N179" s="20" t="n">
        <f aca="false">IF(J179=0,0,IF($I179="L/km",MROUND(J179*$M179*IF($H179="Petrol",'Fuel &amp; Inputs'!$C$5,'Fuel &amp; Inputs'!$C$4),1),MROUND(J179*$M179*IF($H179="Petrol",'Fuel &amp; Inputs'!$C$5,'Fuel &amp; Inputs'!$C$4),10)))</f>
        <v>4970</v>
      </c>
      <c r="O179" s="20" t="n">
        <f aca="false">IF(K179=0,0,IF($I179="L/km",MROUND(K179*$M179*IF($H179="Petrol",'Fuel &amp; Inputs'!$C$5,'Fuel &amp; Inputs'!$C$4),1),MROUND(K179*$M179*IF($H179="Petrol",'Fuel &amp; Inputs'!$C$5,'Fuel &amp; Inputs'!$C$4),10)))</f>
        <v>6880</v>
      </c>
      <c r="P179" s="20" t="n">
        <f aca="false">IF(L179=0,0,IF($I179="L/km",MROUND(L179*$M179*IF($H179="Petrol",'Fuel &amp; Inputs'!$C$5,'Fuel &amp; Inputs'!$C$4),1),MROUND(L179*$M179*IF($H179="Petrol",'Fuel &amp; Inputs'!$C$5,'Fuel &amp; Inputs'!$C$4),10)))</f>
        <v>9280</v>
      </c>
      <c r="Q179" s="17" t="s">
        <v>155</v>
      </c>
      <c r="R179" s="21" t="n">
        <v>2520</v>
      </c>
      <c r="S179" s="20" t="n">
        <f aca="false">MROUND(R179+'Fuel &amp; Inputs'!$C$13,50)</f>
        <v>3300</v>
      </c>
      <c r="T179" s="21" t="n">
        <v>5600</v>
      </c>
      <c r="U179" s="20" t="n">
        <f aca="false">MROUND(R179*'Fuel &amp; Inputs'!$C$19*'Fuel &amp; Inputs'!$C$21,100)</f>
        <v>9600</v>
      </c>
      <c r="V179" s="20" t="n">
        <f aca="false">MROUND(S179*'Fuel &amp; Inputs'!$C$19*'Fuel &amp; Inputs'!$C$21,100)</f>
        <v>12500</v>
      </c>
      <c r="W179" s="20" t="n">
        <f aca="false">MROUND(T179*'Fuel &amp; Inputs'!$C$19*'Fuel &amp; Inputs'!$C$21,100)</f>
        <v>21300</v>
      </c>
      <c r="X179" s="20" t="n">
        <f aca="false">MROUND(R179*'Fuel &amp; Inputs'!$C$20*'Fuel &amp; Inputs'!$C$22,500)</f>
        <v>257000</v>
      </c>
      <c r="Y179" s="20" t="n">
        <f aca="false">MROUND(S179*'Fuel &amp; Inputs'!$C$20*'Fuel &amp; Inputs'!$C$22,500)</f>
        <v>336500</v>
      </c>
      <c r="Z179" s="20" t="n">
        <f aca="false">MROUND(T179*'Fuel &amp; Inputs'!$C$20*'Fuel &amp; Inputs'!$C$22,500)</f>
        <v>571000</v>
      </c>
    </row>
    <row r="180" customFormat="false" ht="15" hidden="false" customHeight="false" outlineLevel="0" collapsed="false">
      <c r="A180" s="23" t="n">
        <v>168</v>
      </c>
      <c r="B180" s="34" t="s">
        <v>82</v>
      </c>
      <c r="C180" s="34" t="s">
        <v>275</v>
      </c>
      <c r="D180" s="34" t="s">
        <v>490</v>
      </c>
      <c r="E180" s="23" t="s">
        <v>223</v>
      </c>
      <c r="F180" s="23" t="s">
        <v>491</v>
      </c>
      <c r="G180" s="23" t="s">
        <v>223</v>
      </c>
      <c r="H180" s="23" t="s">
        <v>153</v>
      </c>
      <c r="I180" s="23" t="s">
        <v>154</v>
      </c>
      <c r="J180" s="25" t="n">
        <v>13</v>
      </c>
      <c r="K180" s="25" t="n">
        <v>18</v>
      </c>
      <c r="L180" s="25" t="n">
        <v>24.3</v>
      </c>
      <c r="M180" s="35" t="n">
        <v>1</v>
      </c>
      <c r="N180" s="26" t="n">
        <f aca="false">IF(J180=0,0,IF($I180="L/km",MROUND(J180*$M180*IF($H180="Petrol",'Fuel &amp; Inputs'!$C$5,'Fuel &amp; Inputs'!$C$4),1),MROUND(J180*$M180*IF($H180="Petrol",'Fuel &amp; Inputs'!$C$5,'Fuel &amp; Inputs'!$C$4),10)))</f>
        <v>4970</v>
      </c>
      <c r="O180" s="26" t="n">
        <f aca="false">IF(K180=0,0,IF($I180="L/km",MROUND(K180*$M180*IF($H180="Petrol",'Fuel &amp; Inputs'!$C$5,'Fuel &amp; Inputs'!$C$4),1),MROUND(K180*$M180*IF($H180="Petrol",'Fuel &amp; Inputs'!$C$5,'Fuel &amp; Inputs'!$C$4),10)))</f>
        <v>6880</v>
      </c>
      <c r="P180" s="26" t="n">
        <f aca="false">IF(L180=0,0,IF($I180="L/km",MROUND(L180*$M180*IF($H180="Petrol",'Fuel &amp; Inputs'!$C$5,'Fuel &amp; Inputs'!$C$4),1),MROUND(L180*$M180*IF($H180="Petrol",'Fuel &amp; Inputs'!$C$5,'Fuel &amp; Inputs'!$C$4),10)))</f>
        <v>9280</v>
      </c>
      <c r="Q180" s="23" t="s">
        <v>155</v>
      </c>
      <c r="R180" s="27" t="n">
        <v>2520</v>
      </c>
      <c r="S180" s="26" t="n">
        <f aca="false">MROUND(R180+'Fuel &amp; Inputs'!$C$13,50)</f>
        <v>3300</v>
      </c>
      <c r="T180" s="27" t="n">
        <v>5600</v>
      </c>
      <c r="U180" s="26" t="n">
        <f aca="false">MROUND(R180*'Fuel &amp; Inputs'!$C$19*'Fuel &amp; Inputs'!$C$21,100)</f>
        <v>9600</v>
      </c>
      <c r="V180" s="26" t="n">
        <f aca="false">MROUND(S180*'Fuel &amp; Inputs'!$C$19*'Fuel &amp; Inputs'!$C$21,100)</f>
        <v>12500</v>
      </c>
      <c r="W180" s="26" t="n">
        <f aca="false">MROUND(T180*'Fuel &amp; Inputs'!$C$19*'Fuel &amp; Inputs'!$C$21,100)</f>
        <v>21300</v>
      </c>
      <c r="X180" s="26" t="n">
        <f aca="false">MROUND(R180*'Fuel &amp; Inputs'!$C$20*'Fuel &amp; Inputs'!$C$22,500)</f>
        <v>257000</v>
      </c>
      <c r="Y180" s="26" t="n">
        <f aca="false">MROUND(S180*'Fuel &amp; Inputs'!$C$20*'Fuel &amp; Inputs'!$C$22,500)</f>
        <v>336500</v>
      </c>
      <c r="Z180" s="26" t="n">
        <f aca="false">MROUND(T180*'Fuel &amp; Inputs'!$C$20*'Fuel &amp; Inputs'!$C$22,500)</f>
        <v>571000</v>
      </c>
    </row>
    <row r="181" customFormat="false" ht="15" hidden="false" customHeight="false" outlineLevel="0" collapsed="false">
      <c r="A181" s="17" t="n">
        <v>169</v>
      </c>
      <c r="B181" s="32" t="s">
        <v>82</v>
      </c>
      <c r="C181" s="32" t="s">
        <v>275</v>
      </c>
      <c r="D181" s="32" t="s">
        <v>492</v>
      </c>
      <c r="E181" s="17" t="s">
        <v>223</v>
      </c>
      <c r="F181" s="17" t="s">
        <v>493</v>
      </c>
      <c r="G181" s="17" t="s">
        <v>223</v>
      </c>
      <c r="H181" s="17" t="s">
        <v>153</v>
      </c>
      <c r="I181" s="17" t="s">
        <v>154</v>
      </c>
      <c r="J181" s="19" t="n">
        <v>13</v>
      </c>
      <c r="K181" s="19" t="n">
        <v>18</v>
      </c>
      <c r="L181" s="19" t="n">
        <v>24.3</v>
      </c>
      <c r="M181" s="33" t="n">
        <v>1</v>
      </c>
      <c r="N181" s="20" t="n">
        <f aca="false">IF(J181=0,0,IF($I181="L/km",MROUND(J181*$M181*IF($H181="Petrol",'Fuel &amp; Inputs'!$C$5,'Fuel &amp; Inputs'!$C$4),1),MROUND(J181*$M181*IF($H181="Petrol",'Fuel &amp; Inputs'!$C$5,'Fuel &amp; Inputs'!$C$4),10)))</f>
        <v>4970</v>
      </c>
      <c r="O181" s="20" t="n">
        <f aca="false">IF(K181=0,0,IF($I181="L/km",MROUND(K181*$M181*IF($H181="Petrol",'Fuel &amp; Inputs'!$C$5,'Fuel &amp; Inputs'!$C$4),1),MROUND(K181*$M181*IF($H181="Petrol",'Fuel &amp; Inputs'!$C$5,'Fuel &amp; Inputs'!$C$4),10)))</f>
        <v>6880</v>
      </c>
      <c r="P181" s="20" t="n">
        <f aca="false">IF(L181=0,0,IF($I181="L/km",MROUND(L181*$M181*IF($H181="Petrol",'Fuel &amp; Inputs'!$C$5,'Fuel &amp; Inputs'!$C$4),1),MROUND(L181*$M181*IF($H181="Petrol",'Fuel &amp; Inputs'!$C$5,'Fuel &amp; Inputs'!$C$4),10)))</f>
        <v>9280</v>
      </c>
      <c r="Q181" s="17" t="s">
        <v>155</v>
      </c>
      <c r="R181" s="21" t="n">
        <v>2520</v>
      </c>
      <c r="S181" s="20" t="n">
        <f aca="false">MROUND(R181+'Fuel &amp; Inputs'!$C$13,50)</f>
        <v>3300</v>
      </c>
      <c r="T181" s="21" t="n">
        <v>5600</v>
      </c>
      <c r="U181" s="20" t="n">
        <f aca="false">MROUND(R181*'Fuel &amp; Inputs'!$C$19*'Fuel &amp; Inputs'!$C$21,100)</f>
        <v>9600</v>
      </c>
      <c r="V181" s="20" t="n">
        <f aca="false">MROUND(S181*'Fuel &amp; Inputs'!$C$19*'Fuel &amp; Inputs'!$C$21,100)</f>
        <v>12500</v>
      </c>
      <c r="W181" s="20" t="n">
        <f aca="false">MROUND(T181*'Fuel &amp; Inputs'!$C$19*'Fuel &amp; Inputs'!$C$21,100)</f>
        <v>21300</v>
      </c>
      <c r="X181" s="20" t="n">
        <f aca="false">MROUND(R181*'Fuel &amp; Inputs'!$C$20*'Fuel &amp; Inputs'!$C$22,500)</f>
        <v>257000</v>
      </c>
      <c r="Y181" s="20" t="n">
        <f aca="false">MROUND(S181*'Fuel &amp; Inputs'!$C$20*'Fuel &amp; Inputs'!$C$22,500)</f>
        <v>336500</v>
      </c>
      <c r="Z181" s="20" t="n">
        <f aca="false">MROUND(T181*'Fuel &amp; Inputs'!$C$20*'Fuel &amp; Inputs'!$C$22,500)</f>
        <v>571000</v>
      </c>
    </row>
    <row r="182" customFormat="false" ht="15" hidden="false" customHeight="true" outlineLevel="0" collapsed="false">
      <c r="A182" s="31" t="s">
        <v>494</v>
      </c>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ustomFormat="false" ht="15" hidden="false" customHeight="false" outlineLevel="0" collapsed="false">
      <c r="A183" s="23" t="n">
        <v>170</v>
      </c>
      <c r="B183" s="34" t="s">
        <v>84</v>
      </c>
      <c r="C183" s="34" t="s">
        <v>148</v>
      </c>
      <c r="D183" s="34" t="s">
        <v>495</v>
      </c>
      <c r="E183" s="23" t="s">
        <v>150</v>
      </c>
      <c r="F183" s="23" t="s">
        <v>496</v>
      </c>
      <c r="G183" s="23" t="s">
        <v>223</v>
      </c>
      <c r="H183" s="23" t="s">
        <v>153</v>
      </c>
      <c r="I183" s="23" t="s">
        <v>154</v>
      </c>
      <c r="J183" s="25" t="n">
        <v>3.6</v>
      </c>
      <c r="K183" s="25" t="n">
        <v>5</v>
      </c>
      <c r="L183" s="25" t="n">
        <v>6.8</v>
      </c>
      <c r="M183" s="35" t="n">
        <v>1.035</v>
      </c>
      <c r="N183" s="26" t="n">
        <f aca="false">IF(J183=0,0,IF($I183="L/km",MROUND(J183*$M183*IF($H183="Petrol",'Fuel &amp; Inputs'!$C$5,'Fuel &amp; Inputs'!$C$4),1),MROUND(J183*$M183*IF($H183="Petrol",'Fuel &amp; Inputs'!$C$5,'Fuel &amp; Inputs'!$C$4),10)))</f>
        <v>1420</v>
      </c>
      <c r="O183" s="26" t="n">
        <f aca="false">IF(K183=0,0,IF($I183="L/km",MROUND(K183*$M183*IF($H183="Petrol",'Fuel &amp; Inputs'!$C$5,'Fuel &amp; Inputs'!$C$4),1),MROUND(K183*$M183*IF($H183="Petrol",'Fuel &amp; Inputs'!$C$5,'Fuel &amp; Inputs'!$C$4),10)))</f>
        <v>1980</v>
      </c>
      <c r="P183" s="26" t="n">
        <f aca="false">IF(L183=0,0,IF($I183="L/km",MROUND(L183*$M183*IF($H183="Petrol",'Fuel &amp; Inputs'!$C$5,'Fuel &amp; Inputs'!$C$4),1),MROUND(L183*$M183*IF($H183="Petrol",'Fuel &amp; Inputs'!$C$5,'Fuel &amp; Inputs'!$C$4),10)))</f>
        <v>2690</v>
      </c>
      <c r="Q183" s="23" t="s">
        <v>155</v>
      </c>
      <c r="R183" s="27" t="n">
        <v>1350</v>
      </c>
      <c r="S183" s="26" t="n">
        <f aca="false">MROUND(R183+'Fuel &amp; Inputs'!$C$13,50)</f>
        <v>2150</v>
      </c>
      <c r="T183" s="27" t="n">
        <v>2700</v>
      </c>
      <c r="U183" s="26" t="n">
        <f aca="false">MROUND(R183*'Fuel &amp; Inputs'!$C$19*'Fuel &amp; Inputs'!$C$21,100)</f>
        <v>5100</v>
      </c>
      <c r="V183" s="26" t="n">
        <f aca="false">MROUND(S183*'Fuel &amp; Inputs'!$C$19*'Fuel &amp; Inputs'!$C$21,100)</f>
        <v>8200</v>
      </c>
      <c r="W183" s="26" t="n">
        <f aca="false">MROUND(T183*'Fuel &amp; Inputs'!$C$19*'Fuel &amp; Inputs'!$C$21,100)</f>
        <v>10300</v>
      </c>
      <c r="X183" s="26" t="n">
        <f aca="false">MROUND(R183*'Fuel &amp; Inputs'!$C$20*'Fuel &amp; Inputs'!$C$22,500)</f>
        <v>137500</v>
      </c>
      <c r="Y183" s="26" t="n">
        <f aca="false">MROUND(S183*'Fuel &amp; Inputs'!$C$20*'Fuel &amp; Inputs'!$C$22,500)</f>
        <v>219500</v>
      </c>
      <c r="Z183" s="26" t="n">
        <f aca="false">MROUND(T183*'Fuel &amp; Inputs'!$C$20*'Fuel &amp; Inputs'!$C$22,500)</f>
        <v>275500</v>
      </c>
    </row>
    <row r="184" customFormat="false" ht="23.85" hidden="false" customHeight="false" outlineLevel="0" collapsed="false">
      <c r="A184" s="17" t="n">
        <v>171</v>
      </c>
      <c r="B184" s="32" t="s">
        <v>84</v>
      </c>
      <c r="C184" s="32" t="s">
        <v>497</v>
      </c>
      <c r="D184" s="32" t="s">
        <v>495</v>
      </c>
      <c r="E184" s="17" t="s">
        <v>251</v>
      </c>
      <c r="F184" s="17" t="s">
        <v>498</v>
      </c>
      <c r="G184" s="17" t="s">
        <v>223</v>
      </c>
      <c r="H184" s="17" t="s">
        <v>153</v>
      </c>
      <c r="I184" s="17" t="s">
        <v>154</v>
      </c>
      <c r="J184" s="19" t="n">
        <v>3.6</v>
      </c>
      <c r="K184" s="19" t="n">
        <v>5</v>
      </c>
      <c r="L184" s="19" t="n">
        <v>6.8</v>
      </c>
      <c r="M184" s="33" t="n">
        <v>1.063</v>
      </c>
      <c r="N184" s="20" t="n">
        <f aca="false">IF(J184=0,0,IF($I184="L/km",MROUND(J184*$M184*IF($H184="Petrol",'Fuel &amp; Inputs'!$C$5,'Fuel &amp; Inputs'!$C$4),1),MROUND(J184*$M184*IF($H184="Petrol",'Fuel &amp; Inputs'!$C$5,'Fuel &amp; Inputs'!$C$4),10)))</f>
        <v>1460</v>
      </c>
      <c r="O184" s="20" t="n">
        <f aca="false">IF(K184=0,0,IF($I184="L/km",MROUND(K184*$M184*IF($H184="Petrol",'Fuel &amp; Inputs'!$C$5,'Fuel &amp; Inputs'!$C$4),1),MROUND(K184*$M184*IF($H184="Petrol",'Fuel &amp; Inputs'!$C$5,'Fuel &amp; Inputs'!$C$4),10)))</f>
        <v>2030</v>
      </c>
      <c r="P184" s="20" t="n">
        <f aca="false">IF(L184=0,0,IF($I184="L/km",MROUND(L184*$M184*IF($H184="Petrol",'Fuel &amp; Inputs'!$C$5,'Fuel &amp; Inputs'!$C$4),1),MROUND(L184*$M184*IF($H184="Petrol",'Fuel &amp; Inputs'!$C$5,'Fuel &amp; Inputs'!$C$4),10)))</f>
        <v>2760</v>
      </c>
      <c r="Q184" s="17" t="s">
        <v>155</v>
      </c>
      <c r="R184" s="21" t="n">
        <v>1350</v>
      </c>
      <c r="S184" s="20" t="n">
        <f aca="false">MROUND(R184+'Fuel &amp; Inputs'!$C$13,50)</f>
        <v>2150</v>
      </c>
      <c r="T184" s="21" t="n">
        <v>2700</v>
      </c>
      <c r="U184" s="20" t="n">
        <f aca="false">MROUND(R184*'Fuel &amp; Inputs'!$C$19*'Fuel &amp; Inputs'!$C$21,100)</f>
        <v>5100</v>
      </c>
      <c r="V184" s="20" t="n">
        <f aca="false">MROUND(S184*'Fuel &amp; Inputs'!$C$19*'Fuel &amp; Inputs'!$C$21,100)</f>
        <v>8200</v>
      </c>
      <c r="W184" s="20" t="n">
        <f aca="false">MROUND(T184*'Fuel &amp; Inputs'!$C$19*'Fuel &amp; Inputs'!$C$21,100)</f>
        <v>10300</v>
      </c>
      <c r="X184" s="20" t="n">
        <f aca="false">MROUND(R184*'Fuel &amp; Inputs'!$C$20*'Fuel &amp; Inputs'!$C$22,500)</f>
        <v>137500</v>
      </c>
      <c r="Y184" s="20" t="n">
        <f aca="false">MROUND(S184*'Fuel &amp; Inputs'!$C$20*'Fuel &amp; Inputs'!$C$22,500)</f>
        <v>219500</v>
      </c>
      <c r="Z184" s="20" t="n">
        <f aca="false">MROUND(T184*'Fuel &amp; Inputs'!$C$20*'Fuel &amp; Inputs'!$C$22,500)</f>
        <v>275500</v>
      </c>
    </row>
    <row r="185" customFormat="false" ht="15" hidden="false" customHeight="false" outlineLevel="0" collapsed="false">
      <c r="A185" s="23" t="n">
        <v>172</v>
      </c>
      <c r="B185" s="34" t="s">
        <v>84</v>
      </c>
      <c r="C185" s="34" t="s">
        <v>148</v>
      </c>
      <c r="D185" s="34" t="s">
        <v>495</v>
      </c>
      <c r="E185" s="23" t="s">
        <v>174</v>
      </c>
      <c r="F185" s="23" t="s">
        <v>499</v>
      </c>
      <c r="G185" s="23" t="s">
        <v>223</v>
      </c>
      <c r="H185" s="23" t="s">
        <v>153</v>
      </c>
      <c r="I185" s="23" t="s">
        <v>154</v>
      </c>
      <c r="J185" s="25" t="n">
        <v>3.6</v>
      </c>
      <c r="K185" s="25" t="n">
        <v>5</v>
      </c>
      <c r="L185" s="25" t="n">
        <v>6.8</v>
      </c>
      <c r="M185" s="35" t="n">
        <v>1.07</v>
      </c>
      <c r="N185" s="26" t="n">
        <f aca="false">IF(J185=0,0,IF($I185="L/km",MROUND(J185*$M185*IF($H185="Petrol",'Fuel &amp; Inputs'!$C$5,'Fuel &amp; Inputs'!$C$4),1),MROUND(J185*$M185*IF($H185="Petrol",'Fuel &amp; Inputs'!$C$5,'Fuel &amp; Inputs'!$C$4),10)))</f>
        <v>1470</v>
      </c>
      <c r="O185" s="26" t="n">
        <f aca="false">IF(K185=0,0,IF($I185="L/km",MROUND(K185*$M185*IF($H185="Petrol",'Fuel &amp; Inputs'!$C$5,'Fuel &amp; Inputs'!$C$4),1),MROUND(K185*$M185*IF($H185="Petrol",'Fuel &amp; Inputs'!$C$5,'Fuel &amp; Inputs'!$C$4),10)))</f>
        <v>2040</v>
      </c>
      <c r="P185" s="26" t="n">
        <f aca="false">IF(L185=0,0,IF($I185="L/km",MROUND(L185*$M185*IF($H185="Petrol",'Fuel &amp; Inputs'!$C$5,'Fuel &amp; Inputs'!$C$4),1),MROUND(L185*$M185*IF($H185="Petrol",'Fuel &amp; Inputs'!$C$5,'Fuel &amp; Inputs'!$C$4),10)))</f>
        <v>2780</v>
      </c>
      <c r="Q185" s="23" t="s">
        <v>155</v>
      </c>
      <c r="R185" s="27" t="n">
        <v>1350</v>
      </c>
      <c r="S185" s="26" t="n">
        <f aca="false">MROUND(R185+'Fuel &amp; Inputs'!$C$13,50)</f>
        <v>2150</v>
      </c>
      <c r="T185" s="27" t="n">
        <v>2700</v>
      </c>
      <c r="U185" s="26" t="n">
        <f aca="false">MROUND(R185*'Fuel &amp; Inputs'!$C$19*'Fuel &amp; Inputs'!$C$21,100)</f>
        <v>5100</v>
      </c>
      <c r="V185" s="26" t="n">
        <f aca="false">MROUND(S185*'Fuel &amp; Inputs'!$C$19*'Fuel &amp; Inputs'!$C$21,100)</f>
        <v>8200</v>
      </c>
      <c r="W185" s="26" t="n">
        <f aca="false">MROUND(T185*'Fuel &amp; Inputs'!$C$19*'Fuel &amp; Inputs'!$C$21,100)</f>
        <v>10300</v>
      </c>
      <c r="X185" s="26" t="n">
        <f aca="false">MROUND(R185*'Fuel &amp; Inputs'!$C$20*'Fuel &amp; Inputs'!$C$22,500)</f>
        <v>137500</v>
      </c>
      <c r="Y185" s="26" t="n">
        <f aca="false">MROUND(S185*'Fuel &amp; Inputs'!$C$20*'Fuel &amp; Inputs'!$C$22,500)</f>
        <v>219500</v>
      </c>
      <c r="Z185" s="26" t="n">
        <f aca="false">MROUND(T185*'Fuel &amp; Inputs'!$C$20*'Fuel &amp; Inputs'!$C$22,500)</f>
        <v>275500</v>
      </c>
    </row>
    <row r="186" customFormat="false" ht="15" hidden="false" customHeight="false" outlineLevel="0" collapsed="false">
      <c r="A186" s="17" t="n">
        <v>173</v>
      </c>
      <c r="B186" s="32" t="s">
        <v>84</v>
      </c>
      <c r="C186" s="32" t="s">
        <v>148</v>
      </c>
      <c r="D186" s="32" t="s">
        <v>500</v>
      </c>
      <c r="E186" s="17" t="s">
        <v>150</v>
      </c>
      <c r="F186" s="17" t="s">
        <v>501</v>
      </c>
      <c r="G186" s="17" t="s">
        <v>223</v>
      </c>
      <c r="H186" s="17" t="s">
        <v>153</v>
      </c>
      <c r="I186" s="17" t="s">
        <v>154</v>
      </c>
      <c r="J186" s="19" t="n">
        <v>3.2</v>
      </c>
      <c r="K186" s="19" t="n">
        <v>4.5</v>
      </c>
      <c r="L186" s="19" t="n">
        <v>6.1</v>
      </c>
      <c r="M186" s="33" t="n">
        <v>1.035</v>
      </c>
      <c r="N186" s="20" t="n">
        <f aca="false">IF(J186=0,0,IF($I186="L/km",MROUND(J186*$M186*IF($H186="Petrol",'Fuel &amp; Inputs'!$C$5,'Fuel &amp; Inputs'!$C$4),1),MROUND(J186*$M186*IF($H186="Petrol",'Fuel &amp; Inputs'!$C$5,'Fuel &amp; Inputs'!$C$4),10)))</f>
        <v>1270</v>
      </c>
      <c r="O186" s="20" t="n">
        <f aca="false">IF(K186=0,0,IF($I186="L/km",MROUND(K186*$M186*IF($H186="Petrol",'Fuel &amp; Inputs'!$C$5,'Fuel &amp; Inputs'!$C$4),1),MROUND(K186*$M186*IF($H186="Petrol",'Fuel &amp; Inputs'!$C$5,'Fuel &amp; Inputs'!$C$4),10)))</f>
        <v>1780</v>
      </c>
      <c r="P186" s="20" t="n">
        <f aca="false">IF(L186=0,0,IF($I186="L/km",MROUND(L186*$M186*IF($H186="Petrol",'Fuel &amp; Inputs'!$C$5,'Fuel &amp; Inputs'!$C$4),1),MROUND(L186*$M186*IF($H186="Petrol",'Fuel &amp; Inputs'!$C$5,'Fuel &amp; Inputs'!$C$4),10)))</f>
        <v>2410</v>
      </c>
      <c r="Q186" s="17" t="s">
        <v>155</v>
      </c>
      <c r="R186" s="21" t="n">
        <v>1350</v>
      </c>
      <c r="S186" s="20" t="n">
        <f aca="false">MROUND(R186+'Fuel &amp; Inputs'!$C$13,50)</f>
        <v>2150</v>
      </c>
      <c r="T186" s="21" t="n">
        <v>2700</v>
      </c>
      <c r="U186" s="20" t="n">
        <f aca="false">MROUND(R186*'Fuel &amp; Inputs'!$C$19*'Fuel &amp; Inputs'!$C$21,100)</f>
        <v>5100</v>
      </c>
      <c r="V186" s="20" t="n">
        <f aca="false">MROUND(S186*'Fuel &amp; Inputs'!$C$19*'Fuel &amp; Inputs'!$C$21,100)</f>
        <v>8200</v>
      </c>
      <c r="W186" s="20" t="n">
        <f aca="false">MROUND(T186*'Fuel &amp; Inputs'!$C$19*'Fuel &amp; Inputs'!$C$21,100)</f>
        <v>10300</v>
      </c>
      <c r="X186" s="20" t="n">
        <f aca="false">MROUND(R186*'Fuel &amp; Inputs'!$C$20*'Fuel &amp; Inputs'!$C$22,500)</f>
        <v>137500</v>
      </c>
      <c r="Y186" s="20" t="n">
        <f aca="false">MROUND(S186*'Fuel &amp; Inputs'!$C$20*'Fuel &amp; Inputs'!$C$22,500)</f>
        <v>219500</v>
      </c>
      <c r="Z186" s="20" t="n">
        <f aca="false">MROUND(T186*'Fuel &amp; Inputs'!$C$20*'Fuel &amp; Inputs'!$C$22,500)</f>
        <v>275500</v>
      </c>
    </row>
    <row r="187" customFormat="false" ht="15" hidden="false" customHeight="false" outlineLevel="0" collapsed="false">
      <c r="A187" s="23" t="n">
        <v>174</v>
      </c>
      <c r="B187" s="34" t="s">
        <v>84</v>
      </c>
      <c r="C187" s="34" t="s">
        <v>148</v>
      </c>
      <c r="D187" s="34" t="s">
        <v>500</v>
      </c>
      <c r="E187" s="23" t="s">
        <v>174</v>
      </c>
      <c r="F187" s="23" t="s">
        <v>502</v>
      </c>
      <c r="G187" s="23" t="s">
        <v>223</v>
      </c>
      <c r="H187" s="23" t="s">
        <v>153</v>
      </c>
      <c r="I187" s="23" t="s">
        <v>154</v>
      </c>
      <c r="J187" s="25" t="n">
        <v>3.2</v>
      </c>
      <c r="K187" s="25" t="n">
        <v>4.5</v>
      </c>
      <c r="L187" s="25" t="n">
        <v>6.1</v>
      </c>
      <c r="M187" s="35" t="n">
        <v>1.07</v>
      </c>
      <c r="N187" s="26" t="n">
        <f aca="false">IF(J187=0,0,IF($I187="L/km",MROUND(J187*$M187*IF($H187="Petrol",'Fuel &amp; Inputs'!$C$5,'Fuel &amp; Inputs'!$C$4),1),MROUND(J187*$M187*IF($H187="Petrol",'Fuel &amp; Inputs'!$C$5,'Fuel &amp; Inputs'!$C$4),10)))</f>
        <v>1310</v>
      </c>
      <c r="O187" s="26" t="n">
        <f aca="false">IF(K187=0,0,IF($I187="L/km",MROUND(K187*$M187*IF($H187="Petrol",'Fuel &amp; Inputs'!$C$5,'Fuel &amp; Inputs'!$C$4),1),MROUND(K187*$M187*IF($H187="Petrol",'Fuel &amp; Inputs'!$C$5,'Fuel &amp; Inputs'!$C$4),10)))</f>
        <v>1840</v>
      </c>
      <c r="P187" s="26" t="n">
        <f aca="false">IF(L187=0,0,IF($I187="L/km",MROUND(L187*$M187*IF($H187="Petrol",'Fuel &amp; Inputs'!$C$5,'Fuel &amp; Inputs'!$C$4),1),MROUND(L187*$M187*IF($H187="Petrol",'Fuel &amp; Inputs'!$C$5,'Fuel &amp; Inputs'!$C$4),10)))</f>
        <v>2490</v>
      </c>
      <c r="Q187" s="23" t="s">
        <v>155</v>
      </c>
      <c r="R187" s="27" t="n">
        <v>1350</v>
      </c>
      <c r="S187" s="26" t="n">
        <f aca="false">MROUND(R187+'Fuel &amp; Inputs'!$C$13,50)</f>
        <v>2150</v>
      </c>
      <c r="T187" s="27" t="n">
        <v>2700</v>
      </c>
      <c r="U187" s="26" t="n">
        <f aca="false">MROUND(R187*'Fuel &amp; Inputs'!$C$19*'Fuel &amp; Inputs'!$C$21,100)</f>
        <v>5100</v>
      </c>
      <c r="V187" s="26" t="n">
        <f aca="false">MROUND(S187*'Fuel &amp; Inputs'!$C$19*'Fuel &amp; Inputs'!$C$21,100)</f>
        <v>8200</v>
      </c>
      <c r="W187" s="26" t="n">
        <f aca="false">MROUND(T187*'Fuel &amp; Inputs'!$C$19*'Fuel &amp; Inputs'!$C$21,100)</f>
        <v>10300</v>
      </c>
      <c r="X187" s="26" t="n">
        <f aca="false">MROUND(R187*'Fuel &amp; Inputs'!$C$20*'Fuel &amp; Inputs'!$C$22,500)</f>
        <v>137500</v>
      </c>
      <c r="Y187" s="26" t="n">
        <f aca="false">MROUND(S187*'Fuel &amp; Inputs'!$C$20*'Fuel &amp; Inputs'!$C$22,500)</f>
        <v>219500</v>
      </c>
      <c r="Z187" s="26" t="n">
        <f aca="false">MROUND(T187*'Fuel &amp; Inputs'!$C$20*'Fuel &amp; Inputs'!$C$22,500)</f>
        <v>275500</v>
      </c>
    </row>
    <row r="188" customFormat="false" ht="15" hidden="false" customHeight="false" outlineLevel="0" collapsed="false">
      <c r="A188" s="17" t="n">
        <v>175</v>
      </c>
      <c r="B188" s="32" t="s">
        <v>84</v>
      </c>
      <c r="C188" s="32" t="s">
        <v>148</v>
      </c>
      <c r="D188" s="32" t="s">
        <v>495</v>
      </c>
      <c r="E188" s="17" t="s">
        <v>162</v>
      </c>
      <c r="F188" s="17" t="s">
        <v>503</v>
      </c>
      <c r="G188" s="17" t="s">
        <v>223</v>
      </c>
      <c r="H188" s="17" t="s">
        <v>153</v>
      </c>
      <c r="I188" s="17" t="s">
        <v>154</v>
      </c>
      <c r="J188" s="19" t="n">
        <v>3.6</v>
      </c>
      <c r="K188" s="19" t="n">
        <v>5</v>
      </c>
      <c r="L188" s="19" t="n">
        <v>6.8</v>
      </c>
      <c r="M188" s="33" t="n">
        <v>1.042</v>
      </c>
      <c r="N188" s="20" t="n">
        <f aca="false">IF(J188=0,0,IF($I188="L/km",MROUND(J188*$M188*IF($H188="Petrol",'Fuel &amp; Inputs'!$C$5,'Fuel &amp; Inputs'!$C$4),1),MROUND(J188*$M188*IF($H188="Petrol",'Fuel &amp; Inputs'!$C$5,'Fuel &amp; Inputs'!$C$4),10)))</f>
        <v>1430</v>
      </c>
      <c r="O188" s="20" t="n">
        <f aca="false">IF(K188=0,0,IF($I188="L/km",MROUND(K188*$M188*IF($H188="Petrol",'Fuel &amp; Inputs'!$C$5,'Fuel &amp; Inputs'!$C$4),1),MROUND(K188*$M188*IF($H188="Petrol",'Fuel &amp; Inputs'!$C$5,'Fuel &amp; Inputs'!$C$4),10)))</f>
        <v>1990</v>
      </c>
      <c r="P188" s="20" t="n">
        <f aca="false">IF(L188=0,0,IF($I188="L/km",MROUND(L188*$M188*IF($H188="Petrol",'Fuel &amp; Inputs'!$C$5,'Fuel &amp; Inputs'!$C$4),1),MROUND(L188*$M188*IF($H188="Petrol",'Fuel &amp; Inputs'!$C$5,'Fuel &amp; Inputs'!$C$4),10)))</f>
        <v>2710</v>
      </c>
      <c r="Q188" s="17" t="s">
        <v>155</v>
      </c>
      <c r="R188" s="21" t="n">
        <v>1350</v>
      </c>
      <c r="S188" s="20" t="n">
        <f aca="false">MROUND(R188+'Fuel &amp; Inputs'!$C$13,50)</f>
        <v>2150</v>
      </c>
      <c r="T188" s="21" t="n">
        <v>2700</v>
      </c>
      <c r="U188" s="20" t="n">
        <f aca="false">MROUND(R188*'Fuel &amp; Inputs'!$C$19*'Fuel &amp; Inputs'!$C$21,100)</f>
        <v>5100</v>
      </c>
      <c r="V188" s="20" t="n">
        <f aca="false">MROUND(S188*'Fuel &amp; Inputs'!$C$19*'Fuel &amp; Inputs'!$C$21,100)</f>
        <v>8200</v>
      </c>
      <c r="W188" s="20" t="n">
        <f aca="false">MROUND(T188*'Fuel &amp; Inputs'!$C$19*'Fuel &amp; Inputs'!$C$21,100)</f>
        <v>10300</v>
      </c>
      <c r="X188" s="20" t="n">
        <f aca="false">MROUND(R188*'Fuel &amp; Inputs'!$C$20*'Fuel &amp; Inputs'!$C$22,500)</f>
        <v>137500</v>
      </c>
      <c r="Y188" s="20" t="n">
        <f aca="false">MROUND(S188*'Fuel &amp; Inputs'!$C$20*'Fuel &amp; Inputs'!$C$22,500)</f>
        <v>219500</v>
      </c>
      <c r="Z188" s="20" t="n">
        <f aca="false">MROUND(T188*'Fuel &amp; Inputs'!$C$20*'Fuel &amp; Inputs'!$C$22,500)</f>
        <v>275500</v>
      </c>
    </row>
    <row r="189" customFormat="false" ht="15" hidden="false" customHeight="false" outlineLevel="0" collapsed="false">
      <c r="A189" s="23" t="n">
        <v>176</v>
      </c>
      <c r="B189" s="34" t="s">
        <v>84</v>
      </c>
      <c r="C189" s="34" t="s">
        <v>148</v>
      </c>
      <c r="D189" s="34" t="s">
        <v>223</v>
      </c>
      <c r="E189" s="23" t="s">
        <v>228</v>
      </c>
      <c r="F189" s="23" t="s">
        <v>504</v>
      </c>
      <c r="G189" s="23" t="s">
        <v>223</v>
      </c>
      <c r="H189" s="23" t="s">
        <v>153</v>
      </c>
      <c r="I189" s="23" t="s">
        <v>154</v>
      </c>
      <c r="J189" s="25" t="n">
        <v>3.6</v>
      </c>
      <c r="K189" s="25" t="n">
        <v>5</v>
      </c>
      <c r="L189" s="25" t="n">
        <v>6.8</v>
      </c>
      <c r="M189" s="35" t="n">
        <v>1.084</v>
      </c>
      <c r="N189" s="26" t="n">
        <f aca="false">IF(J189=0,0,IF($I189="L/km",MROUND(J189*$M189*IF($H189="Petrol",'Fuel &amp; Inputs'!$C$5,'Fuel &amp; Inputs'!$C$4),1),MROUND(J189*$M189*IF($H189="Petrol",'Fuel &amp; Inputs'!$C$5,'Fuel &amp; Inputs'!$C$4),10)))</f>
        <v>1490</v>
      </c>
      <c r="O189" s="26" t="n">
        <f aca="false">IF(K189=0,0,IF($I189="L/km",MROUND(K189*$M189*IF($H189="Petrol",'Fuel &amp; Inputs'!$C$5,'Fuel &amp; Inputs'!$C$4),1),MROUND(K189*$M189*IF($H189="Petrol",'Fuel &amp; Inputs'!$C$5,'Fuel &amp; Inputs'!$C$4),10)))</f>
        <v>2070</v>
      </c>
      <c r="P189" s="26" t="n">
        <f aca="false">IF(L189=0,0,IF($I189="L/km",MROUND(L189*$M189*IF($H189="Petrol",'Fuel &amp; Inputs'!$C$5,'Fuel &amp; Inputs'!$C$4),1),MROUND(L189*$M189*IF($H189="Petrol",'Fuel &amp; Inputs'!$C$5,'Fuel &amp; Inputs'!$C$4),10)))</f>
        <v>2820</v>
      </c>
      <c r="Q189" s="23" t="s">
        <v>155</v>
      </c>
      <c r="R189" s="27" t="n">
        <v>1240</v>
      </c>
      <c r="S189" s="26" t="n">
        <f aca="false">MROUND(R189+'Fuel &amp; Inputs'!$C$13,50)</f>
        <v>2050</v>
      </c>
      <c r="T189" s="27" t="n">
        <v>2480</v>
      </c>
      <c r="U189" s="26" t="n">
        <f aca="false">MROUND(R189*'Fuel &amp; Inputs'!$C$19*'Fuel &amp; Inputs'!$C$21,100)</f>
        <v>4700</v>
      </c>
      <c r="V189" s="26" t="n">
        <f aca="false">MROUND(S189*'Fuel &amp; Inputs'!$C$19*'Fuel &amp; Inputs'!$C$21,100)</f>
        <v>7800</v>
      </c>
      <c r="W189" s="26" t="n">
        <f aca="false">MROUND(T189*'Fuel &amp; Inputs'!$C$19*'Fuel &amp; Inputs'!$C$21,100)</f>
        <v>9400</v>
      </c>
      <c r="X189" s="26" t="n">
        <f aca="false">MROUND(R189*'Fuel &amp; Inputs'!$C$20*'Fuel &amp; Inputs'!$C$22,500)</f>
        <v>126500</v>
      </c>
      <c r="Y189" s="26" t="n">
        <f aca="false">MROUND(S189*'Fuel &amp; Inputs'!$C$20*'Fuel &amp; Inputs'!$C$22,500)</f>
        <v>209000</v>
      </c>
      <c r="Z189" s="26" t="n">
        <f aca="false">MROUND(T189*'Fuel &amp; Inputs'!$C$20*'Fuel &amp; Inputs'!$C$22,500)</f>
        <v>253000</v>
      </c>
    </row>
    <row r="190" customFormat="false" ht="15" hidden="false" customHeight="false" outlineLevel="0" collapsed="false">
      <c r="A190" s="17" t="n">
        <v>177</v>
      </c>
      <c r="B190" s="32" t="s">
        <v>84</v>
      </c>
      <c r="C190" s="32" t="s">
        <v>148</v>
      </c>
      <c r="D190" s="32" t="s">
        <v>223</v>
      </c>
      <c r="E190" s="17" t="s">
        <v>228</v>
      </c>
      <c r="F190" s="17" t="s">
        <v>505</v>
      </c>
      <c r="G190" s="17" t="s">
        <v>223</v>
      </c>
      <c r="H190" s="17" t="s">
        <v>153</v>
      </c>
      <c r="I190" s="17" t="s">
        <v>154</v>
      </c>
      <c r="J190" s="19" t="n">
        <v>3.6</v>
      </c>
      <c r="K190" s="19" t="n">
        <v>5</v>
      </c>
      <c r="L190" s="19" t="n">
        <v>6.8</v>
      </c>
      <c r="M190" s="33" t="n">
        <v>1.084</v>
      </c>
      <c r="N190" s="20" t="n">
        <f aca="false">IF(J190=0,0,IF($I190="L/km",MROUND(J190*$M190*IF($H190="Petrol",'Fuel &amp; Inputs'!$C$5,'Fuel &amp; Inputs'!$C$4),1),MROUND(J190*$M190*IF($H190="Petrol",'Fuel &amp; Inputs'!$C$5,'Fuel &amp; Inputs'!$C$4),10)))</f>
        <v>1490</v>
      </c>
      <c r="O190" s="20" t="n">
        <f aca="false">IF(K190=0,0,IF($I190="L/km",MROUND(K190*$M190*IF($H190="Petrol",'Fuel &amp; Inputs'!$C$5,'Fuel &amp; Inputs'!$C$4),1),MROUND(K190*$M190*IF($H190="Petrol",'Fuel &amp; Inputs'!$C$5,'Fuel &amp; Inputs'!$C$4),10)))</f>
        <v>2070</v>
      </c>
      <c r="P190" s="20" t="n">
        <f aca="false">IF(L190=0,0,IF($I190="L/km",MROUND(L190*$M190*IF($H190="Petrol",'Fuel &amp; Inputs'!$C$5,'Fuel &amp; Inputs'!$C$4),1),MROUND(L190*$M190*IF($H190="Petrol",'Fuel &amp; Inputs'!$C$5,'Fuel &amp; Inputs'!$C$4),10)))</f>
        <v>2820</v>
      </c>
      <c r="Q190" s="17" t="s">
        <v>155</v>
      </c>
      <c r="R190" s="21" t="n">
        <v>1240</v>
      </c>
      <c r="S190" s="20" t="n">
        <f aca="false">MROUND(R190+'Fuel &amp; Inputs'!$C$13,50)</f>
        <v>2050</v>
      </c>
      <c r="T190" s="21" t="n">
        <v>2480</v>
      </c>
      <c r="U190" s="20" t="n">
        <f aca="false">MROUND(R190*'Fuel &amp; Inputs'!$C$19*'Fuel &amp; Inputs'!$C$21,100)</f>
        <v>4700</v>
      </c>
      <c r="V190" s="20" t="n">
        <f aca="false">MROUND(S190*'Fuel &amp; Inputs'!$C$19*'Fuel &amp; Inputs'!$C$21,100)</f>
        <v>7800</v>
      </c>
      <c r="W190" s="20" t="n">
        <f aca="false">MROUND(T190*'Fuel &amp; Inputs'!$C$19*'Fuel &amp; Inputs'!$C$21,100)</f>
        <v>9400</v>
      </c>
      <c r="X190" s="20" t="n">
        <f aca="false">MROUND(R190*'Fuel &amp; Inputs'!$C$20*'Fuel &amp; Inputs'!$C$22,500)</f>
        <v>126500</v>
      </c>
      <c r="Y190" s="20" t="n">
        <f aca="false">MROUND(S190*'Fuel &amp; Inputs'!$C$20*'Fuel &amp; Inputs'!$C$22,500)</f>
        <v>209000</v>
      </c>
      <c r="Z190" s="20" t="n">
        <f aca="false">MROUND(T190*'Fuel &amp; Inputs'!$C$20*'Fuel &amp; Inputs'!$C$22,500)</f>
        <v>253000</v>
      </c>
    </row>
    <row r="191" customFormat="false" ht="15" hidden="false" customHeight="false" outlineLevel="0" collapsed="false">
      <c r="A191" s="23" t="n">
        <v>178</v>
      </c>
      <c r="B191" s="34" t="s">
        <v>84</v>
      </c>
      <c r="C191" s="34" t="s">
        <v>148</v>
      </c>
      <c r="D191" s="34" t="s">
        <v>223</v>
      </c>
      <c r="E191" s="23" t="s">
        <v>228</v>
      </c>
      <c r="F191" s="23" t="s">
        <v>506</v>
      </c>
      <c r="G191" s="23" t="s">
        <v>223</v>
      </c>
      <c r="H191" s="23" t="s">
        <v>153</v>
      </c>
      <c r="I191" s="23" t="s">
        <v>154</v>
      </c>
      <c r="J191" s="25" t="n">
        <v>3.6</v>
      </c>
      <c r="K191" s="25" t="n">
        <v>5</v>
      </c>
      <c r="L191" s="25" t="n">
        <v>6.8</v>
      </c>
      <c r="M191" s="35" t="n">
        <v>1.084</v>
      </c>
      <c r="N191" s="26" t="n">
        <f aca="false">IF(J191=0,0,IF($I191="L/km",MROUND(J191*$M191*IF($H191="Petrol",'Fuel &amp; Inputs'!$C$5,'Fuel &amp; Inputs'!$C$4),1),MROUND(J191*$M191*IF($H191="Petrol",'Fuel &amp; Inputs'!$C$5,'Fuel &amp; Inputs'!$C$4),10)))</f>
        <v>1490</v>
      </c>
      <c r="O191" s="26" t="n">
        <f aca="false">IF(K191=0,0,IF($I191="L/km",MROUND(K191*$M191*IF($H191="Petrol",'Fuel &amp; Inputs'!$C$5,'Fuel &amp; Inputs'!$C$4),1),MROUND(K191*$M191*IF($H191="Petrol",'Fuel &amp; Inputs'!$C$5,'Fuel &amp; Inputs'!$C$4),10)))</f>
        <v>2070</v>
      </c>
      <c r="P191" s="26" t="n">
        <f aca="false">IF(L191=0,0,IF($I191="L/km",MROUND(L191*$M191*IF($H191="Petrol",'Fuel &amp; Inputs'!$C$5,'Fuel &amp; Inputs'!$C$4),1),MROUND(L191*$M191*IF($H191="Petrol",'Fuel &amp; Inputs'!$C$5,'Fuel &amp; Inputs'!$C$4),10)))</f>
        <v>2820</v>
      </c>
      <c r="Q191" s="23" t="s">
        <v>155</v>
      </c>
      <c r="R191" s="27" t="n">
        <v>1240</v>
      </c>
      <c r="S191" s="26" t="n">
        <f aca="false">MROUND(R191+'Fuel &amp; Inputs'!$C$13,50)</f>
        <v>2050</v>
      </c>
      <c r="T191" s="27" t="n">
        <v>2480</v>
      </c>
      <c r="U191" s="26" t="n">
        <f aca="false">MROUND(R191*'Fuel &amp; Inputs'!$C$19*'Fuel &amp; Inputs'!$C$21,100)</f>
        <v>4700</v>
      </c>
      <c r="V191" s="26" t="n">
        <f aca="false">MROUND(S191*'Fuel &amp; Inputs'!$C$19*'Fuel &amp; Inputs'!$C$21,100)</f>
        <v>7800</v>
      </c>
      <c r="W191" s="26" t="n">
        <f aca="false">MROUND(T191*'Fuel &amp; Inputs'!$C$19*'Fuel &amp; Inputs'!$C$21,100)</f>
        <v>9400</v>
      </c>
      <c r="X191" s="26" t="n">
        <f aca="false">MROUND(R191*'Fuel &amp; Inputs'!$C$20*'Fuel &amp; Inputs'!$C$22,500)</f>
        <v>126500</v>
      </c>
      <c r="Y191" s="26" t="n">
        <f aca="false">MROUND(S191*'Fuel &amp; Inputs'!$C$20*'Fuel &amp; Inputs'!$C$22,500)</f>
        <v>209000</v>
      </c>
      <c r="Z191" s="26" t="n">
        <f aca="false">MROUND(T191*'Fuel &amp; Inputs'!$C$20*'Fuel &amp; Inputs'!$C$22,500)</f>
        <v>253000</v>
      </c>
    </row>
    <row r="192" customFormat="false" ht="15" hidden="false" customHeight="false" outlineLevel="0" collapsed="false">
      <c r="A192" s="17" t="n">
        <v>179</v>
      </c>
      <c r="B192" s="32" t="s">
        <v>84</v>
      </c>
      <c r="C192" s="32" t="s">
        <v>148</v>
      </c>
      <c r="D192" s="32" t="s">
        <v>223</v>
      </c>
      <c r="E192" s="17" t="s">
        <v>251</v>
      </c>
      <c r="F192" s="17" t="s">
        <v>507</v>
      </c>
      <c r="G192" s="17" t="s">
        <v>223</v>
      </c>
      <c r="H192" s="17" t="s">
        <v>153</v>
      </c>
      <c r="I192" s="17" t="s">
        <v>154</v>
      </c>
      <c r="J192" s="19" t="n">
        <v>3.6</v>
      </c>
      <c r="K192" s="19" t="n">
        <v>5</v>
      </c>
      <c r="L192" s="19" t="n">
        <v>6.8</v>
      </c>
      <c r="M192" s="33" t="n">
        <v>1.063</v>
      </c>
      <c r="N192" s="20" t="n">
        <f aca="false">IF(J192=0,0,IF($I192="L/km",MROUND(J192*$M192*IF($H192="Petrol",'Fuel &amp; Inputs'!$C$5,'Fuel &amp; Inputs'!$C$4),1),MROUND(J192*$M192*IF($H192="Petrol",'Fuel &amp; Inputs'!$C$5,'Fuel &amp; Inputs'!$C$4),10)))</f>
        <v>1460</v>
      </c>
      <c r="O192" s="20" t="n">
        <f aca="false">IF(K192=0,0,IF($I192="L/km",MROUND(K192*$M192*IF($H192="Petrol",'Fuel &amp; Inputs'!$C$5,'Fuel &amp; Inputs'!$C$4),1),MROUND(K192*$M192*IF($H192="Petrol",'Fuel &amp; Inputs'!$C$5,'Fuel &amp; Inputs'!$C$4),10)))</f>
        <v>2030</v>
      </c>
      <c r="P192" s="20" t="n">
        <f aca="false">IF(L192=0,0,IF($I192="L/km",MROUND(L192*$M192*IF($H192="Petrol",'Fuel &amp; Inputs'!$C$5,'Fuel &amp; Inputs'!$C$4),1),MROUND(L192*$M192*IF($H192="Petrol",'Fuel &amp; Inputs'!$C$5,'Fuel &amp; Inputs'!$C$4),10)))</f>
        <v>2760</v>
      </c>
      <c r="Q192" s="17" t="s">
        <v>155</v>
      </c>
      <c r="R192" s="21" t="n">
        <v>1240</v>
      </c>
      <c r="S192" s="20" t="n">
        <f aca="false">MROUND(R192+'Fuel &amp; Inputs'!$C$13,50)</f>
        <v>2050</v>
      </c>
      <c r="T192" s="21" t="n">
        <v>2480</v>
      </c>
      <c r="U192" s="20" t="n">
        <f aca="false">MROUND(R192*'Fuel &amp; Inputs'!$C$19*'Fuel &amp; Inputs'!$C$21,100)</f>
        <v>4700</v>
      </c>
      <c r="V192" s="20" t="n">
        <f aca="false">MROUND(S192*'Fuel &amp; Inputs'!$C$19*'Fuel &amp; Inputs'!$C$21,100)</f>
        <v>7800</v>
      </c>
      <c r="W192" s="20" t="n">
        <f aca="false">MROUND(T192*'Fuel &amp; Inputs'!$C$19*'Fuel &amp; Inputs'!$C$21,100)</f>
        <v>9400</v>
      </c>
      <c r="X192" s="20" t="n">
        <f aca="false">MROUND(R192*'Fuel &amp; Inputs'!$C$20*'Fuel &amp; Inputs'!$C$22,500)</f>
        <v>126500</v>
      </c>
      <c r="Y192" s="20" t="n">
        <f aca="false">MROUND(S192*'Fuel &amp; Inputs'!$C$20*'Fuel &amp; Inputs'!$C$22,500)</f>
        <v>209000</v>
      </c>
      <c r="Z192" s="20" t="n">
        <f aca="false">MROUND(T192*'Fuel &amp; Inputs'!$C$20*'Fuel &amp; Inputs'!$C$22,500)</f>
        <v>253000</v>
      </c>
    </row>
    <row r="193" customFormat="false" ht="15" hidden="false" customHeight="false" outlineLevel="0" collapsed="false">
      <c r="A193" s="23" t="n">
        <v>180</v>
      </c>
      <c r="B193" s="34" t="s">
        <v>84</v>
      </c>
      <c r="C193" s="34" t="s">
        <v>148</v>
      </c>
      <c r="D193" s="34" t="s">
        <v>495</v>
      </c>
      <c r="E193" s="23" t="s">
        <v>251</v>
      </c>
      <c r="F193" s="23" t="s">
        <v>508</v>
      </c>
      <c r="G193" s="23" t="s">
        <v>223</v>
      </c>
      <c r="H193" s="23" t="s">
        <v>153</v>
      </c>
      <c r="I193" s="23" t="s">
        <v>154</v>
      </c>
      <c r="J193" s="25" t="n">
        <v>3.6</v>
      </c>
      <c r="K193" s="25" t="n">
        <v>5</v>
      </c>
      <c r="L193" s="25" t="n">
        <v>6.8</v>
      </c>
      <c r="M193" s="35" t="n">
        <v>1.063</v>
      </c>
      <c r="N193" s="26" t="n">
        <f aca="false">IF(J193=0,0,IF($I193="L/km",MROUND(J193*$M193*IF($H193="Petrol",'Fuel &amp; Inputs'!$C$5,'Fuel &amp; Inputs'!$C$4),1),MROUND(J193*$M193*IF($H193="Petrol",'Fuel &amp; Inputs'!$C$5,'Fuel &amp; Inputs'!$C$4),10)))</f>
        <v>1460</v>
      </c>
      <c r="O193" s="26" t="n">
        <f aca="false">IF(K193=0,0,IF($I193="L/km",MROUND(K193*$M193*IF($H193="Petrol",'Fuel &amp; Inputs'!$C$5,'Fuel &amp; Inputs'!$C$4),1),MROUND(K193*$M193*IF($H193="Petrol",'Fuel &amp; Inputs'!$C$5,'Fuel &amp; Inputs'!$C$4),10)))</f>
        <v>2030</v>
      </c>
      <c r="P193" s="26" t="n">
        <f aca="false">IF(L193=0,0,IF($I193="L/km",MROUND(L193*$M193*IF($H193="Petrol",'Fuel &amp; Inputs'!$C$5,'Fuel &amp; Inputs'!$C$4),1),MROUND(L193*$M193*IF($H193="Petrol",'Fuel &amp; Inputs'!$C$5,'Fuel &amp; Inputs'!$C$4),10)))</f>
        <v>2760</v>
      </c>
      <c r="Q193" s="23" t="s">
        <v>155</v>
      </c>
      <c r="R193" s="27" t="n">
        <v>1240</v>
      </c>
      <c r="S193" s="26" t="n">
        <f aca="false">MROUND(R193+'Fuel &amp; Inputs'!$C$13,50)</f>
        <v>2050</v>
      </c>
      <c r="T193" s="27" t="n">
        <v>2480</v>
      </c>
      <c r="U193" s="26" t="n">
        <f aca="false">MROUND(R193*'Fuel &amp; Inputs'!$C$19*'Fuel &amp; Inputs'!$C$21,100)</f>
        <v>4700</v>
      </c>
      <c r="V193" s="26" t="n">
        <f aca="false">MROUND(S193*'Fuel &amp; Inputs'!$C$19*'Fuel &amp; Inputs'!$C$21,100)</f>
        <v>7800</v>
      </c>
      <c r="W193" s="26" t="n">
        <f aca="false">MROUND(T193*'Fuel &amp; Inputs'!$C$19*'Fuel &amp; Inputs'!$C$21,100)</f>
        <v>9400</v>
      </c>
      <c r="X193" s="26" t="n">
        <f aca="false">MROUND(R193*'Fuel &amp; Inputs'!$C$20*'Fuel &amp; Inputs'!$C$22,500)</f>
        <v>126500</v>
      </c>
      <c r="Y193" s="26" t="n">
        <f aca="false">MROUND(S193*'Fuel &amp; Inputs'!$C$20*'Fuel &amp; Inputs'!$C$22,500)</f>
        <v>209000</v>
      </c>
      <c r="Z193" s="26" t="n">
        <f aca="false">MROUND(T193*'Fuel &amp; Inputs'!$C$20*'Fuel &amp; Inputs'!$C$22,500)</f>
        <v>253000</v>
      </c>
    </row>
    <row r="194" customFormat="false" ht="15" hidden="false" customHeight="false" outlineLevel="0" collapsed="false">
      <c r="A194" s="17" t="n">
        <v>181</v>
      </c>
      <c r="B194" s="32" t="s">
        <v>84</v>
      </c>
      <c r="C194" s="32" t="s">
        <v>148</v>
      </c>
      <c r="D194" s="32" t="s">
        <v>495</v>
      </c>
      <c r="E194" s="17" t="s">
        <v>174</v>
      </c>
      <c r="F194" s="17" t="s">
        <v>509</v>
      </c>
      <c r="G194" s="17" t="s">
        <v>223</v>
      </c>
      <c r="H194" s="17" t="s">
        <v>153</v>
      </c>
      <c r="I194" s="17" t="s">
        <v>154</v>
      </c>
      <c r="J194" s="19" t="n">
        <v>3.6</v>
      </c>
      <c r="K194" s="19" t="n">
        <v>5</v>
      </c>
      <c r="L194" s="19" t="n">
        <v>6.8</v>
      </c>
      <c r="M194" s="33" t="n">
        <v>1.07</v>
      </c>
      <c r="N194" s="20" t="n">
        <f aca="false">IF(J194=0,0,IF($I194="L/km",MROUND(J194*$M194*IF($H194="Petrol",'Fuel &amp; Inputs'!$C$5,'Fuel &amp; Inputs'!$C$4),1),MROUND(J194*$M194*IF($H194="Petrol",'Fuel &amp; Inputs'!$C$5,'Fuel &amp; Inputs'!$C$4),10)))</f>
        <v>1470</v>
      </c>
      <c r="O194" s="20" t="n">
        <f aca="false">IF(K194=0,0,IF($I194="L/km",MROUND(K194*$M194*IF($H194="Petrol",'Fuel &amp; Inputs'!$C$5,'Fuel &amp; Inputs'!$C$4),1),MROUND(K194*$M194*IF($H194="Petrol",'Fuel &amp; Inputs'!$C$5,'Fuel &amp; Inputs'!$C$4),10)))</f>
        <v>2040</v>
      </c>
      <c r="P194" s="20" t="n">
        <f aca="false">IF(L194=0,0,IF($I194="L/km",MROUND(L194*$M194*IF($H194="Petrol",'Fuel &amp; Inputs'!$C$5,'Fuel &amp; Inputs'!$C$4),1),MROUND(L194*$M194*IF($H194="Petrol",'Fuel &amp; Inputs'!$C$5,'Fuel &amp; Inputs'!$C$4),10)))</f>
        <v>2780</v>
      </c>
      <c r="Q194" s="17" t="s">
        <v>155</v>
      </c>
      <c r="R194" s="21" t="n">
        <v>1240</v>
      </c>
      <c r="S194" s="20" t="n">
        <f aca="false">MROUND(R194+'Fuel &amp; Inputs'!$C$13,50)</f>
        <v>2050</v>
      </c>
      <c r="T194" s="21" t="n">
        <v>2480</v>
      </c>
      <c r="U194" s="20" t="n">
        <f aca="false">MROUND(R194*'Fuel &amp; Inputs'!$C$19*'Fuel &amp; Inputs'!$C$21,100)</f>
        <v>4700</v>
      </c>
      <c r="V194" s="20" t="n">
        <f aca="false">MROUND(S194*'Fuel &amp; Inputs'!$C$19*'Fuel &amp; Inputs'!$C$21,100)</f>
        <v>7800</v>
      </c>
      <c r="W194" s="20" t="n">
        <f aca="false">MROUND(T194*'Fuel &amp; Inputs'!$C$19*'Fuel &amp; Inputs'!$C$21,100)</f>
        <v>9400</v>
      </c>
      <c r="X194" s="20" t="n">
        <f aca="false">MROUND(R194*'Fuel &amp; Inputs'!$C$20*'Fuel &amp; Inputs'!$C$22,500)</f>
        <v>126500</v>
      </c>
      <c r="Y194" s="20" t="n">
        <f aca="false">MROUND(S194*'Fuel &amp; Inputs'!$C$20*'Fuel &amp; Inputs'!$C$22,500)</f>
        <v>209000</v>
      </c>
      <c r="Z194" s="20" t="n">
        <f aca="false">MROUND(T194*'Fuel &amp; Inputs'!$C$20*'Fuel &amp; Inputs'!$C$22,500)</f>
        <v>253000</v>
      </c>
    </row>
    <row r="195" customFormat="false" ht="15" hidden="false" customHeight="false" outlineLevel="0" collapsed="false">
      <c r="A195" s="23" t="n">
        <v>182</v>
      </c>
      <c r="B195" s="34" t="s">
        <v>84</v>
      </c>
      <c r="C195" s="34" t="s">
        <v>148</v>
      </c>
      <c r="D195" s="34" t="s">
        <v>495</v>
      </c>
      <c r="E195" s="23" t="s">
        <v>251</v>
      </c>
      <c r="F195" s="23" t="s">
        <v>510</v>
      </c>
      <c r="G195" s="23" t="s">
        <v>223</v>
      </c>
      <c r="H195" s="23" t="s">
        <v>153</v>
      </c>
      <c r="I195" s="23" t="s">
        <v>154</v>
      </c>
      <c r="J195" s="25" t="n">
        <v>3.6</v>
      </c>
      <c r="K195" s="25" t="n">
        <v>5</v>
      </c>
      <c r="L195" s="25" t="n">
        <v>6.8</v>
      </c>
      <c r="M195" s="35" t="n">
        <v>1.063</v>
      </c>
      <c r="N195" s="26" t="n">
        <f aca="false">IF(J195=0,0,IF($I195="L/km",MROUND(J195*$M195*IF($H195="Petrol",'Fuel &amp; Inputs'!$C$5,'Fuel &amp; Inputs'!$C$4),1),MROUND(J195*$M195*IF($H195="Petrol",'Fuel &amp; Inputs'!$C$5,'Fuel &amp; Inputs'!$C$4),10)))</f>
        <v>1460</v>
      </c>
      <c r="O195" s="26" t="n">
        <f aca="false">IF(K195=0,0,IF($I195="L/km",MROUND(K195*$M195*IF($H195="Petrol",'Fuel &amp; Inputs'!$C$5,'Fuel &amp; Inputs'!$C$4),1),MROUND(K195*$M195*IF($H195="Petrol",'Fuel &amp; Inputs'!$C$5,'Fuel &amp; Inputs'!$C$4),10)))</f>
        <v>2030</v>
      </c>
      <c r="P195" s="26" t="n">
        <f aca="false">IF(L195=0,0,IF($I195="L/km",MROUND(L195*$M195*IF($H195="Petrol",'Fuel &amp; Inputs'!$C$5,'Fuel &amp; Inputs'!$C$4),1),MROUND(L195*$M195*IF($H195="Petrol",'Fuel &amp; Inputs'!$C$5,'Fuel &amp; Inputs'!$C$4),10)))</f>
        <v>2760</v>
      </c>
      <c r="Q195" s="23" t="s">
        <v>155</v>
      </c>
      <c r="R195" s="27" t="n">
        <v>1240</v>
      </c>
      <c r="S195" s="26" t="n">
        <f aca="false">MROUND(R195+'Fuel &amp; Inputs'!$C$13,50)</f>
        <v>2050</v>
      </c>
      <c r="T195" s="27" t="n">
        <v>2480</v>
      </c>
      <c r="U195" s="26" t="n">
        <f aca="false">MROUND(R195*'Fuel &amp; Inputs'!$C$19*'Fuel &amp; Inputs'!$C$21,100)</f>
        <v>4700</v>
      </c>
      <c r="V195" s="26" t="n">
        <f aca="false">MROUND(S195*'Fuel &amp; Inputs'!$C$19*'Fuel &amp; Inputs'!$C$21,100)</f>
        <v>7800</v>
      </c>
      <c r="W195" s="26" t="n">
        <f aca="false">MROUND(T195*'Fuel &amp; Inputs'!$C$19*'Fuel &amp; Inputs'!$C$21,100)</f>
        <v>9400</v>
      </c>
      <c r="X195" s="26" t="n">
        <f aca="false">MROUND(R195*'Fuel &amp; Inputs'!$C$20*'Fuel &amp; Inputs'!$C$22,500)</f>
        <v>126500</v>
      </c>
      <c r="Y195" s="26" t="n">
        <f aca="false">MROUND(S195*'Fuel &amp; Inputs'!$C$20*'Fuel &amp; Inputs'!$C$22,500)</f>
        <v>209000</v>
      </c>
      <c r="Z195" s="26" t="n">
        <f aca="false">MROUND(T195*'Fuel &amp; Inputs'!$C$20*'Fuel &amp; Inputs'!$C$22,500)</f>
        <v>253000</v>
      </c>
    </row>
    <row r="196" customFormat="false" ht="15" hidden="false" customHeight="false" outlineLevel="0" collapsed="false">
      <c r="A196" s="17" t="n">
        <v>183</v>
      </c>
      <c r="B196" s="32" t="s">
        <v>84</v>
      </c>
      <c r="C196" s="32" t="s">
        <v>148</v>
      </c>
      <c r="D196" s="32" t="s">
        <v>495</v>
      </c>
      <c r="E196" s="17" t="s">
        <v>251</v>
      </c>
      <c r="F196" s="17" t="s">
        <v>511</v>
      </c>
      <c r="G196" s="17" t="s">
        <v>223</v>
      </c>
      <c r="H196" s="17" t="s">
        <v>153</v>
      </c>
      <c r="I196" s="17" t="s">
        <v>154</v>
      </c>
      <c r="J196" s="19" t="n">
        <v>3.6</v>
      </c>
      <c r="K196" s="19" t="n">
        <v>5</v>
      </c>
      <c r="L196" s="19" t="n">
        <v>6.8</v>
      </c>
      <c r="M196" s="33" t="n">
        <v>1.063</v>
      </c>
      <c r="N196" s="20" t="n">
        <f aca="false">IF(J196=0,0,IF($I196="L/km",MROUND(J196*$M196*IF($H196="Petrol",'Fuel &amp; Inputs'!$C$5,'Fuel &amp; Inputs'!$C$4),1),MROUND(J196*$M196*IF($H196="Petrol",'Fuel &amp; Inputs'!$C$5,'Fuel &amp; Inputs'!$C$4),10)))</f>
        <v>1460</v>
      </c>
      <c r="O196" s="20" t="n">
        <f aca="false">IF(K196=0,0,IF($I196="L/km",MROUND(K196*$M196*IF($H196="Petrol",'Fuel &amp; Inputs'!$C$5,'Fuel &amp; Inputs'!$C$4),1),MROUND(K196*$M196*IF($H196="Petrol",'Fuel &amp; Inputs'!$C$5,'Fuel &amp; Inputs'!$C$4),10)))</f>
        <v>2030</v>
      </c>
      <c r="P196" s="20" t="n">
        <f aca="false">IF(L196=0,0,IF($I196="L/km",MROUND(L196*$M196*IF($H196="Petrol",'Fuel &amp; Inputs'!$C$5,'Fuel &amp; Inputs'!$C$4),1),MROUND(L196*$M196*IF($H196="Petrol",'Fuel &amp; Inputs'!$C$5,'Fuel &amp; Inputs'!$C$4),10)))</f>
        <v>2760</v>
      </c>
      <c r="Q196" s="17" t="s">
        <v>155</v>
      </c>
      <c r="R196" s="21" t="n">
        <v>1240</v>
      </c>
      <c r="S196" s="20" t="n">
        <f aca="false">MROUND(R196+'Fuel &amp; Inputs'!$C$13,50)</f>
        <v>2050</v>
      </c>
      <c r="T196" s="21" t="n">
        <v>2480</v>
      </c>
      <c r="U196" s="20" t="n">
        <f aca="false">MROUND(R196*'Fuel &amp; Inputs'!$C$19*'Fuel &amp; Inputs'!$C$21,100)</f>
        <v>4700</v>
      </c>
      <c r="V196" s="20" t="n">
        <f aca="false">MROUND(S196*'Fuel &amp; Inputs'!$C$19*'Fuel &amp; Inputs'!$C$21,100)</f>
        <v>7800</v>
      </c>
      <c r="W196" s="20" t="n">
        <f aca="false">MROUND(T196*'Fuel &amp; Inputs'!$C$19*'Fuel &amp; Inputs'!$C$21,100)</f>
        <v>9400</v>
      </c>
      <c r="X196" s="20" t="n">
        <f aca="false">MROUND(R196*'Fuel &amp; Inputs'!$C$20*'Fuel &amp; Inputs'!$C$22,500)</f>
        <v>126500</v>
      </c>
      <c r="Y196" s="20" t="n">
        <f aca="false">MROUND(S196*'Fuel &amp; Inputs'!$C$20*'Fuel &amp; Inputs'!$C$22,500)</f>
        <v>209000</v>
      </c>
      <c r="Z196" s="20" t="n">
        <f aca="false">MROUND(T196*'Fuel &amp; Inputs'!$C$20*'Fuel &amp; Inputs'!$C$22,500)</f>
        <v>253000</v>
      </c>
    </row>
    <row r="197" customFormat="false" ht="15" hidden="false" customHeight="false" outlineLevel="0" collapsed="false">
      <c r="A197" s="23" t="n">
        <v>184</v>
      </c>
      <c r="B197" s="34" t="s">
        <v>84</v>
      </c>
      <c r="C197" s="34" t="s">
        <v>148</v>
      </c>
      <c r="D197" s="34" t="s">
        <v>223</v>
      </c>
      <c r="E197" s="23" t="s">
        <v>251</v>
      </c>
      <c r="F197" s="23" t="s">
        <v>512</v>
      </c>
      <c r="G197" s="23" t="s">
        <v>223</v>
      </c>
      <c r="H197" s="23" t="s">
        <v>153</v>
      </c>
      <c r="I197" s="23" t="s">
        <v>154</v>
      </c>
      <c r="J197" s="25" t="n">
        <v>3.6</v>
      </c>
      <c r="K197" s="25" t="n">
        <v>5</v>
      </c>
      <c r="L197" s="25" t="n">
        <v>6.8</v>
      </c>
      <c r="M197" s="35" t="n">
        <v>1.063</v>
      </c>
      <c r="N197" s="26" t="n">
        <f aca="false">IF(J197=0,0,IF($I197="L/km",MROUND(J197*$M197*IF($H197="Petrol",'Fuel &amp; Inputs'!$C$5,'Fuel &amp; Inputs'!$C$4),1),MROUND(J197*$M197*IF($H197="Petrol",'Fuel &amp; Inputs'!$C$5,'Fuel &amp; Inputs'!$C$4),10)))</f>
        <v>1460</v>
      </c>
      <c r="O197" s="26" t="n">
        <f aca="false">IF(K197=0,0,IF($I197="L/km",MROUND(K197*$M197*IF($H197="Petrol",'Fuel &amp; Inputs'!$C$5,'Fuel &amp; Inputs'!$C$4),1),MROUND(K197*$M197*IF($H197="Petrol",'Fuel &amp; Inputs'!$C$5,'Fuel &amp; Inputs'!$C$4),10)))</f>
        <v>2030</v>
      </c>
      <c r="P197" s="26" t="n">
        <f aca="false">IF(L197=0,0,IF($I197="L/km",MROUND(L197*$M197*IF($H197="Petrol",'Fuel &amp; Inputs'!$C$5,'Fuel &amp; Inputs'!$C$4),1),MROUND(L197*$M197*IF($H197="Petrol",'Fuel &amp; Inputs'!$C$5,'Fuel &amp; Inputs'!$C$4),10)))</f>
        <v>2760</v>
      </c>
      <c r="Q197" s="23" t="s">
        <v>155</v>
      </c>
      <c r="R197" s="27" t="n">
        <v>1240</v>
      </c>
      <c r="S197" s="26" t="n">
        <f aca="false">MROUND(R197+'Fuel &amp; Inputs'!$C$13,50)</f>
        <v>2050</v>
      </c>
      <c r="T197" s="27" t="n">
        <v>2480</v>
      </c>
      <c r="U197" s="26" t="n">
        <f aca="false">MROUND(R197*'Fuel &amp; Inputs'!$C$19*'Fuel &amp; Inputs'!$C$21,100)</f>
        <v>4700</v>
      </c>
      <c r="V197" s="26" t="n">
        <f aca="false">MROUND(S197*'Fuel &amp; Inputs'!$C$19*'Fuel &amp; Inputs'!$C$21,100)</f>
        <v>7800</v>
      </c>
      <c r="W197" s="26" t="n">
        <f aca="false">MROUND(T197*'Fuel &amp; Inputs'!$C$19*'Fuel &amp; Inputs'!$C$21,100)</f>
        <v>9400</v>
      </c>
      <c r="X197" s="26" t="n">
        <f aca="false">MROUND(R197*'Fuel &amp; Inputs'!$C$20*'Fuel &amp; Inputs'!$C$22,500)</f>
        <v>126500</v>
      </c>
      <c r="Y197" s="26" t="n">
        <f aca="false">MROUND(S197*'Fuel &amp; Inputs'!$C$20*'Fuel &amp; Inputs'!$C$22,500)</f>
        <v>209000</v>
      </c>
      <c r="Z197" s="26" t="n">
        <f aca="false">MROUND(T197*'Fuel &amp; Inputs'!$C$20*'Fuel &amp; Inputs'!$C$22,500)</f>
        <v>253000</v>
      </c>
    </row>
    <row r="198" customFormat="false" ht="15" hidden="false" customHeight="false" outlineLevel="0" collapsed="false">
      <c r="A198" s="17" t="n">
        <v>185</v>
      </c>
      <c r="B198" s="32" t="s">
        <v>84</v>
      </c>
      <c r="C198" s="32" t="s">
        <v>241</v>
      </c>
      <c r="D198" s="32" t="s">
        <v>513</v>
      </c>
      <c r="E198" s="17" t="s">
        <v>251</v>
      </c>
      <c r="F198" s="17" t="s">
        <v>514</v>
      </c>
      <c r="G198" s="17" t="s">
        <v>223</v>
      </c>
      <c r="H198" s="17" t="s">
        <v>153</v>
      </c>
      <c r="I198" s="17" t="s">
        <v>154</v>
      </c>
      <c r="J198" s="19" t="n">
        <v>3.6</v>
      </c>
      <c r="K198" s="19" t="n">
        <v>5</v>
      </c>
      <c r="L198" s="19" t="n">
        <v>6.8</v>
      </c>
      <c r="M198" s="33" t="n">
        <v>1.063</v>
      </c>
      <c r="N198" s="20" t="n">
        <f aca="false">IF(J198=0,0,IF($I198="L/km",MROUND(J198*$M198*IF($H198="Petrol",'Fuel &amp; Inputs'!$C$5,'Fuel &amp; Inputs'!$C$4),1),MROUND(J198*$M198*IF($H198="Petrol",'Fuel &amp; Inputs'!$C$5,'Fuel &amp; Inputs'!$C$4),10)))</f>
        <v>1460</v>
      </c>
      <c r="O198" s="20" t="n">
        <f aca="false">IF(K198=0,0,IF($I198="L/km",MROUND(K198*$M198*IF($H198="Petrol",'Fuel &amp; Inputs'!$C$5,'Fuel &amp; Inputs'!$C$4),1),MROUND(K198*$M198*IF($H198="Petrol",'Fuel &amp; Inputs'!$C$5,'Fuel &amp; Inputs'!$C$4),10)))</f>
        <v>2030</v>
      </c>
      <c r="P198" s="20" t="n">
        <f aca="false">IF(L198=0,0,IF($I198="L/km",MROUND(L198*$M198*IF($H198="Petrol",'Fuel &amp; Inputs'!$C$5,'Fuel &amp; Inputs'!$C$4),1),MROUND(L198*$M198*IF($H198="Petrol",'Fuel &amp; Inputs'!$C$5,'Fuel &amp; Inputs'!$C$4),10)))</f>
        <v>2760</v>
      </c>
      <c r="Q198" s="17" t="s">
        <v>155</v>
      </c>
      <c r="R198" s="21" t="n">
        <v>1240</v>
      </c>
      <c r="S198" s="20" t="n">
        <f aca="false">MROUND(R198+'Fuel &amp; Inputs'!$C$13,50)</f>
        <v>2050</v>
      </c>
      <c r="T198" s="21" t="n">
        <v>2480</v>
      </c>
      <c r="U198" s="20" t="n">
        <f aca="false">MROUND(R198*'Fuel &amp; Inputs'!$C$19*'Fuel &amp; Inputs'!$C$21,100)</f>
        <v>4700</v>
      </c>
      <c r="V198" s="20" t="n">
        <f aca="false">MROUND(S198*'Fuel &amp; Inputs'!$C$19*'Fuel &amp; Inputs'!$C$21,100)</f>
        <v>7800</v>
      </c>
      <c r="W198" s="20" t="n">
        <f aca="false">MROUND(T198*'Fuel &amp; Inputs'!$C$19*'Fuel &amp; Inputs'!$C$21,100)</f>
        <v>9400</v>
      </c>
      <c r="X198" s="20" t="n">
        <f aca="false">MROUND(R198*'Fuel &amp; Inputs'!$C$20*'Fuel &amp; Inputs'!$C$22,500)</f>
        <v>126500</v>
      </c>
      <c r="Y198" s="20" t="n">
        <f aca="false">MROUND(S198*'Fuel &amp; Inputs'!$C$20*'Fuel &amp; Inputs'!$C$22,500)</f>
        <v>209000</v>
      </c>
      <c r="Z198" s="20" t="n">
        <f aca="false">MROUND(T198*'Fuel &amp; Inputs'!$C$20*'Fuel &amp; Inputs'!$C$22,500)</f>
        <v>253000</v>
      </c>
    </row>
    <row r="199" customFormat="false" ht="15" hidden="false" customHeight="false" outlineLevel="0" collapsed="false">
      <c r="A199" s="23" t="n">
        <v>186</v>
      </c>
      <c r="B199" s="34" t="s">
        <v>84</v>
      </c>
      <c r="C199" s="34" t="s">
        <v>148</v>
      </c>
      <c r="D199" s="34" t="s">
        <v>495</v>
      </c>
      <c r="E199" s="23" t="s">
        <v>174</v>
      </c>
      <c r="F199" s="23" t="s">
        <v>515</v>
      </c>
      <c r="G199" s="23" t="s">
        <v>223</v>
      </c>
      <c r="H199" s="23" t="s">
        <v>153</v>
      </c>
      <c r="I199" s="23" t="s">
        <v>154</v>
      </c>
      <c r="J199" s="25" t="n">
        <v>3.6</v>
      </c>
      <c r="K199" s="25" t="n">
        <v>5</v>
      </c>
      <c r="L199" s="25" t="n">
        <v>6.8</v>
      </c>
      <c r="M199" s="35" t="n">
        <v>1.07</v>
      </c>
      <c r="N199" s="26" t="n">
        <f aca="false">IF(J199=0,0,IF($I199="L/km",MROUND(J199*$M199*IF($H199="Petrol",'Fuel &amp; Inputs'!$C$5,'Fuel &amp; Inputs'!$C$4),1),MROUND(J199*$M199*IF($H199="Petrol",'Fuel &amp; Inputs'!$C$5,'Fuel &amp; Inputs'!$C$4),10)))</f>
        <v>1470</v>
      </c>
      <c r="O199" s="26" t="n">
        <f aca="false">IF(K199=0,0,IF($I199="L/km",MROUND(K199*$M199*IF($H199="Petrol",'Fuel &amp; Inputs'!$C$5,'Fuel &amp; Inputs'!$C$4),1),MROUND(K199*$M199*IF($H199="Petrol",'Fuel &amp; Inputs'!$C$5,'Fuel &amp; Inputs'!$C$4),10)))</f>
        <v>2040</v>
      </c>
      <c r="P199" s="26" t="n">
        <f aca="false">IF(L199=0,0,IF($I199="L/km",MROUND(L199*$M199*IF($H199="Petrol",'Fuel &amp; Inputs'!$C$5,'Fuel &amp; Inputs'!$C$4),1),MROUND(L199*$M199*IF($H199="Petrol",'Fuel &amp; Inputs'!$C$5,'Fuel &amp; Inputs'!$C$4),10)))</f>
        <v>2780</v>
      </c>
      <c r="Q199" s="23" t="s">
        <v>155</v>
      </c>
      <c r="R199" s="27" t="n">
        <v>1240</v>
      </c>
      <c r="S199" s="26" t="n">
        <f aca="false">MROUND(R199+'Fuel &amp; Inputs'!$C$13,50)</f>
        <v>2050</v>
      </c>
      <c r="T199" s="27" t="n">
        <v>2480</v>
      </c>
      <c r="U199" s="26" t="n">
        <f aca="false">MROUND(R199*'Fuel &amp; Inputs'!$C$19*'Fuel &amp; Inputs'!$C$21,100)</f>
        <v>4700</v>
      </c>
      <c r="V199" s="26" t="n">
        <f aca="false">MROUND(S199*'Fuel &amp; Inputs'!$C$19*'Fuel &amp; Inputs'!$C$21,100)</f>
        <v>7800</v>
      </c>
      <c r="W199" s="26" t="n">
        <f aca="false">MROUND(T199*'Fuel &amp; Inputs'!$C$19*'Fuel &amp; Inputs'!$C$21,100)</f>
        <v>9400</v>
      </c>
      <c r="X199" s="26" t="n">
        <f aca="false">MROUND(R199*'Fuel &amp; Inputs'!$C$20*'Fuel &amp; Inputs'!$C$22,500)</f>
        <v>126500</v>
      </c>
      <c r="Y199" s="26" t="n">
        <f aca="false">MROUND(S199*'Fuel &amp; Inputs'!$C$20*'Fuel &amp; Inputs'!$C$22,500)</f>
        <v>209000</v>
      </c>
      <c r="Z199" s="26" t="n">
        <f aca="false">MROUND(T199*'Fuel &amp; Inputs'!$C$20*'Fuel &amp; Inputs'!$C$22,500)</f>
        <v>253000</v>
      </c>
    </row>
    <row r="200" customFormat="false" ht="15" hidden="false" customHeight="false" outlineLevel="0" collapsed="false">
      <c r="A200" s="17" t="n">
        <v>187</v>
      </c>
      <c r="B200" s="32" t="s">
        <v>84</v>
      </c>
      <c r="C200" s="32" t="s">
        <v>148</v>
      </c>
      <c r="D200" s="32" t="s">
        <v>495</v>
      </c>
      <c r="E200" s="17" t="s">
        <v>251</v>
      </c>
      <c r="F200" s="17" t="s">
        <v>516</v>
      </c>
      <c r="G200" s="17" t="s">
        <v>223</v>
      </c>
      <c r="H200" s="17" t="s">
        <v>153</v>
      </c>
      <c r="I200" s="17" t="s">
        <v>154</v>
      </c>
      <c r="J200" s="19" t="n">
        <v>3.6</v>
      </c>
      <c r="K200" s="19" t="n">
        <v>5</v>
      </c>
      <c r="L200" s="19" t="n">
        <v>6.8</v>
      </c>
      <c r="M200" s="33" t="n">
        <v>1.063</v>
      </c>
      <c r="N200" s="20" t="n">
        <f aca="false">IF(J200=0,0,IF($I200="L/km",MROUND(J200*$M200*IF($H200="Petrol",'Fuel &amp; Inputs'!$C$5,'Fuel &amp; Inputs'!$C$4),1),MROUND(J200*$M200*IF($H200="Petrol",'Fuel &amp; Inputs'!$C$5,'Fuel &amp; Inputs'!$C$4),10)))</f>
        <v>1460</v>
      </c>
      <c r="O200" s="20" t="n">
        <f aca="false">IF(K200=0,0,IF($I200="L/km",MROUND(K200*$M200*IF($H200="Petrol",'Fuel &amp; Inputs'!$C$5,'Fuel &amp; Inputs'!$C$4),1),MROUND(K200*$M200*IF($H200="Petrol",'Fuel &amp; Inputs'!$C$5,'Fuel &amp; Inputs'!$C$4),10)))</f>
        <v>2030</v>
      </c>
      <c r="P200" s="20" t="n">
        <f aca="false">IF(L200=0,0,IF($I200="L/km",MROUND(L200*$M200*IF($H200="Petrol",'Fuel &amp; Inputs'!$C$5,'Fuel &amp; Inputs'!$C$4),1),MROUND(L200*$M200*IF($H200="Petrol",'Fuel &amp; Inputs'!$C$5,'Fuel &amp; Inputs'!$C$4),10)))</f>
        <v>2760</v>
      </c>
      <c r="Q200" s="17" t="s">
        <v>155</v>
      </c>
      <c r="R200" s="21" t="n">
        <v>1240</v>
      </c>
      <c r="S200" s="20" t="n">
        <f aca="false">MROUND(R200+'Fuel &amp; Inputs'!$C$13,50)</f>
        <v>2050</v>
      </c>
      <c r="T200" s="21" t="n">
        <v>2480</v>
      </c>
      <c r="U200" s="20" t="n">
        <f aca="false">MROUND(R200*'Fuel &amp; Inputs'!$C$19*'Fuel &amp; Inputs'!$C$21,100)</f>
        <v>4700</v>
      </c>
      <c r="V200" s="20" t="n">
        <f aca="false">MROUND(S200*'Fuel &amp; Inputs'!$C$19*'Fuel &amp; Inputs'!$C$21,100)</f>
        <v>7800</v>
      </c>
      <c r="W200" s="20" t="n">
        <f aca="false">MROUND(T200*'Fuel &amp; Inputs'!$C$19*'Fuel &amp; Inputs'!$C$21,100)</f>
        <v>9400</v>
      </c>
      <c r="X200" s="20" t="n">
        <f aca="false">MROUND(R200*'Fuel &amp; Inputs'!$C$20*'Fuel &amp; Inputs'!$C$22,500)</f>
        <v>126500</v>
      </c>
      <c r="Y200" s="20" t="n">
        <f aca="false">MROUND(S200*'Fuel &amp; Inputs'!$C$20*'Fuel &amp; Inputs'!$C$22,500)</f>
        <v>209000</v>
      </c>
      <c r="Z200" s="20" t="n">
        <f aca="false">MROUND(T200*'Fuel &amp; Inputs'!$C$20*'Fuel &amp; Inputs'!$C$22,500)</f>
        <v>253000</v>
      </c>
    </row>
    <row r="201" customFormat="false" ht="15" hidden="false" customHeight="false" outlineLevel="0" collapsed="false">
      <c r="A201" s="23" t="n">
        <v>188</v>
      </c>
      <c r="B201" s="34" t="s">
        <v>84</v>
      </c>
      <c r="C201" s="34" t="s">
        <v>148</v>
      </c>
      <c r="D201" s="34" t="s">
        <v>495</v>
      </c>
      <c r="E201" s="23" t="s">
        <v>150</v>
      </c>
      <c r="F201" s="23" t="s">
        <v>517</v>
      </c>
      <c r="G201" s="23" t="s">
        <v>223</v>
      </c>
      <c r="H201" s="23" t="s">
        <v>153</v>
      </c>
      <c r="I201" s="23" t="s">
        <v>154</v>
      </c>
      <c r="J201" s="25" t="n">
        <v>3.6</v>
      </c>
      <c r="K201" s="25" t="n">
        <v>5</v>
      </c>
      <c r="L201" s="25" t="n">
        <v>6.8</v>
      </c>
      <c r="M201" s="35" t="n">
        <v>1.035</v>
      </c>
      <c r="N201" s="26" t="n">
        <f aca="false">IF(J201=0,0,IF($I201="L/km",MROUND(J201*$M201*IF($H201="Petrol",'Fuel &amp; Inputs'!$C$5,'Fuel &amp; Inputs'!$C$4),1),MROUND(J201*$M201*IF($H201="Petrol",'Fuel &amp; Inputs'!$C$5,'Fuel &amp; Inputs'!$C$4),10)))</f>
        <v>1420</v>
      </c>
      <c r="O201" s="26" t="n">
        <f aca="false">IF(K201=0,0,IF($I201="L/km",MROUND(K201*$M201*IF($H201="Petrol",'Fuel &amp; Inputs'!$C$5,'Fuel &amp; Inputs'!$C$4),1),MROUND(K201*$M201*IF($H201="Petrol",'Fuel &amp; Inputs'!$C$5,'Fuel &amp; Inputs'!$C$4),10)))</f>
        <v>1980</v>
      </c>
      <c r="P201" s="26" t="n">
        <f aca="false">IF(L201=0,0,IF($I201="L/km",MROUND(L201*$M201*IF($H201="Petrol",'Fuel &amp; Inputs'!$C$5,'Fuel &amp; Inputs'!$C$4),1),MROUND(L201*$M201*IF($H201="Petrol",'Fuel &amp; Inputs'!$C$5,'Fuel &amp; Inputs'!$C$4),10)))</f>
        <v>2690</v>
      </c>
      <c r="Q201" s="23" t="s">
        <v>155</v>
      </c>
      <c r="R201" s="27" t="n">
        <v>1240</v>
      </c>
      <c r="S201" s="26" t="n">
        <f aca="false">MROUND(R201+'Fuel &amp; Inputs'!$C$13,50)</f>
        <v>2050</v>
      </c>
      <c r="T201" s="27" t="n">
        <v>2480</v>
      </c>
      <c r="U201" s="26" t="n">
        <f aca="false">MROUND(R201*'Fuel &amp; Inputs'!$C$19*'Fuel &amp; Inputs'!$C$21,100)</f>
        <v>4700</v>
      </c>
      <c r="V201" s="26" t="n">
        <f aca="false">MROUND(S201*'Fuel &amp; Inputs'!$C$19*'Fuel &amp; Inputs'!$C$21,100)</f>
        <v>7800</v>
      </c>
      <c r="W201" s="26" t="n">
        <f aca="false">MROUND(T201*'Fuel &amp; Inputs'!$C$19*'Fuel &amp; Inputs'!$C$21,100)</f>
        <v>9400</v>
      </c>
      <c r="X201" s="26" t="n">
        <f aca="false">MROUND(R201*'Fuel &amp; Inputs'!$C$20*'Fuel &amp; Inputs'!$C$22,500)</f>
        <v>126500</v>
      </c>
      <c r="Y201" s="26" t="n">
        <f aca="false">MROUND(S201*'Fuel &amp; Inputs'!$C$20*'Fuel &amp; Inputs'!$C$22,500)</f>
        <v>209000</v>
      </c>
      <c r="Z201" s="26" t="n">
        <f aca="false">MROUND(T201*'Fuel &amp; Inputs'!$C$20*'Fuel &amp; Inputs'!$C$22,500)</f>
        <v>253000</v>
      </c>
    </row>
    <row r="202" customFormat="false" ht="15" hidden="false" customHeight="false" outlineLevel="0" collapsed="false">
      <c r="A202" s="17" t="n">
        <v>189</v>
      </c>
      <c r="B202" s="32" t="s">
        <v>84</v>
      </c>
      <c r="C202" s="32" t="s">
        <v>148</v>
      </c>
      <c r="D202" s="32" t="s">
        <v>495</v>
      </c>
      <c r="E202" s="17" t="s">
        <v>150</v>
      </c>
      <c r="F202" s="17" t="s">
        <v>518</v>
      </c>
      <c r="G202" s="17" t="s">
        <v>223</v>
      </c>
      <c r="H202" s="17" t="s">
        <v>153</v>
      </c>
      <c r="I202" s="17" t="s">
        <v>154</v>
      </c>
      <c r="J202" s="19" t="n">
        <v>3.6</v>
      </c>
      <c r="K202" s="19" t="n">
        <v>5</v>
      </c>
      <c r="L202" s="19" t="n">
        <v>6.8</v>
      </c>
      <c r="M202" s="33" t="n">
        <v>1.035</v>
      </c>
      <c r="N202" s="20" t="n">
        <f aca="false">IF(J202=0,0,IF($I202="L/km",MROUND(J202*$M202*IF($H202="Petrol",'Fuel &amp; Inputs'!$C$5,'Fuel &amp; Inputs'!$C$4),1),MROUND(J202*$M202*IF($H202="Petrol",'Fuel &amp; Inputs'!$C$5,'Fuel &amp; Inputs'!$C$4),10)))</f>
        <v>1420</v>
      </c>
      <c r="O202" s="20" t="n">
        <f aca="false">IF(K202=0,0,IF($I202="L/km",MROUND(K202*$M202*IF($H202="Petrol",'Fuel &amp; Inputs'!$C$5,'Fuel &amp; Inputs'!$C$4),1),MROUND(K202*$M202*IF($H202="Petrol",'Fuel &amp; Inputs'!$C$5,'Fuel &amp; Inputs'!$C$4),10)))</f>
        <v>1980</v>
      </c>
      <c r="P202" s="20" t="n">
        <f aca="false">IF(L202=0,0,IF($I202="L/km",MROUND(L202*$M202*IF($H202="Petrol",'Fuel &amp; Inputs'!$C$5,'Fuel &amp; Inputs'!$C$4),1),MROUND(L202*$M202*IF($H202="Petrol",'Fuel &amp; Inputs'!$C$5,'Fuel &amp; Inputs'!$C$4),10)))</f>
        <v>2690</v>
      </c>
      <c r="Q202" s="17" t="s">
        <v>155</v>
      </c>
      <c r="R202" s="21" t="n">
        <v>1240</v>
      </c>
      <c r="S202" s="20" t="n">
        <f aca="false">MROUND(R202+'Fuel &amp; Inputs'!$C$13,50)</f>
        <v>2050</v>
      </c>
      <c r="T202" s="21" t="n">
        <v>2480</v>
      </c>
      <c r="U202" s="20" t="n">
        <f aca="false">MROUND(R202*'Fuel &amp; Inputs'!$C$19*'Fuel &amp; Inputs'!$C$21,100)</f>
        <v>4700</v>
      </c>
      <c r="V202" s="20" t="n">
        <f aca="false">MROUND(S202*'Fuel &amp; Inputs'!$C$19*'Fuel &amp; Inputs'!$C$21,100)</f>
        <v>7800</v>
      </c>
      <c r="W202" s="20" t="n">
        <f aca="false">MROUND(T202*'Fuel &amp; Inputs'!$C$19*'Fuel &amp; Inputs'!$C$21,100)</f>
        <v>9400</v>
      </c>
      <c r="X202" s="20" t="n">
        <f aca="false">MROUND(R202*'Fuel &amp; Inputs'!$C$20*'Fuel &amp; Inputs'!$C$22,500)</f>
        <v>126500</v>
      </c>
      <c r="Y202" s="20" t="n">
        <f aca="false">MROUND(S202*'Fuel &amp; Inputs'!$C$20*'Fuel &amp; Inputs'!$C$22,500)</f>
        <v>209000</v>
      </c>
      <c r="Z202" s="20" t="n">
        <f aca="false">MROUND(T202*'Fuel &amp; Inputs'!$C$20*'Fuel &amp; Inputs'!$C$22,500)</f>
        <v>253000</v>
      </c>
    </row>
    <row r="203" customFormat="false" ht="15" hidden="false" customHeight="false" outlineLevel="0" collapsed="false">
      <c r="A203" s="23" t="n">
        <v>190</v>
      </c>
      <c r="B203" s="34" t="s">
        <v>84</v>
      </c>
      <c r="C203" s="34" t="s">
        <v>148</v>
      </c>
      <c r="D203" s="34" t="s">
        <v>519</v>
      </c>
      <c r="E203" s="23" t="s">
        <v>174</v>
      </c>
      <c r="F203" s="23" t="s">
        <v>520</v>
      </c>
      <c r="G203" s="23" t="s">
        <v>223</v>
      </c>
      <c r="H203" s="23" t="s">
        <v>153</v>
      </c>
      <c r="I203" s="23" t="s">
        <v>154</v>
      </c>
      <c r="J203" s="25" t="n">
        <v>5</v>
      </c>
      <c r="K203" s="25" t="n">
        <v>7</v>
      </c>
      <c r="L203" s="25" t="n">
        <v>9.5</v>
      </c>
      <c r="M203" s="35" t="n">
        <v>1.07</v>
      </c>
      <c r="N203" s="26" t="n">
        <f aca="false">IF(J203=0,0,IF($I203="L/km",MROUND(J203*$M203*IF($H203="Petrol",'Fuel &amp; Inputs'!$C$5,'Fuel &amp; Inputs'!$C$4),1),MROUND(J203*$M203*IF($H203="Petrol",'Fuel &amp; Inputs'!$C$5,'Fuel &amp; Inputs'!$C$4),10)))</f>
        <v>2040</v>
      </c>
      <c r="O203" s="26" t="n">
        <f aca="false">IF(K203=0,0,IF($I203="L/km",MROUND(K203*$M203*IF($H203="Petrol",'Fuel &amp; Inputs'!$C$5,'Fuel &amp; Inputs'!$C$4),1),MROUND(K203*$M203*IF($H203="Petrol",'Fuel &amp; Inputs'!$C$5,'Fuel &amp; Inputs'!$C$4),10)))</f>
        <v>2860</v>
      </c>
      <c r="P203" s="26" t="n">
        <f aca="false">IF(L203=0,0,IF($I203="L/km",MROUND(L203*$M203*IF($H203="Petrol",'Fuel &amp; Inputs'!$C$5,'Fuel &amp; Inputs'!$C$4),1),MROUND(L203*$M203*IF($H203="Petrol",'Fuel &amp; Inputs'!$C$5,'Fuel &amp; Inputs'!$C$4),10)))</f>
        <v>3880</v>
      </c>
      <c r="Q203" s="23" t="s">
        <v>155</v>
      </c>
      <c r="R203" s="27" t="n">
        <v>1240</v>
      </c>
      <c r="S203" s="26" t="n">
        <f aca="false">MROUND(R203+'Fuel &amp; Inputs'!$C$13,50)</f>
        <v>2050</v>
      </c>
      <c r="T203" s="27" t="n">
        <v>2480</v>
      </c>
      <c r="U203" s="26" t="n">
        <f aca="false">MROUND(R203*'Fuel &amp; Inputs'!$C$19*'Fuel &amp; Inputs'!$C$21,100)</f>
        <v>4700</v>
      </c>
      <c r="V203" s="26" t="n">
        <f aca="false">MROUND(S203*'Fuel &amp; Inputs'!$C$19*'Fuel &amp; Inputs'!$C$21,100)</f>
        <v>7800</v>
      </c>
      <c r="W203" s="26" t="n">
        <f aca="false">MROUND(T203*'Fuel &amp; Inputs'!$C$19*'Fuel &amp; Inputs'!$C$21,100)</f>
        <v>9400</v>
      </c>
      <c r="X203" s="26" t="n">
        <f aca="false">MROUND(R203*'Fuel &amp; Inputs'!$C$20*'Fuel &amp; Inputs'!$C$22,500)</f>
        <v>126500</v>
      </c>
      <c r="Y203" s="26" t="n">
        <f aca="false">MROUND(S203*'Fuel &amp; Inputs'!$C$20*'Fuel &amp; Inputs'!$C$22,500)</f>
        <v>209000</v>
      </c>
      <c r="Z203" s="26" t="n">
        <f aca="false">MROUND(T203*'Fuel &amp; Inputs'!$C$20*'Fuel &amp; Inputs'!$C$22,500)</f>
        <v>253000</v>
      </c>
    </row>
    <row r="204" customFormat="false" ht="15" hidden="false" customHeight="false" outlineLevel="0" collapsed="false">
      <c r="A204" s="17" t="n">
        <v>191</v>
      </c>
      <c r="B204" s="32" t="s">
        <v>84</v>
      </c>
      <c r="C204" s="32" t="s">
        <v>148</v>
      </c>
      <c r="D204" s="32" t="s">
        <v>223</v>
      </c>
      <c r="E204" s="17" t="s">
        <v>251</v>
      </c>
      <c r="F204" s="17" t="s">
        <v>521</v>
      </c>
      <c r="G204" s="17" t="s">
        <v>223</v>
      </c>
      <c r="H204" s="17" t="s">
        <v>153</v>
      </c>
      <c r="I204" s="17" t="s">
        <v>154</v>
      </c>
      <c r="J204" s="19" t="n">
        <v>3.6</v>
      </c>
      <c r="K204" s="19" t="n">
        <v>5</v>
      </c>
      <c r="L204" s="19" t="n">
        <v>6.8</v>
      </c>
      <c r="M204" s="33" t="n">
        <v>1.063</v>
      </c>
      <c r="N204" s="20" t="n">
        <f aca="false">IF(J204=0,0,IF($I204="L/km",MROUND(J204*$M204*IF($H204="Petrol",'Fuel &amp; Inputs'!$C$5,'Fuel &amp; Inputs'!$C$4),1),MROUND(J204*$M204*IF($H204="Petrol",'Fuel &amp; Inputs'!$C$5,'Fuel &amp; Inputs'!$C$4),10)))</f>
        <v>1460</v>
      </c>
      <c r="O204" s="20" t="n">
        <f aca="false">IF(K204=0,0,IF($I204="L/km",MROUND(K204*$M204*IF($H204="Petrol",'Fuel &amp; Inputs'!$C$5,'Fuel &amp; Inputs'!$C$4),1),MROUND(K204*$M204*IF($H204="Petrol",'Fuel &amp; Inputs'!$C$5,'Fuel &amp; Inputs'!$C$4),10)))</f>
        <v>2030</v>
      </c>
      <c r="P204" s="20" t="n">
        <f aca="false">IF(L204=0,0,IF($I204="L/km",MROUND(L204*$M204*IF($H204="Petrol",'Fuel &amp; Inputs'!$C$5,'Fuel &amp; Inputs'!$C$4),1),MROUND(L204*$M204*IF($H204="Petrol",'Fuel &amp; Inputs'!$C$5,'Fuel &amp; Inputs'!$C$4),10)))</f>
        <v>2760</v>
      </c>
      <c r="Q204" s="17" t="s">
        <v>155</v>
      </c>
      <c r="R204" s="21" t="n">
        <v>1110</v>
      </c>
      <c r="S204" s="20" t="n">
        <f aca="false">MROUND(R204+'Fuel &amp; Inputs'!$C$13,50)</f>
        <v>1900</v>
      </c>
      <c r="T204" s="21" t="n">
        <v>2210</v>
      </c>
      <c r="U204" s="20" t="n">
        <f aca="false">MROUND(R204*'Fuel &amp; Inputs'!$C$19*'Fuel &amp; Inputs'!$C$21,100)</f>
        <v>4200</v>
      </c>
      <c r="V204" s="20" t="n">
        <f aca="false">MROUND(S204*'Fuel &amp; Inputs'!$C$19*'Fuel &amp; Inputs'!$C$21,100)</f>
        <v>7200</v>
      </c>
      <c r="W204" s="20" t="n">
        <f aca="false">MROUND(T204*'Fuel &amp; Inputs'!$C$19*'Fuel &amp; Inputs'!$C$21,100)</f>
        <v>8400</v>
      </c>
      <c r="X204" s="20" t="n">
        <f aca="false">MROUND(R204*'Fuel &amp; Inputs'!$C$20*'Fuel &amp; Inputs'!$C$22,500)</f>
        <v>113000</v>
      </c>
      <c r="Y204" s="20" t="n">
        <f aca="false">MROUND(S204*'Fuel &amp; Inputs'!$C$20*'Fuel &amp; Inputs'!$C$22,500)</f>
        <v>194000</v>
      </c>
      <c r="Z204" s="20" t="n">
        <f aca="false">MROUND(T204*'Fuel &amp; Inputs'!$C$20*'Fuel &amp; Inputs'!$C$22,500)</f>
        <v>225500</v>
      </c>
    </row>
    <row r="205" customFormat="false" ht="15" hidden="false" customHeight="false" outlineLevel="0" collapsed="false">
      <c r="A205" s="23" t="n">
        <v>192</v>
      </c>
      <c r="B205" s="34" t="s">
        <v>84</v>
      </c>
      <c r="C205" s="34" t="s">
        <v>148</v>
      </c>
      <c r="D205" s="34" t="s">
        <v>522</v>
      </c>
      <c r="E205" s="23" t="s">
        <v>228</v>
      </c>
      <c r="F205" s="23" t="s">
        <v>523</v>
      </c>
      <c r="G205" s="23" t="s">
        <v>223</v>
      </c>
      <c r="H205" s="23" t="s">
        <v>153</v>
      </c>
      <c r="I205" s="23" t="s">
        <v>154</v>
      </c>
      <c r="J205" s="25" t="n">
        <v>3.2</v>
      </c>
      <c r="K205" s="25" t="n">
        <v>4.5</v>
      </c>
      <c r="L205" s="25" t="n">
        <v>6.1</v>
      </c>
      <c r="M205" s="35" t="n">
        <v>1.084</v>
      </c>
      <c r="N205" s="26" t="n">
        <f aca="false">IF(J205=0,0,IF($I205="L/km",MROUND(J205*$M205*IF($H205="Petrol",'Fuel &amp; Inputs'!$C$5,'Fuel &amp; Inputs'!$C$4),1),MROUND(J205*$M205*IF($H205="Petrol",'Fuel &amp; Inputs'!$C$5,'Fuel &amp; Inputs'!$C$4),10)))</f>
        <v>1330</v>
      </c>
      <c r="O205" s="26" t="n">
        <f aca="false">IF(K205=0,0,IF($I205="L/km",MROUND(K205*$M205*IF($H205="Petrol",'Fuel &amp; Inputs'!$C$5,'Fuel &amp; Inputs'!$C$4),1),MROUND(K205*$M205*IF($H205="Petrol",'Fuel &amp; Inputs'!$C$5,'Fuel &amp; Inputs'!$C$4),10)))</f>
        <v>1860</v>
      </c>
      <c r="P205" s="26" t="n">
        <f aca="false">IF(L205=0,0,IF($I205="L/km",MROUND(L205*$M205*IF($H205="Petrol",'Fuel &amp; Inputs'!$C$5,'Fuel &amp; Inputs'!$C$4),1),MROUND(L205*$M205*IF($H205="Petrol",'Fuel &amp; Inputs'!$C$5,'Fuel &amp; Inputs'!$C$4),10)))</f>
        <v>2530</v>
      </c>
      <c r="Q205" s="23" t="s">
        <v>155</v>
      </c>
      <c r="R205" s="27" t="n">
        <v>1110</v>
      </c>
      <c r="S205" s="26" t="n">
        <f aca="false">MROUND(R205+'Fuel &amp; Inputs'!$C$13,50)</f>
        <v>1900</v>
      </c>
      <c r="T205" s="27" t="n">
        <v>2210</v>
      </c>
      <c r="U205" s="26" t="n">
        <f aca="false">MROUND(R205*'Fuel &amp; Inputs'!$C$19*'Fuel &amp; Inputs'!$C$21,100)</f>
        <v>4200</v>
      </c>
      <c r="V205" s="26" t="n">
        <f aca="false">MROUND(S205*'Fuel &amp; Inputs'!$C$19*'Fuel &amp; Inputs'!$C$21,100)</f>
        <v>7200</v>
      </c>
      <c r="W205" s="26" t="n">
        <f aca="false">MROUND(T205*'Fuel &amp; Inputs'!$C$19*'Fuel &amp; Inputs'!$C$21,100)</f>
        <v>8400</v>
      </c>
      <c r="X205" s="26" t="n">
        <f aca="false">MROUND(R205*'Fuel &amp; Inputs'!$C$20*'Fuel &amp; Inputs'!$C$22,500)</f>
        <v>113000</v>
      </c>
      <c r="Y205" s="26" t="n">
        <f aca="false">MROUND(S205*'Fuel &amp; Inputs'!$C$20*'Fuel &amp; Inputs'!$C$22,500)</f>
        <v>194000</v>
      </c>
      <c r="Z205" s="26" t="n">
        <f aca="false">MROUND(T205*'Fuel &amp; Inputs'!$C$20*'Fuel &amp; Inputs'!$C$22,500)</f>
        <v>225500</v>
      </c>
    </row>
    <row r="206" customFormat="false" ht="15" hidden="false" customHeight="false" outlineLevel="0" collapsed="false">
      <c r="A206" s="17" t="n">
        <v>193</v>
      </c>
      <c r="B206" s="32" t="s">
        <v>84</v>
      </c>
      <c r="C206" s="32" t="s">
        <v>148</v>
      </c>
      <c r="D206" s="32" t="s">
        <v>522</v>
      </c>
      <c r="E206" s="17" t="s">
        <v>150</v>
      </c>
      <c r="F206" s="17" t="s">
        <v>524</v>
      </c>
      <c r="G206" s="17" t="s">
        <v>223</v>
      </c>
      <c r="H206" s="17" t="s">
        <v>153</v>
      </c>
      <c r="I206" s="17" t="s">
        <v>154</v>
      </c>
      <c r="J206" s="19" t="n">
        <v>3.2</v>
      </c>
      <c r="K206" s="19" t="n">
        <v>4.5</v>
      </c>
      <c r="L206" s="19" t="n">
        <v>6.1</v>
      </c>
      <c r="M206" s="33" t="n">
        <v>1.035</v>
      </c>
      <c r="N206" s="20" t="n">
        <f aca="false">IF(J206=0,0,IF($I206="L/km",MROUND(J206*$M206*IF($H206="Petrol",'Fuel &amp; Inputs'!$C$5,'Fuel &amp; Inputs'!$C$4),1),MROUND(J206*$M206*IF($H206="Petrol",'Fuel &amp; Inputs'!$C$5,'Fuel &amp; Inputs'!$C$4),10)))</f>
        <v>1270</v>
      </c>
      <c r="O206" s="20" t="n">
        <f aca="false">IF(K206=0,0,IF($I206="L/km",MROUND(K206*$M206*IF($H206="Petrol",'Fuel &amp; Inputs'!$C$5,'Fuel &amp; Inputs'!$C$4),1),MROUND(K206*$M206*IF($H206="Petrol",'Fuel &amp; Inputs'!$C$5,'Fuel &amp; Inputs'!$C$4),10)))</f>
        <v>1780</v>
      </c>
      <c r="P206" s="20" t="n">
        <f aca="false">IF(L206=0,0,IF($I206="L/km",MROUND(L206*$M206*IF($H206="Petrol",'Fuel &amp; Inputs'!$C$5,'Fuel &amp; Inputs'!$C$4),1),MROUND(L206*$M206*IF($H206="Petrol",'Fuel &amp; Inputs'!$C$5,'Fuel &amp; Inputs'!$C$4),10)))</f>
        <v>2410</v>
      </c>
      <c r="Q206" s="17" t="s">
        <v>155</v>
      </c>
      <c r="R206" s="21" t="n">
        <v>1110</v>
      </c>
      <c r="S206" s="20" t="n">
        <f aca="false">MROUND(R206+'Fuel &amp; Inputs'!$C$13,50)</f>
        <v>1900</v>
      </c>
      <c r="T206" s="21" t="n">
        <v>2210</v>
      </c>
      <c r="U206" s="20" t="n">
        <f aca="false">MROUND(R206*'Fuel &amp; Inputs'!$C$19*'Fuel &amp; Inputs'!$C$21,100)</f>
        <v>4200</v>
      </c>
      <c r="V206" s="20" t="n">
        <f aca="false">MROUND(S206*'Fuel &amp; Inputs'!$C$19*'Fuel &amp; Inputs'!$C$21,100)</f>
        <v>7200</v>
      </c>
      <c r="W206" s="20" t="n">
        <f aca="false">MROUND(T206*'Fuel &amp; Inputs'!$C$19*'Fuel &amp; Inputs'!$C$21,100)</f>
        <v>8400</v>
      </c>
      <c r="X206" s="20" t="n">
        <f aca="false">MROUND(R206*'Fuel &amp; Inputs'!$C$20*'Fuel &amp; Inputs'!$C$22,500)</f>
        <v>113000</v>
      </c>
      <c r="Y206" s="20" t="n">
        <f aca="false">MROUND(S206*'Fuel &amp; Inputs'!$C$20*'Fuel &amp; Inputs'!$C$22,500)</f>
        <v>194000</v>
      </c>
      <c r="Z206" s="20" t="n">
        <f aca="false">MROUND(T206*'Fuel &amp; Inputs'!$C$20*'Fuel &amp; Inputs'!$C$22,500)</f>
        <v>225500</v>
      </c>
    </row>
    <row r="207" customFormat="false" ht="15" hidden="false" customHeight="false" outlineLevel="0" collapsed="false">
      <c r="A207" s="23" t="n">
        <v>194</v>
      </c>
      <c r="B207" s="34" t="s">
        <v>84</v>
      </c>
      <c r="C207" s="34" t="s">
        <v>148</v>
      </c>
      <c r="D207" s="34" t="s">
        <v>223</v>
      </c>
      <c r="E207" s="23" t="s">
        <v>251</v>
      </c>
      <c r="F207" s="23" t="s">
        <v>525</v>
      </c>
      <c r="G207" s="23" t="s">
        <v>223</v>
      </c>
      <c r="H207" s="23" t="s">
        <v>153</v>
      </c>
      <c r="I207" s="23" t="s">
        <v>154</v>
      </c>
      <c r="J207" s="25" t="n">
        <v>3.6</v>
      </c>
      <c r="K207" s="25" t="n">
        <v>5</v>
      </c>
      <c r="L207" s="25" t="n">
        <v>6.8</v>
      </c>
      <c r="M207" s="35" t="n">
        <v>1.063</v>
      </c>
      <c r="N207" s="26" t="n">
        <f aca="false">IF(J207=0,0,IF($I207="L/km",MROUND(J207*$M207*IF($H207="Petrol",'Fuel &amp; Inputs'!$C$5,'Fuel &amp; Inputs'!$C$4),1),MROUND(J207*$M207*IF($H207="Petrol",'Fuel &amp; Inputs'!$C$5,'Fuel &amp; Inputs'!$C$4),10)))</f>
        <v>1460</v>
      </c>
      <c r="O207" s="26" t="n">
        <f aca="false">IF(K207=0,0,IF($I207="L/km",MROUND(K207*$M207*IF($H207="Petrol",'Fuel &amp; Inputs'!$C$5,'Fuel &amp; Inputs'!$C$4),1),MROUND(K207*$M207*IF($H207="Petrol",'Fuel &amp; Inputs'!$C$5,'Fuel &amp; Inputs'!$C$4),10)))</f>
        <v>2030</v>
      </c>
      <c r="P207" s="26" t="n">
        <f aca="false">IF(L207=0,0,IF($I207="L/km",MROUND(L207*$M207*IF($H207="Petrol",'Fuel &amp; Inputs'!$C$5,'Fuel &amp; Inputs'!$C$4),1),MROUND(L207*$M207*IF($H207="Petrol",'Fuel &amp; Inputs'!$C$5,'Fuel &amp; Inputs'!$C$4),10)))</f>
        <v>2760</v>
      </c>
      <c r="Q207" s="23" t="s">
        <v>155</v>
      </c>
      <c r="R207" s="27" t="n">
        <v>1110</v>
      </c>
      <c r="S207" s="26" t="n">
        <f aca="false">MROUND(R207+'Fuel &amp; Inputs'!$C$13,50)</f>
        <v>1900</v>
      </c>
      <c r="T207" s="27" t="n">
        <v>2210</v>
      </c>
      <c r="U207" s="26" t="n">
        <f aca="false">MROUND(R207*'Fuel &amp; Inputs'!$C$19*'Fuel &amp; Inputs'!$C$21,100)</f>
        <v>4200</v>
      </c>
      <c r="V207" s="26" t="n">
        <f aca="false">MROUND(S207*'Fuel &amp; Inputs'!$C$19*'Fuel &amp; Inputs'!$C$21,100)</f>
        <v>7200</v>
      </c>
      <c r="W207" s="26" t="n">
        <f aca="false">MROUND(T207*'Fuel &amp; Inputs'!$C$19*'Fuel &amp; Inputs'!$C$21,100)</f>
        <v>8400</v>
      </c>
      <c r="X207" s="26" t="n">
        <f aca="false">MROUND(R207*'Fuel &amp; Inputs'!$C$20*'Fuel &amp; Inputs'!$C$22,500)</f>
        <v>113000</v>
      </c>
      <c r="Y207" s="26" t="n">
        <f aca="false">MROUND(S207*'Fuel &amp; Inputs'!$C$20*'Fuel &amp; Inputs'!$C$22,500)</f>
        <v>194000</v>
      </c>
      <c r="Z207" s="26" t="n">
        <f aca="false">MROUND(T207*'Fuel &amp; Inputs'!$C$20*'Fuel &amp; Inputs'!$C$22,500)</f>
        <v>225500</v>
      </c>
    </row>
    <row r="208" customFormat="false" ht="15" hidden="false" customHeight="true" outlineLevel="0" collapsed="false">
      <c r="A208" s="31" t="s">
        <v>526</v>
      </c>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ustomFormat="false" ht="15" hidden="false" customHeight="false" outlineLevel="0" collapsed="false">
      <c r="A209" s="17" t="n">
        <v>195</v>
      </c>
      <c r="B209" s="32" t="s">
        <v>86</v>
      </c>
      <c r="C209" s="32" t="s">
        <v>312</v>
      </c>
      <c r="D209" s="32" t="s">
        <v>527</v>
      </c>
      <c r="E209" s="17" t="s">
        <v>162</v>
      </c>
      <c r="F209" s="17" t="s">
        <v>528</v>
      </c>
      <c r="G209" s="17" t="s">
        <v>223</v>
      </c>
      <c r="H209" s="17" t="s">
        <v>153</v>
      </c>
      <c r="I209" s="17" t="s">
        <v>154</v>
      </c>
      <c r="J209" s="19" t="n">
        <v>10.1</v>
      </c>
      <c r="K209" s="19" t="n">
        <v>14</v>
      </c>
      <c r="L209" s="19" t="n">
        <v>18.9</v>
      </c>
      <c r="M209" s="33" t="n">
        <v>1.042</v>
      </c>
      <c r="N209" s="20" t="n">
        <f aca="false">IF(J209=0,0,IF($I209="L/km",MROUND(J209*$M209*IF($H209="Petrol",'Fuel &amp; Inputs'!$C$5,'Fuel &amp; Inputs'!$C$4),1),MROUND(J209*$M209*IF($H209="Petrol",'Fuel &amp; Inputs'!$C$5,'Fuel &amp; Inputs'!$C$4),10)))</f>
        <v>4020</v>
      </c>
      <c r="O209" s="20" t="n">
        <f aca="false">IF(K209=0,0,IF($I209="L/km",MROUND(K209*$M209*IF($H209="Petrol",'Fuel &amp; Inputs'!$C$5,'Fuel &amp; Inputs'!$C$4),1),MROUND(K209*$M209*IF($H209="Petrol",'Fuel &amp; Inputs'!$C$5,'Fuel &amp; Inputs'!$C$4),10)))</f>
        <v>5570</v>
      </c>
      <c r="P209" s="20" t="n">
        <f aca="false">IF(L209=0,0,IF($I209="L/km",MROUND(L209*$M209*IF($H209="Petrol",'Fuel &amp; Inputs'!$C$5,'Fuel &amp; Inputs'!$C$4),1),MROUND(L209*$M209*IF($H209="Petrol",'Fuel &amp; Inputs'!$C$5,'Fuel &amp; Inputs'!$C$4),10)))</f>
        <v>7520</v>
      </c>
      <c r="Q209" s="17" t="s">
        <v>155</v>
      </c>
      <c r="R209" s="21" t="n">
        <v>3600</v>
      </c>
      <c r="S209" s="20" t="n">
        <f aca="false">MROUND(R209+'Fuel &amp; Inputs'!$C$13,50)</f>
        <v>4400</v>
      </c>
      <c r="T209" s="21" t="n">
        <v>8050</v>
      </c>
      <c r="U209" s="20" t="n">
        <f aca="false">MROUND(R209*'Fuel &amp; Inputs'!$C$19*'Fuel &amp; Inputs'!$C$21,100)</f>
        <v>13700</v>
      </c>
      <c r="V209" s="20" t="n">
        <f aca="false">MROUND(S209*'Fuel &amp; Inputs'!$C$19*'Fuel &amp; Inputs'!$C$21,100)</f>
        <v>16700</v>
      </c>
      <c r="W209" s="20" t="n">
        <f aca="false">MROUND(T209*'Fuel &amp; Inputs'!$C$19*'Fuel &amp; Inputs'!$C$21,100)</f>
        <v>30600</v>
      </c>
      <c r="X209" s="20" t="n">
        <f aca="false">MROUND(R209*'Fuel &amp; Inputs'!$C$20*'Fuel &amp; Inputs'!$C$22,500)</f>
        <v>367000</v>
      </c>
      <c r="Y209" s="20" t="n">
        <f aca="false">MROUND(S209*'Fuel &amp; Inputs'!$C$20*'Fuel &amp; Inputs'!$C$22,500)</f>
        <v>449000</v>
      </c>
      <c r="Z209" s="20" t="n">
        <f aca="false">MROUND(T209*'Fuel &amp; Inputs'!$C$20*'Fuel &amp; Inputs'!$C$22,500)</f>
        <v>821000</v>
      </c>
    </row>
    <row r="210" customFormat="false" ht="15" hidden="false" customHeight="false" outlineLevel="0" collapsed="false">
      <c r="A210" s="23" t="n">
        <v>196</v>
      </c>
      <c r="B210" s="34" t="s">
        <v>86</v>
      </c>
      <c r="C210" s="34" t="s">
        <v>529</v>
      </c>
      <c r="D210" s="34" t="s">
        <v>530</v>
      </c>
      <c r="E210" s="23" t="s">
        <v>180</v>
      </c>
      <c r="F210" s="23" t="s">
        <v>531</v>
      </c>
      <c r="G210" s="23" t="s">
        <v>223</v>
      </c>
      <c r="H210" s="23" t="s">
        <v>153</v>
      </c>
      <c r="I210" s="23" t="s">
        <v>154</v>
      </c>
      <c r="J210" s="25" t="n">
        <v>10.1</v>
      </c>
      <c r="K210" s="25" t="n">
        <v>14</v>
      </c>
      <c r="L210" s="25" t="n">
        <v>18.9</v>
      </c>
      <c r="M210" s="35" t="n">
        <v>1.049</v>
      </c>
      <c r="N210" s="26" t="n">
        <f aca="false">IF(J210=0,0,IF($I210="L/km",MROUND(J210*$M210*IF($H210="Petrol",'Fuel &amp; Inputs'!$C$5,'Fuel &amp; Inputs'!$C$4),1),MROUND(J210*$M210*IF($H210="Petrol",'Fuel &amp; Inputs'!$C$5,'Fuel &amp; Inputs'!$C$4),10)))</f>
        <v>4050</v>
      </c>
      <c r="O210" s="26" t="n">
        <f aca="false">IF(K210=0,0,IF($I210="L/km",MROUND(K210*$M210*IF($H210="Petrol",'Fuel &amp; Inputs'!$C$5,'Fuel &amp; Inputs'!$C$4),1),MROUND(K210*$M210*IF($H210="Petrol",'Fuel &amp; Inputs'!$C$5,'Fuel &amp; Inputs'!$C$4),10)))</f>
        <v>5610</v>
      </c>
      <c r="P210" s="26" t="n">
        <f aca="false">IF(L210=0,0,IF($I210="L/km",MROUND(L210*$M210*IF($H210="Petrol",'Fuel &amp; Inputs'!$C$5,'Fuel &amp; Inputs'!$C$4),1),MROUND(L210*$M210*IF($H210="Petrol",'Fuel &amp; Inputs'!$C$5,'Fuel &amp; Inputs'!$C$4),10)))</f>
        <v>7570</v>
      </c>
      <c r="Q210" s="23" t="s">
        <v>155</v>
      </c>
      <c r="R210" s="27" t="n">
        <v>3310</v>
      </c>
      <c r="S210" s="26" t="n">
        <f aca="false">MROUND(R210+'Fuel &amp; Inputs'!$C$13,50)</f>
        <v>4100</v>
      </c>
      <c r="T210" s="27" t="n">
        <v>7410</v>
      </c>
      <c r="U210" s="26" t="n">
        <f aca="false">MROUND(R210*'Fuel &amp; Inputs'!$C$19*'Fuel &amp; Inputs'!$C$21,100)</f>
        <v>12600</v>
      </c>
      <c r="V210" s="26" t="n">
        <f aca="false">MROUND(S210*'Fuel &amp; Inputs'!$C$19*'Fuel &amp; Inputs'!$C$21,100)</f>
        <v>15600</v>
      </c>
      <c r="W210" s="26" t="n">
        <f aca="false">MROUND(T210*'Fuel &amp; Inputs'!$C$19*'Fuel &amp; Inputs'!$C$21,100)</f>
        <v>28200</v>
      </c>
      <c r="X210" s="26" t="n">
        <f aca="false">MROUND(R210*'Fuel &amp; Inputs'!$C$20*'Fuel &amp; Inputs'!$C$22,500)</f>
        <v>337500</v>
      </c>
      <c r="Y210" s="26" t="n">
        <f aca="false">MROUND(S210*'Fuel &amp; Inputs'!$C$20*'Fuel &amp; Inputs'!$C$22,500)</f>
        <v>418000</v>
      </c>
      <c r="Z210" s="26" t="n">
        <f aca="false">MROUND(T210*'Fuel &amp; Inputs'!$C$20*'Fuel &amp; Inputs'!$C$22,500)</f>
        <v>756000</v>
      </c>
    </row>
    <row r="211" customFormat="false" ht="15" hidden="false" customHeight="false" outlineLevel="0" collapsed="false">
      <c r="A211" s="17" t="n">
        <v>197</v>
      </c>
      <c r="B211" s="32" t="s">
        <v>86</v>
      </c>
      <c r="C211" s="32" t="s">
        <v>275</v>
      </c>
      <c r="D211" s="32" t="s">
        <v>532</v>
      </c>
      <c r="E211" s="17" t="s">
        <v>228</v>
      </c>
      <c r="F211" s="17" t="s">
        <v>533</v>
      </c>
      <c r="G211" s="17" t="s">
        <v>223</v>
      </c>
      <c r="H211" s="17" t="s">
        <v>153</v>
      </c>
      <c r="I211" s="17" t="s">
        <v>154</v>
      </c>
      <c r="J211" s="19" t="n">
        <v>10.1</v>
      </c>
      <c r="K211" s="19" t="n">
        <v>14</v>
      </c>
      <c r="L211" s="19" t="n">
        <v>18.9</v>
      </c>
      <c r="M211" s="33" t="n">
        <v>1.084</v>
      </c>
      <c r="N211" s="20" t="n">
        <f aca="false">IF(J211=0,0,IF($I211="L/km",MROUND(J211*$M211*IF($H211="Petrol",'Fuel &amp; Inputs'!$C$5,'Fuel &amp; Inputs'!$C$4),1),MROUND(J211*$M211*IF($H211="Petrol",'Fuel &amp; Inputs'!$C$5,'Fuel &amp; Inputs'!$C$4),10)))</f>
        <v>4180</v>
      </c>
      <c r="O211" s="20" t="n">
        <f aca="false">IF(K211=0,0,IF($I211="L/km",MROUND(K211*$M211*IF($H211="Petrol",'Fuel &amp; Inputs'!$C$5,'Fuel &amp; Inputs'!$C$4),1),MROUND(K211*$M211*IF($H211="Petrol",'Fuel &amp; Inputs'!$C$5,'Fuel &amp; Inputs'!$C$4),10)))</f>
        <v>5800</v>
      </c>
      <c r="P211" s="20" t="n">
        <f aca="false">IF(L211=0,0,IF($I211="L/km",MROUND(L211*$M211*IF($H211="Petrol",'Fuel &amp; Inputs'!$C$5,'Fuel &amp; Inputs'!$C$4),1),MROUND(L211*$M211*IF($H211="Petrol",'Fuel &amp; Inputs'!$C$5,'Fuel &amp; Inputs'!$C$4),10)))</f>
        <v>7830</v>
      </c>
      <c r="Q211" s="17" t="s">
        <v>155</v>
      </c>
      <c r="R211" s="21" t="n">
        <v>2950</v>
      </c>
      <c r="S211" s="20" t="n">
        <f aca="false">MROUND(R211+'Fuel &amp; Inputs'!$C$13,50)</f>
        <v>3750</v>
      </c>
      <c r="T211" s="21" t="n">
        <v>6600</v>
      </c>
      <c r="U211" s="20" t="n">
        <f aca="false">MROUND(R211*'Fuel &amp; Inputs'!$C$19*'Fuel &amp; Inputs'!$C$21,100)</f>
        <v>11200</v>
      </c>
      <c r="V211" s="20" t="n">
        <f aca="false">MROUND(S211*'Fuel &amp; Inputs'!$C$19*'Fuel &amp; Inputs'!$C$21,100)</f>
        <v>14300</v>
      </c>
      <c r="W211" s="20" t="n">
        <f aca="false">MROUND(T211*'Fuel &amp; Inputs'!$C$19*'Fuel &amp; Inputs'!$C$21,100)</f>
        <v>25100</v>
      </c>
      <c r="X211" s="20" t="n">
        <f aca="false">MROUND(R211*'Fuel &amp; Inputs'!$C$20*'Fuel &amp; Inputs'!$C$22,500)</f>
        <v>301000</v>
      </c>
      <c r="Y211" s="20" t="n">
        <f aca="false">MROUND(S211*'Fuel &amp; Inputs'!$C$20*'Fuel &amp; Inputs'!$C$22,500)</f>
        <v>382500</v>
      </c>
      <c r="Z211" s="20" t="n">
        <f aca="false">MROUND(T211*'Fuel &amp; Inputs'!$C$20*'Fuel &amp; Inputs'!$C$22,500)</f>
        <v>673000</v>
      </c>
    </row>
    <row r="212" customFormat="false" ht="15" hidden="false" customHeight="false" outlineLevel="0" collapsed="false">
      <c r="A212" s="23" t="n">
        <v>198</v>
      </c>
      <c r="B212" s="34" t="s">
        <v>86</v>
      </c>
      <c r="C212" s="34" t="s">
        <v>275</v>
      </c>
      <c r="D212" s="34" t="s">
        <v>534</v>
      </c>
      <c r="E212" s="23" t="s">
        <v>228</v>
      </c>
      <c r="F212" s="23" t="s">
        <v>535</v>
      </c>
      <c r="G212" s="23" t="s">
        <v>223</v>
      </c>
      <c r="H212" s="23" t="s">
        <v>153</v>
      </c>
      <c r="I212" s="23" t="s">
        <v>154</v>
      </c>
      <c r="J212" s="25" t="n">
        <v>10.1</v>
      </c>
      <c r="K212" s="25" t="n">
        <v>14</v>
      </c>
      <c r="L212" s="25" t="n">
        <v>18.9</v>
      </c>
      <c r="M212" s="35" t="n">
        <v>1.084</v>
      </c>
      <c r="N212" s="26" t="n">
        <f aca="false">IF(J212=0,0,IF($I212="L/km",MROUND(J212*$M212*IF($H212="Petrol",'Fuel &amp; Inputs'!$C$5,'Fuel &amp; Inputs'!$C$4),1),MROUND(J212*$M212*IF($H212="Petrol",'Fuel &amp; Inputs'!$C$5,'Fuel &amp; Inputs'!$C$4),10)))</f>
        <v>4180</v>
      </c>
      <c r="O212" s="26" t="n">
        <f aca="false">IF(K212=0,0,IF($I212="L/km",MROUND(K212*$M212*IF($H212="Petrol",'Fuel &amp; Inputs'!$C$5,'Fuel &amp; Inputs'!$C$4),1),MROUND(K212*$M212*IF($H212="Petrol",'Fuel &amp; Inputs'!$C$5,'Fuel &amp; Inputs'!$C$4),10)))</f>
        <v>5800</v>
      </c>
      <c r="P212" s="26" t="n">
        <f aca="false">IF(L212=0,0,IF($I212="L/km",MROUND(L212*$M212*IF($H212="Petrol",'Fuel &amp; Inputs'!$C$5,'Fuel &amp; Inputs'!$C$4),1),MROUND(L212*$M212*IF($H212="Petrol",'Fuel &amp; Inputs'!$C$5,'Fuel &amp; Inputs'!$C$4),10)))</f>
        <v>7830</v>
      </c>
      <c r="Q212" s="23" t="s">
        <v>155</v>
      </c>
      <c r="R212" s="27" t="n">
        <v>2950</v>
      </c>
      <c r="S212" s="26" t="n">
        <f aca="false">MROUND(R212+'Fuel &amp; Inputs'!$C$13,50)</f>
        <v>3750</v>
      </c>
      <c r="T212" s="27" t="n">
        <v>6600</v>
      </c>
      <c r="U212" s="26" t="n">
        <f aca="false">MROUND(R212*'Fuel &amp; Inputs'!$C$19*'Fuel &amp; Inputs'!$C$21,100)</f>
        <v>11200</v>
      </c>
      <c r="V212" s="26" t="n">
        <f aca="false">MROUND(S212*'Fuel &amp; Inputs'!$C$19*'Fuel &amp; Inputs'!$C$21,100)</f>
        <v>14300</v>
      </c>
      <c r="W212" s="26" t="n">
        <f aca="false">MROUND(T212*'Fuel &amp; Inputs'!$C$19*'Fuel &amp; Inputs'!$C$21,100)</f>
        <v>25100</v>
      </c>
      <c r="X212" s="26" t="n">
        <f aca="false">MROUND(R212*'Fuel &amp; Inputs'!$C$20*'Fuel &amp; Inputs'!$C$22,500)</f>
        <v>301000</v>
      </c>
      <c r="Y212" s="26" t="n">
        <f aca="false">MROUND(S212*'Fuel &amp; Inputs'!$C$20*'Fuel &amp; Inputs'!$C$22,500)</f>
        <v>382500</v>
      </c>
      <c r="Z212" s="26" t="n">
        <f aca="false">MROUND(T212*'Fuel &amp; Inputs'!$C$20*'Fuel &amp; Inputs'!$C$22,500)</f>
        <v>673000</v>
      </c>
    </row>
    <row r="213" customFormat="false" ht="15" hidden="false" customHeight="false" outlineLevel="0" collapsed="false">
      <c r="A213" s="17" t="n">
        <v>199</v>
      </c>
      <c r="B213" s="32" t="s">
        <v>86</v>
      </c>
      <c r="C213" s="32" t="s">
        <v>275</v>
      </c>
      <c r="D213" s="32" t="s">
        <v>536</v>
      </c>
      <c r="E213" s="17" t="s">
        <v>234</v>
      </c>
      <c r="F213" s="17" t="s">
        <v>537</v>
      </c>
      <c r="G213" s="17" t="s">
        <v>223</v>
      </c>
      <c r="H213" s="17" t="s">
        <v>153</v>
      </c>
      <c r="I213" s="17" t="s">
        <v>154</v>
      </c>
      <c r="J213" s="19" t="n">
        <v>10.1</v>
      </c>
      <c r="K213" s="19" t="n">
        <v>14</v>
      </c>
      <c r="L213" s="19" t="n">
        <v>18.9</v>
      </c>
      <c r="M213" s="33" t="n">
        <v>1.091</v>
      </c>
      <c r="N213" s="20" t="n">
        <f aca="false">IF(J213=0,0,IF($I213="L/km",MROUND(J213*$M213*IF($H213="Petrol",'Fuel &amp; Inputs'!$C$5,'Fuel &amp; Inputs'!$C$4),1),MROUND(J213*$M213*IF($H213="Petrol",'Fuel &amp; Inputs'!$C$5,'Fuel &amp; Inputs'!$C$4),10)))</f>
        <v>4210</v>
      </c>
      <c r="O213" s="20" t="n">
        <f aca="false">IF(K213=0,0,IF($I213="L/km",MROUND(K213*$M213*IF($H213="Petrol",'Fuel &amp; Inputs'!$C$5,'Fuel &amp; Inputs'!$C$4),1),MROUND(K213*$M213*IF($H213="Petrol",'Fuel &amp; Inputs'!$C$5,'Fuel &amp; Inputs'!$C$4),10)))</f>
        <v>5830</v>
      </c>
      <c r="P213" s="20" t="n">
        <f aca="false">IF(L213=0,0,IF($I213="L/km",MROUND(L213*$M213*IF($H213="Petrol",'Fuel &amp; Inputs'!$C$5,'Fuel &amp; Inputs'!$C$4),1),MROUND(L213*$M213*IF($H213="Petrol",'Fuel &amp; Inputs'!$C$5,'Fuel &amp; Inputs'!$C$4),10)))</f>
        <v>7880</v>
      </c>
      <c r="Q213" s="17" t="s">
        <v>155</v>
      </c>
      <c r="R213" s="21" t="n">
        <v>2950</v>
      </c>
      <c r="S213" s="20" t="n">
        <f aca="false">MROUND(R213+'Fuel &amp; Inputs'!$C$13,50)</f>
        <v>3750</v>
      </c>
      <c r="T213" s="21" t="n">
        <v>6600</v>
      </c>
      <c r="U213" s="20" t="n">
        <f aca="false">MROUND(R213*'Fuel &amp; Inputs'!$C$19*'Fuel &amp; Inputs'!$C$21,100)</f>
        <v>11200</v>
      </c>
      <c r="V213" s="20" t="n">
        <f aca="false">MROUND(S213*'Fuel &amp; Inputs'!$C$19*'Fuel &amp; Inputs'!$C$21,100)</f>
        <v>14300</v>
      </c>
      <c r="W213" s="20" t="n">
        <f aca="false">MROUND(T213*'Fuel &amp; Inputs'!$C$19*'Fuel &amp; Inputs'!$C$21,100)</f>
        <v>25100</v>
      </c>
      <c r="X213" s="20" t="n">
        <f aca="false">MROUND(R213*'Fuel &amp; Inputs'!$C$20*'Fuel &amp; Inputs'!$C$22,500)</f>
        <v>301000</v>
      </c>
      <c r="Y213" s="20" t="n">
        <f aca="false">MROUND(S213*'Fuel &amp; Inputs'!$C$20*'Fuel &amp; Inputs'!$C$22,500)</f>
        <v>382500</v>
      </c>
      <c r="Z213" s="20" t="n">
        <f aca="false">MROUND(T213*'Fuel &amp; Inputs'!$C$20*'Fuel &amp; Inputs'!$C$22,500)</f>
        <v>673000</v>
      </c>
    </row>
    <row r="214" customFormat="false" ht="15" hidden="false" customHeight="false" outlineLevel="0" collapsed="false">
      <c r="A214" s="23" t="n">
        <v>200</v>
      </c>
      <c r="B214" s="34" t="s">
        <v>86</v>
      </c>
      <c r="C214" s="34" t="s">
        <v>538</v>
      </c>
      <c r="D214" s="34" t="s">
        <v>223</v>
      </c>
      <c r="E214" s="23" t="s">
        <v>166</v>
      </c>
      <c r="F214" s="23" t="s">
        <v>539</v>
      </c>
      <c r="G214" s="23" t="s">
        <v>223</v>
      </c>
      <c r="H214" s="23" t="s">
        <v>153</v>
      </c>
      <c r="I214" s="23" t="s">
        <v>154</v>
      </c>
      <c r="J214" s="25" t="n">
        <v>10.1</v>
      </c>
      <c r="K214" s="25" t="n">
        <v>14</v>
      </c>
      <c r="L214" s="25" t="n">
        <v>18.9</v>
      </c>
      <c r="M214" s="35" t="n">
        <v>1.098</v>
      </c>
      <c r="N214" s="26" t="n">
        <f aca="false">IF(J214=0,0,IF($I214="L/km",MROUND(J214*$M214*IF($H214="Petrol",'Fuel &amp; Inputs'!$C$5,'Fuel &amp; Inputs'!$C$4),1),MROUND(J214*$M214*IF($H214="Petrol",'Fuel &amp; Inputs'!$C$5,'Fuel &amp; Inputs'!$C$4),10)))</f>
        <v>4240</v>
      </c>
      <c r="O214" s="26" t="n">
        <f aca="false">IF(K214=0,0,IF($I214="L/km",MROUND(K214*$M214*IF($H214="Petrol",'Fuel &amp; Inputs'!$C$5,'Fuel &amp; Inputs'!$C$4),1),MROUND(K214*$M214*IF($H214="Petrol",'Fuel &amp; Inputs'!$C$5,'Fuel &amp; Inputs'!$C$4),10)))</f>
        <v>5870</v>
      </c>
      <c r="P214" s="26" t="n">
        <f aca="false">IF(L214=0,0,IF($I214="L/km",MROUND(L214*$M214*IF($H214="Petrol",'Fuel &amp; Inputs'!$C$5,'Fuel &amp; Inputs'!$C$4),1),MROUND(L214*$M214*IF($H214="Petrol",'Fuel &amp; Inputs'!$C$5,'Fuel &amp; Inputs'!$C$4),10)))</f>
        <v>7930</v>
      </c>
      <c r="Q214" s="23" t="s">
        <v>155</v>
      </c>
      <c r="R214" s="27" t="n">
        <v>2950</v>
      </c>
      <c r="S214" s="26" t="n">
        <f aca="false">MROUND(R214+'Fuel &amp; Inputs'!$C$13,50)</f>
        <v>3750</v>
      </c>
      <c r="T214" s="27" t="n">
        <v>6600</v>
      </c>
      <c r="U214" s="26" t="n">
        <f aca="false">MROUND(R214*'Fuel &amp; Inputs'!$C$19*'Fuel &amp; Inputs'!$C$21,100)</f>
        <v>11200</v>
      </c>
      <c r="V214" s="26" t="n">
        <f aca="false">MROUND(S214*'Fuel &amp; Inputs'!$C$19*'Fuel &amp; Inputs'!$C$21,100)</f>
        <v>14300</v>
      </c>
      <c r="W214" s="26" t="n">
        <f aca="false">MROUND(T214*'Fuel &amp; Inputs'!$C$19*'Fuel &amp; Inputs'!$C$21,100)</f>
        <v>25100</v>
      </c>
      <c r="X214" s="26" t="n">
        <f aca="false">MROUND(R214*'Fuel &amp; Inputs'!$C$20*'Fuel &amp; Inputs'!$C$22,500)</f>
        <v>301000</v>
      </c>
      <c r="Y214" s="26" t="n">
        <f aca="false">MROUND(S214*'Fuel &amp; Inputs'!$C$20*'Fuel &amp; Inputs'!$C$22,500)</f>
        <v>382500</v>
      </c>
      <c r="Z214" s="26" t="n">
        <f aca="false">MROUND(T214*'Fuel &amp; Inputs'!$C$20*'Fuel &amp; Inputs'!$C$22,500)</f>
        <v>673000</v>
      </c>
    </row>
    <row r="215" customFormat="false" ht="15" hidden="false" customHeight="false" outlineLevel="0" collapsed="false">
      <c r="A215" s="17" t="n">
        <v>201</v>
      </c>
      <c r="B215" s="32" t="s">
        <v>86</v>
      </c>
      <c r="C215" s="32" t="s">
        <v>540</v>
      </c>
      <c r="D215" s="32" t="s">
        <v>541</v>
      </c>
      <c r="E215" s="17" t="s">
        <v>166</v>
      </c>
      <c r="F215" s="17" t="s">
        <v>542</v>
      </c>
      <c r="G215" s="17" t="s">
        <v>223</v>
      </c>
      <c r="H215" s="17" t="s">
        <v>153</v>
      </c>
      <c r="I215" s="17" t="s">
        <v>154</v>
      </c>
      <c r="J215" s="19" t="n">
        <v>10.1</v>
      </c>
      <c r="K215" s="19" t="n">
        <v>14</v>
      </c>
      <c r="L215" s="19" t="n">
        <v>18.9</v>
      </c>
      <c r="M215" s="33" t="n">
        <v>1.098</v>
      </c>
      <c r="N215" s="20" t="n">
        <f aca="false">IF(J215=0,0,IF($I215="L/km",MROUND(J215*$M215*IF($H215="Petrol",'Fuel &amp; Inputs'!$C$5,'Fuel &amp; Inputs'!$C$4),1),MROUND(J215*$M215*IF($H215="Petrol",'Fuel &amp; Inputs'!$C$5,'Fuel &amp; Inputs'!$C$4),10)))</f>
        <v>4240</v>
      </c>
      <c r="O215" s="20" t="n">
        <f aca="false">IF(K215=0,0,IF($I215="L/km",MROUND(K215*$M215*IF($H215="Petrol",'Fuel &amp; Inputs'!$C$5,'Fuel &amp; Inputs'!$C$4),1),MROUND(K215*$M215*IF($H215="Petrol",'Fuel &amp; Inputs'!$C$5,'Fuel &amp; Inputs'!$C$4),10)))</f>
        <v>5870</v>
      </c>
      <c r="P215" s="20" t="n">
        <f aca="false">IF(L215=0,0,IF($I215="L/km",MROUND(L215*$M215*IF($H215="Petrol",'Fuel &amp; Inputs'!$C$5,'Fuel &amp; Inputs'!$C$4),1),MROUND(L215*$M215*IF($H215="Petrol",'Fuel &amp; Inputs'!$C$5,'Fuel &amp; Inputs'!$C$4),10)))</f>
        <v>7930</v>
      </c>
      <c r="Q215" s="17" t="s">
        <v>155</v>
      </c>
      <c r="R215" s="21" t="n">
        <v>2950</v>
      </c>
      <c r="S215" s="20" t="n">
        <f aca="false">MROUND(R215+'Fuel &amp; Inputs'!$C$13,50)</f>
        <v>3750</v>
      </c>
      <c r="T215" s="21" t="n">
        <v>6600</v>
      </c>
      <c r="U215" s="20" t="n">
        <f aca="false">MROUND(R215*'Fuel &amp; Inputs'!$C$19*'Fuel &amp; Inputs'!$C$21,100)</f>
        <v>11200</v>
      </c>
      <c r="V215" s="20" t="n">
        <f aca="false">MROUND(S215*'Fuel &amp; Inputs'!$C$19*'Fuel &amp; Inputs'!$C$21,100)</f>
        <v>14300</v>
      </c>
      <c r="W215" s="20" t="n">
        <f aca="false">MROUND(T215*'Fuel &amp; Inputs'!$C$19*'Fuel &amp; Inputs'!$C$21,100)</f>
        <v>25100</v>
      </c>
      <c r="X215" s="20" t="n">
        <f aca="false">MROUND(R215*'Fuel &amp; Inputs'!$C$20*'Fuel &amp; Inputs'!$C$22,500)</f>
        <v>301000</v>
      </c>
      <c r="Y215" s="20" t="n">
        <f aca="false">MROUND(S215*'Fuel &amp; Inputs'!$C$20*'Fuel &amp; Inputs'!$C$22,500)</f>
        <v>382500</v>
      </c>
      <c r="Z215" s="20" t="n">
        <f aca="false">MROUND(T215*'Fuel &amp; Inputs'!$C$20*'Fuel &amp; Inputs'!$C$22,500)</f>
        <v>673000</v>
      </c>
    </row>
    <row r="216" customFormat="false" ht="15" hidden="false" customHeight="false" outlineLevel="0" collapsed="false">
      <c r="A216" s="23" t="n">
        <v>202</v>
      </c>
      <c r="B216" s="34" t="s">
        <v>86</v>
      </c>
      <c r="C216" s="34" t="s">
        <v>540</v>
      </c>
      <c r="D216" s="34" t="s">
        <v>543</v>
      </c>
      <c r="E216" s="23" t="s">
        <v>166</v>
      </c>
      <c r="F216" s="23" t="s">
        <v>544</v>
      </c>
      <c r="G216" s="23" t="s">
        <v>223</v>
      </c>
      <c r="H216" s="23" t="s">
        <v>153</v>
      </c>
      <c r="I216" s="23" t="s">
        <v>154</v>
      </c>
      <c r="J216" s="25" t="n">
        <v>10.1</v>
      </c>
      <c r="K216" s="25" t="n">
        <v>14</v>
      </c>
      <c r="L216" s="25" t="n">
        <v>18.9</v>
      </c>
      <c r="M216" s="35" t="n">
        <v>1.098</v>
      </c>
      <c r="N216" s="26" t="n">
        <f aca="false">IF(J216=0,0,IF($I216="L/km",MROUND(J216*$M216*IF($H216="Petrol",'Fuel &amp; Inputs'!$C$5,'Fuel &amp; Inputs'!$C$4),1),MROUND(J216*$M216*IF($H216="Petrol",'Fuel &amp; Inputs'!$C$5,'Fuel &amp; Inputs'!$C$4),10)))</f>
        <v>4240</v>
      </c>
      <c r="O216" s="26" t="n">
        <f aca="false">IF(K216=0,0,IF($I216="L/km",MROUND(K216*$M216*IF($H216="Petrol",'Fuel &amp; Inputs'!$C$5,'Fuel &amp; Inputs'!$C$4),1),MROUND(K216*$M216*IF($H216="Petrol",'Fuel &amp; Inputs'!$C$5,'Fuel &amp; Inputs'!$C$4),10)))</f>
        <v>5870</v>
      </c>
      <c r="P216" s="26" t="n">
        <f aca="false">IF(L216=0,0,IF($I216="L/km",MROUND(L216*$M216*IF($H216="Petrol",'Fuel &amp; Inputs'!$C$5,'Fuel &amp; Inputs'!$C$4),1),MROUND(L216*$M216*IF($H216="Petrol",'Fuel &amp; Inputs'!$C$5,'Fuel &amp; Inputs'!$C$4),10)))</f>
        <v>7930</v>
      </c>
      <c r="Q216" s="23" t="s">
        <v>155</v>
      </c>
      <c r="R216" s="27" t="n">
        <v>2950</v>
      </c>
      <c r="S216" s="26" t="n">
        <f aca="false">MROUND(R216+'Fuel &amp; Inputs'!$C$13,50)</f>
        <v>3750</v>
      </c>
      <c r="T216" s="27" t="n">
        <v>6600</v>
      </c>
      <c r="U216" s="26" t="n">
        <f aca="false">MROUND(R216*'Fuel &amp; Inputs'!$C$19*'Fuel &amp; Inputs'!$C$21,100)</f>
        <v>11200</v>
      </c>
      <c r="V216" s="26" t="n">
        <f aca="false">MROUND(S216*'Fuel &amp; Inputs'!$C$19*'Fuel &amp; Inputs'!$C$21,100)</f>
        <v>14300</v>
      </c>
      <c r="W216" s="26" t="n">
        <f aca="false">MROUND(T216*'Fuel &amp; Inputs'!$C$19*'Fuel &amp; Inputs'!$C$21,100)</f>
        <v>25100</v>
      </c>
      <c r="X216" s="26" t="n">
        <f aca="false">MROUND(R216*'Fuel &amp; Inputs'!$C$20*'Fuel &amp; Inputs'!$C$22,500)</f>
        <v>301000</v>
      </c>
      <c r="Y216" s="26" t="n">
        <f aca="false">MROUND(S216*'Fuel &amp; Inputs'!$C$20*'Fuel &amp; Inputs'!$C$22,500)</f>
        <v>382500</v>
      </c>
      <c r="Z216" s="26" t="n">
        <f aca="false">MROUND(T216*'Fuel &amp; Inputs'!$C$20*'Fuel &amp; Inputs'!$C$22,500)</f>
        <v>673000</v>
      </c>
    </row>
    <row r="217" customFormat="false" ht="15" hidden="false" customHeight="false" outlineLevel="0" collapsed="false">
      <c r="A217" s="17" t="n">
        <v>203</v>
      </c>
      <c r="B217" s="32" t="s">
        <v>86</v>
      </c>
      <c r="C217" s="32" t="s">
        <v>540</v>
      </c>
      <c r="D217" s="32" t="s">
        <v>545</v>
      </c>
      <c r="E217" s="17" t="s">
        <v>204</v>
      </c>
      <c r="F217" s="17" t="s">
        <v>546</v>
      </c>
      <c r="G217" s="17" t="s">
        <v>223</v>
      </c>
      <c r="H217" s="17" t="s">
        <v>153</v>
      </c>
      <c r="I217" s="17" t="s">
        <v>154</v>
      </c>
      <c r="J217" s="19" t="n">
        <v>10.1</v>
      </c>
      <c r="K217" s="19" t="n">
        <v>14</v>
      </c>
      <c r="L217" s="19" t="n">
        <v>18.9</v>
      </c>
      <c r="M217" s="33" t="n">
        <v>1.14</v>
      </c>
      <c r="N217" s="20" t="n">
        <f aca="false">IF(J217=0,0,IF($I217="L/km",MROUND(J217*$M217*IF($H217="Petrol",'Fuel &amp; Inputs'!$C$5,'Fuel &amp; Inputs'!$C$4),1),MROUND(J217*$M217*IF($H217="Petrol",'Fuel &amp; Inputs'!$C$5,'Fuel &amp; Inputs'!$C$4),10)))</f>
        <v>4400</v>
      </c>
      <c r="O217" s="20" t="n">
        <f aca="false">IF(K217=0,0,IF($I217="L/km",MROUND(K217*$M217*IF($H217="Petrol",'Fuel &amp; Inputs'!$C$5,'Fuel &amp; Inputs'!$C$4),1),MROUND(K217*$M217*IF($H217="Petrol",'Fuel &amp; Inputs'!$C$5,'Fuel &amp; Inputs'!$C$4),10)))</f>
        <v>6100</v>
      </c>
      <c r="P217" s="20" t="n">
        <f aca="false">IF(L217=0,0,IF($I217="L/km",MROUND(L217*$M217*IF($H217="Petrol",'Fuel &amp; Inputs'!$C$5,'Fuel &amp; Inputs'!$C$4),1),MROUND(L217*$M217*IF($H217="Petrol",'Fuel &amp; Inputs'!$C$5,'Fuel &amp; Inputs'!$C$4),10)))</f>
        <v>8230</v>
      </c>
      <c r="Q217" s="17" t="s">
        <v>155</v>
      </c>
      <c r="R217" s="21" t="n">
        <v>2590</v>
      </c>
      <c r="S217" s="20" t="n">
        <f aca="false">MROUND(R217+'Fuel &amp; Inputs'!$C$13,50)</f>
        <v>3400</v>
      </c>
      <c r="T217" s="21" t="n">
        <v>5800</v>
      </c>
      <c r="U217" s="20" t="n">
        <f aca="false">MROUND(R217*'Fuel &amp; Inputs'!$C$19*'Fuel &amp; Inputs'!$C$21,100)</f>
        <v>9800</v>
      </c>
      <c r="V217" s="20" t="n">
        <f aca="false">MROUND(S217*'Fuel &amp; Inputs'!$C$19*'Fuel &amp; Inputs'!$C$21,100)</f>
        <v>12900</v>
      </c>
      <c r="W217" s="20" t="n">
        <f aca="false">MROUND(T217*'Fuel &amp; Inputs'!$C$19*'Fuel &amp; Inputs'!$C$21,100)</f>
        <v>22000</v>
      </c>
      <c r="X217" s="20" t="n">
        <f aca="false">MROUND(R217*'Fuel &amp; Inputs'!$C$20*'Fuel &amp; Inputs'!$C$22,500)</f>
        <v>264000</v>
      </c>
      <c r="Y217" s="20" t="n">
        <f aca="false">MROUND(S217*'Fuel &amp; Inputs'!$C$20*'Fuel &amp; Inputs'!$C$22,500)</f>
        <v>347000</v>
      </c>
      <c r="Z217" s="20" t="n">
        <f aca="false">MROUND(T217*'Fuel &amp; Inputs'!$C$20*'Fuel &amp; Inputs'!$C$22,500)</f>
        <v>591500</v>
      </c>
    </row>
    <row r="218" customFormat="false" ht="15" hidden="false" customHeight="false" outlineLevel="0" collapsed="false">
      <c r="A218" s="23" t="n">
        <v>204</v>
      </c>
      <c r="B218" s="34" t="s">
        <v>86</v>
      </c>
      <c r="C218" s="34" t="s">
        <v>330</v>
      </c>
      <c r="D218" s="34" t="s">
        <v>223</v>
      </c>
      <c r="E218" s="23" t="s">
        <v>223</v>
      </c>
      <c r="F218" s="23" t="s">
        <v>547</v>
      </c>
      <c r="G218" s="23" t="s">
        <v>223</v>
      </c>
      <c r="H218" s="23" t="s">
        <v>153</v>
      </c>
      <c r="I218" s="23" t="s">
        <v>154</v>
      </c>
      <c r="J218" s="25" t="n">
        <v>10.1</v>
      </c>
      <c r="K218" s="25" t="n">
        <v>14</v>
      </c>
      <c r="L218" s="25" t="n">
        <v>18.9</v>
      </c>
      <c r="M218" s="35" t="n">
        <v>1</v>
      </c>
      <c r="N218" s="26" t="n">
        <f aca="false">IF(J218=0,0,IF($I218="L/km",MROUND(J218*$M218*IF($H218="Petrol",'Fuel &amp; Inputs'!$C$5,'Fuel &amp; Inputs'!$C$4),1),MROUND(J218*$M218*IF($H218="Petrol",'Fuel &amp; Inputs'!$C$5,'Fuel &amp; Inputs'!$C$4),10)))</f>
        <v>3860</v>
      </c>
      <c r="O218" s="26" t="n">
        <f aca="false">IF(K218=0,0,IF($I218="L/km",MROUND(K218*$M218*IF($H218="Petrol",'Fuel &amp; Inputs'!$C$5,'Fuel &amp; Inputs'!$C$4),1),MROUND(K218*$M218*IF($H218="Petrol",'Fuel &amp; Inputs'!$C$5,'Fuel &amp; Inputs'!$C$4),10)))</f>
        <v>5350</v>
      </c>
      <c r="P218" s="26" t="n">
        <f aca="false">IF(L218=0,0,IF($I218="L/km",MROUND(L218*$M218*IF($H218="Petrol",'Fuel &amp; Inputs'!$C$5,'Fuel &amp; Inputs'!$C$4),1),MROUND(L218*$M218*IF($H218="Petrol",'Fuel &amp; Inputs'!$C$5,'Fuel &amp; Inputs'!$C$4),10)))</f>
        <v>7220</v>
      </c>
      <c r="Q218" s="23" t="s">
        <v>155</v>
      </c>
      <c r="R218" s="27" t="n">
        <v>2090</v>
      </c>
      <c r="S218" s="26" t="n">
        <f aca="false">MROUND(R218+'Fuel &amp; Inputs'!$C$13,50)</f>
        <v>2900</v>
      </c>
      <c r="T218" s="27" t="n">
        <v>4670</v>
      </c>
      <c r="U218" s="26" t="n">
        <f aca="false">MROUND(R218*'Fuel &amp; Inputs'!$C$19*'Fuel &amp; Inputs'!$C$21,100)</f>
        <v>7900</v>
      </c>
      <c r="V218" s="26" t="n">
        <f aca="false">MROUND(S218*'Fuel &amp; Inputs'!$C$19*'Fuel &amp; Inputs'!$C$21,100)</f>
        <v>11000</v>
      </c>
      <c r="W218" s="26" t="n">
        <f aca="false">MROUND(T218*'Fuel &amp; Inputs'!$C$19*'Fuel &amp; Inputs'!$C$21,100)</f>
        <v>17700</v>
      </c>
      <c r="X218" s="26" t="n">
        <f aca="false">MROUND(R218*'Fuel &amp; Inputs'!$C$20*'Fuel &amp; Inputs'!$C$22,500)</f>
        <v>213000</v>
      </c>
      <c r="Y218" s="26" t="n">
        <f aca="false">MROUND(S218*'Fuel &amp; Inputs'!$C$20*'Fuel &amp; Inputs'!$C$22,500)</f>
        <v>296000</v>
      </c>
      <c r="Z218" s="26" t="n">
        <f aca="false">MROUND(T218*'Fuel &amp; Inputs'!$C$20*'Fuel &amp; Inputs'!$C$22,500)</f>
        <v>476500</v>
      </c>
    </row>
    <row r="219" customFormat="false" ht="15" hidden="false" customHeight="false" outlineLevel="0" collapsed="false">
      <c r="A219" s="17" t="n">
        <v>205</v>
      </c>
      <c r="B219" s="32" t="s">
        <v>86</v>
      </c>
      <c r="C219" s="32" t="s">
        <v>330</v>
      </c>
      <c r="D219" s="32" t="s">
        <v>223</v>
      </c>
      <c r="E219" s="17" t="s">
        <v>223</v>
      </c>
      <c r="F219" s="17" t="s">
        <v>548</v>
      </c>
      <c r="G219" s="17" t="s">
        <v>223</v>
      </c>
      <c r="H219" s="17" t="s">
        <v>153</v>
      </c>
      <c r="I219" s="17" t="s">
        <v>154</v>
      </c>
      <c r="J219" s="19" t="n">
        <v>10.1</v>
      </c>
      <c r="K219" s="19" t="n">
        <v>14</v>
      </c>
      <c r="L219" s="19" t="n">
        <v>18.9</v>
      </c>
      <c r="M219" s="33" t="n">
        <v>1</v>
      </c>
      <c r="N219" s="20" t="n">
        <f aca="false">IF(J219=0,0,IF($I219="L/km",MROUND(J219*$M219*IF($H219="Petrol",'Fuel &amp; Inputs'!$C$5,'Fuel &amp; Inputs'!$C$4),1),MROUND(J219*$M219*IF($H219="Petrol",'Fuel &amp; Inputs'!$C$5,'Fuel &amp; Inputs'!$C$4),10)))</f>
        <v>3860</v>
      </c>
      <c r="O219" s="20" t="n">
        <f aca="false">IF(K219=0,0,IF($I219="L/km",MROUND(K219*$M219*IF($H219="Petrol",'Fuel &amp; Inputs'!$C$5,'Fuel &amp; Inputs'!$C$4),1),MROUND(K219*$M219*IF($H219="Petrol",'Fuel &amp; Inputs'!$C$5,'Fuel &amp; Inputs'!$C$4),10)))</f>
        <v>5350</v>
      </c>
      <c r="P219" s="20" t="n">
        <f aca="false">IF(L219=0,0,IF($I219="L/km",MROUND(L219*$M219*IF($H219="Petrol",'Fuel &amp; Inputs'!$C$5,'Fuel &amp; Inputs'!$C$4),1),MROUND(L219*$M219*IF($H219="Petrol",'Fuel &amp; Inputs'!$C$5,'Fuel &amp; Inputs'!$C$4),10)))</f>
        <v>7220</v>
      </c>
      <c r="Q219" s="17" t="s">
        <v>155</v>
      </c>
      <c r="R219" s="21" t="n">
        <v>2090</v>
      </c>
      <c r="S219" s="20" t="n">
        <f aca="false">MROUND(R219+'Fuel &amp; Inputs'!$C$13,50)</f>
        <v>2900</v>
      </c>
      <c r="T219" s="21" t="n">
        <v>4670</v>
      </c>
      <c r="U219" s="20" t="n">
        <f aca="false">MROUND(R219*'Fuel &amp; Inputs'!$C$19*'Fuel &amp; Inputs'!$C$21,100)</f>
        <v>7900</v>
      </c>
      <c r="V219" s="20" t="n">
        <f aca="false">MROUND(S219*'Fuel &amp; Inputs'!$C$19*'Fuel &amp; Inputs'!$C$21,100)</f>
        <v>11000</v>
      </c>
      <c r="W219" s="20" t="n">
        <f aca="false">MROUND(T219*'Fuel &amp; Inputs'!$C$19*'Fuel &amp; Inputs'!$C$21,100)</f>
        <v>17700</v>
      </c>
      <c r="X219" s="20" t="n">
        <f aca="false">MROUND(R219*'Fuel &amp; Inputs'!$C$20*'Fuel &amp; Inputs'!$C$22,500)</f>
        <v>213000</v>
      </c>
      <c r="Y219" s="20" t="n">
        <f aca="false">MROUND(S219*'Fuel &amp; Inputs'!$C$20*'Fuel &amp; Inputs'!$C$22,500)</f>
        <v>296000</v>
      </c>
      <c r="Z219" s="20" t="n">
        <f aca="false">MROUND(T219*'Fuel &amp; Inputs'!$C$20*'Fuel &amp; Inputs'!$C$22,500)</f>
        <v>476500</v>
      </c>
    </row>
    <row r="220" customFormat="false" ht="15" hidden="false" customHeight="true" outlineLevel="0" collapsed="false">
      <c r="A220" s="31" t="s">
        <v>549</v>
      </c>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ustomFormat="false" ht="15" hidden="false" customHeight="false" outlineLevel="0" collapsed="false">
      <c r="A221" s="23" t="n">
        <v>206</v>
      </c>
      <c r="B221" s="34" t="s">
        <v>88</v>
      </c>
      <c r="C221" s="34" t="s">
        <v>550</v>
      </c>
      <c r="D221" s="34" t="s">
        <v>551</v>
      </c>
      <c r="E221" s="23" t="s">
        <v>180</v>
      </c>
      <c r="F221" s="23" t="s">
        <v>552</v>
      </c>
      <c r="G221" s="23" t="s">
        <v>553</v>
      </c>
      <c r="H221" s="23" t="s">
        <v>153</v>
      </c>
      <c r="I221" s="23" t="s">
        <v>154</v>
      </c>
      <c r="J221" s="25" t="n">
        <v>6.5</v>
      </c>
      <c r="K221" s="25" t="n">
        <v>9</v>
      </c>
      <c r="L221" s="25" t="n">
        <v>12.2</v>
      </c>
      <c r="M221" s="35" t="n">
        <v>1.049</v>
      </c>
      <c r="N221" s="26" t="n">
        <f aca="false">IF(J221=0,0,IF($I221="L/km",MROUND(J221*$M221*IF($H221="Petrol",'Fuel &amp; Inputs'!$C$5,'Fuel &amp; Inputs'!$C$4),1),MROUND(J221*$M221*IF($H221="Petrol",'Fuel &amp; Inputs'!$C$5,'Fuel &amp; Inputs'!$C$4),10)))</f>
        <v>2600</v>
      </c>
      <c r="O221" s="26" t="n">
        <f aca="false">IF(K221=0,0,IF($I221="L/km",MROUND(K221*$M221*IF($H221="Petrol",'Fuel &amp; Inputs'!$C$5,'Fuel &amp; Inputs'!$C$4),1),MROUND(K221*$M221*IF($H221="Petrol",'Fuel &amp; Inputs'!$C$5,'Fuel &amp; Inputs'!$C$4),10)))</f>
        <v>3610</v>
      </c>
      <c r="P221" s="26" t="n">
        <f aca="false">IF(L221=0,0,IF($I221="L/km",MROUND(L221*$M221*IF($H221="Petrol",'Fuel &amp; Inputs'!$C$5,'Fuel &amp; Inputs'!$C$4),1),MROUND(L221*$M221*IF($H221="Petrol",'Fuel &amp; Inputs'!$C$5,'Fuel &amp; Inputs'!$C$4),10)))</f>
        <v>4890</v>
      </c>
      <c r="Q221" s="23" t="s">
        <v>155</v>
      </c>
      <c r="R221" s="27" t="n">
        <v>1610</v>
      </c>
      <c r="S221" s="26" t="n">
        <f aca="false">MROUND(R221+'Fuel &amp; Inputs'!$C$13,50)</f>
        <v>2400</v>
      </c>
      <c r="T221" s="27" t="n">
        <v>3220</v>
      </c>
      <c r="U221" s="26" t="n">
        <f aca="false">MROUND(R221*'Fuel &amp; Inputs'!$C$19*'Fuel &amp; Inputs'!$C$21,100)</f>
        <v>6100</v>
      </c>
      <c r="V221" s="26" t="n">
        <f aca="false">MROUND(S221*'Fuel &amp; Inputs'!$C$19*'Fuel &amp; Inputs'!$C$21,100)</f>
        <v>9100</v>
      </c>
      <c r="W221" s="26" t="n">
        <f aca="false">MROUND(T221*'Fuel &amp; Inputs'!$C$19*'Fuel &amp; Inputs'!$C$21,100)</f>
        <v>12200</v>
      </c>
      <c r="X221" s="26" t="n">
        <f aca="false">MROUND(R221*'Fuel &amp; Inputs'!$C$20*'Fuel &amp; Inputs'!$C$22,500)</f>
        <v>164000</v>
      </c>
      <c r="Y221" s="26" t="n">
        <f aca="false">MROUND(S221*'Fuel &amp; Inputs'!$C$20*'Fuel &amp; Inputs'!$C$22,500)</f>
        <v>245000</v>
      </c>
      <c r="Z221" s="26" t="n">
        <f aca="false">MROUND(T221*'Fuel &amp; Inputs'!$C$20*'Fuel &amp; Inputs'!$C$22,500)</f>
        <v>328500</v>
      </c>
    </row>
    <row r="222" customFormat="false" ht="15" hidden="false" customHeight="false" outlineLevel="0" collapsed="false">
      <c r="A222" s="17" t="n">
        <v>207</v>
      </c>
      <c r="B222" s="32" t="s">
        <v>88</v>
      </c>
      <c r="C222" s="32" t="s">
        <v>249</v>
      </c>
      <c r="D222" s="32" t="s">
        <v>554</v>
      </c>
      <c r="E222" s="17" t="s">
        <v>234</v>
      </c>
      <c r="F222" s="17" t="s">
        <v>555</v>
      </c>
      <c r="G222" s="17" t="s">
        <v>556</v>
      </c>
      <c r="H222" s="17" t="s">
        <v>153</v>
      </c>
      <c r="I222" s="17" t="s">
        <v>154</v>
      </c>
      <c r="J222" s="19" t="n">
        <v>6.5</v>
      </c>
      <c r="K222" s="19" t="n">
        <v>9</v>
      </c>
      <c r="L222" s="19" t="n">
        <v>12.2</v>
      </c>
      <c r="M222" s="33" t="n">
        <v>1.091</v>
      </c>
      <c r="N222" s="20" t="n">
        <f aca="false">IF(J222=0,0,IF($I222="L/km",MROUND(J222*$M222*IF($H222="Petrol",'Fuel &amp; Inputs'!$C$5,'Fuel &amp; Inputs'!$C$4),1),MROUND(J222*$M222*IF($H222="Petrol",'Fuel &amp; Inputs'!$C$5,'Fuel &amp; Inputs'!$C$4),10)))</f>
        <v>2710</v>
      </c>
      <c r="O222" s="20" t="n">
        <f aca="false">IF(K222=0,0,IF($I222="L/km",MROUND(K222*$M222*IF($H222="Petrol",'Fuel &amp; Inputs'!$C$5,'Fuel &amp; Inputs'!$C$4),1),MROUND(K222*$M222*IF($H222="Petrol",'Fuel &amp; Inputs'!$C$5,'Fuel &amp; Inputs'!$C$4),10)))</f>
        <v>3750</v>
      </c>
      <c r="P222" s="20" t="n">
        <f aca="false">IF(L222=0,0,IF($I222="L/km",MROUND(L222*$M222*IF($H222="Petrol",'Fuel &amp; Inputs'!$C$5,'Fuel &amp; Inputs'!$C$4),1),MROUND(L222*$M222*IF($H222="Petrol",'Fuel &amp; Inputs'!$C$5,'Fuel &amp; Inputs'!$C$4),10)))</f>
        <v>5080</v>
      </c>
      <c r="Q222" s="17" t="s">
        <v>155</v>
      </c>
      <c r="R222" s="21" t="n">
        <v>1440</v>
      </c>
      <c r="S222" s="20" t="n">
        <f aca="false">MROUND(R222+'Fuel &amp; Inputs'!$C$13,50)</f>
        <v>2250</v>
      </c>
      <c r="T222" s="21" t="n">
        <v>2870</v>
      </c>
      <c r="U222" s="20" t="n">
        <f aca="false">MROUND(R222*'Fuel &amp; Inputs'!$C$19*'Fuel &amp; Inputs'!$C$21,100)</f>
        <v>5500</v>
      </c>
      <c r="V222" s="20" t="n">
        <f aca="false">MROUND(S222*'Fuel &amp; Inputs'!$C$19*'Fuel &amp; Inputs'!$C$21,100)</f>
        <v>8600</v>
      </c>
      <c r="W222" s="20" t="n">
        <f aca="false">MROUND(T222*'Fuel &amp; Inputs'!$C$19*'Fuel &amp; Inputs'!$C$21,100)</f>
        <v>10900</v>
      </c>
      <c r="X222" s="20" t="n">
        <f aca="false">MROUND(R222*'Fuel &amp; Inputs'!$C$20*'Fuel &amp; Inputs'!$C$22,500)</f>
        <v>147000</v>
      </c>
      <c r="Y222" s="20" t="n">
        <f aca="false">MROUND(S222*'Fuel &amp; Inputs'!$C$20*'Fuel &amp; Inputs'!$C$22,500)</f>
        <v>229500</v>
      </c>
      <c r="Z222" s="20" t="n">
        <f aca="false">MROUND(T222*'Fuel &amp; Inputs'!$C$20*'Fuel &amp; Inputs'!$C$22,500)</f>
        <v>292500</v>
      </c>
    </row>
    <row r="223" customFormat="false" ht="15" hidden="false" customHeight="false" outlineLevel="0" collapsed="false">
      <c r="A223" s="23" t="n">
        <v>208</v>
      </c>
      <c r="B223" s="34" t="s">
        <v>88</v>
      </c>
      <c r="C223" s="34" t="s">
        <v>557</v>
      </c>
      <c r="D223" s="34" t="s">
        <v>558</v>
      </c>
      <c r="E223" s="23" t="s">
        <v>166</v>
      </c>
      <c r="F223" s="23" t="s">
        <v>559</v>
      </c>
      <c r="G223" s="23" t="s">
        <v>560</v>
      </c>
      <c r="H223" s="23" t="s">
        <v>153</v>
      </c>
      <c r="I223" s="23" t="s">
        <v>154</v>
      </c>
      <c r="J223" s="25" t="n">
        <v>6.5</v>
      </c>
      <c r="K223" s="25" t="n">
        <v>9</v>
      </c>
      <c r="L223" s="25" t="n">
        <v>12.2</v>
      </c>
      <c r="M223" s="35" t="n">
        <v>1.098</v>
      </c>
      <c r="N223" s="26" t="n">
        <f aca="false">IF(J223=0,0,IF($I223="L/km",MROUND(J223*$M223*IF($H223="Petrol",'Fuel &amp; Inputs'!$C$5,'Fuel &amp; Inputs'!$C$4),1),MROUND(J223*$M223*IF($H223="Petrol",'Fuel &amp; Inputs'!$C$5,'Fuel &amp; Inputs'!$C$4),10)))</f>
        <v>2730</v>
      </c>
      <c r="O223" s="26" t="n">
        <f aca="false">IF(K223=0,0,IF($I223="L/km",MROUND(K223*$M223*IF($H223="Petrol",'Fuel &amp; Inputs'!$C$5,'Fuel &amp; Inputs'!$C$4),1),MROUND(K223*$M223*IF($H223="Petrol",'Fuel &amp; Inputs'!$C$5,'Fuel &amp; Inputs'!$C$4),10)))</f>
        <v>3770</v>
      </c>
      <c r="P223" s="26" t="n">
        <f aca="false">IF(L223=0,0,IF($I223="L/km",MROUND(L223*$M223*IF($H223="Petrol",'Fuel &amp; Inputs'!$C$5,'Fuel &amp; Inputs'!$C$4),1),MROUND(L223*$M223*IF($H223="Petrol",'Fuel &amp; Inputs'!$C$5,'Fuel &amp; Inputs'!$C$4),10)))</f>
        <v>5120</v>
      </c>
      <c r="Q223" s="23" t="s">
        <v>155</v>
      </c>
      <c r="R223" s="27" t="n">
        <v>1440</v>
      </c>
      <c r="S223" s="26" t="n">
        <f aca="false">MROUND(R223+'Fuel &amp; Inputs'!$C$13,50)</f>
        <v>2250</v>
      </c>
      <c r="T223" s="27" t="n">
        <v>2870</v>
      </c>
      <c r="U223" s="26" t="n">
        <f aca="false">MROUND(R223*'Fuel &amp; Inputs'!$C$19*'Fuel &amp; Inputs'!$C$21,100)</f>
        <v>5500</v>
      </c>
      <c r="V223" s="26" t="n">
        <f aca="false">MROUND(S223*'Fuel &amp; Inputs'!$C$19*'Fuel &amp; Inputs'!$C$21,100)</f>
        <v>8600</v>
      </c>
      <c r="W223" s="26" t="n">
        <f aca="false">MROUND(T223*'Fuel &amp; Inputs'!$C$19*'Fuel &amp; Inputs'!$C$21,100)</f>
        <v>10900</v>
      </c>
      <c r="X223" s="26" t="n">
        <f aca="false">MROUND(R223*'Fuel &amp; Inputs'!$C$20*'Fuel &amp; Inputs'!$C$22,500)</f>
        <v>147000</v>
      </c>
      <c r="Y223" s="26" t="n">
        <f aca="false">MROUND(S223*'Fuel &amp; Inputs'!$C$20*'Fuel &amp; Inputs'!$C$22,500)</f>
        <v>229500</v>
      </c>
      <c r="Z223" s="26" t="n">
        <f aca="false">MROUND(T223*'Fuel &amp; Inputs'!$C$20*'Fuel &amp; Inputs'!$C$22,500)</f>
        <v>292500</v>
      </c>
    </row>
    <row r="224" customFormat="false" ht="23.85" hidden="false" customHeight="false" outlineLevel="0" collapsed="false">
      <c r="A224" s="17" t="n">
        <v>209</v>
      </c>
      <c r="B224" s="32" t="s">
        <v>88</v>
      </c>
      <c r="C224" s="32" t="s">
        <v>271</v>
      </c>
      <c r="D224" s="32" t="s">
        <v>561</v>
      </c>
      <c r="E224" s="17" t="s">
        <v>562</v>
      </c>
      <c r="F224" s="17" t="s">
        <v>563</v>
      </c>
      <c r="G224" s="17" t="s">
        <v>564</v>
      </c>
      <c r="H224" s="17" t="s">
        <v>153</v>
      </c>
      <c r="I224" s="17" t="s">
        <v>154</v>
      </c>
      <c r="J224" s="19" t="n">
        <v>6.5</v>
      </c>
      <c r="K224" s="19" t="n">
        <v>9</v>
      </c>
      <c r="L224" s="19" t="n">
        <v>12.2</v>
      </c>
      <c r="M224" s="33" t="n">
        <v>1.175</v>
      </c>
      <c r="N224" s="20" t="n">
        <f aca="false">IF(J224=0,0,IF($I224="L/km",MROUND(J224*$M224*IF($H224="Petrol",'Fuel &amp; Inputs'!$C$5,'Fuel &amp; Inputs'!$C$4),1),MROUND(J224*$M224*IF($H224="Petrol",'Fuel &amp; Inputs'!$C$5,'Fuel &amp; Inputs'!$C$4),10)))</f>
        <v>2920</v>
      </c>
      <c r="O224" s="20" t="n">
        <f aca="false">IF(K224=0,0,IF($I224="L/km",MROUND(K224*$M224*IF($H224="Petrol",'Fuel &amp; Inputs'!$C$5,'Fuel &amp; Inputs'!$C$4),1),MROUND(K224*$M224*IF($H224="Petrol",'Fuel &amp; Inputs'!$C$5,'Fuel &amp; Inputs'!$C$4),10)))</f>
        <v>4040</v>
      </c>
      <c r="P224" s="20" t="n">
        <f aca="false">IF(L224=0,0,IF($I224="L/km",MROUND(L224*$M224*IF($H224="Petrol",'Fuel &amp; Inputs'!$C$5,'Fuel &amp; Inputs'!$C$4),1),MROUND(L224*$M224*IF($H224="Petrol",'Fuel &amp; Inputs'!$C$5,'Fuel &amp; Inputs'!$C$4),10)))</f>
        <v>5480</v>
      </c>
      <c r="Q224" s="17" t="s">
        <v>155</v>
      </c>
      <c r="R224" s="21" t="n">
        <v>1010</v>
      </c>
      <c r="S224" s="20" t="n">
        <f aca="false">MROUND(R224+'Fuel &amp; Inputs'!$C$13,50)</f>
        <v>1800</v>
      </c>
      <c r="T224" s="21" t="n">
        <v>2030</v>
      </c>
      <c r="U224" s="20" t="n">
        <f aca="false">MROUND(R224*'Fuel &amp; Inputs'!$C$19*'Fuel &amp; Inputs'!$C$21,100)</f>
        <v>3800</v>
      </c>
      <c r="V224" s="20" t="n">
        <f aca="false">MROUND(S224*'Fuel &amp; Inputs'!$C$19*'Fuel &amp; Inputs'!$C$21,100)</f>
        <v>6800</v>
      </c>
      <c r="W224" s="20" t="n">
        <f aca="false">MROUND(T224*'Fuel &amp; Inputs'!$C$19*'Fuel &amp; Inputs'!$C$21,100)</f>
        <v>7700</v>
      </c>
      <c r="X224" s="20" t="n">
        <f aca="false">MROUND(R224*'Fuel &amp; Inputs'!$C$20*'Fuel &amp; Inputs'!$C$22,500)</f>
        <v>103000</v>
      </c>
      <c r="Y224" s="20" t="n">
        <f aca="false">MROUND(S224*'Fuel &amp; Inputs'!$C$20*'Fuel &amp; Inputs'!$C$22,500)</f>
        <v>183500</v>
      </c>
      <c r="Z224" s="20" t="n">
        <f aca="false">MROUND(T224*'Fuel &amp; Inputs'!$C$20*'Fuel &amp; Inputs'!$C$22,500)</f>
        <v>207000</v>
      </c>
    </row>
    <row r="225" customFormat="false" ht="15" hidden="false" customHeight="true" outlineLevel="0" collapsed="false">
      <c r="A225" s="31" t="s">
        <v>565</v>
      </c>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ustomFormat="false" ht="15" hidden="false" customHeight="false" outlineLevel="0" collapsed="false">
      <c r="A226" s="23" t="n">
        <v>210</v>
      </c>
      <c r="B226" s="34" t="s">
        <v>90</v>
      </c>
      <c r="C226" s="34" t="s">
        <v>566</v>
      </c>
      <c r="D226" s="34" t="s">
        <v>567</v>
      </c>
      <c r="E226" s="23" t="s">
        <v>568</v>
      </c>
      <c r="F226" s="23" t="s">
        <v>569</v>
      </c>
      <c r="G226" s="23" t="s">
        <v>570</v>
      </c>
      <c r="H226" s="23" t="s">
        <v>153</v>
      </c>
      <c r="I226" s="23" t="s">
        <v>154</v>
      </c>
      <c r="J226" s="25" t="n">
        <v>10.8</v>
      </c>
      <c r="K226" s="25" t="n">
        <v>15</v>
      </c>
      <c r="L226" s="25" t="n">
        <v>20.3</v>
      </c>
      <c r="M226" s="35" t="n">
        <v>1.175</v>
      </c>
      <c r="N226" s="26" t="n">
        <f aca="false">IF(J226=0,0,IF($I226="L/km",MROUND(J226*$M226*IF($H226="Petrol",'Fuel &amp; Inputs'!$C$5,'Fuel &amp; Inputs'!$C$4),1),MROUND(J226*$M226*IF($H226="Petrol",'Fuel &amp; Inputs'!$C$5,'Fuel &amp; Inputs'!$C$4),10)))</f>
        <v>4850</v>
      </c>
      <c r="O226" s="26" t="n">
        <f aca="false">IF(K226=0,0,IF($I226="L/km",MROUND(K226*$M226*IF($H226="Petrol",'Fuel &amp; Inputs'!$C$5,'Fuel &amp; Inputs'!$C$4),1),MROUND(K226*$M226*IF($H226="Petrol",'Fuel &amp; Inputs'!$C$5,'Fuel &amp; Inputs'!$C$4),10)))</f>
        <v>6730</v>
      </c>
      <c r="P226" s="26" t="n">
        <f aca="false">IF(L226=0,0,IF($I226="L/km",MROUND(L226*$M226*IF($H226="Petrol",'Fuel &amp; Inputs'!$C$5,'Fuel &amp; Inputs'!$C$4),1),MROUND(L226*$M226*IF($H226="Petrol",'Fuel &amp; Inputs'!$C$5,'Fuel &amp; Inputs'!$C$4),10)))</f>
        <v>9110</v>
      </c>
      <c r="Q226" s="23" t="s">
        <v>155</v>
      </c>
      <c r="R226" s="27" t="n">
        <v>2550</v>
      </c>
      <c r="S226" s="26" t="n">
        <f aca="false">MROUND(R226+'Fuel &amp; Inputs'!$C$13,50)</f>
        <v>3350</v>
      </c>
      <c r="T226" s="27" t="n">
        <v>5100</v>
      </c>
      <c r="U226" s="26" t="n">
        <f aca="false">MROUND(R226*'Fuel &amp; Inputs'!$C$19*'Fuel &amp; Inputs'!$C$21,100)</f>
        <v>9700</v>
      </c>
      <c r="V226" s="26" t="n">
        <f aca="false">MROUND(S226*'Fuel &amp; Inputs'!$C$19*'Fuel &amp; Inputs'!$C$21,100)</f>
        <v>12700</v>
      </c>
      <c r="W226" s="26" t="n">
        <f aca="false">MROUND(T226*'Fuel &amp; Inputs'!$C$19*'Fuel &amp; Inputs'!$C$21,100)</f>
        <v>19400</v>
      </c>
      <c r="X226" s="26" t="n">
        <f aca="false">MROUND(R226*'Fuel &amp; Inputs'!$C$20*'Fuel &amp; Inputs'!$C$22,500)</f>
        <v>260000</v>
      </c>
      <c r="Y226" s="26" t="n">
        <f aca="false">MROUND(S226*'Fuel &amp; Inputs'!$C$20*'Fuel &amp; Inputs'!$C$22,500)</f>
        <v>341500</v>
      </c>
      <c r="Z226" s="26" t="n">
        <f aca="false">MROUND(T226*'Fuel &amp; Inputs'!$C$20*'Fuel &amp; Inputs'!$C$22,500)</f>
        <v>520000</v>
      </c>
    </row>
    <row r="227" customFormat="false" ht="15" hidden="false" customHeight="false" outlineLevel="0" collapsed="false">
      <c r="A227" s="17" t="n">
        <v>211</v>
      </c>
      <c r="B227" s="32" t="s">
        <v>90</v>
      </c>
      <c r="C227" s="32" t="s">
        <v>571</v>
      </c>
      <c r="D227" s="32" t="s">
        <v>572</v>
      </c>
      <c r="E227" s="17" t="s">
        <v>573</v>
      </c>
      <c r="F227" s="17" t="s">
        <v>574</v>
      </c>
      <c r="G227" s="17" t="s">
        <v>575</v>
      </c>
      <c r="H227" s="17" t="s">
        <v>153</v>
      </c>
      <c r="I227" s="17" t="s">
        <v>154</v>
      </c>
      <c r="J227" s="19" t="n">
        <v>8.6</v>
      </c>
      <c r="K227" s="19" t="n">
        <v>12</v>
      </c>
      <c r="L227" s="19" t="n">
        <v>16.2</v>
      </c>
      <c r="M227" s="33" t="n">
        <v>1.175</v>
      </c>
      <c r="N227" s="20" t="n">
        <f aca="false">IF(J227=0,0,IF($I227="L/km",MROUND(J227*$M227*IF($H227="Petrol",'Fuel &amp; Inputs'!$C$5,'Fuel &amp; Inputs'!$C$4),1),MROUND(J227*$M227*IF($H227="Petrol",'Fuel &amp; Inputs'!$C$5,'Fuel &amp; Inputs'!$C$4),10)))</f>
        <v>3860</v>
      </c>
      <c r="O227" s="20" t="n">
        <f aca="false">IF(K227=0,0,IF($I227="L/km",MROUND(K227*$M227*IF($H227="Petrol",'Fuel &amp; Inputs'!$C$5,'Fuel &amp; Inputs'!$C$4),1),MROUND(K227*$M227*IF($H227="Petrol",'Fuel &amp; Inputs'!$C$5,'Fuel &amp; Inputs'!$C$4),10)))</f>
        <v>5390</v>
      </c>
      <c r="P227" s="20" t="n">
        <f aca="false">IF(L227=0,0,IF($I227="L/km",MROUND(L227*$M227*IF($H227="Petrol",'Fuel &amp; Inputs'!$C$5,'Fuel &amp; Inputs'!$C$4),1),MROUND(L227*$M227*IF($H227="Petrol",'Fuel &amp; Inputs'!$C$5,'Fuel &amp; Inputs'!$C$4),10)))</f>
        <v>7270</v>
      </c>
      <c r="Q227" s="17" t="s">
        <v>155</v>
      </c>
      <c r="R227" s="21" t="n">
        <v>2550</v>
      </c>
      <c r="S227" s="20" t="n">
        <f aca="false">MROUND(R227+'Fuel &amp; Inputs'!$C$13,50)</f>
        <v>3350</v>
      </c>
      <c r="T227" s="21" t="n">
        <v>5100</v>
      </c>
      <c r="U227" s="20" t="n">
        <f aca="false">MROUND(R227*'Fuel &amp; Inputs'!$C$19*'Fuel &amp; Inputs'!$C$21,100)</f>
        <v>9700</v>
      </c>
      <c r="V227" s="20" t="n">
        <f aca="false">MROUND(S227*'Fuel &amp; Inputs'!$C$19*'Fuel &amp; Inputs'!$C$21,100)</f>
        <v>12700</v>
      </c>
      <c r="W227" s="20" t="n">
        <f aca="false">MROUND(T227*'Fuel &amp; Inputs'!$C$19*'Fuel &amp; Inputs'!$C$21,100)</f>
        <v>19400</v>
      </c>
      <c r="X227" s="20" t="n">
        <f aca="false">MROUND(R227*'Fuel &amp; Inputs'!$C$20*'Fuel &amp; Inputs'!$C$22,500)</f>
        <v>260000</v>
      </c>
      <c r="Y227" s="20" t="n">
        <f aca="false">MROUND(S227*'Fuel &amp; Inputs'!$C$20*'Fuel &amp; Inputs'!$C$22,500)</f>
        <v>341500</v>
      </c>
      <c r="Z227" s="20" t="n">
        <f aca="false">MROUND(T227*'Fuel &amp; Inputs'!$C$20*'Fuel &amp; Inputs'!$C$22,500)</f>
        <v>520000</v>
      </c>
    </row>
    <row r="228" customFormat="false" ht="15" hidden="false" customHeight="true" outlineLevel="0" collapsed="false">
      <c r="A228" s="31" t="s">
        <v>576</v>
      </c>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ustomFormat="false" ht="15" hidden="false" customHeight="false" outlineLevel="0" collapsed="false">
      <c r="A229" s="23" t="n">
        <v>212</v>
      </c>
      <c r="B229" s="34" t="s">
        <v>92</v>
      </c>
      <c r="C229" s="34" t="s">
        <v>249</v>
      </c>
      <c r="D229" s="34" t="s">
        <v>577</v>
      </c>
      <c r="E229" s="23" t="s">
        <v>204</v>
      </c>
      <c r="F229" s="23" t="s">
        <v>578</v>
      </c>
      <c r="G229" s="23" t="s">
        <v>579</v>
      </c>
      <c r="H229" s="23" t="s">
        <v>153</v>
      </c>
      <c r="I229" s="23" t="s">
        <v>154</v>
      </c>
      <c r="J229" s="25" t="n">
        <v>6.5</v>
      </c>
      <c r="K229" s="25" t="n">
        <v>9</v>
      </c>
      <c r="L229" s="25" t="n">
        <v>12.2</v>
      </c>
      <c r="M229" s="35" t="n">
        <v>1.14</v>
      </c>
      <c r="N229" s="26" t="n">
        <f aca="false">IF(J229=0,0,IF($I229="L/km",MROUND(J229*$M229*IF($H229="Petrol",'Fuel &amp; Inputs'!$C$5,'Fuel &amp; Inputs'!$C$4),1),MROUND(J229*$M229*IF($H229="Petrol",'Fuel &amp; Inputs'!$C$5,'Fuel &amp; Inputs'!$C$4),10)))</f>
        <v>2830</v>
      </c>
      <c r="O229" s="26" t="n">
        <f aca="false">IF(K229=0,0,IF($I229="L/km",MROUND(K229*$M229*IF($H229="Petrol",'Fuel &amp; Inputs'!$C$5,'Fuel &amp; Inputs'!$C$4),1),MROUND(K229*$M229*IF($H229="Petrol",'Fuel &amp; Inputs'!$C$5,'Fuel &amp; Inputs'!$C$4),10)))</f>
        <v>3920</v>
      </c>
      <c r="P229" s="26" t="n">
        <f aca="false">IF(L229=0,0,IF($I229="L/km",MROUND(L229*$M229*IF($H229="Petrol",'Fuel &amp; Inputs'!$C$5,'Fuel &amp; Inputs'!$C$4),1),MROUND(L229*$M229*IF($H229="Petrol",'Fuel &amp; Inputs'!$C$5,'Fuel &amp; Inputs'!$C$4),10)))</f>
        <v>5310</v>
      </c>
      <c r="Q229" s="23" t="s">
        <v>155</v>
      </c>
      <c r="R229" s="27" t="n">
        <v>1800</v>
      </c>
      <c r="S229" s="26" t="n">
        <f aca="false">MROUND(R229+'Fuel &amp; Inputs'!$C$13,50)</f>
        <v>2600</v>
      </c>
      <c r="T229" s="27" t="n">
        <v>3600</v>
      </c>
      <c r="U229" s="26" t="n">
        <f aca="false">MROUND(R229*'Fuel &amp; Inputs'!$C$19*'Fuel &amp; Inputs'!$C$21,100)</f>
        <v>6800</v>
      </c>
      <c r="V229" s="26" t="n">
        <f aca="false">MROUND(S229*'Fuel &amp; Inputs'!$C$19*'Fuel &amp; Inputs'!$C$21,100)</f>
        <v>9900</v>
      </c>
      <c r="W229" s="26" t="n">
        <f aca="false">MROUND(T229*'Fuel &amp; Inputs'!$C$19*'Fuel &amp; Inputs'!$C$21,100)</f>
        <v>13700</v>
      </c>
      <c r="X229" s="26" t="n">
        <f aca="false">MROUND(R229*'Fuel &amp; Inputs'!$C$20*'Fuel &amp; Inputs'!$C$22,500)</f>
        <v>183500</v>
      </c>
      <c r="Y229" s="26" t="n">
        <f aca="false">MROUND(S229*'Fuel &amp; Inputs'!$C$20*'Fuel &amp; Inputs'!$C$22,500)</f>
        <v>265000</v>
      </c>
      <c r="Z229" s="26" t="n">
        <f aca="false">MROUND(T229*'Fuel &amp; Inputs'!$C$20*'Fuel &amp; Inputs'!$C$22,500)</f>
        <v>367000</v>
      </c>
    </row>
    <row r="230" customFormat="false" ht="15" hidden="false" customHeight="false" outlineLevel="0" collapsed="false">
      <c r="A230" s="17" t="n">
        <v>213</v>
      </c>
      <c r="B230" s="32" t="s">
        <v>92</v>
      </c>
      <c r="C230" s="32" t="s">
        <v>280</v>
      </c>
      <c r="D230" s="32" t="s">
        <v>580</v>
      </c>
      <c r="E230" s="17" t="s">
        <v>581</v>
      </c>
      <c r="F230" s="17" t="s">
        <v>582</v>
      </c>
      <c r="G230" s="17" t="s">
        <v>583</v>
      </c>
      <c r="H230" s="17" t="s">
        <v>153</v>
      </c>
      <c r="I230" s="17" t="s">
        <v>154</v>
      </c>
      <c r="J230" s="19" t="n">
        <v>7.2</v>
      </c>
      <c r="K230" s="19" t="n">
        <v>10</v>
      </c>
      <c r="L230" s="19" t="n">
        <v>13.5</v>
      </c>
      <c r="M230" s="33" t="n">
        <v>1.147</v>
      </c>
      <c r="N230" s="20" t="n">
        <f aca="false">IF(J230=0,0,IF($I230="L/km",MROUND(J230*$M230*IF($H230="Petrol",'Fuel &amp; Inputs'!$C$5,'Fuel &amp; Inputs'!$C$4),1),MROUND(J230*$M230*IF($H230="Petrol",'Fuel &amp; Inputs'!$C$5,'Fuel &amp; Inputs'!$C$4),10)))</f>
        <v>3150</v>
      </c>
      <c r="O230" s="20" t="n">
        <f aca="false">IF(K230=0,0,IF($I230="L/km",MROUND(K230*$M230*IF($H230="Petrol",'Fuel &amp; Inputs'!$C$5,'Fuel &amp; Inputs'!$C$4),1),MROUND(K230*$M230*IF($H230="Petrol",'Fuel &amp; Inputs'!$C$5,'Fuel &amp; Inputs'!$C$4),10)))</f>
        <v>4380</v>
      </c>
      <c r="P230" s="20" t="n">
        <f aca="false">IF(L230=0,0,IF($I230="L/km",MROUND(L230*$M230*IF($H230="Petrol",'Fuel &amp; Inputs'!$C$5,'Fuel &amp; Inputs'!$C$4),1),MROUND(L230*$M230*IF($H230="Petrol",'Fuel &amp; Inputs'!$C$5,'Fuel &amp; Inputs'!$C$4),10)))</f>
        <v>5920</v>
      </c>
      <c r="Q230" s="17" t="s">
        <v>155</v>
      </c>
      <c r="R230" s="21" t="n">
        <v>1800</v>
      </c>
      <c r="S230" s="20" t="n">
        <f aca="false">MROUND(R230+'Fuel &amp; Inputs'!$C$13,50)</f>
        <v>2600</v>
      </c>
      <c r="T230" s="21" t="n">
        <v>3600</v>
      </c>
      <c r="U230" s="20" t="n">
        <f aca="false">MROUND(R230*'Fuel &amp; Inputs'!$C$19*'Fuel &amp; Inputs'!$C$21,100)</f>
        <v>6800</v>
      </c>
      <c r="V230" s="20" t="n">
        <f aca="false">MROUND(S230*'Fuel &amp; Inputs'!$C$19*'Fuel &amp; Inputs'!$C$21,100)</f>
        <v>9900</v>
      </c>
      <c r="W230" s="20" t="n">
        <f aca="false">MROUND(T230*'Fuel &amp; Inputs'!$C$19*'Fuel &amp; Inputs'!$C$21,100)</f>
        <v>13700</v>
      </c>
      <c r="X230" s="20" t="n">
        <f aca="false">MROUND(R230*'Fuel &amp; Inputs'!$C$20*'Fuel &amp; Inputs'!$C$22,500)</f>
        <v>183500</v>
      </c>
      <c r="Y230" s="20" t="n">
        <f aca="false">MROUND(S230*'Fuel &amp; Inputs'!$C$20*'Fuel &amp; Inputs'!$C$22,500)</f>
        <v>265000</v>
      </c>
      <c r="Z230" s="20" t="n">
        <f aca="false">MROUND(T230*'Fuel &amp; Inputs'!$C$20*'Fuel &amp; Inputs'!$C$22,500)</f>
        <v>367000</v>
      </c>
    </row>
    <row r="231" customFormat="false" ht="23.85" hidden="false" customHeight="false" outlineLevel="0" collapsed="false">
      <c r="A231" s="23" t="n">
        <v>214</v>
      </c>
      <c r="B231" s="34" t="s">
        <v>92</v>
      </c>
      <c r="C231" s="34" t="s">
        <v>280</v>
      </c>
      <c r="D231" s="34" t="s">
        <v>584</v>
      </c>
      <c r="E231" s="23" t="s">
        <v>277</v>
      </c>
      <c r="F231" s="23" t="s">
        <v>585</v>
      </c>
      <c r="G231" s="23" t="s">
        <v>586</v>
      </c>
      <c r="H231" s="23" t="s">
        <v>153</v>
      </c>
      <c r="I231" s="23" t="s">
        <v>154</v>
      </c>
      <c r="J231" s="25" t="n">
        <v>5.8</v>
      </c>
      <c r="K231" s="25" t="n">
        <v>8</v>
      </c>
      <c r="L231" s="25" t="n">
        <v>10.8</v>
      </c>
      <c r="M231" s="35" t="n">
        <v>1.161</v>
      </c>
      <c r="N231" s="26" t="n">
        <f aca="false">IF(J231=0,0,IF($I231="L/km",MROUND(J231*$M231*IF($H231="Petrol",'Fuel &amp; Inputs'!$C$5,'Fuel &amp; Inputs'!$C$4),1),MROUND(J231*$M231*IF($H231="Petrol",'Fuel &amp; Inputs'!$C$5,'Fuel &amp; Inputs'!$C$4),10)))</f>
        <v>2570</v>
      </c>
      <c r="O231" s="26" t="n">
        <f aca="false">IF(K231=0,0,IF($I231="L/km",MROUND(K231*$M231*IF($H231="Petrol",'Fuel &amp; Inputs'!$C$5,'Fuel &amp; Inputs'!$C$4),1),MROUND(K231*$M231*IF($H231="Petrol",'Fuel &amp; Inputs'!$C$5,'Fuel &amp; Inputs'!$C$4),10)))</f>
        <v>3550</v>
      </c>
      <c r="P231" s="26" t="n">
        <f aca="false">IF(L231=0,0,IF($I231="L/km",MROUND(L231*$M231*IF($H231="Petrol",'Fuel &amp; Inputs'!$C$5,'Fuel &amp; Inputs'!$C$4),1),MROUND(L231*$M231*IF($H231="Petrol",'Fuel &amp; Inputs'!$C$5,'Fuel &amp; Inputs'!$C$4),10)))</f>
        <v>4790</v>
      </c>
      <c r="Q231" s="23" t="s">
        <v>155</v>
      </c>
      <c r="R231" s="27" t="n">
        <v>1630</v>
      </c>
      <c r="S231" s="26" t="n">
        <f aca="false">MROUND(R231+'Fuel &amp; Inputs'!$C$13,50)</f>
        <v>2450</v>
      </c>
      <c r="T231" s="27" t="n">
        <v>3250</v>
      </c>
      <c r="U231" s="26" t="n">
        <f aca="false">MROUND(R231*'Fuel &amp; Inputs'!$C$19*'Fuel &amp; Inputs'!$C$21,100)</f>
        <v>6200</v>
      </c>
      <c r="V231" s="26" t="n">
        <f aca="false">MROUND(S231*'Fuel &amp; Inputs'!$C$19*'Fuel &amp; Inputs'!$C$21,100)</f>
        <v>9300</v>
      </c>
      <c r="W231" s="26" t="n">
        <f aca="false">MROUND(T231*'Fuel &amp; Inputs'!$C$19*'Fuel &amp; Inputs'!$C$21,100)</f>
        <v>12400</v>
      </c>
      <c r="X231" s="26" t="n">
        <f aca="false">MROUND(R231*'Fuel &amp; Inputs'!$C$20*'Fuel &amp; Inputs'!$C$22,500)</f>
        <v>166500</v>
      </c>
      <c r="Y231" s="26" t="n">
        <f aca="false">MROUND(S231*'Fuel &amp; Inputs'!$C$20*'Fuel &amp; Inputs'!$C$22,500)</f>
        <v>250000</v>
      </c>
      <c r="Z231" s="26" t="n">
        <f aca="false">MROUND(T231*'Fuel &amp; Inputs'!$C$20*'Fuel &amp; Inputs'!$C$22,500)</f>
        <v>331500</v>
      </c>
    </row>
    <row r="232" customFormat="false" ht="23.85" hidden="false" customHeight="false" outlineLevel="0" collapsed="false">
      <c r="A232" s="17" t="n">
        <v>215</v>
      </c>
      <c r="B232" s="32" t="s">
        <v>92</v>
      </c>
      <c r="C232" s="32" t="s">
        <v>587</v>
      </c>
      <c r="D232" s="32" t="s">
        <v>223</v>
      </c>
      <c r="E232" s="17" t="s">
        <v>286</v>
      </c>
      <c r="F232" s="17" t="s">
        <v>588</v>
      </c>
      <c r="G232" s="17" t="s">
        <v>589</v>
      </c>
      <c r="H232" s="17" t="s">
        <v>153</v>
      </c>
      <c r="I232" s="17" t="s">
        <v>154</v>
      </c>
      <c r="J232" s="19" t="n">
        <v>5.8</v>
      </c>
      <c r="K232" s="19" t="n">
        <v>8</v>
      </c>
      <c r="L232" s="19" t="n">
        <v>10.8</v>
      </c>
      <c r="M232" s="33" t="n">
        <v>1.175</v>
      </c>
      <c r="N232" s="20" t="n">
        <f aca="false">IF(J232=0,0,IF($I232="L/km",MROUND(J232*$M232*IF($H232="Petrol",'Fuel &amp; Inputs'!$C$5,'Fuel &amp; Inputs'!$C$4),1),MROUND(J232*$M232*IF($H232="Petrol",'Fuel &amp; Inputs'!$C$5,'Fuel &amp; Inputs'!$C$4),10)))</f>
        <v>2600</v>
      </c>
      <c r="O232" s="20" t="n">
        <f aca="false">IF(K232=0,0,IF($I232="L/km",MROUND(K232*$M232*IF($H232="Petrol",'Fuel &amp; Inputs'!$C$5,'Fuel &amp; Inputs'!$C$4),1),MROUND(K232*$M232*IF($H232="Petrol",'Fuel &amp; Inputs'!$C$5,'Fuel &amp; Inputs'!$C$4),10)))</f>
        <v>3590</v>
      </c>
      <c r="P232" s="20" t="n">
        <f aca="false">IF(L232=0,0,IF($I232="L/km",MROUND(L232*$M232*IF($H232="Petrol",'Fuel &amp; Inputs'!$C$5,'Fuel &amp; Inputs'!$C$4),1),MROUND(L232*$M232*IF($H232="Petrol",'Fuel &amp; Inputs'!$C$5,'Fuel &amp; Inputs'!$C$4),10)))</f>
        <v>4850</v>
      </c>
      <c r="Q232" s="17" t="s">
        <v>155</v>
      </c>
      <c r="R232" s="21" t="n">
        <v>1450</v>
      </c>
      <c r="S232" s="20" t="n">
        <f aca="false">MROUND(R232+'Fuel &amp; Inputs'!$C$13,50)</f>
        <v>2250</v>
      </c>
      <c r="T232" s="21" t="n">
        <v>2900</v>
      </c>
      <c r="U232" s="20" t="n">
        <f aca="false">MROUND(R232*'Fuel &amp; Inputs'!$C$19*'Fuel &amp; Inputs'!$C$21,100)</f>
        <v>5500</v>
      </c>
      <c r="V232" s="20" t="n">
        <f aca="false">MROUND(S232*'Fuel &amp; Inputs'!$C$19*'Fuel &amp; Inputs'!$C$21,100)</f>
        <v>8600</v>
      </c>
      <c r="W232" s="20" t="n">
        <f aca="false">MROUND(T232*'Fuel &amp; Inputs'!$C$19*'Fuel &amp; Inputs'!$C$21,100)</f>
        <v>11000</v>
      </c>
      <c r="X232" s="20" t="n">
        <f aca="false">MROUND(R232*'Fuel &amp; Inputs'!$C$20*'Fuel &amp; Inputs'!$C$22,500)</f>
        <v>148000</v>
      </c>
      <c r="Y232" s="20" t="n">
        <f aca="false">MROUND(S232*'Fuel &amp; Inputs'!$C$20*'Fuel &amp; Inputs'!$C$22,500)</f>
        <v>229500</v>
      </c>
      <c r="Z232" s="20" t="n">
        <f aca="false">MROUND(T232*'Fuel &amp; Inputs'!$C$20*'Fuel &amp; Inputs'!$C$22,500)</f>
        <v>296000</v>
      </c>
    </row>
    <row r="233" customFormat="false" ht="15" hidden="false" customHeight="true" outlineLevel="0" collapsed="false">
      <c r="A233" s="31" t="s">
        <v>590</v>
      </c>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ustomFormat="false" ht="23.85" hidden="false" customHeight="false" outlineLevel="0" collapsed="false">
      <c r="A234" s="23" t="n">
        <v>216</v>
      </c>
      <c r="B234" s="34" t="s">
        <v>591</v>
      </c>
      <c r="C234" s="34" t="s">
        <v>592</v>
      </c>
      <c r="D234" s="34" t="s">
        <v>593</v>
      </c>
      <c r="E234" s="23" t="s">
        <v>174</v>
      </c>
      <c r="F234" s="23" t="s">
        <v>594</v>
      </c>
      <c r="G234" s="23" t="s">
        <v>595</v>
      </c>
      <c r="H234" s="23" t="s">
        <v>153</v>
      </c>
      <c r="I234" s="23" t="s">
        <v>596</v>
      </c>
      <c r="J234" s="36" t="n">
        <v>0.312</v>
      </c>
      <c r="K234" s="36" t="n">
        <v>0.4</v>
      </c>
      <c r="L234" s="36" t="n">
        <v>0.5</v>
      </c>
      <c r="M234" s="35" t="n">
        <v>1.07</v>
      </c>
      <c r="N234" s="26" t="n">
        <f aca="false">IF(J234=0,0,IF($I234="L/km",MROUND(J234*$M234*IF($H234="Petrol",'Fuel &amp; Inputs'!$C$5,'Fuel &amp; Inputs'!$C$4),1),MROUND(J234*$M234*IF($H234="Petrol",'Fuel &amp; Inputs'!$C$5,'Fuel &amp; Inputs'!$C$4),10)))</f>
        <v>128</v>
      </c>
      <c r="O234" s="26" t="n">
        <f aca="false">IF(K234=0,0,IF($I234="L/km",MROUND(K234*$M234*IF($H234="Petrol",'Fuel &amp; Inputs'!$C$5,'Fuel &amp; Inputs'!$C$4),1),MROUND(K234*$M234*IF($H234="Petrol",'Fuel &amp; Inputs'!$C$5,'Fuel &amp; Inputs'!$C$4),10)))</f>
        <v>163</v>
      </c>
      <c r="P234" s="26" t="n">
        <f aca="false">IF(L234=0,0,IF($I234="L/km",MROUND(L234*$M234*IF($H234="Petrol",'Fuel &amp; Inputs'!$C$5,'Fuel &amp; Inputs'!$C$4),1),MROUND(L234*$M234*IF($H234="Petrol",'Fuel &amp; Inputs'!$C$5,'Fuel &amp; Inputs'!$C$4),10)))</f>
        <v>204</v>
      </c>
      <c r="Q234" s="23" t="s">
        <v>597</v>
      </c>
      <c r="R234" s="27" t="n">
        <v>2250</v>
      </c>
      <c r="S234" s="26" t="n">
        <f aca="false">MROUND(R234+'Fuel &amp; Inputs'!$C$13,50)</f>
        <v>3050</v>
      </c>
      <c r="T234" s="27" t="n">
        <v>4460</v>
      </c>
      <c r="U234" s="26" t="n">
        <f aca="false">MROUND(R234*'Fuel &amp; Inputs'!$C$19*'Fuel &amp; Inputs'!$C$21,100)</f>
        <v>8600</v>
      </c>
      <c r="V234" s="26" t="n">
        <f aca="false">MROUND(S234*'Fuel &amp; Inputs'!$C$19*'Fuel &amp; Inputs'!$C$21,100)</f>
        <v>11600</v>
      </c>
      <c r="W234" s="26" t="n">
        <f aca="false">MROUND(T234*'Fuel &amp; Inputs'!$C$19*'Fuel &amp; Inputs'!$C$21,100)</f>
        <v>16900</v>
      </c>
      <c r="X234" s="26" t="n">
        <f aca="false">MROUND(R234*'Fuel &amp; Inputs'!$C$20*'Fuel &amp; Inputs'!$C$22,500)</f>
        <v>229500</v>
      </c>
      <c r="Y234" s="26" t="n">
        <f aca="false">MROUND(S234*'Fuel &amp; Inputs'!$C$20*'Fuel &amp; Inputs'!$C$22,500)</f>
        <v>311000</v>
      </c>
      <c r="Z234" s="26" t="n">
        <f aca="false">MROUND(T234*'Fuel &amp; Inputs'!$C$20*'Fuel &amp; Inputs'!$C$22,500)</f>
        <v>455000</v>
      </c>
    </row>
    <row r="235" customFormat="false" ht="15" hidden="false" customHeight="false" outlineLevel="0" collapsed="false">
      <c r="A235" s="17" t="n">
        <v>217</v>
      </c>
      <c r="B235" s="32" t="s">
        <v>591</v>
      </c>
      <c r="C235" s="32" t="s">
        <v>598</v>
      </c>
      <c r="D235" s="32" t="s">
        <v>599</v>
      </c>
      <c r="E235" s="17" t="s">
        <v>166</v>
      </c>
      <c r="F235" s="17" t="s">
        <v>600</v>
      </c>
      <c r="G235" s="17" t="s">
        <v>601</v>
      </c>
      <c r="H235" s="17" t="s">
        <v>153</v>
      </c>
      <c r="I235" s="17" t="s">
        <v>596</v>
      </c>
      <c r="J235" s="37" t="n">
        <v>0.303</v>
      </c>
      <c r="K235" s="37" t="n">
        <v>0.385</v>
      </c>
      <c r="L235" s="37" t="n">
        <v>0.476</v>
      </c>
      <c r="M235" s="33" t="n">
        <v>1.098</v>
      </c>
      <c r="N235" s="20" t="n">
        <f aca="false">IF(J235=0,0,IF($I235="L/km",MROUND(J235*$M235*IF($H235="Petrol",'Fuel &amp; Inputs'!$C$5,'Fuel &amp; Inputs'!$C$4),1),MROUND(J235*$M235*IF($H235="Petrol",'Fuel &amp; Inputs'!$C$5,'Fuel &amp; Inputs'!$C$4),10)))</f>
        <v>127</v>
      </c>
      <c r="O235" s="20" t="n">
        <f aca="false">IF(K235=0,0,IF($I235="L/km",MROUND(K235*$M235*IF($H235="Petrol",'Fuel &amp; Inputs'!$C$5,'Fuel &amp; Inputs'!$C$4),1),MROUND(K235*$M235*IF($H235="Petrol",'Fuel &amp; Inputs'!$C$5,'Fuel &amp; Inputs'!$C$4),10)))</f>
        <v>161</v>
      </c>
      <c r="P235" s="20" t="n">
        <f aca="false">IF(L235=0,0,IF($I235="L/km",MROUND(L235*$M235*IF($H235="Petrol",'Fuel &amp; Inputs'!$C$5,'Fuel &amp; Inputs'!$C$4),1),MROUND(L235*$M235*IF($H235="Petrol",'Fuel &amp; Inputs'!$C$5,'Fuel &amp; Inputs'!$C$4),10)))</f>
        <v>200</v>
      </c>
      <c r="Q235" s="17" t="s">
        <v>597</v>
      </c>
      <c r="R235" s="21" t="n">
        <v>2010</v>
      </c>
      <c r="S235" s="20" t="n">
        <f aca="false">MROUND(R235+'Fuel &amp; Inputs'!$C$13,50)</f>
        <v>2800</v>
      </c>
      <c r="T235" s="21" t="n">
        <v>3980</v>
      </c>
      <c r="U235" s="20" t="n">
        <f aca="false">MROUND(R235*'Fuel &amp; Inputs'!$C$19*'Fuel &amp; Inputs'!$C$21,100)</f>
        <v>7600</v>
      </c>
      <c r="V235" s="20" t="n">
        <f aca="false">MROUND(S235*'Fuel &amp; Inputs'!$C$19*'Fuel &amp; Inputs'!$C$21,100)</f>
        <v>10600</v>
      </c>
      <c r="W235" s="20" t="n">
        <f aca="false">MROUND(T235*'Fuel &amp; Inputs'!$C$19*'Fuel &amp; Inputs'!$C$21,100)</f>
        <v>15100</v>
      </c>
      <c r="X235" s="20" t="n">
        <f aca="false">MROUND(R235*'Fuel &amp; Inputs'!$C$20*'Fuel &amp; Inputs'!$C$22,500)</f>
        <v>205000</v>
      </c>
      <c r="Y235" s="20" t="n">
        <f aca="false">MROUND(S235*'Fuel &amp; Inputs'!$C$20*'Fuel &amp; Inputs'!$C$22,500)</f>
        <v>285500</v>
      </c>
      <c r="Z235" s="20" t="n">
        <f aca="false">MROUND(T235*'Fuel &amp; Inputs'!$C$20*'Fuel &amp; Inputs'!$C$22,500)</f>
        <v>406000</v>
      </c>
    </row>
    <row r="236" customFormat="false" ht="15" hidden="false" customHeight="false" outlineLevel="0" collapsed="false">
      <c r="A236" s="23" t="n">
        <v>218</v>
      </c>
      <c r="B236" s="34" t="s">
        <v>591</v>
      </c>
      <c r="C236" s="34" t="s">
        <v>249</v>
      </c>
      <c r="D236" s="34" t="s">
        <v>602</v>
      </c>
      <c r="E236" s="23" t="s">
        <v>603</v>
      </c>
      <c r="F236" s="23" t="s">
        <v>604</v>
      </c>
      <c r="G236" s="23" t="s">
        <v>605</v>
      </c>
      <c r="H236" s="23" t="s">
        <v>153</v>
      </c>
      <c r="I236" s="23" t="s">
        <v>596</v>
      </c>
      <c r="J236" s="36" t="n">
        <v>0.357</v>
      </c>
      <c r="K236" s="36" t="n">
        <v>0.455</v>
      </c>
      <c r="L236" s="36" t="n">
        <v>0.556</v>
      </c>
      <c r="M236" s="35" t="n">
        <v>1.105</v>
      </c>
      <c r="N236" s="26" t="n">
        <f aca="false">IF(J236=0,0,IF($I236="L/km",MROUND(J236*$M236*IF($H236="Petrol",'Fuel &amp; Inputs'!$C$5,'Fuel &amp; Inputs'!$C$4),1),MROUND(J236*$M236*IF($H236="Petrol",'Fuel &amp; Inputs'!$C$5,'Fuel &amp; Inputs'!$C$4),10)))</f>
        <v>151</v>
      </c>
      <c r="O236" s="26" t="n">
        <f aca="false">IF(K236=0,0,IF($I236="L/km",MROUND(K236*$M236*IF($H236="Petrol",'Fuel &amp; Inputs'!$C$5,'Fuel &amp; Inputs'!$C$4),1),MROUND(K236*$M236*IF($H236="Petrol",'Fuel &amp; Inputs'!$C$5,'Fuel &amp; Inputs'!$C$4),10)))</f>
        <v>192</v>
      </c>
      <c r="P236" s="26" t="n">
        <f aca="false">IF(L236=0,0,IF($I236="L/km",MROUND(L236*$M236*IF($H236="Petrol",'Fuel &amp; Inputs'!$C$5,'Fuel &amp; Inputs'!$C$4),1),MROUND(L236*$M236*IF($H236="Petrol",'Fuel &amp; Inputs'!$C$5,'Fuel &amp; Inputs'!$C$4),10)))</f>
        <v>235</v>
      </c>
      <c r="Q236" s="23" t="s">
        <v>597</v>
      </c>
      <c r="R236" s="27" t="n">
        <v>2010</v>
      </c>
      <c r="S236" s="26" t="n">
        <f aca="false">MROUND(R236+'Fuel &amp; Inputs'!$C$13,50)</f>
        <v>2800</v>
      </c>
      <c r="T236" s="27" t="n">
        <v>3980</v>
      </c>
      <c r="U236" s="26" t="n">
        <f aca="false">MROUND(R236*'Fuel &amp; Inputs'!$C$19*'Fuel &amp; Inputs'!$C$21,100)</f>
        <v>7600</v>
      </c>
      <c r="V236" s="26" t="n">
        <f aca="false">MROUND(S236*'Fuel &amp; Inputs'!$C$19*'Fuel &amp; Inputs'!$C$21,100)</f>
        <v>10600</v>
      </c>
      <c r="W236" s="26" t="n">
        <f aca="false">MROUND(T236*'Fuel &amp; Inputs'!$C$19*'Fuel &amp; Inputs'!$C$21,100)</f>
        <v>15100</v>
      </c>
      <c r="X236" s="26" t="n">
        <f aca="false">MROUND(R236*'Fuel &amp; Inputs'!$C$20*'Fuel &amp; Inputs'!$C$22,500)</f>
        <v>205000</v>
      </c>
      <c r="Y236" s="26" t="n">
        <f aca="false">MROUND(S236*'Fuel &amp; Inputs'!$C$20*'Fuel &amp; Inputs'!$C$22,500)</f>
        <v>285500</v>
      </c>
      <c r="Z236" s="26" t="n">
        <f aca="false">MROUND(T236*'Fuel &amp; Inputs'!$C$20*'Fuel &amp; Inputs'!$C$22,500)</f>
        <v>406000</v>
      </c>
    </row>
    <row r="237" customFormat="false" ht="15" hidden="false" customHeight="false" outlineLevel="0" collapsed="false">
      <c r="A237" s="17" t="n">
        <v>219</v>
      </c>
      <c r="B237" s="32" t="s">
        <v>591</v>
      </c>
      <c r="C237" s="32" t="s">
        <v>249</v>
      </c>
      <c r="D237" s="32" t="s">
        <v>606</v>
      </c>
      <c r="E237" s="17" t="s">
        <v>243</v>
      </c>
      <c r="F237" s="17" t="s">
        <v>607</v>
      </c>
      <c r="G237" s="17" t="s">
        <v>608</v>
      </c>
      <c r="H237" s="17" t="s">
        <v>153</v>
      </c>
      <c r="I237" s="17" t="s">
        <v>596</v>
      </c>
      <c r="J237" s="37" t="n">
        <v>0.312</v>
      </c>
      <c r="K237" s="37" t="n">
        <v>0.4</v>
      </c>
      <c r="L237" s="37" t="n">
        <v>0.5</v>
      </c>
      <c r="M237" s="33" t="n">
        <v>1.112</v>
      </c>
      <c r="N237" s="20" t="n">
        <f aca="false">IF(J237=0,0,IF($I237="L/km",MROUND(J237*$M237*IF($H237="Petrol",'Fuel &amp; Inputs'!$C$5,'Fuel &amp; Inputs'!$C$4),1),MROUND(J237*$M237*IF($H237="Petrol",'Fuel &amp; Inputs'!$C$5,'Fuel &amp; Inputs'!$C$4),10)))</f>
        <v>133</v>
      </c>
      <c r="O237" s="20" t="n">
        <f aca="false">IF(K237=0,0,IF($I237="L/km",MROUND(K237*$M237*IF($H237="Petrol",'Fuel &amp; Inputs'!$C$5,'Fuel &amp; Inputs'!$C$4),1),MROUND(K237*$M237*IF($H237="Petrol",'Fuel &amp; Inputs'!$C$5,'Fuel &amp; Inputs'!$C$4),10)))</f>
        <v>170</v>
      </c>
      <c r="P237" s="20" t="n">
        <f aca="false">IF(L237=0,0,IF($I237="L/km",MROUND(L237*$M237*IF($H237="Petrol",'Fuel &amp; Inputs'!$C$5,'Fuel &amp; Inputs'!$C$4),1),MROUND(L237*$M237*IF($H237="Petrol",'Fuel &amp; Inputs'!$C$5,'Fuel &amp; Inputs'!$C$4),10)))</f>
        <v>212</v>
      </c>
      <c r="Q237" s="17" t="s">
        <v>597</v>
      </c>
      <c r="R237" s="21" t="n">
        <v>2010</v>
      </c>
      <c r="S237" s="20" t="n">
        <f aca="false">MROUND(R237+'Fuel &amp; Inputs'!$C$13,50)</f>
        <v>2800</v>
      </c>
      <c r="T237" s="21" t="n">
        <v>3980</v>
      </c>
      <c r="U237" s="20" t="n">
        <f aca="false">MROUND(R237*'Fuel &amp; Inputs'!$C$19*'Fuel &amp; Inputs'!$C$21,100)</f>
        <v>7600</v>
      </c>
      <c r="V237" s="20" t="n">
        <f aca="false">MROUND(S237*'Fuel &amp; Inputs'!$C$19*'Fuel &amp; Inputs'!$C$21,100)</f>
        <v>10600</v>
      </c>
      <c r="W237" s="20" t="n">
        <f aca="false">MROUND(T237*'Fuel &amp; Inputs'!$C$19*'Fuel &amp; Inputs'!$C$21,100)</f>
        <v>15100</v>
      </c>
      <c r="X237" s="20" t="n">
        <f aca="false">MROUND(R237*'Fuel &amp; Inputs'!$C$20*'Fuel &amp; Inputs'!$C$22,500)</f>
        <v>205000</v>
      </c>
      <c r="Y237" s="20" t="n">
        <f aca="false">MROUND(S237*'Fuel &amp; Inputs'!$C$20*'Fuel &amp; Inputs'!$C$22,500)</f>
        <v>285500</v>
      </c>
      <c r="Z237" s="20" t="n">
        <f aca="false">MROUND(T237*'Fuel &amp; Inputs'!$C$20*'Fuel &amp; Inputs'!$C$22,500)</f>
        <v>406000</v>
      </c>
    </row>
    <row r="238" customFormat="false" ht="15" hidden="false" customHeight="false" outlineLevel="0" collapsed="false">
      <c r="A238" s="23" t="n">
        <v>220</v>
      </c>
      <c r="B238" s="34" t="s">
        <v>591</v>
      </c>
      <c r="C238" s="34" t="s">
        <v>609</v>
      </c>
      <c r="D238" s="34" t="s">
        <v>610</v>
      </c>
      <c r="E238" s="23" t="s">
        <v>475</v>
      </c>
      <c r="F238" s="23" t="s">
        <v>611</v>
      </c>
      <c r="G238" s="23" t="s">
        <v>612</v>
      </c>
      <c r="H238" s="23" t="s">
        <v>153</v>
      </c>
      <c r="I238" s="23" t="s">
        <v>596</v>
      </c>
      <c r="J238" s="36" t="n">
        <v>0.303</v>
      </c>
      <c r="K238" s="36" t="n">
        <v>0.385</v>
      </c>
      <c r="L238" s="36" t="n">
        <v>0.476</v>
      </c>
      <c r="M238" s="35" t="n">
        <v>1.126</v>
      </c>
      <c r="N238" s="26" t="n">
        <f aca="false">IF(J238=0,0,IF($I238="L/km",MROUND(J238*$M238*IF($H238="Petrol",'Fuel &amp; Inputs'!$C$5,'Fuel &amp; Inputs'!$C$4),1),MROUND(J238*$M238*IF($H238="Petrol",'Fuel &amp; Inputs'!$C$5,'Fuel &amp; Inputs'!$C$4),10)))</f>
        <v>130</v>
      </c>
      <c r="O238" s="26" t="n">
        <f aca="false">IF(K238=0,0,IF($I238="L/km",MROUND(K238*$M238*IF($H238="Petrol",'Fuel &amp; Inputs'!$C$5,'Fuel &amp; Inputs'!$C$4),1),MROUND(K238*$M238*IF($H238="Petrol",'Fuel &amp; Inputs'!$C$5,'Fuel &amp; Inputs'!$C$4),10)))</f>
        <v>166</v>
      </c>
      <c r="P238" s="26" t="n">
        <f aca="false">IF(L238=0,0,IF($I238="L/km",MROUND(L238*$M238*IF($H238="Petrol",'Fuel &amp; Inputs'!$C$5,'Fuel &amp; Inputs'!$C$4),1),MROUND(L238*$M238*IF($H238="Petrol",'Fuel &amp; Inputs'!$C$5,'Fuel &amp; Inputs'!$C$4),10)))</f>
        <v>205</v>
      </c>
      <c r="Q238" s="23" t="s">
        <v>597</v>
      </c>
      <c r="R238" s="27" t="n">
        <v>1760</v>
      </c>
      <c r="S238" s="26" t="n">
        <f aca="false">MROUND(R238+'Fuel &amp; Inputs'!$C$13,50)</f>
        <v>2550</v>
      </c>
      <c r="T238" s="27" t="n">
        <v>3490</v>
      </c>
      <c r="U238" s="26" t="n">
        <f aca="false">MROUND(R238*'Fuel &amp; Inputs'!$C$19*'Fuel &amp; Inputs'!$C$21,100)</f>
        <v>6700</v>
      </c>
      <c r="V238" s="26" t="n">
        <f aca="false">MROUND(S238*'Fuel &amp; Inputs'!$C$19*'Fuel &amp; Inputs'!$C$21,100)</f>
        <v>9700</v>
      </c>
      <c r="W238" s="26" t="n">
        <f aca="false">MROUND(T238*'Fuel &amp; Inputs'!$C$19*'Fuel &amp; Inputs'!$C$21,100)</f>
        <v>13300</v>
      </c>
      <c r="X238" s="26" t="n">
        <f aca="false">MROUND(R238*'Fuel &amp; Inputs'!$C$20*'Fuel &amp; Inputs'!$C$22,500)</f>
        <v>179500</v>
      </c>
      <c r="Y238" s="26" t="n">
        <f aca="false">MROUND(S238*'Fuel &amp; Inputs'!$C$20*'Fuel &amp; Inputs'!$C$22,500)</f>
        <v>260000</v>
      </c>
      <c r="Z238" s="26" t="n">
        <f aca="false">MROUND(T238*'Fuel &amp; Inputs'!$C$20*'Fuel &amp; Inputs'!$C$22,500)</f>
        <v>356000</v>
      </c>
    </row>
    <row r="239" customFormat="false" ht="23.85" hidden="false" customHeight="false" outlineLevel="0" collapsed="false">
      <c r="A239" s="17" t="n">
        <v>221</v>
      </c>
      <c r="B239" s="32" t="s">
        <v>591</v>
      </c>
      <c r="C239" s="32" t="s">
        <v>592</v>
      </c>
      <c r="D239" s="32" t="s">
        <v>613</v>
      </c>
      <c r="E239" s="17" t="s">
        <v>568</v>
      </c>
      <c r="F239" s="17" t="s">
        <v>614</v>
      </c>
      <c r="G239" s="17" t="s">
        <v>615</v>
      </c>
      <c r="H239" s="17" t="s">
        <v>153</v>
      </c>
      <c r="I239" s="17" t="s">
        <v>596</v>
      </c>
      <c r="J239" s="37" t="n">
        <v>0.222</v>
      </c>
      <c r="K239" s="37" t="n">
        <v>0.286</v>
      </c>
      <c r="L239" s="37" t="n">
        <v>0.357</v>
      </c>
      <c r="M239" s="33" t="n">
        <v>1.175</v>
      </c>
      <c r="N239" s="20" t="n">
        <f aca="false">IF(J239=0,0,IF($I239="L/km",MROUND(J239*$M239*IF($H239="Petrol",'Fuel &amp; Inputs'!$C$5,'Fuel &amp; Inputs'!$C$4),1),MROUND(J239*$M239*IF($H239="Petrol",'Fuel &amp; Inputs'!$C$5,'Fuel &amp; Inputs'!$C$4),10)))</f>
        <v>100</v>
      </c>
      <c r="O239" s="20" t="n">
        <f aca="false">IF(K239=0,0,IF($I239="L/km",MROUND(K239*$M239*IF($H239="Petrol",'Fuel &amp; Inputs'!$C$5,'Fuel &amp; Inputs'!$C$4),1),MROUND(K239*$M239*IF($H239="Petrol",'Fuel &amp; Inputs'!$C$5,'Fuel &amp; Inputs'!$C$4),10)))</f>
        <v>128</v>
      </c>
      <c r="P239" s="20" t="n">
        <f aca="false">IF(L239=0,0,IF($I239="L/km",MROUND(L239*$M239*IF($H239="Petrol",'Fuel &amp; Inputs'!$C$5,'Fuel &amp; Inputs'!$C$4),1),MROUND(L239*$M239*IF($H239="Petrol",'Fuel &amp; Inputs'!$C$5,'Fuel &amp; Inputs'!$C$4),10)))</f>
        <v>160</v>
      </c>
      <c r="Q239" s="17" t="s">
        <v>597</v>
      </c>
      <c r="R239" s="21" t="n">
        <v>1420</v>
      </c>
      <c r="S239" s="20" t="n">
        <f aca="false">MROUND(R239+'Fuel &amp; Inputs'!$C$13,50)</f>
        <v>2200</v>
      </c>
      <c r="T239" s="21" t="n">
        <v>2810</v>
      </c>
      <c r="U239" s="20" t="n">
        <f aca="false">MROUND(R239*'Fuel &amp; Inputs'!$C$19*'Fuel &amp; Inputs'!$C$21,100)</f>
        <v>5400</v>
      </c>
      <c r="V239" s="20" t="n">
        <f aca="false">MROUND(S239*'Fuel &amp; Inputs'!$C$19*'Fuel &amp; Inputs'!$C$21,100)</f>
        <v>8400</v>
      </c>
      <c r="W239" s="20" t="n">
        <f aca="false">MROUND(T239*'Fuel &amp; Inputs'!$C$19*'Fuel &amp; Inputs'!$C$21,100)</f>
        <v>10700</v>
      </c>
      <c r="X239" s="20" t="n">
        <f aca="false">MROUND(R239*'Fuel &amp; Inputs'!$C$20*'Fuel &amp; Inputs'!$C$22,500)</f>
        <v>145000</v>
      </c>
      <c r="Y239" s="20" t="n">
        <f aca="false">MROUND(S239*'Fuel &amp; Inputs'!$C$20*'Fuel &amp; Inputs'!$C$22,500)</f>
        <v>224500</v>
      </c>
      <c r="Z239" s="20" t="n">
        <f aca="false">MROUND(T239*'Fuel &amp; Inputs'!$C$20*'Fuel &amp; Inputs'!$C$22,500)</f>
        <v>286500</v>
      </c>
    </row>
    <row r="240" customFormat="false" ht="15" hidden="false" customHeight="false" outlineLevel="0" collapsed="false">
      <c r="A240" s="23" t="n">
        <v>222</v>
      </c>
      <c r="B240" s="34" t="s">
        <v>591</v>
      </c>
      <c r="C240" s="34" t="s">
        <v>598</v>
      </c>
      <c r="D240" s="34" t="s">
        <v>223</v>
      </c>
      <c r="E240" s="23" t="s">
        <v>286</v>
      </c>
      <c r="F240" s="23" t="s">
        <v>616</v>
      </c>
      <c r="G240" s="23" t="s">
        <v>617</v>
      </c>
      <c r="H240" s="23" t="s">
        <v>153</v>
      </c>
      <c r="I240" s="23" t="s">
        <v>596</v>
      </c>
      <c r="J240" s="36" t="n">
        <v>0.303</v>
      </c>
      <c r="K240" s="36" t="n">
        <v>0.385</v>
      </c>
      <c r="L240" s="36" t="n">
        <v>0.476</v>
      </c>
      <c r="M240" s="35" t="n">
        <v>1.175</v>
      </c>
      <c r="N240" s="26" t="n">
        <f aca="false">IF(J240=0,0,IF($I240="L/km",MROUND(J240*$M240*IF($H240="Petrol",'Fuel &amp; Inputs'!$C$5,'Fuel &amp; Inputs'!$C$4),1),MROUND(J240*$M240*IF($H240="Petrol",'Fuel &amp; Inputs'!$C$5,'Fuel &amp; Inputs'!$C$4),10)))</f>
        <v>136</v>
      </c>
      <c r="O240" s="26" t="n">
        <f aca="false">IF(K240=0,0,IF($I240="L/km",MROUND(K240*$M240*IF($H240="Petrol",'Fuel &amp; Inputs'!$C$5,'Fuel &amp; Inputs'!$C$4),1),MROUND(K240*$M240*IF($H240="Petrol",'Fuel &amp; Inputs'!$C$5,'Fuel &amp; Inputs'!$C$4),10)))</f>
        <v>173</v>
      </c>
      <c r="P240" s="26" t="n">
        <f aca="false">IF(L240=0,0,IF($I240="L/km",MROUND(L240*$M240*IF($H240="Petrol",'Fuel &amp; Inputs'!$C$5,'Fuel &amp; Inputs'!$C$4),1),MROUND(L240*$M240*IF($H240="Petrol",'Fuel &amp; Inputs'!$C$5,'Fuel &amp; Inputs'!$C$4),10)))</f>
        <v>214</v>
      </c>
      <c r="Q240" s="23" t="s">
        <v>597</v>
      </c>
      <c r="R240" s="27" t="n">
        <v>1420</v>
      </c>
      <c r="S240" s="26" t="n">
        <f aca="false">MROUND(R240+'Fuel &amp; Inputs'!$C$13,50)</f>
        <v>2200</v>
      </c>
      <c r="T240" s="27" t="n">
        <v>2810</v>
      </c>
      <c r="U240" s="26" t="n">
        <f aca="false">MROUND(R240*'Fuel &amp; Inputs'!$C$19*'Fuel &amp; Inputs'!$C$21,100)</f>
        <v>5400</v>
      </c>
      <c r="V240" s="26" t="n">
        <f aca="false">MROUND(S240*'Fuel &amp; Inputs'!$C$19*'Fuel &amp; Inputs'!$C$21,100)</f>
        <v>8400</v>
      </c>
      <c r="W240" s="26" t="n">
        <f aca="false">MROUND(T240*'Fuel &amp; Inputs'!$C$19*'Fuel &amp; Inputs'!$C$21,100)</f>
        <v>10700</v>
      </c>
      <c r="X240" s="26" t="n">
        <f aca="false">MROUND(R240*'Fuel &amp; Inputs'!$C$20*'Fuel &amp; Inputs'!$C$22,500)</f>
        <v>145000</v>
      </c>
      <c r="Y240" s="26" t="n">
        <f aca="false">MROUND(S240*'Fuel &amp; Inputs'!$C$20*'Fuel &amp; Inputs'!$C$22,500)</f>
        <v>224500</v>
      </c>
      <c r="Z240" s="26" t="n">
        <f aca="false">MROUND(T240*'Fuel &amp; Inputs'!$C$20*'Fuel &amp; Inputs'!$C$22,500)</f>
        <v>286500</v>
      </c>
    </row>
    <row r="241" customFormat="false" ht="15" hidden="false" customHeight="false" outlineLevel="0" collapsed="false">
      <c r="A241" s="17" t="n">
        <v>223</v>
      </c>
      <c r="B241" s="32" t="s">
        <v>591</v>
      </c>
      <c r="C241" s="32" t="s">
        <v>280</v>
      </c>
      <c r="D241" s="32" t="s">
        <v>618</v>
      </c>
      <c r="E241" s="17" t="s">
        <v>573</v>
      </c>
      <c r="F241" s="17" t="s">
        <v>619</v>
      </c>
      <c r="G241" s="17" t="s">
        <v>620</v>
      </c>
      <c r="H241" s="17" t="s">
        <v>153</v>
      </c>
      <c r="I241" s="17" t="s">
        <v>596</v>
      </c>
      <c r="J241" s="37" t="n">
        <v>0.345</v>
      </c>
      <c r="K241" s="37" t="n">
        <v>0.435</v>
      </c>
      <c r="L241" s="37" t="n">
        <v>0.556</v>
      </c>
      <c r="M241" s="33" t="n">
        <v>1.175</v>
      </c>
      <c r="N241" s="20" t="n">
        <f aca="false">IF(J241=0,0,IF($I241="L/km",MROUND(J241*$M241*IF($H241="Petrol",'Fuel &amp; Inputs'!$C$5,'Fuel &amp; Inputs'!$C$4),1),MROUND(J241*$M241*IF($H241="Petrol",'Fuel &amp; Inputs'!$C$5,'Fuel &amp; Inputs'!$C$4),10)))</f>
        <v>155</v>
      </c>
      <c r="O241" s="20" t="n">
        <f aca="false">IF(K241=0,0,IF($I241="L/km",MROUND(K241*$M241*IF($H241="Petrol",'Fuel &amp; Inputs'!$C$5,'Fuel &amp; Inputs'!$C$4),1),MROUND(K241*$M241*IF($H241="Petrol",'Fuel &amp; Inputs'!$C$5,'Fuel &amp; Inputs'!$C$4),10)))</f>
        <v>195</v>
      </c>
      <c r="P241" s="20" t="n">
        <f aca="false">IF(L241=0,0,IF($I241="L/km",MROUND(L241*$M241*IF($H241="Petrol",'Fuel &amp; Inputs'!$C$5,'Fuel &amp; Inputs'!$C$4),1),MROUND(L241*$M241*IF($H241="Petrol",'Fuel &amp; Inputs'!$C$5,'Fuel &amp; Inputs'!$C$4),10)))</f>
        <v>250</v>
      </c>
      <c r="Q241" s="17" t="s">
        <v>597</v>
      </c>
      <c r="R241" s="21" t="n">
        <v>1420</v>
      </c>
      <c r="S241" s="20" t="n">
        <f aca="false">MROUND(R241+'Fuel &amp; Inputs'!$C$13,50)</f>
        <v>2200</v>
      </c>
      <c r="T241" s="21" t="n">
        <v>2810</v>
      </c>
      <c r="U241" s="20" t="n">
        <f aca="false">MROUND(R241*'Fuel &amp; Inputs'!$C$19*'Fuel &amp; Inputs'!$C$21,100)</f>
        <v>5400</v>
      </c>
      <c r="V241" s="20" t="n">
        <f aca="false">MROUND(S241*'Fuel &amp; Inputs'!$C$19*'Fuel &amp; Inputs'!$C$21,100)</f>
        <v>8400</v>
      </c>
      <c r="W241" s="20" t="n">
        <f aca="false">MROUND(T241*'Fuel &amp; Inputs'!$C$19*'Fuel &amp; Inputs'!$C$21,100)</f>
        <v>10700</v>
      </c>
      <c r="X241" s="20" t="n">
        <f aca="false">MROUND(R241*'Fuel &amp; Inputs'!$C$20*'Fuel &amp; Inputs'!$C$22,500)</f>
        <v>145000</v>
      </c>
      <c r="Y241" s="20" t="n">
        <f aca="false">MROUND(S241*'Fuel &amp; Inputs'!$C$20*'Fuel &amp; Inputs'!$C$22,500)</f>
        <v>224500</v>
      </c>
      <c r="Z241" s="20" t="n">
        <f aca="false">MROUND(T241*'Fuel &amp; Inputs'!$C$20*'Fuel &amp; Inputs'!$C$22,500)</f>
        <v>286500</v>
      </c>
    </row>
    <row r="242" customFormat="false" ht="15" hidden="false" customHeight="true" outlineLevel="0" collapsed="false">
      <c r="A242" s="31" t="s">
        <v>621</v>
      </c>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ustomFormat="false" ht="23.85" hidden="false" customHeight="false" outlineLevel="0" collapsed="false">
      <c r="A243" s="23" t="n">
        <v>224</v>
      </c>
      <c r="B243" s="34" t="s">
        <v>622</v>
      </c>
      <c r="C243" s="34" t="s">
        <v>459</v>
      </c>
      <c r="D243" s="34" t="s">
        <v>623</v>
      </c>
      <c r="E243" s="23" t="s">
        <v>180</v>
      </c>
      <c r="F243" s="23" t="s">
        <v>624</v>
      </c>
      <c r="G243" s="23" t="s">
        <v>625</v>
      </c>
      <c r="H243" s="23" t="s">
        <v>153</v>
      </c>
      <c r="I243" s="23" t="s">
        <v>154</v>
      </c>
      <c r="J243" s="25" t="n">
        <v>13</v>
      </c>
      <c r="K243" s="25" t="n">
        <v>18</v>
      </c>
      <c r="L243" s="25" t="n">
        <v>24.3</v>
      </c>
      <c r="M243" s="35" t="n">
        <v>1.049</v>
      </c>
      <c r="N243" s="26" t="n">
        <f aca="false">IF(J243=0,0,IF($I243="L/km",MROUND(J243*$M243*IF($H243="Petrol",'Fuel &amp; Inputs'!$C$5,'Fuel &amp; Inputs'!$C$4),1),MROUND(J243*$M243*IF($H243="Petrol",'Fuel &amp; Inputs'!$C$5,'Fuel &amp; Inputs'!$C$4),10)))</f>
        <v>5210</v>
      </c>
      <c r="O243" s="26" t="n">
        <f aca="false">IF(K243=0,0,IF($I243="L/km",MROUND(K243*$M243*IF($H243="Petrol",'Fuel &amp; Inputs'!$C$5,'Fuel &amp; Inputs'!$C$4),1),MROUND(K243*$M243*IF($H243="Petrol",'Fuel &amp; Inputs'!$C$5,'Fuel &amp; Inputs'!$C$4),10)))</f>
        <v>7210</v>
      </c>
      <c r="P243" s="26" t="n">
        <f aca="false">IF(L243=0,0,IF($I243="L/km",MROUND(L243*$M243*IF($H243="Petrol",'Fuel &amp; Inputs'!$C$5,'Fuel &amp; Inputs'!$C$4),1),MROUND(L243*$M243*IF($H243="Petrol",'Fuel &amp; Inputs'!$C$5,'Fuel &amp; Inputs'!$C$4),10)))</f>
        <v>9740</v>
      </c>
      <c r="Q243" s="23" t="s">
        <v>155</v>
      </c>
      <c r="R243" s="27" t="n">
        <v>3860</v>
      </c>
      <c r="S243" s="26" t="n">
        <f aca="false">MROUND(R243+'Fuel &amp; Inputs'!$C$13,50)</f>
        <v>4650</v>
      </c>
      <c r="T243" s="27" t="n">
        <v>8600</v>
      </c>
      <c r="U243" s="26" t="n">
        <f aca="false">MROUND(R243*'Fuel &amp; Inputs'!$C$19*'Fuel &amp; Inputs'!$C$21,100)</f>
        <v>14700</v>
      </c>
      <c r="V243" s="26" t="n">
        <f aca="false">MROUND(S243*'Fuel &amp; Inputs'!$C$19*'Fuel &amp; Inputs'!$C$21,100)</f>
        <v>17700</v>
      </c>
      <c r="W243" s="26" t="n">
        <f aca="false">MROUND(T243*'Fuel &amp; Inputs'!$C$19*'Fuel &amp; Inputs'!$C$21,100)</f>
        <v>32700</v>
      </c>
      <c r="X243" s="26" t="n">
        <f aca="false">MROUND(R243*'Fuel &amp; Inputs'!$C$20*'Fuel &amp; Inputs'!$C$22,500)</f>
        <v>393500</v>
      </c>
      <c r="Y243" s="26" t="n">
        <f aca="false">MROUND(S243*'Fuel &amp; Inputs'!$C$20*'Fuel &amp; Inputs'!$C$22,500)</f>
        <v>474500</v>
      </c>
      <c r="Z243" s="26" t="n">
        <f aca="false">MROUND(T243*'Fuel &amp; Inputs'!$C$20*'Fuel &amp; Inputs'!$C$22,500)</f>
        <v>877000</v>
      </c>
    </row>
    <row r="244" customFormat="false" ht="23.85" hidden="false" customHeight="false" outlineLevel="0" collapsed="false">
      <c r="A244" s="17" t="n">
        <v>225</v>
      </c>
      <c r="B244" s="32" t="s">
        <v>622</v>
      </c>
      <c r="C244" s="32" t="s">
        <v>609</v>
      </c>
      <c r="D244" s="32" t="s">
        <v>626</v>
      </c>
      <c r="E244" s="17" t="s">
        <v>475</v>
      </c>
      <c r="F244" s="17" t="s">
        <v>627</v>
      </c>
      <c r="G244" s="17" t="s">
        <v>628</v>
      </c>
      <c r="H244" s="17" t="s">
        <v>153</v>
      </c>
      <c r="I244" s="17" t="s">
        <v>154</v>
      </c>
      <c r="J244" s="19" t="n">
        <v>13</v>
      </c>
      <c r="K244" s="19" t="n">
        <v>18</v>
      </c>
      <c r="L244" s="19" t="n">
        <v>24.3</v>
      </c>
      <c r="M244" s="33" t="n">
        <v>1.126</v>
      </c>
      <c r="N244" s="20" t="n">
        <f aca="false">IF(J244=0,0,IF($I244="L/km",MROUND(J244*$M244*IF($H244="Petrol",'Fuel &amp; Inputs'!$C$5,'Fuel &amp; Inputs'!$C$4),1),MROUND(J244*$M244*IF($H244="Petrol",'Fuel &amp; Inputs'!$C$5,'Fuel &amp; Inputs'!$C$4),10)))</f>
        <v>5590</v>
      </c>
      <c r="O244" s="20" t="n">
        <f aca="false">IF(K244=0,0,IF($I244="L/km",MROUND(K244*$M244*IF($H244="Petrol",'Fuel &amp; Inputs'!$C$5,'Fuel &amp; Inputs'!$C$4),1),MROUND(K244*$M244*IF($H244="Petrol",'Fuel &amp; Inputs'!$C$5,'Fuel &amp; Inputs'!$C$4),10)))</f>
        <v>7740</v>
      </c>
      <c r="P244" s="20" t="n">
        <f aca="false">IF(L244=0,0,IF($I244="L/km",MROUND(L244*$M244*IF($H244="Petrol",'Fuel &amp; Inputs'!$C$5,'Fuel &amp; Inputs'!$C$4),1),MROUND(L244*$M244*IF($H244="Petrol",'Fuel &amp; Inputs'!$C$5,'Fuel &amp; Inputs'!$C$4),10)))</f>
        <v>10450</v>
      </c>
      <c r="Q244" s="17" t="s">
        <v>155</v>
      </c>
      <c r="R244" s="21" t="n">
        <v>3020</v>
      </c>
      <c r="S244" s="20" t="n">
        <f aca="false">MROUND(R244+'Fuel &amp; Inputs'!$C$13,50)</f>
        <v>3800</v>
      </c>
      <c r="T244" s="21" t="n">
        <v>6730</v>
      </c>
      <c r="U244" s="20" t="n">
        <f aca="false">MROUND(R244*'Fuel &amp; Inputs'!$C$19*'Fuel &amp; Inputs'!$C$21,100)</f>
        <v>11500</v>
      </c>
      <c r="V244" s="20" t="n">
        <f aca="false">MROUND(S244*'Fuel &amp; Inputs'!$C$19*'Fuel &amp; Inputs'!$C$21,100)</f>
        <v>14400</v>
      </c>
      <c r="W244" s="20" t="n">
        <f aca="false">MROUND(T244*'Fuel &amp; Inputs'!$C$19*'Fuel &amp; Inputs'!$C$21,100)</f>
        <v>25600</v>
      </c>
      <c r="X244" s="20" t="n">
        <f aca="false">MROUND(R244*'Fuel &amp; Inputs'!$C$20*'Fuel &amp; Inputs'!$C$22,500)</f>
        <v>308000</v>
      </c>
      <c r="Y244" s="20" t="n">
        <f aca="false">MROUND(S244*'Fuel &amp; Inputs'!$C$20*'Fuel &amp; Inputs'!$C$22,500)</f>
        <v>387500</v>
      </c>
      <c r="Z244" s="20" t="n">
        <f aca="false">MROUND(T244*'Fuel &amp; Inputs'!$C$20*'Fuel &amp; Inputs'!$C$22,500)</f>
        <v>686500</v>
      </c>
    </row>
    <row r="245" customFormat="false" ht="15" hidden="false" customHeight="true" outlineLevel="0" collapsed="false">
      <c r="A245" s="31" t="s">
        <v>629</v>
      </c>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ustomFormat="false" ht="23.85" hidden="false" customHeight="false" outlineLevel="0" collapsed="false">
      <c r="A246" s="23" t="n">
        <v>226</v>
      </c>
      <c r="B246" s="34" t="s">
        <v>98</v>
      </c>
      <c r="C246" s="34" t="s">
        <v>630</v>
      </c>
      <c r="D246" s="34" t="s">
        <v>631</v>
      </c>
      <c r="E246" s="23" t="s">
        <v>180</v>
      </c>
      <c r="F246" s="23" t="s">
        <v>632</v>
      </c>
      <c r="G246" s="23" t="s">
        <v>633</v>
      </c>
      <c r="H246" s="23" t="s">
        <v>153</v>
      </c>
      <c r="I246" s="23" t="s">
        <v>596</v>
      </c>
      <c r="J246" s="36" t="n">
        <v>0.078</v>
      </c>
      <c r="K246" s="36" t="n">
        <v>0.1</v>
      </c>
      <c r="L246" s="36" t="n">
        <v>0.125</v>
      </c>
      <c r="M246" s="35" t="n">
        <v>1.049</v>
      </c>
      <c r="N246" s="26" t="n">
        <f aca="false">IF(J246=0,0,IF($I246="L/km",MROUND(J246*$M246*IF($H246="Petrol",'Fuel &amp; Inputs'!$C$5,'Fuel &amp; Inputs'!$C$4),1),MROUND(J246*$M246*IF($H246="Petrol",'Fuel &amp; Inputs'!$C$5,'Fuel &amp; Inputs'!$C$4),10)))</f>
        <v>31</v>
      </c>
      <c r="O246" s="26" t="n">
        <f aca="false">IF(K246=0,0,IF($I246="L/km",MROUND(K246*$M246*IF($H246="Petrol",'Fuel &amp; Inputs'!$C$5,'Fuel &amp; Inputs'!$C$4),1),MROUND(K246*$M246*IF($H246="Petrol",'Fuel &amp; Inputs'!$C$5,'Fuel &amp; Inputs'!$C$4),10)))</f>
        <v>40</v>
      </c>
      <c r="P246" s="26" t="n">
        <f aca="false">IF(L246=0,0,IF($I246="L/km",MROUND(L246*$M246*IF($H246="Petrol",'Fuel &amp; Inputs'!$C$5,'Fuel &amp; Inputs'!$C$4),1),MROUND(L246*$M246*IF($H246="Petrol",'Fuel &amp; Inputs'!$C$5,'Fuel &amp; Inputs'!$C$4),10)))</f>
        <v>50</v>
      </c>
      <c r="Q246" s="23" t="s">
        <v>597</v>
      </c>
      <c r="R246" s="27" t="n">
        <v>870</v>
      </c>
      <c r="S246" s="26" t="n">
        <f aca="false">MROUND(R246+'Fuel &amp; Inputs'!$C$13,50)</f>
        <v>1650</v>
      </c>
      <c r="T246" s="27" t="n">
        <v>1610</v>
      </c>
      <c r="U246" s="26" t="n">
        <f aca="false">MROUND(R246*'Fuel &amp; Inputs'!$C$19*'Fuel &amp; Inputs'!$C$21,100)</f>
        <v>3300</v>
      </c>
      <c r="V246" s="26" t="n">
        <f aca="false">MROUND(S246*'Fuel &amp; Inputs'!$C$19*'Fuel &amp; Inputs'!$C$21,100)</f>
        <v>6300</v>
      </c>
      <c r="W246" s="26" t="n">
        <f aca="false">MROUND(T246*'Fuel &amp; Inputs'!$C$19*'Fuel &amp; Inputs'!$C$21,100)</f>
        <v>6100</v>
      </c>
      <c r="X246" s="26" t="n">
        <f aca="false">MROUND(R246*'Fuel &amp; Inputs'!$C$20*'Fuel &amp; Inputs'!$C$22,500)</f>
        <v>88500</v>
      </c>
      <c r="Y246" s="26" t="n">
        <f aca="false">MROUND(S246*'Fuel &amp; Inputs'!$C$20*'Fuel &amp; Inputs'!$C$22,500)</f>
        <v>168500</v>
      </c>
      <c r="Z246" s="26" t="n">
        <f aca="false">MROUND(T246*'Fuel &amp; Inputs'!$C$20*'Fuel &amp; Inputs'!$C$22,500)</f>
        <v>164000</v>
      </c>
    </row>
    <row r="247" customFormat="false" ht="23.85" hidden="false" customHeight="false" outlineLevel="0" collapsed="false">
      <c r="A247" s="17" t="n">
        <v>227</v>
      </c>
      <c r="B247" s="32" t="s">
        <v>98</v>
      </c>
      <c r="C247" s="32" t="s">
        <v>630</v>
      </c>
      <c r="D247" s="32" t="s">
        <v>631</v>
      </c>
      <c r="E247" s="17" t="s">
        <v>180</v>
      </c>
      <c r="F247" s="17" t="s">
        <v>634</v>
      </c>
      <c r="G247" s="17" t="s">
        <v>635</v>
      </c>
      <c r="H247" s="17" t="s">
        <v>153</v>
      </c>
      <c r="I247" s="17" t="s">
        <v>596</v>
      </c>
      <c r="J247" s="37" t="n">
        <v>0.078</v>
      </c>
      <c r="K247" s="37" t="n">
        <v>0.1</v>
      </c>
      <c r="L247" s="37" t="n">
        <v>0.125</v>
      </c>
      <c r="M247" s="33" t="n">
        <v>1.049</v>
      </c>
      <c r="N247" s="20" t="n">
        <f aca="false">IF(J247=0,0,IF($I247="L/km",MROUND(J247*$M247*IF($H247="Petrol",'Fuel &amp; Inputs'!$C$5,'Fuel &amp; Inputs'!$C$4),1),MROUND(J247*$M247*IF($H247="Petrol",'Fuel &amp; Inputs'!$C$5,'Fuel &amp; Inputs'!$C$4),10)))</f>
        <v>31</v>
      </c>
      <c r="O247" s="20" t="n">
        <f aca="false">IF(K247=0,0,IF($I247="L/km",MROUND(K247*$M247*IF($H247="Petrol",'Fuel &amp; Inputs'!$C$5,'Fuel &amp; Inputs'!$C$4),1),MROUND(K247*$M247*IF($H247="Petrol",'Fuel &amp; Inputs'!$C$5,'Fuel &amp; Inputs'!$C$4),10)))</f>
        <v>40</v>
      </c>
      <c r="P247" s="20" t="n">
        <f aca="false">IF(L247=0,0,IF($I247="L/km",MROUND(L247*$M247*IF($H247="Petrol",'Fuel &amp; Inputs'!$C$5,'Fuel &amp; Inputs'!$C$4),1),MROUND(L247*$M247*IF($H247="Petrol",'Fuel &amp; Inputs'!$C$5,'Fuel &amp; Inputs'!$C$4),10)))</f>
        <v>50</v>
      </c>
      <c r="Q247" s="17" t="s">
        <v>597</v>
      </c>
      <c r="R247" s="21" t="n">
        <v>870</v>
      </c>
      <c r="S247" s="20" t="n">
        <f aca="false">MROUND(R247+'Fuel &amp; Inputs'!$C$13,50)</f>
        <v>1650</v>
      </c>
      <c r="T247" s="21" t="n">
        <v>1610</v>
      </c>
      <c r="U247" s="20" t="n">
        <f aca="false">MROUND(R247*'Fuel &amp; Inputs'!$C$19*'Fuel &amp; Inputs'!$C$21,100)</f>
        <v>3300</v>
      </c>
      <c r="V247" s="20" t="n">
        <f aca="false">MROUND(S247*'Fuel &amp; Inputs'!$C$19*'Fuel &amp; Inputs'!$C$21,100)</f>
        <v>6300</v>
      </c>
      <c r="W247" s="20" t="n">
        <f aca="false">MROUND(T247*'Fuel &amp; Inputs'!$C$19*'Fuel &amp; Inputs'!$C$21,100)</f>
        <v>6100</v>
      </c>
      <c r="X247" s="20" t="n">
        <f aca="false">MROUND(R247*'Fuel &amp; Inputs'!$C$20*'Fuel &amp; Inputs'!$C$22,500)</f>
        <v>88500</v>
      </c>
      <c r="Y247" s="20" t="n">
        <f aca="false">MROUND(S247*'Fuel &amp; Inputs'!$C$20*'Fuel &amp; Inputs'!$C$22,500)</f>
        <v>168500</v>
      </c>
      <c r="Z247" s="20" t="n">
        <f aca="false">MROUND(T247*'Fuel &amp; Inputs'!$C$20*'Fuel &amp; Inputs'!$C$22,500)</f>
        <v>164000</v>
      </c>
    </row>
    <row r="248" customFormat="false" ht="23.85" hidden="false" customHeight="false" outlineLevel="0" collapsed="false">
      <c r="A248" s="23" t="n">
        <v>228</v>
      </c>
      <c r="B248" s="34" t="s">
        <v>98</v>
      </c>
      <c r="C248" s="34" t="s">
        <v>630</v>
      </c>
      <c r="D248" s="34" t="s">
        <v>631</v>
      </c>
      <c r="E248" s="23" t="s">
        <v>180</v>
      </c>
      <c r="F248" s="23" t="s">
        <v>636</v>
      </c>
      <c r="G248" s="23" t="s">
        <v>637</v>
      </c>
      <c r="H248" s="23" t="s">
        <v>153</v>
      </c>
      <c r="I248" s="23" t="s">
        <v>596</v>
      </c>
      <c r="J248" s="36" t="n">
        <v>0.078</v>
      </c>
      <c r="K248" s="36" t="n">
        <v>0.1</v>
      </c>
      <c r="L248" s="36" t="n">
        <v>0.125</v>
      </c>
      <c r="M248" s="35" t="n">
        <v>1.049</v>
      </c>
      <c r="N248" s="26" t="n">
        <f aca="false">IF(J248=0,0,IF($I248="L/km",MROUND(J248*$M248*IF($H248="Petrol",'Fuel &amp; Inputs'!$C$5,'Fuel &amp; Inputs'!$C$4),1),MROUND(J248*$M248*IF($H248="Petrol",'Fuel &amp; Inputs'!$C$5,'Fuel &amp; Inputs'!$C$4),10)))</f>
        <v>31</v>
      </c>
      <c r="O248" s="26" t="n">
        <f aca="false">IF(K248=0,0,IF($I248="L/km",MROUND(K248*$M248*IF($H248="Petrol",'Fuel &amp; Inputs'!$C$5,'Fuel &amp; Inputs'!$C$4),1),MROUND(K248*$M248*IF($H248="Petrol",'Fuel &amp; Inputs'!$C$5,'Fuel &amp; Inputs'!$C$4),10)))</f>
        <v>40</v>
      </c>
      <c r="P248" s="26" t="n">
        <f aca="false">IF(L248=0,0,IF($I248="L/km",MROUND(L248*$M248*IF($H248="Petrol",'Fuel &amp; Inputs'!$C$5,'Fuel &amp; Inputs'!$C$4),1),MROUND(L248*$M248*IF($H248="Petrol",'Fuel &amp; Inputs'!$C$5,'Fuel &amp; Inputs'!$C$4),10)))</f>
        <v>50</v>
      </c>
      <c r="Q248" s="23" t="s">
        <v>597</v>
      </c>
      <c r="R248" s="27" t="n">
        <v>870</v>
      </c>
      <c r="S248" s="26" t="n">
        <f aca="false">MROUND(R248+'Fuel &amp; Inputs'!$C$13,50)</f>
        <v>1650</v>
      </c>
      <c r="T248" s="27" t="n">
        <v>1610</v>
      </c>
      <c r="U248" s="26" t="n">
        <f aca="false">MROUND(R248*'Fuel &amp; Inputs'!$C$19*'Fuel &amp; Inputs'!$C$21,100)</f>
        <v>3300</v>
      </c>
      <c r="V248" s="26" t="n">
        <f aca="false">MROUND(S248*'Fuel &amp; Inputs'!$C$19*'Fuel &amp; Inputs'!$C$21,100)</f>
        <v>6300</v>
      </c>
      <c r="W248" s="26" t="n">
        <f aca="false">MROUND(T248*'Fuel &amp; Inputs'!$C$19*'Fuel &amp; Inputs'!$C$21,100)</f>
        <v>6100</v>
      </c>
      <c r="X248" s="26" t="n">
        <f aca="false">MROUND(R248*'Fuel &amp; Inputs'!$C$20*'Fuel &amp; Inputs'!$C$22,500)</f>
        <v>88500</v>
      </c>
      <c r="Y248" s="26" t="n">
        <f aca="false">MROUND(S248*'Fuel &amp; Inputs'!$C$20*'Fuel &amp; Inputs'!$C$22,500)</f>
        <v>168500</v>
      </c>
      <c r="Z248" s="26" t="n">
        <f aca="false">MROUND(T248*'Fuel &amp; Inputs'!$C$20*'Fuel &amp; Inputs'!$C$22,500)</f>
        <v>164000</v>
      </c>
    </row>
    <row r="249" customFormat="false" ht="23.85" hidden="false" customHeight="false" outlineLevel="0" collapsed="false">
      <c r="A249" s="17" t="n">
        <v>229</v>
      </c>
      <c r="B249" s="32" t="s">
        <v>98</v>
      </c>
      <c r="C249" s="32" t="s">
        <v>630</v>
      </c>
      <c r="D249" s="32" t="s">
        <v>631</v>
      </c>
      <c r="E249" s="17" t="s">
        <v>180</v>
      </c>
      <c r="F249" s="17" t="s">
        <v>638</v>
      </c>
      <c r="G249" s="17" t="s">
        <v>639</v>
      </c>
      <c r="H249" s="17" t="s">
        <v>153</v>
      </c>
      <c r="I249" s="17" t="s">
        <v>596</v>
      </c>
      <c r="J249" s="37" t="n">
        <v>0.078</v>
      </c>
      <c r="K249" s="37" t="n">
        <v>0.1</v>
      </c>
      <c r="L249" s="37" t="n">
        <v>0.125</v>
      </c>
      <c r="M249" s="33" t="n">
        <v>1.049</v>
      </c>
      <c r="N249" s="20" t="n">
        <f aca="false">IF(J249=0,0,IF($I249="L/km",MROUND(J249*$M249*IF($H249="Petrol",'Fuel &amp; Inputs'!$C$5,'Fuel &amp; Inputs'!$C$4),1),MROUND(J249*$M249*IF($H249="Petrol",'Fuel &amp; Inputs'!$C$5,'Fuel &amp; Inputs'!$C$4),10)))</f>
        <v>31</v>
      </c>
      <c r="O249" s="20" t="n">
        <f aca="false">IF(K249=0,0,IF($I249="L/km",MROUND(K249*$M249*IF($H249="Petrol",'Fuel &amp; Inputs'!$C$5,'Fuel &amp; Inputs'!$C$4),1),MROUND(K249*$M249*IF($H249="Petrol",'Fuel &amp; Inputs'!$C$5,'Fuel &amp; Inputs'!$C$4),10)))</f>
        <v>40</v>
      </c>
      <c r="P249" s="20" t="n">
        <f aca="false">IF(L249=0,0,IF($I249="L/km",MROUND(L249*$M249*IF($H249="Petrol",'Fuel &amp; Inputs'!$C$5,'Fuel &amp; Inputs'!$C$4),1),MROUND(L249*$M249*IF($H249="Petrol",'Fuel &amp; Inputs'!$C$5,'Fuel &amp; Inputs'!$C$4),10)))</f>
        <v>50</v>
      </c>
      <c r="Q249" s="17" t="s">
        <v>597</v>
      </c>
      <c r="R249" s="21" t="n">
        <v>870</v>
      </c>
      <c r="S249" s="20" t="n">
        <f aca="false">MROUND(R249+'Fuel &amp; Inputs'!$C$13,50)</f>
        <v>1650</v>
      </c>
      <c r="T249" s="21" t="n">
        <v>1610</v>
      </c>
      <c r="U249" s="20" t="n">
        <f aca="false">MROUND(R249*'Fuel &amp; Inputs'!$C$19*'Fuel &amp; Inputs'!$C$21,100)</f>
        <v>3300</v>
      </c>
      <c r="V249" s="20" t="n">
        <f aca="false">MROUND(S249*'Fuel &amp; Inputs'!$C$19*'Fuel &amp; Inputs'!$C$21,100)</f>
        <v>6300</v>
      </c>
      <c r="W249" s="20" t="n">
        <f aca="false">MROUND(T249*'Fuel &amp; Inputs'!$C$19*'Fuel &amp; Inputs'!$C$21,100)</f>
        <v>6100</v>
      </c>
      <c r="X249" s="20" t="n">
        <f aca="false">MROUND(R249*'Fuel &amp; Inputs'!$C$20*'Fuel &amp; Inputs'!$C$22,500)</f>
        <v>88500</v>
      </c>
      <c r="Y249" s="20" t="n">
        <f aca="false">MROUND(S249*'Fuel &amp; Inputs'!$C$20*'Fuel &amp; Inputs'!$C$22,500)</f>
        <v>168500</v>
      </c>
      <c r="Z249" s="20" t="n">
        <f aca="false">MROUND(T249*'Fuel &amp; Inputs'!$C$20*'Fuel &amp; Inputs'!$C$22,500)</f>
        <v>164000</v>
      </c>
    </row>
    <row r="250" customFormat="false" ht="23.85" hidden="false" customHeight="false" outlineLevel="0" collapsed="false">
      <c r="A250" s="23" t="n">
        <v>230</v>
      </c>
      <c r="B250" s="34" t="s">
        <v>98</v>
      </c>
      <c r="C250" s="34" t="s">
        <v>630</v>
      </c>
      <c r="D250" s="34" t="s">
        <v>631</v>
      </c>
      <c r="E250" s="23" t="s">
        <v>180</v>
      </c>
      <c r="F250" s="23" t="s">
        <v>640</v>
      </c>
      <c r="G250" s="23" t="s">
        <v>641</v>
      </c>
      <c r="H250" s="23" t="s">
        <v>153</v>
      </c>
      <c r="I250" s="23" t="s">
        <v>596</v>
      </c>
      <c r="J250" s="36" t="n">
        <v>0.078</v>
      </c>
      <c r="K250" s="36" t="n">
        <v>0.1</v>
      </c>
      <c r="L250" s="36" t="n">
        <v>0.125</v>
      </c>
      <c r="M250" s="35" t="n">
        <v>1.049</v>
      </c>
      <c r="N250" s="26" t="n">
        <f aca="false">IF(J250=0,0,IF($I250="L/km",MROUND(J250*$M250*IF($H250="Petrol",'Fuel &amp; Inputs'!$C$5,'Fuel &amp; Inputs'!$C$4),1),MROUND(J250*$M250*IF($H250="Petrol",'Fuel &amp; Inputs'!$C$5,'Fuel &amp; Inputs'!$C$4),10)))</f>
        <v>31</v>
      </c>
      <c r="O250" s="26" t="n">
        <f aca="false">IF(K250=0,0,IF($I250="L/km",MROUND(K250*$M250*IF($H250="Petrol",'Fuel &amp; Inputs'!$C$5,'Fuel &amp; Inputs'!$C$4),1),MROUND(K250*$M250*IF($H250="Petrol",'Fuel &amp; Inputs'!$C$5,'Fuel &amp; Inputs'!$C$4),10)))</f>
        <v>40</v>
      </c>
      <c r="P250" s="26" t="n">
        <f aca="false">IF(L250=0,0,IF($I250="L/km",MROUND(L250*$M250*IF($H250="Petrol",'Fuel &amp; Inputs'!$C$5,'Fuel &amp; Inputs'!$C$4),1),MROUND(L250*$M250*IF($H250="Petrol",'Fuel &amp; Inputs'!$C$5,'Fuel &amp; Inputs'!$C$4),10)))</f>
        <v>50</v>
      </c>
      <c r="Q250" s="23" t="s">
        <v>597</v>
      </c>
      <c r="R250" s="27" t="n">
        <v>870</v>
      </c>
      <c r="S250" s="26" t="n">
        <f aca="false">MROUND(R250+'Fuel &amp; Inputs'!$C$13,50)</f>
        <v>1650</v>
      </c>
      <c r="T250" s="27" t="n">
        <v>1610</v>
      </c>
      <c r="U250" s="26" t="n">
        <f aca="false">MROUND(R250*'Fuel &amp; Inputs'!$C$19*'Fuel &amp; Inputs'!$C$21,100)</f>
        <v>3300</v>
      </c>
      <c r="V250" s="26" t="n">
        <f aca="false">MROUND(S250*'Fuel &amp; Inputs'!$C$19*'Fuel &amp; Inputs'!$C$21,100)</f>
        <v>6300</v>
      </c>
      <c r="W250" s="26" t="n">
        <f aca="false">MROUND(T250*'Fuel &amp; Inputs'!$C$19*'Fuel &amp; Inputs'!$C$21,100)</f>
        <v>6100</v>
      </c>
      <c r="X250" s="26" t="n">
        <f aca="false">MROUND(R250*'Fuel &amp; Inputs'!$C$20*'Fuel &amp; Inputs'!$C$22,500)</f>
        <v>88500</v>
      </c>
      <c r="Y250" s="26" t="n">
        <f aca="false">MROUND(S250*'Fuel &amp; Inputs'!$C$20*'Fuel &amp; Inputs'!$C$22,500)</f>
        <v>168500</v>
      </c>
      <c r="Z250" s="26" t="n">
        <f aca="false">MROUND(T250*'Fuel &amp; Inputs'!$C$20*'Fuel &amp; Inputs'!$C$22,500)</f>
        <v>164000</v>
      </c>
    </row>
    <row r="251" customFormat="false" ht="23.85" hidden="false" customHeight="false" outlineLevel="0" collapsed="false">
      <c r="A251" s="17" t="n">
        <v>231</v>
      </c>
      <c r="B251" s="32" t="s">
        <v>98</v>
      </c>
      <c r="C251" s="32" t="s">
        <v>630</v>
      </c>
      <c r="D251" s="32" t="s">
        <v>631</v>
      </c>
      <c r="E251" s="17" t="s">
        <v>180</v>
      </c>
      <c r="F251" s="17" t="s">
        <v>642</v>
      </c>
      <c r="G251" s="17" t="s">
        <v>643</v>
      </c>
      <c r="H251" s="17" t="s">
        <v>153</v>
      </c>
      <c r="I251" s="17" t="s">
        <v>596</v>
      </c>
      <c r="J251" s="37" t="n">
        <v>0.078</v>
      </c>
      <c r="K251" s="37" t="n">
        <v>0.1</v>
      </c>
      <c r="L251" s="37" t="n">
        <v>0.125</v>
      </c>
      <c r="M251" s="33" t="n">
        <v>1.049</v>
      </c>
      <c r="N251" s="20" t="n">
        <f aca="false">IF(J251=0,0,IF($I251="L/km",MROUND(J251*$M251*IF($H251="Petrol",'Fuel &amp; Inputs'!$C$5,'Fuel &amp; Inputs'!$C$4),1),MROUND(J251*$M251*IF($H251="Petrol",'Fuel &amp; Inputs'!$C$5,'Fuel &amp; Inputs'!$C$4),10)))</f>
        <v>31</v>
      </c>
      <c r="O251" s="20" t="n">
        <f aca="false">IF(K251=0,0,IF($I251="L/km",MROUND(K251*$M251*IF($H251="Petrol",'Fuel &amp; Inputs'!$C$5,'Fuel &amp; Inputs'!$C$4),1),MROUND(K251*$M251*IF($H251="Petrol",'Fuel &amp; Inputs'!$C$5,'Fuel &amp; Inputs'!$C$4),10)))</f>
        <v>40</v>
      </c>
      <c r="P251" s="20" t="n">
        <f aca="false">IF(L251=0,0,IF($I251="L/km",MROUND(L251*$M251*IF($H251="Petrol",'Fuel &amp; Inputs'!$C$5,'Fuel &amp; Inputs'!$C$4),1),MROUND(L251*$M251*IF($H251="Petrol",'Fuel &amp; Inputs'!$C$5,'Fuel &amp; Inputs'!$C$4),10)))</f>
        <v>50</v>
      </c>
      <c r="Q251" s="17" t="s">
        <v>597</v>
      </c>
      <c r="R251" s="21" t="n">
        <v>870</v>
      </c>
      <c r="S251" s="20" t="n">
        <f aca="false">MROUND(R251+'Fuel &amp; Inputs'!$C$13,50)</f>
        <v>1650</v>
      </c>
      <c r="T251" s="21" t="n">
        <v>1610</v>
      </c>
      <c r="U251" s="20" t="n">
        <f aca="false">MROUND(R251*'Fuel &amp; Inputs'!$C$19*'Fuel &amp; Inputs'!$C$21,100)</f>
        <v>3300</v>
      </c>
      <c r="V251" s="20" t="n">
        <f aca="false">MROUND(S251*'Fuel &amp; Inputs'!$C$19*'Fuel &amp; Inputs'!$C$21,100)</f>
        <v>6300</v>
      </c>
      <c r="W251" s="20" t="n">
        <f aca="false">MROUND(T251*'Fuel &amp; Inputs'!$C$19*'Fuel &amp; Inputs'!$C$21,100)</f>
        <v>6100</v>
      </c>
      <c r="X251" s="20" t="n">
        <f aca="false">MROUND(R251*'Fuel &amp; Inputs'!$C$20*'Fuel &amp; Inputs'!$C$22,500)</f>
        <v>88500</v>
      </c>
      <c r="Y251" s="20" t="n">
        <f aca="false">MROUND(S251*'Fuel &amp; Inputs'!$C$20*'Fuel &amp; Inputs'!$C$22,500)</f>
        <v>168500</v>
      </c>
      <c r="Z251" s="20" t="n">
        <f aca="false">MROUND(T251*'Fuel &amp; Inputs'!$C$20*'Fuel &amp; Inputs'!$C$22,500)</f>
        <v>164000</v>
      </c>
    </row>
    <row r="252" customFormat="false" ht="23.85" hidden="false" customHeight="false" outlineLevel="0" collapsed="false">
      <c r="A252" s="23" t="n">
        <v>232</v>
      </c>
      <c r="B252" s="34" t="s">
        <v>98</v>
      </c>
      <c r="C252" s="34" t="s">
        <v>630</v>
      </c>
      <c r="D252" s="34" t="s">
        <v>644</v>
      </c>
      <c r="E252" s="23" t="s">
        <v>251</v>
      </c>
      <c r="F252" s="23" t="s">
        <v>645</v>
      </c>
      <c r="G252" s="23" t="s">
        <v>646</v>
      </c>
      <c r="H252" s="23" t="s">
        <v>153</v>
      </c>
      <c r="I252" s="23" t="s">
        <v>596</v>
      </c>
      <c r="J252" s="36" t="n">
        <v>0.078</v>
      </c>
      <c r="K252" s="36" t="n">
        <v>0.1</v>
      </c>
      <c r="L252" s="36" t="n">
        <v>0.125</v>
      </c>
      <c r="M252" s="35" t="n">
        <v>1.063</v>
      </c>
      <c r="N252" s="26" t="n">
        <f aca="false">IF(J252=0,0,IF($I252="L/km",MROUND(J252*$M252*IF($H252="Petrol",'Fuel &amp; Inputs'!$C$5,'Fuel &amp; Inputs'!$C$4),1),MROUND(J252*$M252*IF($H252="Petrol",'Fuel &amp; Inputs'!$C$5,'Fuel &amp; Inputs'!$C$4),10)))</f>
        <v>32</v>
      </c>
      <c r="O252" s="26" t="n">
        <f aca="false">IF(K252=0,0,IF($I252="L/km",MROUND(K252*$M252*IF($H252="Petrol",'Fuel &amp; Inputs'!$C$5,'Fuel &amp; Inputs'!$C$4),1),MROUND(K252*$M252*IF($H252="Petrol",'Fuel &amp; Inputs'!$C$5,'Fuel &amp; Inputs'!$C$4),10)))</f>
        <v>41</v>
      </c>
      <c r="P252" s="26" t="n">
        <f aca="false">IF(L252=0,0,IF($I252="L/km",MROUND(L252*$M252*IF($H252="Petrol",'Fuel &amp; Inputs'!$C$5,'Fuel &amp; Inputs'!$C$4),1),MROUND(L252*$M252*IF($H252="Petrol",'Fuel &amp; Inputs'!$C$5,'Fuel &amp; Inputs'!$C$4),10)))</f>
        <v>51</v>
      </c>
      <c r="Q252" s="23" t="s">
        <v>597</v>
      </c>
      <c r="R252" s="27" t="n">
        <v>870</v>
      </c>
      <c r="S252" s="26" t="n">
        <f aca="false">MROUND(R252+'Fuel &amp; Inputs'!$C$13,50)</f>
        <v>1650</v>
      </c>
      <c r="T252" s="27" t="n">
        <v>1610</v>
      </c>
      <c r="U252" s="26" t="n">
        <f aca="false">MROUND(R252*'Fuel &amp; Inputs'!$C$19*'Fuel &amp; Inputs'!$C$21,100)</f>
        <v>3300</v>
      </c>
      <c r="V252" s="26" t="n">
        <f aca="false">MROUND(S252*'Fuel &amp; Inputs'!$C$19*'Fuel &amp; Inputs'!$C$21,100)</f>
        <v>6300</v>
      </c>
      <c r="W252" s="26" t="n">
        <f aca="false">MROUND(T252*'Fuel &amp; Inputs'!$C$19*'Fuel &amp; Inputs'!$C$21,100)</f>
        <v>6100</v>
      </c>
      <c r="X252" s="26" t="n">
        <f aca="false">MROUND(R252*'Fuel &amp; Inputs'!$C$20*'Fuel &amp; Inputs'!$C$22,500)</f>
        <v>88500</v>
      </c>
      <c r="Y252" s="26" t="n">
        <f aca="false">MROUND(S252*'Fuel &amp; Inputs'!$C$20*'Fuel &amp; Inputs'!$C$22,500)</f>
        <v>168500</v>
      </c>
      <c r="Z252" s="26" t="n">
        <f aca="false">MROUND(T252*'Fuel &amp; Inputs'!$C$20*'Fuel &amp; Inputs'!$C$22,500)</f>
        <v>164000</v>
      </c>
    </row>
    <row r="253" customFormat="false" ht="23.85" hidden="false" customHeight="false" outlineLevel="0" collapsed="false">
      <c r="A253" s="17" t="n">
        <v>233</v>
      </c>
      <c r="B253" s="32" t="s">
        <v>98</v>
      </c>
      <c r="C253" s="32" t="s">
        <v>630</v>
      </c>
      <c r="D253" s="32" t="s">
        <v>631</v>
      </c>
      <c r="E253" s="17" t="s">
        <v>251</v>
      </c>
      <c r="F253" s="17" t="s">
        <v>647</v>
      </c>
      <c r="G253" s="17" t="s">
        <v>648</v>
      </c>
      <c r="H253" s="17" t="s">
        <v>153</v>
      </c>
      <c r="I253" s="17" t="s">
        <v>596</v>
      </c>
      <c r="J253" s="37" t="n">
        <v>0.078</v>
      </c>
      <c r="K253" s="37" t="n">
        <v>0.1</v>
      </c>
      <c r="L253" s="37" t="n">
        <v>0.125</v>
      </c>
      <c r="M253" s="33" t="n">
        <v>1.063</v>
      </c>
      <c r="N253" s="20" t="n">
        <f aca="false">IF(J253=0,0,IF($I253="L/km",MROUND(J253*$M253*IF($H253="Petrol",'Fuel &amp; Inputs'!$C$5,'Fuel &amp; Inputs'!$C$4),1),MROUND(J253*$M253*IF($H253="Petrol",'Fuel &amp; Inputs'!$C$5,'Fuel &amp; Inputs'!$C$4),10)))</f>
        <v>32</v>
      </c>
      <c r="O253" s="20" t="n">
        <f aca="false">IF(K253=0,0,IF($I253="L/km",MROUND(K253*$M253*IF($H253="Petrol",'Fuel &amp; Inputs'!$C$5,'Fuel &amp; Inputs'!$C$4),1),MROUND(K253*$M253*IF($H253="Petrol",'Fuel &amp; Inputs'!$C$5,'Fuel &amp; Inputs'!$C$4),10)))</f>
        <v>41</v>
      </c>
      <c r="P253" s="20" t="n">
        <f aca="false">IF(L253=0,0,IF($I253="L/km",MROUND(L253*$M253*IF($H253="Petrol",'Fuel &amp; Inputs'!$C$5,'Fuel &amp; Inputs'!$C$4),1),MROUND(L253*$M253*IF($H253="Petrol",'Fuel &amp; Inputs'!$C$5,'Fuel &amp; Inputs'!$C$4),10)))</f>
        <v>51</v>
      </c>
      <c r="Q253" s="17" t="s">
        <v>597</v>
      </c>
      <c r="R253" s="21" t="n">
        <v>870</v>
      </c>
      <c r="S253" s="20" t="n">
        <f aca="false">MROUND(R253+'Fuel &amp; Inputs'!$C$13,50)</f>
        <v>1650</v>
      </c>
      <c r="T253" s="21" t="n">
        <v>1610</v>
      </c>
      <c r="U253" s="20" t="n">
        <f aca="false">MROUND(R253*'Fuel &amp; Inputs'!$C$19*'Fuel &amp; Inputs'!$C$21,100)</f>
        <v>3300</v>
      </c>
      <c r="V253" s="20" t="n">
        <f aca="false">MROUND(S253*'Fuel &amp; Inputs'!$C$19*'Fuel &amp; Inputs'!$C$21,100)</f>
        <v>6300</v>
      </c>
      <c r="W253" s="20" t="n">
        <f aca="false">MROUND(T253*'Fuel &amp; Inputs'!$C$19*'Fuel &amp; Inputs'!$C$21,100)</f>
        <v>6100</v>
      </c>
      <c r="X253" s="20" t="n">
        <f aca="false">MROUND(R253*'Fuel &amp; Inputs'!$C$20*'Fuel &amp; Inputs'!$C$22,500)</f>
        <v>88500</v>
      </c>
      <c r="Y253" s="20" t="n">
        <f aca="false">MROUND(S253*'Fuel &amp; Inputs'!$C$20*'Fuel &amp; Inputs'!$C$22,500)</f>
        <v>168500</v>
      </c>
      <c r="Z253" s="20" t="n">
        <f aca="false">MROUND(T253*'Fuel &amp; Inputs'!$C$20*'Fuel &amp; Inputs'!$C$22,500)</f>
        <v>164000</v>
      </c>
    </row>
    <row r="254" customFormat="false" ht="23.85" hidden="false" customHeight="false" outlineLevel="0" collapsed="false">
      <c r="A254" s="23" t="n">
        <v>234</v>
      </c>
      <c r="B254" s="34" t="s">
        <v>98</v>
      </c>
      <c r="C254" s="34" t="s">
        <v>649</v>
      </c>
      <c r="D254" s="34" t="s">
        <v>650</v>
      </c>
      <c r="E254" s="23" t="s">
        <v>174</v>
      </c>
      <c r="F254" s="23" t="s">
        <v>651</v>
      </c>
      <c r="G254" s="23" t="s">
        <v>652</v>
      </c>
      <c r="H254" s="23" t="s">
        <v>153</v>
      </c>
      <c r="I254" s="23" t="s">
        <v>596</v>
      </c>
      <c r="J254" s="36" t="n">
        <v>0.078</v>
      </c>
      <c r="K254" s="36" t="n">
        <v>0.1</v>
      </c>
      <c r="L254" s="36" t="n">
        <v>0.125</v>
      </c>
      <c r="M254" s="35" t="n">
        <v>1.07</v>
      </c>
      <c r="N254" s="26" t="n">
        <f aca="false">IF(J254=0,0,IF($I254="L/km",MROUND(J254*$M254*IF($H254="Petrol",'Fuel &amp; Inputs'!$C$5,'Fuel &amp; Inputs'!$C$4),1),MROUND(J254*$M254*IF($H254="Petrol",'Fuel &amp; Inputs'!$C$5,'Fuel &amp; Inputs'!$C$4),10)))</f>
        <v>32</v>
      </c>
      <c r="O254" s="26" t="n">
        <f aca="false">IF(K254=0,0,IF($I254="L/km",MROUND(K254*$M254*IF($H254="Petrol",'Fuel &amp; Inputs'!$C$5,'Fuel &amp; Inputs'!$C$4),1),MROUND(K254*$M254*IF($H254="Petrol",'Fuel &amp; Inputs'!$C$5,'Fuel &amp; Inputs'!$C$4),10)))</f>
        <v>41</v>
      </c>
      <c r="P254" s="26" t="n">
        <f aca="false">IF(L254=0,0,IF($I254="L/km",MROUND(L254*$M254*IF($H254="Petrol",'Fuel &amp; Inputs'!$C$5,'Fuel &amp; Inputs'!$C$4),1),MROUND(L254*$M254*IF($H254="Petrol",'Fuel &amp; Inputs'!$C$5,'Fuel &amp; Inputs'!$C$4),10)))</f>
        <v>51</v>
      </c>
      <c r="Q254" s="23" t="s">
        <v>597</v>
      </c>
      <c r="R254" s="27" t="n">
        <v>870</v>
      </c>
      <c r="S254" s="26" t="n">
        <f aca="false">MROUND(R254+'Fuel &amp; Inputs'!$C$13,50)</f>
        <v>1650</v>
      </c>
      <c r="T254" s="27" t="n">
        <v>1610</v>
      </c>
      <c r="U254" s="26" t="n">
        <f aca="false">MROUND(R254*'Fuel &amp; Inputs'!$C$19*'Fuel &amp; Inputs'!$C$21,100)</f>
        <v>3300</v>
      </c>
      <c r="V254" s="26" t="n">
        <f aca="false">MROUND(S254*'Fuel &amp; Inputs'!$C$19*'Fuel &amp; Inputs'!$C$21,100)</f>
        <v>6300</v>
      </c>
      <c r="W254" s="26" t="n">
        <f aca="false">MROUND(T254*'Fuel &amp; Inputs'!$C$19*'Fuel &amp; Inputs'!$C$21,100)</f>
        <v>6100</v>
      </c>
      <c r="X254" s="26" t="n">
        <f aca="false">MROUND(R254*'Fuel &amp; Inputs'!$C$20*'Fuel &amp; Inputs'!$C$22,500)</f>
        <v>88500</v>
      </c>
      <c r="Y254" s="26" t="n">
        <f aca="false">MROUND(S254*'Fuel &amp; Inputs'!$C$20*'Fuel &amp; Inputs'!$C$22,500)</f>
        <v>168500</v>
      </c>
      <c r="Z254" s="26" t="n">
        <f aca="false">MROUND(T254*'Fuel &amp; Inputs'!$C$20*'Fuel &amp; Inputs'!$C$22,500)</f>
        <v>164000</v>
      </c>
    </row>
    <row r="255" customFormat="false" ht="23.85" hidden="false" customHeight="false" outlineLevel="0" collapsed="false">
      <c r="A255" s="17" t="n">
        <v>235</v>
      </c>
      <c r="B255" s="32" t="s">
        <v>98</v>
      </c>
      <c r="C255" s="32" t="s">
        <v>649</v>
      </c>
      <c r="D255" s="32" t="s">
        <v>653</v>
      </c>
      <c r="E255" s="17" t="s">
        <v>171</v>
      </c>
      <c r="F255" s="17" t="s">
        <v>654</v>
      </c>
      <c r="G255" s="17" t="s">
        <v>655</v>
      </c>
      <c r="H255" s="17" t="s">
        <v>153</v>
      </c>
      <c r="I255" s="17" t="s">
        <v>596</v>
      </c>
      <c r="J255" s="37" t="n">
        <v>0.078</v>
      </c>
      <c r="K255" s="37" t="n">
        <v>0.1</v>
      </c>
      <c r="L255" s="37" t="n">
        <v>0.125</v>
      </c>
      <c r="M255" s="33" t="n">
        <v>1.077</v>
      </c>
      <c r="N255" s="20" t="n">
        <f aca="false">IF(J255=0,0,IF($I255="L/km",MROUND(J255*$M255*IF($H255="Petrol",'Fuel &amp; Inputs'!$C$5,'Fuel &amp; Inputs'!$C$4),1),MROUND(J255*$M255*IF($H255="Petrol",'Fuel &amp; Inputs'!$C$5,'Fuel &amp; Inputs'!$C$4),10)))</f>
        <v>32</v>
      </c>
      <c r="O255" s="20" t="n">
        <f aca="false">IF(K255=0,0,IF($I255="L/km",MROUND(K255*$M255*IF($H255="Petrol",'Fuel &amp; Inputs'!$C$5,'Fuel &amp; Inputs'!$C$4),1),MROUND(K255*$M255*IF($H255="Petrol",'Fuel &amp; Inputs'!$C$5,'Fuel &amp; Inputs'!$C$4),10)))</f>
        <v>41</v>
      </c>
      <c r="P255" s="20" t="n">
        <f aca="false">IF(L255=0,0,IF($I255="L/km",MROUND(L255*$M255*IF($H255="Petrol",'Fuel &amp; Inputs'!$C$5,'Fuel &amp; Inputs'!$C$4),1),MROUND(L255*$M255*IF($H255="Petrol",'Fuel &amp; Inputs'!$C$5,'Fuel &amp; Inputs'!$C$4),10)))</f>
        <v>51</v>
      </c>
      <c r="Q255" s="17" t="s">
        <v>597</v>
      </c>
      <c r="R255" s="21" t="n">
        <v>870</v>
      </c>
      <c r="S255" s="20" t="n">
        <f aca="false">MROUND(R255+'Fuel &amp; Inputs'!$C$13,50)</f>
        <v>1650</v>
      </c>
      <c r="T255" s="21" t="n">
        <v>1610</v>
      </c>
      <c r="U255" s="20" t="n">
        <f aca="false">MROUND(R255*'Fuel &amp; Inputs'!$C$19*'Fuel &amp; Inputs'!$C$21,100)</f>
        <v>3300</v>
      </c>
      <c r="V255" s="20" t="n">
        <f aca="false">MROUND(S255*'Fuel &amp; Inputs'!$C$19*'Fuel &amp; Inputs'!$C$21,100)</f>
        <v>6300</v>
      </c>
      <c r="W255" s="20" t="n">
        <f aca="false">MROUND(T255*'Fuel &amp; Inputs'!$C$19*'Fuel &amp; Inputs'!$C$21,100)</f>
        <v>6100</v>
      </c>
      <c r="X255" s="20" t="n">
        <f aca="false">MROUND(R255*'Fuel &amp; Inputs'!$C$20*'Fuel &amp; Inputs'!$C$22,500)</f>
        <v>88500</v>
      </c>
      <c r="Y255" s="20" t="n">
        <f aca="false">MROUND(S255*'Fuel &amp; Inputs'!$C$20*'Fuel &amp; Inputs'!$C$22,500)</f>
        <v>168500</v>
      </c>
      <c r="Z255" s="20" t="n">
        <f aca="false">MROUND(T255*'Fuel &amp; Inputs'!$C$20*'Fuel &amp; Inputs'!$C$22,500)</f>
        <v>164000</v>
      </c>
    </row>
    <row r="256" customFormat="false" ht="23.85" hidden="false" customHeight="false" outlineLevel="0" collapsed="false">
      <c r="A256" s="23" t="n">
        <v>236</v>
      </c>
      <c r="B256" s="34" t="s">
        <v>98</v>
      </c>
      <c r="C256" s="34" t="s">
        <v>630</v>
      </c>
      <c r="D256" s="34" t="s">
        <v>631</v>
      </c>
      <c r="E256" s="23" t="s">
        <v>166</v>
      </c>
      <c r="F256" s="23" t="s">
        <v>656</v>
      </c>
      <c r="G256" s="23" t="s">
        <v>657</v>
      </c>
      <c r="H256" s="23" t="s">
        <v>153</v>
      </c>
      <c r="I256" s="23" t="s">
        <v>596</v>
      </c>
      <c r="J256" s="36" t="n">
        <v>0.078</v>
      </c>
      <c r="K256" s="36" t="n">
        <v>0.1</v>
      </c>
      <c r="L256" s="36" t="n">
        <v>0.125</v>
      </c>
      <c r="M256" s="35" t="n">
        <v>1.098</v>
      </c>
      <c r="N256" s="26" t="n">
        <f aca="false">IF(J256=0,0,IF($I256="L/km",MROUND(J256*$M256*IF($H256="Petrol",'Fuel &amp; Inputs'!$C$5,'Fuel &amp; Inputs'!$C$4),1),MROUND(J256*$M256*IF($H256="Petrol",'Fuel &amp; Inputs'!$C$5,'Fuel &amp; Inputs'!$C$4),10)))</f>
        <v>33</v>
      </c>
      <c r="O256" s="26" t="n">
        <f aca="false">IF(K256=0,0,IF($I256="L/km",MROUND(K256*$M256*IF($H256="Petrol",'Fuel &amp; Inputs'!$C$5,'Fuel &amp; Inputs'!$C$4),1),MROUND(K256*$M256*IF($H256="Petrol",'Fuel &amp; Inputs'!$C$5,'Fuel &amp; Inputs'!$C$4),10)))</f>
        <v>42</v>
      </c>
      <c r="P256" s="26" t="n">
        <f aca="false">IF(L256=0,0,IF($I256="L/km",MROUND(L256*$M256*IF($H256="Petrol",'Fuel &amp; Inputs'!$C$5,'Fuel &amp; Inputs'!$C$4),1),MROUND(L256*$M256*IF($H256="Petrol",'Fuel &amp; Inputs'!$C$5,'Fuel &amp; Inputs'!$C$4),10)))</f>
        <v>52</v>
      </c>
      <c r="Q256" s="23" t="s">
        <v>597</v>
      </c>
      <c r="R256" s="27" t="n">
        <v>780</v>
      </c>
      <c r="S256" s="26" t="n">
        <f aca="false">MROUND(R256+'Fuel &amp; Inputs'!$C$13,50)</f>
        <v>1600</v>
      </c>
      <c r="T256" s="27" t="n">
        <v>1440</v>
      </c>
      <c r="U256" s="26" t="n">
        <f aca="false">MROUND(R256*'Fuel &amp; Inputs'!$C$19*'Fuel &amp; Inputs'!$C$21,100)</f>
        <v>3000</v>
      </c>
      <c r="V256" s="26" t="n">
        <f aca="false">MROUND(S256*'Fuel &amp; Inputs'!$C$19*'Fuel &amp; Inputs'!$C$21,100)</f>
        <v>6100</v>
      </c>
      <c r="W256" s="26" t="n">
        <f aca="false">MROUND(T256*'Fuel &amp; Inputs'!$C$19*'Fuel &amp; Inputs'!$C$21,100)</f>
        <v>5500</v>
      </c>
      <c r="X256" s="26" t="n">
        <f aca="false">MROUND(R256*'Fuel &amp; Inputs'!$C$20*'Fuel &amp; Inputs'!$C$22,500)</f>
        <v>79500</v>
      </c>
      <c r="Y256" s="26" t="n">
        <f aca="false">MROUND(S256*'Fuel &amp; Inputs'!$C$20*'Fuel &amp; Inputs'!$C$22,500)</f>
        <v>163000</v>
      </c>
      <c r="Z256" s="26" t="n">
        <f aca="false">MROUND(T256*'Fuel &amp; Inputs'!$C$20*'Fuel &amp; Inputs'!$C$22,500)</f>
        <v>147000</v>
      </c>
    </row>
    <row r="257" customFormat="false" ht="23.85" hidden="false" customHeight="false" outlineLevel="0" collapsed="false">
      <c r="A257" s="17" t="n">
        <v>237</v>
      </c>
      <c r="B257" s="32" t="s">
        <v>98</v>
      </c>
      <c r="C257" s="32" t="s">
        <v>649</v>
      </c>
      <c r="D257" s="32" t="s">
        <v>653</v>
      </c>
      <c r="E257" s="17" t="s">
        <v>603</v>
      </c>
      <c r="F257" s="17" t="s">
        <v>658</v>
      </c>
      <c r="G257" s="17" t="s">
        <v>659</v>
      </c>
      <c r="H257" s="17" t="s">
        <v>153</v>
      </c>
      <c r="I257" s="17" t="s">
        <v>596</v>
      </c>
      <c r="J257" s="37" t="n">
        <v>0.078</v>
      </c>
      <c r="K257" s="37" t="n">
        <v>0.1</v>
      </c>
      <c r="L257" s="37" t="n">
        <v>0.125</v>
      </c>
      <c r="M257" s="33" t="n">
        <v>1.105</v>
      </c>
      <c r="N257" s="20" t="n">
        <f aca="false">IF(J257=0,0,IF($I257="L/km",MROUND(J257*$M257*IF($H257="Petrol",'Fuel &amp; Inputs'!$C$5,'Fuel &amp; Inputs'!$C$4),1),MROUND(J257*$M257*IF($H257="Petrol",'Fuel &amp; Inputs'!$C$5,'Fuel &amp; Inputs'!$C$4),10)))</f>
        <v>33</v>
      </c>
      <c r="O257" s="20" t="n">
        <f aca="false">IF(K257=0,0,IF($I257="L/km",MROUND(K257*$M257*IF($H257="Petrol",'Fuel &amp; Inputs'!$C$5,'Fuel &amp; Inputs'!$C$4),1),MROUND(K257*$M257*IF($H257="Petrol",'Fuel &amp; Inputs'!$C$5,'Fuel &amp; Inputs'!$C$4),10)))</f>
        <v>42</v>
      </c>
      <c r="P257" s="20" t="n">
        <f aca="false">IF(L257=0,0,IF($I257="L/km",MROUND(L257*$M257*IF($H257="Petrol",'Fuel &amp; Inputs'!$C$5,'Fuel &amp; Inputs'!$C$4),1),MROUND(L257*$M257*IF($H257="Petrol",'Fuel &amp; Inputs'!$C$5,'Fuel &amp; Inputs'!$C$4),10)))</f>
        <v>53</v>
      </c>
      <c r="Q257" s="17" t="s">
        <v>597</v>
      </c>
      <c r="R257" s="21" t="n">
        <v>780</v>
      </c>
      <c r="S257" s="20" t="n">
        <f aca="false">MROUND(R257+'Fuel &amp; Inputs'!$C$13,50)</f>
        <v>1600</v>
      </c>
      <c r="T257" s="21" t="n">
        <v>1440</v>
      </c>
      <c r="U257" s="20" t="n">
        <f aca="false">MROUND(R257*'Fuel &amp; Inputs'!$C$19*'Fuel &amp; Inputs'!$C$21,100)</f>
        <v>3000</v>
      </c>
      <c r="V257" s="20" t="n">
        <f aca="false">MROUND(S257*'Fuel &amp; Inputs'!$C$19*'Fuel &amp; Inputs'!$C$21,100)</f>
        <v>6100</v>
      </c>
      <c r="W257" s="20" t="n">
        <f aca="false">MROUND(T257*'Fuel &amp; Inputs'!$C$19*'Fuel &amp; Inputs'!$C$21,100)</f>
        <v>5500</v>
      </c>
      <c r="X257" s="20" t="n">
        <f aca="false">MROUND(R257*'Fuel &amp; Inputs'!$C$20*'Fuel &amp; Inputs'!$C$22,500)</f>
        <v>79500</v>
      </c>
      <c r="Y257" s="20" t="n">
        <f aca="false">MROUND(S257*'Fuel &amp; Inputs'!$C$20*'Fuel &amp; Inputs'!$C$22,500)</f>
        <v>163000</v>
      </c>
      <c r="Z257" s="20" t="n">
        <f aca="false">MROUND(T257*'Fuel &amp; Inputs'!$C$20*'Fuel &amp; Inputs'!$C$22,500)</f>
        <v>147000</v>
      </c>
    </row>
    <row r="258" customFormat="false" ht="23.85" hidden="false" customHeight="false" outlineLevel="0" collapsed="false">
      <c r="A258" s="23" t="n">
        <v>238</v>
      </c>
      <c r="B258" s="34" t="s">
        <v>98</v>
      </c>
      <c r="C258" s="34" t="s">
        <v>275</v>
      </c>
      <c r="D258" s="34" t="s">
        <v>660</v>
      </c>
      <c r="E258" s="23" t="s">
        <v>475</v>
      </c>
      <c r="F258" s="23" t="s">
        <v>661</v>
      </c>
      <c r="G258" s="23" t="s">
        <v>662</v>
      </c>
      <c r="H258" s="23" t="s">
        <v>153</v>
      </c>
      <c r="I258" s="23" t="s">
        <v>596</v>
      </c>
      <c r="J258" s="36" t="n">
        <v>0.078</v>
      </c>
      <c r="K258" s="36" t="n">
        <v>0.1</v>
      </c>
      <c r="L258" s="36" t="n">
        <v>0.125</v>
      </c>
      <c r="M258" s="35" t="n">
        <v>1.126</v>
      </c>
      <c r="N258" s="26" t="n">
        <f aca="false">IF(J258=0,0,IF($I258="L/km",MROUND(J258*$M258*IF($H258="Petrol",'Fuel &amp; Inputs'!$C$5,'Fuel &amp; Inputs'!$C$4),1),MROUND(J258*$M258*IF($H258="Petrol",'Fuel &amp; Inputs'!$C$5,'Fuel &amp; Inputs'!$C$4),10)))</f>
        <v>34</v>
      </c>
      <c r="O258" s="26" t="n">
        <f aca="false">IF(K258=0,0,IF($I258="L/km",MROUND(K258*$M258*IF($H258="Petrol",'Fuel &amp; Inputs'!$C$5,'Fuel &amp; Inputs'!$C$4),1),MROUND(K258*$M258*IF($H258="Petrol",'Fuel &amp; Inputs'!$C$5,'Fuel &amp; Inputs'!$C$4),10)))</f>
        <v>43</v>
      </c>
      <c r="P258" s="26" t="n">
        <f aca="false">IF(L258=0,0,IF($I258="L/km",MROUND(L258*$M258*IF($H258="Petrol",'Fuel &amp; Inputs'!$C$5,'Fuel &amp; Inputs'!$C$4),1),MROUND(L258*$M258*IF($H258="Petrol",'Fuel &amp; Inputs'!$C$5,'Fuel &amp; Inputs'!$C$4),10)))</f>
        <v>54</v>
      </c>
      <c r="Q258" s="23" t="s">
        <v>597</v>
      </c>
      <c r="R258" s="27" t="n">
        <v>680</v>
      </c>
      <c r="S258" s="26" t="n">
        <f aca="false">MROUND(R258+'Fuel &amp; Inputs'!$C$13,50)</f>
        <v>1500</v>
      </c>
      <c r="T258" s="27" t="n">
        <v>1260</v>
      </c>
      <c r="U258" s="26" t="n">
        <f aca="false">MROUND(R258*'Fuel &amp; Inputs'!$C$19*'Fuel &amp; Inputs'!$C$21,100)</f>
        <v>2600</v>
      </c>
      <c r="V258" s="26" t="n">
        <f aca="false">MROUND(S258*'Fuel &amp; Inputs'!$C$19*'Fuel &amp; Inputs'!$C$21,100)</f>
        <v>5700</v>
      </c>
      <c r="W258" s="26" t="n">
        <f aca="false">MROUND(T258*'Fuel &amp; Inputs'!$C$19*'Fuel &amp; Inputs'!$C$21,100)</f>
        <v>4800</v>
      </c>
      <c r="X258" s="26" t="n">
        <f aca="false">MROUND(R258*'Fuel &amp; Inputs'!$C$20*'Fuel &amp; Inputs'!$C$22,500)</f>
        <v>69500</v>
      </c>
      <c r="Y258" s="26" t="n">
        <f aca="false">MROUND(S258*'Fuel &amp; Inputs'!$C$20*'Fuel &amp; Inputs'!$C$22,500)</f>
        <v>153000</v>
      </c>
      <c r="Z258" s="26" t="n">
        <f aca="false">MROUND(T258*'Fuel &amp; Inputs'!$C$20*'Fuel &amp; Inputs'!$C$22,500)</f>
        <v>128500</v>
      </c>
    </row>
    <row r="259" customFormat="false" ht="23.85" hidden="false" customHeight="false" outlineLevel="0" collapsed="false">
      <c r="A259" s="17" t="n">
        <v>239</v>
      </c>
      <c r="B259" s="32" t="s">
        <v>98</v>
      </c>
      <c r="C259" s="32" t="s">
        <v>630</v>
      </c>
      <c r="D259" s="32" t="s">
        <v>663</v>
      </c>
      <c r="E259" s="17" t="s">
        <v>475</v>
      </c>
      <c r="F259" s="17" t="s">
        <v>664</v>
      </c>
      <c r="G259" s="17" t="s">
        <v>665</v>
      </c>
      <c r="H259" s="17" t="s">
        <v>153</v>
      </c>
      <c r="I259" s="17" t="s">
        <v>596</v>
      </c>
      <c r="J259" s="37" t="n">
        <v>0.078</v>
      </c>
      <c r="K259" s="37" t="n">
        <v>0.1</v>
      </c>
      <c r="L259" s="37" t="n">
        <v>0.125</v>
      </c>
      <c r="M259" s="33" t="n">
        <v>1.126</v>
      </c>
      <c r="N259" s="20" t="n">
        <f aca="false">IF(J259=0,0,IF($I259="L/km",MROUND(J259*$M259*IF($H259="Petrol",'Fuel &amp; Inputs'!$C$5,'Fuel &amp; Inputs'!$C$4),1),MROUND(J259*$M259*IF($H259="Petrol",'Fuel &amp; Inputs'!$C$5,'Fuel &amp; Inputs'!$C$4),10)))</f>
        <v>34</v>
      </c>
      <c r="O259" s="20" t="n">
        <f aca="false">IF(K259=0,0,IF($I259="L/km",MROUND(K259*$M259*IF($H259="Petrol",'Fuel &amp; Inputs'!$C$5,'Fuel &amp; Inputs'!$C$4),1),MROUND(K259*$M259*IF($H259="Petrol",'Fuel &amp; Inputs'!$C$5,'Fuel &amp; Inputs'!$C$4),10)))</f>
        <v>43</v>
      </c>
      <c r="P259" s="20" t="n">
        <f aca="false">IF(L259=0,0,IF($I259="L/km",MROUND(L259*$M259*IF($H259="Petrol",'Fuel &amp; Inputs'!$C$5,'Fuel &amp; Inputs'!$C$4),1),MROUND(L259*$M259*IF($H259="Petrol",'Fuel &amp; Inputs'!$C$5,'Fuel &amp; Inputs'!$C$4),10)))</f>
        <v>54</v>
      </c>
      <c r="Q259" s="17" t="s">
        <v>597</v>
      </c>
      <c r="R259" s="21" t="n">
        <v>680</v>
      </c>
      <c r="S259" s="20" t="n">
        <f aca="false">MROUND(R259+'Fuel &amp; Inputs'!$C$13,50)</f>
        <v>1500</v>
      </c>
      <c r="T259" s="21" t="n">
        <v>1260</v>
      </c>
      <c r="U259" s="20" t="n">
        <f aca="false">MROUND(R259*'Fuel &amp; Inputs'!$C$19*'Fuel &amp; Inputs'!$C$21,100)</f>
        <v>2600</v>
      </c>
      <c r="V259" s="20" t="n">
        <f aca="false">MROUND(S259*'Fuel &amp; Inputs'!$C$19*'Fuel &amp; Inputs'!$C$21,100)</f>
        <v>5700</v>
      </c>
      <c r="W259" s="20" t="n">
        <f aca="false">MROUND(T259*'Fuel &amp; Inputs'!$C$19*'Fuel &amp; Inputs'!$C$21,100)</f>
        <v>4800</v>
      </c>
      <c r="X259" s="20" t="n">
        <f aca="false">MROUND(R259*'Fuel &amp; Inputs'!$C$20*'Fuel &amp; Inputs'!$C$22,500)</f>
        <v>69500</v>
      </c>
      <c r="Y259" s="20" t="n">
        <f aca="false">MROUND(S259*'Fuel &amp; Inputs'!$C$20*'Fuel &amp; Inputs'!$C$22,500)</f>
        <v>153000</v>
      </c>
      <c r="Z259" s="20" t="n">
        <f aca="false">MROUND(T259*'Fuel &amp; Inputs'!$C$20*'Fuel &amp; Inputs'!$C$22,500)</f>
        <v>128500</v>
      </c>
    </row>
    <row r="260" customFormat="false" ht="23.85" hidden="false" customHeight="false" outlineLevel="0" collapsed="false">
      <c r="A260" s="23" t="n">
        <v>240</v>
      </c>
      <c r="B260" s="34" t="s">
        <v>98</v>
      </c>
      <c r="C260" s="34" t="s">
        <v>630</v>
      </c>
      <c r="D260" s="34" t="s">
        <v>663</v>
      </c>
      <c r="E260" s="23" t="s">
        <v>666</v>
      </c>
      <c r="F260" s="23" t="s">
        <v>667</v>
      </c>
      <c r="G260" s="23" t="s">
        <v>668</v>
      </c>
      <c r="H260" s="23" t="s">
        <v>153</v>
      </c>
      <c r="I260" s="23" t="s">
        <v>596</v>
      </c>
      <c r="J260" s="36" t="n">
        <v>0.078</v>
      </c>
      <c r="K260" s="36" t="n">
        <v>0.1</v>
      </c>
      <c r="L260" s="36" t="n">
        <v>0.125</v>
      </c>
      <c r="M260" s="35" t="n">
        <v>1.133</v>
      </c>
      <c r="N260" s="26" t="n">
        <f aca="false">IF(J260=0,0,IF($I260="L/km",MROUND(J260*$M260*IF($H260="Petrol",'Fuel &amp; Inputs'!$C$5,'Fuel &amp; Inputs'!$C$4),1),MROUND(J260*$M260*IF($H260="Petrol",'Fuel &amp; Inputs'!$C$5,'Fuel &amp; Inputs'!$C$4),10)))</f>
        <v>34</v>
      </c>
      <c r="O260" s="26" t="n">
        <f aca="false">IF(K260=0,0,IF($I260="L/km",MROUND(K260*$M260*IF($H260="Petrol",'Fuel &amp; Inputs'!$C$5,'Fuel &amp; Inputs'!$C$4),1),MROUND(K260*$M260*IF($H260="Petrol",'Fuel &amp; Inputs'!$C$5,'Fuel &amp; Inputs'!$C$4),10)))</f>
        <v>43</v>
      </c>
      <c r="P260" s="26" t="n">
        <f aca="false">IF(L260=0,0,IF($I260="L/km",MROUND(L260*$M260*IF($H260="Petrol",'Fuel &amp; Inputs'!$C$5,'Fuel &amp; Inputs'!$C$4),1),MROUND(L260*$M260*IF($H260="Petrol",'Fuel &amp; Inputs'!$C$5,'Fuel &amp; Inputs'!$C$4),10)))</f>
        <v>54</v>
      </c>
      <c r="Q260" s="23" t="s">
        <v>597</v>
      </c>
      <c r="R260" s="27" t="n">
        <v>680</v>
      </c>
      <c r="S260" s="26" t="n">
        <f aca="false">MROUND(R260+'Fuel &amp; Inputs'!$C$13,50)</f>
        <v>1500</v>
      </c>
      <c r="T260" s="27" t="n">
        <v>1260</v>
      </c>
      <c r="U260" s="26" t="n">
        <f aca="false">MROUND(R260*'Fuel &amp; Inputs'!$C$19*'Fuel &amp; Inputs'!$C$21,100)</f>
        <v>2600</v>
      </c>
      <c r="V260" s="26" t="n">
        <f aca="false">MROUND(S260*'Fuel &amp; Inputs'!$C$19*'Fuel &amp; Inputs'!$C$21,100)</f>
        <v>5700</v>
      </c>
      <c r="W260" s="26" t="n">
        <f aca="false">MROUND(T260*'Fuel &amp; Inputs'!$C$19*'Fuel &amp; Inputs'!$C$21,100)</f>
        <v>4800</v>
      </c>
      <c r="X260" s="26" t="n">
        <f aca="false">MROUND(R260*'Fuel &amp; Inputs'!$C$20*'Fuel &amp; Inputs'!$C$22,500)</f>
        <v>69500</v>
      </c>
      <c r="Y260" s="26" t="n">
        <f aca="false">MROUND(S260*'Fuel &amp; Inputs'!$C$20*'Fuel &amp; Inputs'!$C$22,500)</f>
        <v>153000</v>
      </c>
      <c r="Z260" s="26" t="n">
        <f aca="false">MROUND(T260*'Fuel &amp; Inputs'!$C$20*'Fuel &amp; Inputs'!$C$22,500)</f>
        <v>128500</v>
      </c>
    </row>
    <row r="261" customFormat="false" ht="23.85" hidden="false" customHeight="false" outlineLevel="0" collapsed="false">
      <c r="A261" s="17" t="n">
        <v>241</v>
      </c>
      <c r="B261" s="32" t="s">
        <v>98</v>
      </c>
      <c r="C261" s="32" t="s">
        <v>630</v>
      </c>
      <c r="D261" s="32" t="s">
        <v>631</v>
      </c>
      <c r="E261" s="17" t="s">
        <v>666</v>
      </c>
      <c r="F261" s="17" t="s">
        <v>669</v>
      </c>
      <c r="G261" s="17" t="s">
        <v>670</v>
      </c>
      <c r="H261" s="17" t="s">
        <v>153</v>
      </c>
      <c r="I261" s="17" t="s">
        <v>596</v>
      </c>
      <c r="J261" s="37" t="n">
        <v>0.078</v>
      </c>
      <c r="K261" s="37" t="n">
        <v>0.1</v>
      </c>
      <c r="L261" s="37" t="n">
        <v>0.125</v>
      </c>
      <c r="M261" s="33" t="n">
        <v>1.133</v>
      </c>
      <c r="N261" s="20" t="n">
        <f aca="false">IF(J261=0,0,IF($I261="L/km",MROUND(J261*$M261*IF($H261="Petrol",'Fuel &amp; Inputs'!$C$5,'Fuel &amp; Inputs'!$C$4),1),MROUND(J261*$M261*IF($H261="Petrol",'Fuel &amp; Inputs'!$C$5,'Fuel &amp; Inputs'!$C$4),10)))</f>
        <v>34</v>
      </c>
      <c r="O261" s="20" t="n">
        <f aca="false">IF(K261=0,0,IF($I261="L/km",MROUND(K261*$M261*IF($H261="Petrol",'Fuel &amp; Inputs'!$C$5,'Fuel &amp; Inputs'!$C$4),1),MROUND(K261*$M261*IF($H261="Petrol",'Fuel &amp; Inputs'!$C$5,'Fuel &amp; Inputs'!$C$4),10)))</f>
        <v>43</v>
      </c>
      <c r="P261" s="20" t="n">
        <f aca="false">IF(L261=0,0,IF($I261="L/km",MROUND(L261*$M261*IF($H261="Petrol",'Fuel &amp; Inputs'!$C$5,'Fuel &amp; Inputs'!$C$4),1),MROUND(L261*$M261*IF($H261="Petrol",'Fuel &amp; Inputs'!$C$5,'Fuel &amp; Inputs'!$C$4),10)))</f>
        <v>54</v>
      </c>
      <c r="Q261" s="17" t="s">
        <v>597</v>
      </c>
      <c r="R261" s="21" t="n">
        <v>680</v>
      </c>
      <c r="S261" s="20" t="n">
        <f aca="false">MROUND(R261+'Fuel &amp; Inputs'!$C$13,50)</f>
        <v>1500</v>
      </c>
      <c r="T261" s="21" t="n">
        <v>1260</v>
      </c>
      <c r="U261" s="20" t="n">
        <f aca="false">MROUND(R261*'Fuel &amp; Inputs'!$C$19*'Fuel &amp; Inputs'!$C$21,100)</f>
        <v>2600</v>
      </c>
      <c r="V261" s="20" t="n">
        <f aca="false">MROUND(S261*'Fuel &amp; Inputs'!$C$19*'Fuel &amp; Inputs'!$C$21,100)</f>
        <v>5700</v>
      </c>
      <c r="W261" s="20" t="n">
        <f aca="false">MROUND(T261*'Fuel &amp; Inputs'!$C$19*'Fuel &amp; Inputs'!$C$21,100)</f>
        <v>4800</v>
      </c>
      <c r="X261" s="20" t="n">
        <f aca="false">MROUND(R261*'Fuel &amp; Inputs'!$C$20*'Fuel &amp; Inputs'!$C$22,500)</f>
        <v>69500</v>
      </c>
      <c r="Y261" s="20" t="n">
        <f aca="false">MROUND(S261*'Fuel &amp; Inputs'!$C$20*'Fuel &amp; Inputs'!$C$22,500)</f>
        <v>153000</v>
      </c>
      <c r="Z261" s="20" t="n">
        <f aca="false">MROUND(T261*'Fuel &amp; Inputs'!$C$20*'Fuel &amp; Inputs'!$C$22,500)</f>
        <v>128500</v>
      </c>
    </row>
    <row r="262" customFormat="false" ht="23.85" hidden="false" customHeight="false" outlineLevel="0" collapsed="false">
      <c r="A262" s="23" t="n">
        <v>242</v>
      </c>
      <c r="B262" s="34" t="s">
        <v>98</v>
      </c>
      <c r="C262" s="34" t="s">
        <v>630</v>
      </c>
      <c r="D262" s="34" t="s">
        <v>671</v>
      </c>
      <c r="E262" s="23" t="s">
        <v>666</v>
      </c>
      <c r="F262" s="23" t="s">
        <v>672</v>
      </c>
      <c r="G262" s="23" t="s">
        <v>673</v>
      </c>
      <c r="H262" s="23" t="s">
        <v>153</v>
      </c>
      <c r="I262" s="23" t="s">
        <v>596</v>
      </c>
      <c r="J262" s="36" t="n">
        <v>0.078</v>
      </c>
      <c r="K262" s="36" t="n">
        <v>0.1</v>
      </c>
      <c r="L262" s="36" t="n">
        <v>0.125</v>
      </c>
      <c r="M262" s="35" t="n">
        <v>1.133</v>
      </c>
      <c r="N262" s="26" t="n">
        <f aca="false">IF(J262=0,0,IF($I262="L/km",MROUND(J262*$M262*IF($H262="Petrol",'Fuel &amp; Inputs'!$C$5,'Fuel &amp; Inputs'!$C$4),1),MROUND(J262*$M262*IF($H262="Petrol",'Fuel &amp; Inputs'!$C$5,'Fuel &amp; Inputs'!$C$4),10)))</f>
        <v>34</v>
      </c>
      <c r="O262" s="26" t="n">
        <f aca="false">IF(K262=0,0,IF($I262="L/km",MROUND(K262*$M262*IF($H262="Petrol",'Fuel &amp; Inputs'!$C$5,'Fuel &amp; Inputs'!$C$4),1),MROUND(K262*$M262*IF($H262="Petrol",'Fuel &amp; Inputs'!$C$5,'Fuel &amp; Inputs'!$C$4),10)))</f>
        <v>43</v>
      </c>
      <c r="P262" s="26" t="n">
        <f aca="false">IF(L262=0,0,IF($I262="L/km",MROUND(L262*$M262*IF($H262="Petrol",'Fuel &amp; Inputs'!$C$5,'Fuel &amp; Inputs'!$C$4),1),MROUND(L262*$M262*IF($H262="Petrol",'Fuel &amp; Inputs'!$C$5,'Fuel &amp; Inputs'!$C$4),10)))</f>
        <v>54</v>
      </c>
      <c r="Q262" s="23" t="s">
        <v>597</v>
      </c>
      <c r="R262" s="27" t="n">
        <v>680</v>
      </c>
      <c r="S262" s="26" t="n">
        <f aca="false">MROUND(R262+'Fuel &amp; Inputs'!$C$13,50)</f>
        <v>1500</v>
      </c>
      <c r="T262" s="27" t="n">
        <v>1260</v>
      </c>
      <c r="U262" s="26" t="n">
        <f aca="false">MROUND(R262*'Fuel &amp; Inputs'!$C$19*'Fuel &amp; Inputs'!$C$21,100)</f>
        <v>2600</v>
      </c>
      <c r="V262" s="26" t="n">
        <f aca="false">MROUND(S262*'Fuel &amp; Inputs'!$C$19*'Fuel &amp; Inputs'!$C$21,100)</f>
        <v>5700</v>
      </c>
      <c r="W262" s="26" t="n">
        <f aca="false">MROUND(T262*'Fuel &amp; Inputs'!$C$19*'Fuel &amp; Inputs'!$C$21,100)</f>
        <v>4800</v>
      </c>
      <c r="X262" s="26" t="n">
        <f aca="false">MROUND(R262*'Fuel &amp; Inputs'!$C$20*'Fuel &amp; Inputs'!$C$22,500)</f>
        <v>69500</v>
      </c>
      <c r="Y262" s="26" t="n">
        <f aca="false">MROUND(S262*'Fuel &amp; Inputs'!$C$20*'Fuel &amp; Inputs'!$C$22,500)</f>
        <v>153000</v>
      </c>
      <c r="Z262" s="26" t="n">
        <f aca="false">MROUND(T262*'Fuel &amp; Inputs'!$C$20*'Fuel &amp; Inputs'!$C$22,500)</f>
        <v>128500</v>
      </c>
    </row>
    <row r="263" customFormat="false" ht="23.85" hidden="false" customHeight="false" outlineLevel="0" collapsed="false">
      <c r="A263" s="17" t="n">
        <v>243</v>
      </c>
      <c r="B263" s="32" t="s">
        <v>98</v>
      </c>
      <c r="C263" s="32" t="s">
        <v>630</v>
      </c>
      <c r="D263" s="32" t="s">
        <v>631</v>
      </c>
      <c r="E263" s="17" t="s">
        <v>581</v>
      </c>
      <c r="F263" s="17" t="s">
        <v>674</v>
      </c>
      <c r="G263" s="17" t="s">
        <v>675</v>
      </c>
      <c r="H263" s="17" t="s">
        <v>153</v>
      </c>
      <c r="I263" s="17" t="s">
        <v>596</v>
      </c>
      <c r="J263" s="37" t="n">
        <v>0.078</v>
      </c>
      <c r="K263" s="37" t="n">
        <v>0.1</v>
      </c>
      <c r="L263" s="37" t="n">
        <v>0.125</v>
      </c>
      <c r="M263" s="33" t="n">
        <v>1.147</v>
      </c>
      <c r="N263" s="20" t="n">
        <f aca="false">IF(J263=0,0,IF($I263="L/km",MROUND(J263*$M263*IF($H263="Petrol",'Fuel &amp; Inputs'!$C$5,'Fuel &amp; Inputs'!$C$4),1),MROUND(J263*$M263*IF($H263="Petrol",'Fuel &amp; Inputs'!$C$5,'Fuel &amp; Inputs'!$C$4),10)))</f>
        <v>34</v>
      </c>
      <c r="O263" s="20" t="n">
        <f aca="false">IF(K263=0,0,IF($I263="L/km",MROUND(K263*$M263*IF($H263="Petrol",'Fuel &amp; Inputs'!$C$5,'Fuel &amp; Inputs'!$C$4),1),MROUND(K263*$M263*IF($H263="Petrol",'Fuel &amp; Inputs'!$C$5,'Fuel &amp; Inputs'!$C$4),10)))</f>
        <v>44</v>
      </c>
      <c r="P263" s="20" t="n">
        <f aca="false">IF(L263=0,0,IF($I263="L/km",MROUND(L263*$M263*IF($H263="Petrol",'Fuel &amp; Inputs'!$C$5,'Fuel &amp; Inputs'!$C$4),1),MROUND(L263*$M263*IF($H263="Petrol",'Fuel &amp; Inputs'!$C$5,'Fuel &amp; Inputs'!$C$4),10)))</f>
        <v>55</v>
      </c>
      <c r="Q263" s="17" t="s">
        <v>597</v>
      </c>
      <c r="R263" s="21" t="n">
        <v>680</v>
      </c>
      <c r="S263" s="20" t="n">
        <f aca="false">MROUND(R263+'Fuel &amp; Inputs'!$C$13,50)</f>
        <v>1500</v>
      </c>
      <c r="T263" s="21" t="n">
        <v>1260</v>
      </c>
      <c r="U263" s="20" t="n">
        <f aca="false">MROUND(R263*'Fuel &amp; Inputs'!$C$19*'Fuel &amp; Inputs'!$C$21,100)</f>
        <v>2600</v>
      </c>
      <c r="V263" s="20" t="n">
        <f aca="false">MROUND(S263*'Fuel &amp; Inputs'!$C$19*'Fuel &amp; Inputs'!$C$21,100)</f>
        <v>5700</v>
      </c>
      <c r="W263" s="20" t="n">
        <f aca="false">MROUND(T263*'Fuel &amp; Inputs'!$C$19*'Fuel &amp; Inputs'!$C$21,100)</f>
        <v>4800</v>
      </c>
      <c r="X263" s="20" t="n">
        <f aca="false">MROUND(R263*'Fuel &amp; Inputs'!$C$20*'Fuel &amp; Inputs'!$C$22,500)</f>
        <v>69500</v>
      </c>
      <c r="Y263" s="20" t="n">
        <f aca="false">MROUND(S263*'Fuel &amp; Inputs'!$C$20*'Fuel &amp; Inputs'!$C$22,500)</f>
        <v>153000</v>
      </c>
      <c r="Z263" s="20" t="n">
        <f aca="false">MROUND(T263*'Fuel &amp; Inputs'!$C$20*'Fuel &amp; Inputs'!$C$22,500)</f>
        <v>128500</v>
      </c>
    </row>
    <row r="264" customFormat="false" ht="23.85" hidden="false" customHeight="false" outlineLevel="0" collapsed="false">
      <c r="A264" s="23" t="n">
        <v>244</v>
      </c>
      <c r="B264" s="34" t="s">
        <v>98</v>
      </c>
      <c r="C264" s="34" t="s">
        <v>676</v>
      </c>
      <c r="D264" s="34" t="s">
        <v>677</v>
      </c>
      <c r="E264" s="23" t="s">
        <v>581</v>
      </c>
      <c r="F264" s="23" t="s">
        <v>678</v>
      </c>
      <c r="G264" s="23" t="s">
        <v>679</v>
      </c>
      <c r="H264" s="23" t="s">
        <v>153</v>
      </c>
      <c r="I264" s="23" t="s">
        <v>596</v>
      </c>
      <c r="J264" s="36" t="n">
        <v>0.078</v>
      </c>
      <c r="K264" s="36" t="n">
        <v>0.1</v>
      </c>
      <c r="L264" s="36" t="n">
        <v>0.125</v>
      </c>
      <c r="M264" s="35" t="n">
        <v>1.147</v>
      </c>
      <c r="N264" s="26" t="n">
        <f aca="false">IF(J264=0,0,IF($I264="L/km",MROUND(J264*$M264*IF($H264="Petrol",'Fuel &amp; Inputs'!$C$5,'Fuel &amp; Inputs'!$C$4),1),MROUND(J264*$M264*IF($H264="Petrol",'Fuel &amp; Inputs'!$C$5,'Fuel &amp; Inputs'!$C$4),10)))</f>
        <v>34</v>
      </c>
      <c r="O264" s="26" t="n">
        <f aca="false">IF(K264=0,0,IF($I264="L/km",MROUND(K264*$M264*IF($H264="Petrol",'Fuel &amp; Inputs'!$C$5,'Fuel &amp; Inputs'!$C$4),1),MROUND(K264*$M264*IF($H264="Petrol",'Fuel &amp; Inputs'!$C$5,'Fuel &amp; Inputs'!$C$4),10)))</f>
        <v>44</v>
      </c>
      <c r="P264" s="26" t="n">
        <f aca="false">IF(L264=0,0,IF($I264="L/km",MROUND(L264*$M264*IF($H264="Petrol",'Fuel &amp; Inputs'!$C$5,'Fuel &amp; Inputs'!$C$4),1),MROUND(L264*$M264*IF($H264="Petrol",'Fuel &amp; Inputs'!$C$5,'Fuel &amp; Inputs'!$C$4),10)))</f>
        <v>55</v>
      </c>
      <c r="Q264" s="23" t="s">
        <v>597</v>
      </c>
      <c r="R264" s="27" t="n">
        <v>680</v>
      </c>
      <c r="S264" s="26" t="n">
        <f aca="false">MROUND(R264+'Fuel &amp; Inputs'!$C$13,50)</f>
        <v>1500</v>
      </c>
      <c r="T264" s="27" t="n">
        <v>1260</v>
      </c>
      <c r="U264" s="26" t="n">
        <f aca="false">MROUND(R264*'Fuel &amp; Inputs'!$C$19*'Fuel &amp; Inputs'!$C$21,100)</f>
        <v>2600</v>
      </c>
      <c r="V264" s="26" t="n">
        <f aca="false">MROUND(S264*'Fuel &amp; Inputs'!$C$19*'Fuel &amp; Inputs'!$C$21,100)</f>
        <v>5700</v>
      </c>
      <c r="W264" s="26" t="n">
        <f aca="false">MROUND(T264*'Fuel &amp; Inputs'!$C$19*'Fuel &amp; Inputs'!$C$21,100)</f>
        <v>4800</v>
      </c>
      <c r="X264" s="26" t="n">
        <f aca="false">MROUND(R264*'Fuel &amp; Inputs'!$C$20*'Fuel &amp; Inputs'!$C$22,500)</f>
        <v>69500</v>
      </c>
      <c r="Y264" s="26" t="n">
        <f aca="false">MROUND(S264*'Fuel &amp; Inputs'!$C$20*'Fuel &amp; Inputs'!$C$22,500)</f>
        <v>153000</v>
      </c>
      <c r="Z264" s="26" t="n">
        <f aca="false">MROUND(T264*'Fuel &amp; Inputs'!$C$20*'Fuel &amp; Inputs'!$C$22,500)</f>
        <v>128500</v>
      </c>
    </row>
    <row r="265" customFormat="false" ht="23.85" hidden="false" customHeight="false" outlineLevel="0" collapsed="false">
      <c r="A265" s="17" t="n">
        <v>245</v>
      </c>
      <c r="B265" s="32" t="s">
        <v>98</v>
      </c>
      <c r="C265" s="32" t="s">
        <v>275</v>
      </c>
      <c r="D265" s="32" t="s">
        <v>660</v>
      </c>
      <c r="E265" s="17" t="s">
        <v>277</v>
      </c>
      <c r="F265" s="17" t="s">
        <v>680</v>
      </c>
      <c r="G265" s="17" t="s">
        <v>681</v>
      </c>
      <c r="H265" s="17" t="s">
        <v>153</v>
      </c>
      <c r="I265" s="17" t="s">
        <v>596</v>
      </c>
      <c r="J265" s="37" t="n">
        <v>0.078</v>
      </c>
      <c r="K265" s="37" t="n">
        <v>0.1</v>
      </c>
      <c r="L265" s="37" t="n">
        <v>0.125</v>
      </c>
      <c r="M265" s="33" t="n">
        <v>1.161</v>
      </c>
      <c r="N265" s="20" t="n">
        <f aca="false">IF(J265=0,0,IF($I265="L/km",MROUND(J265*$M265*IF($H265="Petrol",'Fuel &amp; Inputs'!$C$5,'Fuel &amp; Inputs'!$C$4),1),MROUND(J265*$M265*IF($H265="Petrol",'Fuel &amp; Inputs'!$C$5,'Fuel &amp; Inputs'!$C$4),10)))</f>
        <v>35</v>
      </c>
      <c r="O265" s="20" t="n">
        <f aca="false">IF(K265=0,0,IF($I265="L/km",MROUND(K265*$M265*IF($H265="Petrol",'Fuel &amp; Inputs'!$C$5,'Fuel &amp; Inputs'!$C$4),1),MROUND(K265*$M265*IF($H265="Petrol",'Fuel &amp; Inputs'!$C$5,'Fuel &amp; Inputs'!$C$4),10)))</f>
        <v>44</v>
      </c>
      <c r="P265" s="20" t="n">
        <f aca="false">IF(L265=0,0,IF($I265="L/km",MROUND(L265*$M265*IF($H265="Petrol",'Fuel &amp; Inputs'!$C$5,'Fuel &amp; Inputs'!$C$4),1),MROUND(L265*$M265*IF($H265="Petrol",'Fuel &amp; Inputs'!$C$5,'Fuel &amp; Inputs'!$C$4),10)))</f>
        <v>55</v>
      </c>
      <c r="Q265" s="17" t="s">
        <v>597</v>
      </c>
      <c r="R265" s="21" t="n">
        <v>620</v>
      </c>
      <c r="S265" s="20" t="n">
        <f aca="false">MROUND(R265+'Fuel &amp; Inputs'!$C$13,50)</f>
        <v>1400</v>
      </c>
      <c r="T265" s="21" t="n">
        <v>1140</v>
      </c>
      <c r="U265" s="20" t="n">
        <f aca="false">MROUND(R265*'Fuel &amp; Inputs'!$C$19*'Fuel &amp; Inputs'!$C$21,100)</f>
        <v>2400</v>
      </c>
      <c r="V265" s="20" t="n">
        <f aca="false">MROUND(S265*'Fuel &amp; Inputs'!$C$19*'Fuel &amp; Inputs'!$C$21,100)</f>
        <v>5300</v>
      </c>
      <c r="W265" s="20" t="n">
        <f aca="false">MROUND(T265*'Fuel &amp; Inputs'!$C$19*'Fuel &amp; Inputs'!$C$21,100)</f>
        <v>4300</v>
      </c>
      <c r="X265" s="20" t="n">
        <f aca="false">MROUND(R265*'Fuel &amp; Inputs'!$C$20*'Fuel &amp; Inputs'!$C$22,500)</f>
        <v>63000</v>
      </c>
      <c r="Y265" s="20" t="n">
        <f aca="false">MROUND(S265*'Fuel &amp; Inputs'!$C$20*'Fuel &amp; Inputs'!$C$22,500)</f>
        <v>143000</v>
      </c>
      <c r="Z265" s="20" t="n">
        <f aca="false">MROUND(T265*'Fuel &amp; Inputs'!$C$20*'Fuel &amp; Inputs'!$C$22,500)</f>
        <v>116500</v>
      </c>
    </row>
    <row r="266" customFormat="false" ht="23.85" hidden="false" customHeight="false" outlineLevel="0" collapsed="false">
      <c r="A266" s="23" t="n">
        <v>246</v>
      </c>
      <c r="B266" s="34" t="s">
        <v>98</v>
      </c>
      <c r="C266" s="34" t="s">
        <v>275</v>
      </c>
      <c r="D266" s="34" t="s">
        <v>682</v>
      </c>
      <c r="E266" s="23" t="s">
        <v>216</v>
      </c>
      <c r="F266" s="23" t="s">
        <v>683</v>
      </c>
      <c r="G266" s="23" t="s">
        <v>684</v>
      </c>
      <c r="H266" s="23" t="s">
        <v>153</v>
      </c>
      <c r="I266" s="23" t="s">
        <v>596</v>
      </c>
      <c r="J266" s="36" t="n">
        <v>0.078</v>
      </c>
      <c r="K266" s="36" t="n">
        <v>0.1</v>
      </c>
      <c r="L266" s="36" t="n">
        <v>0.125</v>
      </c>
      <c r="M266" s="35" t="n">
        <v>1.175</v>
      </c>
      <c r="N266" s="26" t="n">
        <f aca="false">IF(J266=0,0,IF($I266="L/km",MROUND(J266*$M266*IF($H266="Petrol",'Fuel &amp; Inputs'!$C$5,'Fuel &amp; Inputs'!$C$4),1),MROUND(J266*$M266*IF($H266="Petrol",'Fuel &amp; Inputs'!$C$5,'Fuel &amp; Inputs'!$C$4),10)))</f>
        <v>35</v>
      </c>
      <c r="O266" s="26" t="n">
        <f aca="false">IF(K266=0,0,IF($I266="L/km",MROUND(K266*$M266*IF($H266="Petrol",'Fuel &amp; Inputs'!$C$5,'Fuel &amp; Inputs'!$C$4),1),MROUND(K266*$M266*IF($H266="Petrol",'Fuel &amp; Inputs'!$C$5,'Fuel &amp; Inputs'!$C$4),10)))</f>
        <v>45</v>
      </c>
      <c r="P266" s="26" t="n">
        <f aca="false">IF(L266=0,0,IF($I266="L/km",MROUND(L266*$M266*IF($H266="Petrol",'Fuel &amp; Inputs'!$C$5,'Fuel &amp; Inputs'!$C$4),1),MROUND(L266*$M266*IF($H266="Petrol",'Fuel &amp; Inputs'!$C$5,'Fuel &amp; Inputs'!$C$4),10)))</f>
        <v>56</v>
      </c>
      <c r="Q266" s="23" t="s">
        <v>597</v>
      </c>
      <c r="R266" s="27" t="n">
        <v>550</v>
      </c>
      <c r="S266" s="26" t="n">
        <f aca="false">MROUND(R266+'Fuel &amp; Inputs'!$C$13,50)</f>
        <v>1350</v>
      </c>
      <c r="T266" s="27" t="n">
        <v>1010</v>
      </c>
      <c r="U266" s="26" t="n">
        <f aca="false">MROUND(R266*'Fuel &amp; Inputs'!$C$19*'Fuel &amp; Inputs'!$C$21,100)</f>
        <v>2100</v>
      </c>
      <c r="V266" s="26" t="n">
        <f aca="false">MROUND(S266*'Fuel &amp; Inputs'!$C$19*'Fuel &amp; Inputs'!$C$21,100)</f>
        <v>5100</v>
      </c>
      <c r="W266" s="26" t="n">
        <f aca="false">MROUND(T266*'Fuel &amp; Inputs'!$C$19*'Fuel &amp; Inputs'!$C$21,100)</f>
        <v>3800</v>
      </c>
      <c r="X266" s="26" t="n">
        <f aca="false">MROUND(R266*'Fuel &amp; Inputs'!$C$20*'Fuel &amp; Inputs'!$C$22,500)</f>
        <v>56000</v>
      </c>
      <c r="Y266" s="26" t="n">
        <f aca="false">MROUND(S266*'Fuel &amp; Inputs'!$C$20*'Fuel &amp; Inputs'!$C$22,500)</f>
        <v>137500</v>
      </c>
      <c r="Z266" s="26" t="n">
        <f aca="false">MROUND(T266*'Fuel &amp; Inputs'!$C$20*'Fuel &amp; Inputs'!$C$22,500)</f>
        <v>103000</v>
      </c>
    </row>
    <row r="267" customFormat="false" ht="23.85" hidden="false" customHeight="false" outlineLevel="0" collapsed="false">
      <c r="A267" s="17" t="n">
        <v>247</v>
      </c>
      <c r="B267" s="32" t="s">
        <v>98</v>
      </c>
      <c r="C267" s="32" t="s">
        <v>280</v>
      </c>
      <c r="D267" s="32" t="s">
        <v>682</v>
      </c>
      <c r="E267" s="17" t="s">
        <v>685</v>
      </c>
      <c r="F267" s="17" t="s">
        <v>686</v>
      </c>
      <c r="G267" s="17" t="s">
        <v>687</v>
      </c>
      <c r="H267" s="17" t="s">
        <v>153</v>
      </c>
      <c r="I267" s="17" t="s">
        <v>596</v>
      </c>
      <c r="J267" s="37" t="n">
        <v>0.078</v>
      </c>
      <c r="K267" s="37" t="n">
        <v>0.1</v>
      </c>
      <c r="L267" s="37" t="n">
        <v>0.125</v>
      </c>
      <c r="M267" s="33" t="n">
        <v>1.175</v>
      </c>
      <c r="N267" s="20" t="n">
        <f aca="false">IF(J267=0,0,IF($I267="L/km",MROUND(J267*$M267*IF($H267="Petrol",'Fuel &amp; Inputs'!$C$5,'Fuel &amp; Inputs'!$C$4),1),MROUND(J267*$M267*IF($H267="Petrol",'Fuel &amp; Inputs'!$C$5,'Fuel &amp; Inputs'!$C$4),10)))</f>
        <v>35</v>
      </c>
      <c r="O267" s="20" t="n">
        <f aca="false">IF(K267=0,0,IF($I267="L/km",MROUND(K267*$M267*IF($H267="Petrol",'Fuel &amp; Inputs'!$C$5,'Fuel &amp; Inputs'!$C$4),1),MROUND(K267*$M267*IF($H267="Petrol",'Fuel &amp; Inputs'!$C$5,'Fuel &amp; Inputs'!$C$4),10)))</f>
        <v>45</v>
      </c>
      <c r="P267" s="20" t="n">
        <f aca="false">IF(L267=0,0,IF($I267="L/km",MROUND(L267*$M267*IF($H267="Petrol",'Fuel &amp; Inputs'!$C$5,'Fuel &amp; Inputs'!$C$4),1),MROUND(L267*$M267*IF($H267="Petrol",'Fuel &amp; Inputs'!$C$5,'Fuel &amp; Inputs'!$C$4),10)))</f>
        <v>56</v>
      </c>
      <c r="Q267" s="17" t="s">
        <v>597</v>
      </c>
      <c r="R267" s="21" t="n">
        <v>550</v>
      </c>
      <c r="S267" s="20" t="n">
        <f aca="false">MROUND(R267+'Fuel &amp; Inputs'!$C$13,50)</f>
        <v>1350</v>
      </c>
      <c r="T267" s="21" t="n">
        <v>1010</v>
      </c>
      <c r="U267" s="20" t="n">
        <f aca="false">MROUND(R267*'Fuel &amp; Inputs'!$C$19*'Fuel &amp; Inputs'!$C$21,100)</f>
        <v>2100</v>
      </c>
      <c r="V267" s="20" t="n">
        <f aca="false">MROUND(S267*'Fuel &amp; Inputs'!$C$19*'Fuel &amp; Inputs'!$C$21,100)</f>
        <v>5100</v>
      </c>
      <c r="W267" s="20" t="n">
        <f aca="false">MROUND(T267*'Fuel &amp; Inputs'!$C$19*'Fuel &amp; Inputs'!$C$21,100)</f>
        <v>3800</v>
      </c>
      <c r="X267" s="20" t="n">
        <f aca="false">MROUND(R267*'Fuel &amp; Inputs'!$C$20*'Fuel &amp; Inputs'!$C$22,500)</f>
        <v>56000</v>
      </c>
      <c r="Y267" s="20" t="n">
        <f aca="false">MROUND(S267*'Fuel &amp; Inputs'!$C$20*'Fuel &amp; Inputs'!$C$22,500)</f>
        <v>137500</v>
      </c>
      <c r="Z267" s="20" t="n">
        <f aca="false">MROUND(T267*'Fuel &amp; Inputs'!$C$20*'Fuel &amp; Inputs'!$C$22,500)</f>
        <v>103000</v>
      </c>
    </row>
    <row r="268" customFormat="false" ht="23.85" hidden="false" customHeight="false" outlineLevel="0" collapsed="false">
      <c r="A268" s="23" t="n">
        <v>248</v>
      </c>
      <c r="B268" s="34" t="s">
        <v>98</v>
      </c>
      <c r="C268" s="34" t="s">
        <v>688</v>
      </c>
      <c r="D268" s="34" t="s">
        <v>682</v>
      </c>
      <c r="E268" s="23" t="s">
        <v>689</v>
      </c>
      <c r="F268" s="23" t="s">
        <v>690</v>
      </c>
      <c r="G268" s="23" t="s">
        <v>691</v>
      </c>
      <c r="H268" s="23" t="s">
        <v>153</v>
      </c>
      <c r="I268" s="23" t="s">
        <v>596</v>
      </c>
      <c r="J268" s="36" t="n">
        <v>0.078</v>
      </c>
      <c r="K268" s="36" t="n">
        <v>0.1</v>
      </c>
      <c r="L268" s="36" t="n">
        <v>0.125</v>
      </c>
      <c r="M268" s="35" t="n">
        <v>1.175</v>
      </c>
      <c r="N268" s="26" t="n">
        <f aca="false">IF(J268=0,0,IF($I268="L/km",MROUND(J268*$M268*IF($H268="Petrol",'Fuel &amp; Inputs'!$C$5,'Fuel &amp; Inputs'!$C$4),1),MROUND(J268*$M268*IF($H268="Petrol",'Fuel &amp; Inputs'!$C$5,'Fuel &amp; Inputs'!$C$4),10)))</f>
        <v>35</v>
      </c>
      <c r="O268" s="26" t="n">
        <f aca="false">IF(K268=0,0,IF($I268="L/km",MROUND(K268*$M268*IF($H268="Petrol",'Fuel &amp; Inputs'!$C$5,'Fuel &amp; Inputs'!$C$4),1),MROUND(K268*$M268*IF($H268="Petrol",'Fuel &amp; Inputs'!$C$5,'Fuel &amp; Inputs'!$C$4),10)))</f>
        <v>45</v>
      </c>
      <c r="P268" s="26" t="n">
        <f aca="false">IF(L268=0,0,IF($I268="L/km",MROUND(L268*$M268*IF($H268="Petrol",'Fuel &amp; Inputs'!$C$5,'Fuel &amp; Inputs'!$C$4),1),MROUND(L268*$M268*IF($H268="Petrol",'Fuel &amp; Inputs'!$C$5,'Fuel &amp; Inputs'!$C$4),10)))</f>
        <v>56</v>
      </c>
      <c r="Q268" s="23" t="s">
        <v>597</v>
      </c>
      <c r="R268" s="27" t="n">
        <v>550</v>
      </c>
      <c r="S268" s="26" t="n">
        <f aca="false">MROUND(R268+'Fuel &amp; Inputs'!$C$13,50)</f>
        <v>1350</v>
      </c>
      <c r="T268" s="27" t="n">
        <v>1010</v>
      </c>
      <c r="U268" s="26" t="n">
        <f aca="false">MROUND(R268*'Fuel &amp; Inputs'!$C$19*'Fuel &amp; Inputs'!$C$21,100)</f>
        <v>2100</v>
      </c>
      <c r="V268" s="26" t="n">
        <f aca="false">MROUND(S268*'Fuel &amp; Inputs'!$C$19*'Fuel &amp; Inputs'!$C$21,100)</f>
        <v>5100</v>
      </c>
      <c r="W268" s="26" t="n">
        <f aca="false">MROUND(T268*'Fuel &amp; Inputs'!$C$19*'Fuel &amp; Inputs'!$C$21,100)</f>
        <v>3800</v>
      </c>
      <c r="X268" s="26" t="n">
        <f aca="false">MROUND(R268*'Fuel &amp; Inputs'!$C$20*'Fuel &amp; Inputs'!$C$22,500)</f>
        <v>56000</v>
      </c>
      <c r="Y268" s="26" t="n">
        <f aca="false">MROUND(S268*'Fuel &amp; Inputs'!$C$20*'Fuel &amp; Inputs'!$C$22,500)</f>
        <v>137500</v>
      </c>
      <c r="Z268" s="26" t="n">
        <f aca="false">MROUND(T268*'Fuel &amp; Inputs'!$C$20*'Fuel &amp; Inputs'!$C$22,500)</f>
        <v>103000</v>
      </c>
    </row>
    <row r="269" customFormat="false" ht="23.85" hidden="false" customHeight="false" outlineLevel="0" collapsed="false">
      <c r="A269" s="17" t="n">
        <v>249</v>
      </c>
      <c r="B269" s="32" t="s">
        <v>98</v>
      </c>
      <c r="C269" s="32" t="s">
        <v>688</v>
      </c>
      <c r="D269" s="32" t="s">
        <v>682</v>
      </c>
      <c r="E269" s="17" t="s">
        <v>223</v>
      </c>
      <c r="F269" s="17" t="s">
        <v>692</v>
      </c>
      <c r="G269" s="17" t="s">
        <v>693</v>
      </c>
      <c r="H269" s="17" t="s">
        <v>153</v>
      </c>
      <c r="I269" s="17" t="s">
        <v>596</v>
      </c>
      <c r="J269" s="37" t="n">
        <v>0.078</v>
      </c>
      <c r="K269" s="37" t="n">
        <v>0.1</v>
      </c>
      <c r="L269" s="37" t="n">
        <v>0.125</v>
      </c>
      <c r="M269" s="33" t="n">
        <v>1</v>
      </c>
      <c r="N269" s="20" t="n">
        <f aca="false">IF(J269=0,0,IF($I269="L/km",MROUND(J269*$M269*IF($H269="Petrol",'Fuel &amp; Inputs'!$C$5,'Fuel &amp; Inputs'!$C$4),1),MROUND(J269*$M269*IF($H269="Petrol",'Fuel &amp; Inputs'!$C$5,'Fuel &amp; Inputs'!$C$4),10)))</f>
        <v>30</v>
      </c>
      <c r="O269" s="20" t="n">
        <f aca="false">IF(K269=0,0,IF($I269="L/km",MROUND(K269*$M269*IF($H269="Petrol",'Fuel &amp; Inputs'!$C$5,'Fuel &amp; Inputs'!$C$4),1),MROUND(K269*$M269*IF($H269="Petrol",'Fuel &amp; Inputs'!$C$5,'Fuel &amp; Inputs'!$C$4),10)))</f>
        <v>38</v>
      </c>
      <c r="P269" s="20" t="n">
        <f aca="false">IF(L269=0,0,IF($I269="L/km",MROUND(L269*$M269*IF($H269="Petrol",'Fuel &amp; Inputs'!$C$5,'Fuel &amp; Inputs'!$C$4),1),MROUND(L269*$M269*IF($H269="Petrol",'Fuel &amp; Inputs'!$C$5,'Fuel &amp; Inputs'!$C$4),10)))</f>
        <v>48</v>
      </c>
      <c r="Q269" s="17" t="s">
        <v>597</v>
      </c>
      <c r="R269" s="21" t="n">
        <v>550</v>
      </c>
      <c r="S269" s="20" t="n">
        <f aca="false">MROUND(R269+'Fuel &amp; Inputs'!$C$13,50)</f>
        <v>1350</v>
      </c>
      <c r="T269" s="21" t="n">
        <v>1010</v>
      </c>
      <c r="U269" s="20" t="n">
        <f aca="false">MROUND(R269*'Fuel &amp; Inputs'!$C$19*'Fuel &amp; Inputs'!$C$21,100)</f>
        <v>2100</v>
      </c>
      <c r="V269" s="20" t="n">
        <f aca="false">MROUND(S269*'Fuel &amp; Inputs'!$C$19*'Fuel &amp; Inputs'!$C$21,100)</f>
        <v>5100</v>
      </c>
      <c r="W269" s="20" t="n">
        <f aca="false">MROUND(T269*'Fuel &amp; Inputs'!$C$19*'Fuel &amp; Inputs'!$C$21,100)</f>
        <v>3800</v>
      </c>
      <c r="X269" s="20" t="n">
        <f aca="false">MROUND(R269*'Fuel &amp; Inputs'!$C$20*'Fuel &amp; Inputs'!$C$22,500)</f>
        <v>56000</v>
      </c>
      <c r="Y269" s="20" t="n">
        <f aca="false">MROUND(S269*'Fuel &amp; Inputs'!$C$20*'Fuel &amp; Inputs'!$C$22,500)</f>
        <v>137500</v>
      </c>
      <c r="Z269" s="20" t="n">
        <f aca="false">MROUND(T269*'Fuel &amp; Inputs'!$C$20*'Fuel &amp; Inputs'!$C$22,500)</f>
        <v>103000</v>
      </c>
    </row>
    <row r="270" customFormat="false" ht="23.85" hidden="false" customHeight="false" outlineLevel="0" collapsed="false">
      <c r="A270" s="23" t="n">
        <v>250</v>
      </c>
      <c r="B270" s="34" t="s">
        <v>98</v>
      </c>
      <c r="C270" s="34" t="s">
        <v>630</v>
      </c>
      <c r="D270" s="34" t="s">
        <v>223</v>
      </c>
      <c r="E270" s="23" t="s">
        <v>223</v>
      </c>
      <c r="F270" s="23" t="s">
        <v>223</v>
      </c>
      <c r="G270" s="23" t="s">
        <v>643</v>
      </c>
      <c r="H270" s="23" t="s">
        <v>153</v>
      </c>
      <c r="I270" s="23" t="s">
        <v>596</v>
      </c>
      <c r="J270" s="36" t="n">
        <v>0.078</v>
      </c>
      <c r="K270" s="36" t="n">
        <v>0.1</v>
      </c>
      <c r="L270" s="36" t="n">
        <v>0.125</v>
      </c>
      <c r="M270" s="35" t="n">
        <v>1</v>
      </c>
      <c r="N270" s="26" t="n">
        <f aca="false">IF(J270=0,0,IF($I270="L/km",MROUND(J270*$M270*IF($H270="Petrol",'Fuel &amp; Inputs'!$C$5,'Fuel &amp; Inputs'!$C$4),1),MROUND(J270*$M270*IF($H270="Petrol",'Fuel &amp; Inputs'!$C$5,'Fuel &amp; Inputs'!$C$4),10)))</f>
        <v>30</v>
      </c>
      <c r="O270" s="26" t="n">
        <f aca="false">IF(K270=0,0,IF($I270="L/km",MROUND(K270*$M270*IF($H270="Petrol",'Fuel &amp; Inputs'!$C$5,'Fuel &amp; Inputs'!$C$4),1),MROUND(K270*$M270*IF($H270="Petrol",'Fuel &amp; Inputs'!$C$5,'Fuel &amp; Inputs'!$C$4),10)))</f>
        <v>38</v>
      </c>
      <c r="P270" s="26" t="n">
        <f aca="false">IF(L270=0,0,IF($I270="L/km",MROUND(L270*$M270*IF($H270="Petrol",'Fuel &amp; Inputs'!$C$5,'Fuel &amp; Inputs'!$C$4),1),MROUND(L270*$M270*IF($H270="Petrol",'Fuel &amp; Inputs'!$C$5,'Fuel &amp; Inputs'!$C$4),10)))</f>
        <v>48</v>
      </c>
      <c r="Q270" s="23" t="s">
        <v>597</v>
      </c>
      <c r="R270" s="27" t="n">
        <v>550</v>
      </c>
      <c r="S270" s="26" t="n">
        <f aca="false">MROUND(R270+'Fuel &amp; Inputs'!$C$13,50)</f>
        <v>1350</v>
      </c>
      <c r="T270" s="27" t="n">
        <v>1010</v>
      </c>
      <c r="U270" s="26" t="n">
        <f aca="false">MROUND(R270*'Fuel &amp; Inputs'!$C$19*'Fuel &amp; Inputs'!$C$21,100)</f>
        <v>2100</v>
      </c>
      <c r="V270" s="26" t="n">
        <f aca="false">MROUND(S270*'Fuel &amp; Inputs'!$C$19*'Fuel &amp; Inputs'!$C$21,100)</f>
        <v>5100</v>
      </c>
      <c r="W270" s="26" t="n">
        <f aca="false">MROUND(T270*'Fuel &amp; Inputs'!$C$19*'Fuel &amp; Inputs'!$C$21,100)</f>
        <v>3800</v>
      </c>
      <c r="X270" s="26" t="n">
        <f aca="false">MROUND(R270*'Fuel &amp; Inputs'!$C$20*'Fuel &amp; Inputs'!$C$22,500)</f>
        <v>56000</v>
      </c>
      <c r="Y270" s="26" t="n">
        <f aca="false">MROUND(S270*'Fuel &amp; Inputs'!$C$20*'Fuel &amp; Inputs'!$C$22,500)</f>
        <v>137500</v>
      </c>
      <c r="Z270" s="26" t="n">
        <f aca="false">MROUND(T270*'Fuel &amp; Inputs'!$C$20*'Fuel &amp; Inputs'!$C$22,500)</f>
        <v>103000</v>
      </c>
    </row>
    <row r="271" customFormat="false" ht="15" hidden="false" customHeight="true" outlineLevel="0" collapsed="false">
      <c r="A271" s="31" t="s">
        <v>694</v>
      </c>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ustomFormat="false" ht="15" hidden="false" customHeight="false" outlineLevel="0" collapsed="false">
      <c r="A272" s="17" t="n">
        <v>251</v>
      </c>
      <c r="B272" s="32" t="s">
        <v>100</v>
      </c>
      <c r="C272" s="32" t="s">
        <v>630</v>
      </c>
      <c r="D272" s="32" t="s">
        <v>695</v>
      </c>
      <c r="E272" s="17" t="s">
        <v>204</v>
      </c>
      <c r="F272" s="17" t="s">
        <v>223</v>
      </c>
      <c r="G272" s="17" t="s">
        <v>696</v>
      </c>
      <c r="H272" s="17" t="s">
        <v>153</v>
      </c>
      <c r="I272" s="17" t="s">
        <v>596</v>
      </c>
      <c r="J272" s="37" t="n">
        <v>0.078</v>
      </c>
      <c r="K272" s="37" t="n">
        <v>0.1</v>
      </c>
      <c r="L272" s="37" t="n">
        <v>0.125</v>
      </c>
      <c r="M272" s="33" t="n">
        <v>1.14</v>
      </c>
      <c r="N272" s="20" t="n">
        <f aca="false">IF(J272=0,0,IF($I272="L/km",MROUND(J272*$M272*IF($H272="Petrol",'Fuel &amp; Inputs'!$C$5,'Fuel &amp; Inputs'!$C$4),1),MROUND(J272*$M272*IF($H272="Petrol",'Fuel &amp; Inputs'!$C$5,'Fuel &amp; Inputs'!$C$4),10)))</f>
        <v>34</v>
      </c>
      <c r="O272" s="20" t="n">
        <f aca="false">IF(K272=0,0,IF($I272="L/km",MROUND(K272*$M272*IF($H272="Petrol",'Fuel &amp; Inputs'!$C$5,'Fuel &amp; Inputs'!$C$4),1),MROUND(K272*$M272*IF($H272="Petrol",'Fuel &amp; Inputs'!$C$5,'Fuel &amp; Inputs'!$C$4),10)))</f>
        <v>44</v>
      </c>
      <c r="P272" s="20" t="n">
        <f aca="false">IF(L272=0,0,IF($I272="L/km",MROUND(L272*$M272*IF($H272="Petrol",'Fuel &amp; Inputs'!$C$5,'Fuel &amp; Inputs'!$C$4),1),MROUND(L272*$M272*IF($H272="Petrol",'Fuel &amp; Inputs'!$C$5,'Fuel &amp; Inputs'!$C$4),10)))</f>
        <v>54</v>
      </c>
      <c r="Q272" s="17" t="s">
        <v>597</v>
      </c>
      <c r="R272" s="21" t="n">
        <v>650</v>
      </c>
      <c r="S272" s="20" t="n">
        <f aca="false">MROUND(R272+'Fuel &amp; Inputs'!$C$13,50)</f>
        <v>1450</v>
      </c>
      <c r="T272" s="21" t="n">
        <v>1150</v>
      </c>
      <c r="U272" s="20" t="n">
        <f aca="false">MROUND(R272*'Fuel &amp; Inputs'!$C$19*'Fuel &amp; Inputs'!$C$21,100)</f>
        <v>2500</v>
      </c>
      <c r="V272" s="20" t="n">
        <f aca="false">MROUND(S272*'Fuel &amp; Inputs'!$C$19*'Fuel &amp; Inputs'!$C$21,100)</f>
        <v>5500</v>
      </c>
      <c r="W272" s="20" t="n">
        <f aca="false">MROUND(T272*'Fuel &amp; Inputs'!$C$19*'Fuel &amp; Inputs'!$C$21,100)</f>
        <v>4400</v>
      </c>
      <c r="X272" s="20" t="n">
        <f aca="false">MROUND(R272*'Fuel &amp; Inputs'!$C$20*'Fuel &amp; Inputs'!$C$22,500)</f>
        <v>66500</v>
      </c>
      <c r="Y272" s="20" t="n">
        <f aca="false">MROUND(S272*'Fuel &amp; Inputs'!$C$20*'Fuel &amp; Inputs'!$C$22,500)</f>
        <v>148000</v>
      </c>
      <c r="Z272" s="20" t="n">
        <f aca="false">MROUND(T272*'Fuel &amp; Inputs'!$C$20*'Fuel &amp; Inputs'!$C$22,500)</f>
        <v>117500</v>
      </c>
    </row>
    <row r="273" customFormat="false" ht="23.85" hidden="false" customHeight="false" outlineLevel="0" collapsed="false">
      <c r="A273" s="23" t="n">
        <v>252</v>
      </c>
      <c r="B273" s="34" t="s">
        <v>100</v>
      </c>
      <c r="C273" s="34" t="s">
        <v>630</v>
      </c>
      <c r="D273" s="34" t="s">
        <v>697</v>
      </c>
      <c r="E273" s="23" t="s">
        <v>698</v>
      </c>
      <c r="F273" s="23" t="s">
        <v>223</v>
      </c>
      <c r="G273" s="23" t="s">
        <v>699</v>
      </c>
      <c r="H273" s="23" t="s">
        <v>153</v>
      </c>
      <c r="I273" s="23" t="s">
        <v>596</v>
      </c>
      <c r="J273" s="36" t="n">
        <v>0.078</v>
      </c>
      <c r="K273" s="36" t="n">
        <v>0.1</v>
      </c>
      <c r="L273" s="36" t="n">
        <v>0.125</v>
      </c>
      <c r="M273" s="35" t="n">
        <v>1.175</v>
      </c>
      <c r="N273" s="26" t="n">
        <f aca="false">IF(J273=0,0,IF($I273="L/km",MROUND(J273*$M273*IF($H273="Petrol",'Fuel &amp; Inputs'!$C$5,'Fuel &amp; Inputs'!$C$4),1),MROUND(J273*$M273*IF($H273="Petrol",'Fuel &amp; Inputs'!$C$5,'Fuel &amp; Inputs'!$C$4),10)))</f>
        <v>35</v>
      </c>
      <c r="O273" s="26" t="n">
        <f aca="false">IF(K273=0,0,IF($I273="L/km",MROUND(K273*$M273*IF($H273="Petrol",'Fuel &amp; Inputs'!$C$5,'Fuel &amp; Inputs'!$C$4),1),MROUND(K273*$M273*IF($H273="Petrol",'Fuel &amp; Inputs'!$C$5,'Fuel &amp; Inputs'!$C$4),10)))</f>
        <v>45</v>
      </c>
      <c r="P273" s="26" t="n">
        <f aca="false">IF(L273=0,0,IF($I273="L/km",MROUND(L273*$M273*IF($H273="Petrol",'Fuel &amp; Inputs'!$C$5,'Fuel &amp; Inputs'!$C$4),1),MROUND(L273*$M273*IF($H273="Petrol",'Fuel &amp; Inputs'!$C$5,'Fuel &amp; Inputs'!$C$4),10)))</f>
        <v>56</v>
      </c>
      <c r="Q273" s="23" t="s">
        <v>597</v>
      </c>
      <c r="R273" s="27" t="n">
        <v>520</v>
      </c>
      <c r="S273" s="26" t="n">
        <f aca="false">MROUND(R273+'Fuel &amp; Inputs'!$C$13,50)</f>
        <v>1300</v>
      </c>
      <c r="T273" s="27" t="n">
        <v>930</v>
      </c>
      <c r="U273" s="26" t="n">
        <f aca="false">MROUND(R273*'Fuel &amp; Inputs'!$C$19*'Fuel &amp; Inputs'!$C$21,100)</f>
        <v>2000</v>
      </c>
      <c r="V273" s="26" t="n">
        <f aca="false">MROUND(S273*'Fuel &amp; Inputs'!$C$19*'Fuel &amp; Inputs'!$C$21,100)</f>
        <v>4900</v>
      </c>
      <c r="W273" s="26" t="n">
        <f aca="false">MROUND(T273*'Fuel &amp; Inputs'!$C$19*'Fuel &amp; Inputs'!$C$21,100)</f>
        <v>3500</v>
      </c>
      <c r="X273" s="26" t="n">
        <f aca="false">MROUND(R273*'Fuel &amp; Inputs'!$C$20*'Fuel &amp; Inputs'!$C$22,500)</f>
        <v>53000</v>
      </c>
      <c r="Y273" s="26" t="n">
        <f aca="false">MROUND(S273*'Fuel &amp; Inputs'!$C$20*'Fuel &amp; Inputs'!$C$22,500)</f>
        <v>132500</v>
      </c>
      <c r="Z273" s="26" t="n">
        <f aca="false">MROUND(T273*'Fuel &amp; Inputs'!$C$20*'Fuel &amp; Inputs'!$C$22,500)</f>
        <v>95000</v>
      </c>
    </row>
    <row r="274" customFormat="false" ht="15" hidden="false" customHeight="false" outlineLevel="0" collapsed="false">
      <c r="A274" s="17" t="n">
        <v>253</v>
      </c>
      <c r="B274" s="32" t="s">
        <v>100</v>
      </c>
      <c r="C274" s="32" t="s">
        <v>630</v>
      </c>
      <c r="D274" s="32" t="s">
        <v>700</v>
      </c>
      <c r="E274" s="17" t="s">
        <v>701</v>
      </c>
      <c r="F274" s="17" t="s">
        <v>702</v>
      </c>
      <c r="G274" s="17" t="s">
        <v>703</v>
      </c>
      <c r="H274" s="17" t="s">
        <v>153</v>
      </c>
      <c r="I274" s="17" t="s">
        <v>596</v>
      </c>
      <c r="J274" s="37" t="n">
        <v>0.078</v>
      </c>
      <c r="K274" s="37" t="n">
        <v>0.1</v>
      </c>
      <c r="L274" s="37" t="n">
        <v>0.125</v>
      </c>
      <c r="M274" s="33" t="n">
        <v>1.175</v>
      </c>
      <c r="N274" s="20" t="n">
        <f aca="false">IF(J274=0,0,IF($I274="L/km",MROUND(J274*$M274*IF($H274="Petrol",'Fuel &amp; Inputs'!$C$5,'Fuel &amp; Inputs'!$C$4),1),MROUND(J274*$M274*IF($H274="Petrol",'Fuel &amp; Inputs'!$C$5,'Fuel &amp; Inputs'!$C$4),10)))</f>
        <v>35</v>
      </c>
      <c r="O274" s="20" t="n">
        <f aca="false">IF(K274=0,0,IF($I274="L/km",MROUND(K274*$M274*IF($H274="Petrol",'Fuel &amp; Inputs'!$C$5,'Fuel &amp; Inputs'!$C$4),1),MROUND(K274*$M274*IF($H274="Petrol",'Fuel &amp; Inputs'!$C$5,'Fuel &amp; Inputs'!$C$4),10)))</f>
        <v>45</v>
      </c>
      <c r="P274" s="20" t="n">
        <f aca="false">IF(L274=0,0,IF($I274="L/km",MROUND(L274*$M274*IF($H274="Petrol",'Fuel &amp; Inputs'!$C$5,'Fuel &amp; Inputs'!$C$4),1),MROUND(L274*$M274*IF($H274="Petrol",'Fuel &amp; Inputs'!$C$5,'Fuel &amp; Inputs'!$C$4),10)))</f>
        <v>56</v>
      </c>
      <c r="Q274" s="17" t="s">
        <v>597</v>
      </c>
      <c r="R274" s="21" t="n">
        <v>520</v>
      </c>
      <c r="S274" s="20" t="n">
        <f aca="false">MROUND(R274+'Fuel &amp; Inputs'!$C$13,50)</f>
        <v>1300</v>
      </c>
      <c r="T274" s="21" t="n">
        <v>930</v>
      </c>
      <c r="U274" s="20" t="n">
        <f aca="false">MROUND(R274*'Fuel &amp; Inputs'!$C$19*'Fuel &amp; Inputs'!$C$21,100)</f>
        <v>2000</v>
      </c>
      <c r="V274" s="20" t="n">
        <f aca="false">MROUND(S274*'Fuel &amp; Inputs'!$C$19*'Fuel &amp; Inputs'!$C$21,100)</f>
        <v>4900</v>
      </c>
      <c r="W274" s="20" t="n">
        <f aca="false">MROUND(T274*'Fuel &amp; Inputs'!$C$19*'Fuel &amp; Inputs'!$C$21,100)</f>
        <v>3500</v>
      </c>
      <c r="X274" s="20" t="n">
        <f aca="false">MROUND(R274*'Fuel &amp; Inputs'!$C$20*'Fuel &amp; Inputs'!$C$22,500)</f>
        <v>53000</v>
      </c>
      <c r="Y274" s="20" t="n">
        <f aca="false">MROUND(S274*'Fuel &amp; Inputs'!$C$20*'Fuel &amp; Inputs'!$C$22,500)</f>
        <v>132500</v>
      </c>
      <c r="Z274" s="20" t="n">
        <f aca="false">MROUND(T274*'Fuel &amp; Inputs'!$C$20*'Fuel &amp; Inputs'!$C$22,500)</f>
        <v>95000</v>
      </c>
    </row>
    <row r="275" customFormat="false" ht="15" hidden="false" customHeight="true" outlineLevel="0" collapsed="false">
      <c r="A275" s="31" t="s">
        <v>704</v>
      </c>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ustomFormat="false" ht="15" hidden="false" customHeight="false" outlineLevel="0" collapsed="false">
      <c r="A276" s="23" t="n">
        <v>254</v>
      </c>
      <c r="B276" s="34" t="s">
        <v>102</v>
      </c>
      <c r="C276" s="34" t="s">
        <v>705</v>
      </c>
      <c r="D276" s="34" t="s">
        <v>706</v>
      </c>
      <c r="E276" s="23" t="s">
        <v>180</v>
      </c>
      <c r="F276" s="23" t="s">
        <v>707</v>
      </c>
      <c r="G276" s="23" t="s">
        <v>708</v>
      </c>
      <c r="H276" s="23" t="s">
        <v>153</v>
      </c>
      <c r="I276" s="23" t="s">
        <v>596</v>
      </c>
      <c r="J276" s="36" t="n">
        <v>0.078</v>
      </c>
      <c r="K276" s="36" t="n">
        <v>0.1</v>
      </c>
      <c r="L276" s="36" t="n">
        <v>0.125</v>
      </c>
      <c r="M276" s="35" t="n">
        <v>1.049</v>
      </c>
      <c r="N276" s="26" t="n">
        <f aca="false">IF(J276=0,0,IF($I276="L/km",MROUND(J276*$M276*IF($H276="Petrol",'Fuel &amp; Inputs'!$C$5,'Fuel &amp; Inputs'!$C$4),1),MROUND(J276*$M276*IF($H276="Petrol",'Fuel &amp; Inputs'!$C$5,'Fuel &amp; Inputs'!$C$4),10)))</f>
        <v>31</v>
      </c>
      <c r="O276" s="26" t="n">
        <f aca="false">IF(K276=0,0,IF($I276="L/km",MROUND(K276*$M276*IF($H276="Petrol",'Fuel &amp; Inputs'!$C$5,'Fuel &amp; Inputs'!$C$4),1),MROUND(K276*$M276*IF($H276="Petrol",'Fuel &amp; Inputs'!$C$5,'Fuel &amp; Inputs'!$C$4),10)))</f>
        <v>40</v>
      </c>
      <c r="P276" s="26" t="n">
        <f aca="false">IF(L276=0,0,IF($I276="L/km",MROUND(L276*$M276*IF($H276="Petrol",'Fuel &amp; Inputs'!$C$5,'Fuel &amp; Inputs'!$C$4),1),MROUND(L276*$M276*IF($H276="Petrol",'Fuel &amp; Inputs'!$C$5,'Fuel &amp; Inputs'!$C$4),10)))</f>
        <v>50</v>
      </c>
      <c r="Q276" s="23" t="s">
        <v>597</v>
      </c>
      <c r="R276" s="27" t="n">
        <v>690</v>
      </c>
      <c r="S276" s="26" t="n">
        <f aca="false">MROUND(R276+'Fuel &amp; Inputs'!$C$13,50)</f>
        <v>1500</v>
      </c>
      <c r="T276" s="27" t="n">
        <v>1290</v>
      </c>
      <c r="U276" s="26" t="n">
        <f aca="false">MROUND(R276*'Fuel &amp; Inputs'!$C$19*'Fuel &amp; Inputs'!$C$21,100)</f>
        <v>2600</v>
      </c>
      <c r="V276" s="26" t="n">
        <f aca="false">MROUND(S276*'Fuel &amp; Inputs'!$C$19*'Fuel &amp; Inputs'!$C$21,100)</f>
        <v>5700</v>
      </c>
      <c r="W276" s="26" t="n">
        <f aca="false">MROUND(T276*'Fuel &amp; Inputs'!$C$19*'Fuel &amp; Inputs'!$C$21,100)</f>
        <v>4900</v>
      </c>
      <c r="X276" s="26" t="n">
        <f aca="false">MROUND(R276*'Fuel &amp; Inputs'!$C$20*'Fuel &amp; Inputs'!$C$22,500)</f>
        <v>70500</v>
      </c>
      <c r="Y276" s="26" t="n">
        <f aca="false">MROUND(S276*'Fuel &amp; Inputs'!$C$20*'Fuel &amp; Inputs'!$C$22,500)</f>
        <v>153000</v>
      </c>
      <c r="Z276" s="26" t="n">
        <f aca="false">MROUND(T276*'Fuel &amp; Inputs'!$C$20*'Fuel &amp; Inputs'!$C$22,500)</f>
        <v>131500</v>
      </c>
    </row>
    <row r="277" customFormat="false" ht="15" hidden="false" customHeight="false" outlineLevel="0" collapsed="false">
      <c r="A277" s="17" t="n">
        <v>255</v>
      </c>
      <c r="B277" s="32" t="s">
        <v>102</v>
      </c>
      <c r="C277" s="32" t="s">
        <v>280</v>
      </c>
      <c r="D277" s="32" t="s">
        <v>709</v>
      </c>
      <c r="E277" s="17" t="s">
        <v>304</v>
      </c>
      <c r="F277" s="17" t="s">
        <v>710</v>
      </c>
      <c r="G277" s="17" t="s">
        <v>711</v>
      </c>
      <c r="H277" s="17" t="s">
        <v>153</v>
      </c>
      <c r="I277" s="17" t="s">
        <v>596</v>
      </c>
      <c r="J277" s="37" t="n">
        <v>0.078</v>
      </c>
      <c r="K277" s="37" t="n">
        <v>0.1</v>
      </c>
      <c r="L277" s="37" t="n">
        <v>0.125</v>
      </c>
      <c r="M277" s="33" t="n">
        <v>1.056</v>
      </c>
      <c r="N277" s="20" t="n">
        <f aca="false">IF(J277=0,0,IF($I277="L/km",MROUND(J277*$M277*IF($H277="Petrol",'Fuel &amp; Inputs'!$C$5,'Fuel &amp; Inputs'!$C$4),1),MROUND(J277*$M277*IF($H277="Petrol",'Fuel &amp; Inputs'!$C$5,'Fuel &amp; Inputs'!$C$4),10)))</f>
        <v>31</v>
      </c>
      <c r="O277" s="20" t="n">
        <f aca="false">IF(K277=0,0,IF($I277="L/km",MROUND(K277*$M277*IF($H277="Petrol",'Fuel &amp; Inputs'!$C$5,'Fuel &amp; Inputs'!$C$4),1),MROUND(K277*$M277*IF($H277="Petrol",'Fuel &amp; Inputs'!$C$5,'Fuel &amp; Inputs'!$C$4),10)))</f>
        <v>40</v>
      </c>
      <c r="P277" s="20" t="n">
        <f aca="false">IF(L277=0,0,IF($I277="L/km",MROUND(L277*$M277*IF($H277="Petrol",'Fuel &amp; Inputs'!$C$5,'Fuel &amp; Inputs'!$C$4),1),MROUND(L277*$M277*IF($H277="Petrol",'Fuel &amp; Inputs'!$C$5,'Fuel &amp; Inputs'!$C$4),10)))</f>
        <v>50</v>
      </c>
      <c r="Q277" s="17" t="s">
        <v>597</v>
      </c>
      <c r="R277" s="21" t="n">
        <v>690</v>
      </c>
      <c r="S277" s="20" t="n">
        <f aca="false">MROUND(R277+'Fuel &amp; Inputs'!$C$13,50)</f>
        <v>1500</v>
      </c>
      <c r="T277" s="21" t="n">
        <v>1290</v>
      </c>
      <c r="U277" s="20" t="n">
        <f aca="false">MROUND(R277*'Fuel &amp; Inputs'!$C$19*'Fuel &amp; Inputs'!$C$21,100)</f>
        <v>2600</v>
      </c>
      <c r="V277" s="20" t="n">
        <f aca="false">MROUND(S277*'Fuel &amp; Inputs'!$C$19*'Fuel &amp; Inputs'!$C$21,100)</f>
        <v>5700</v>
      </c>
      <c r="W277" s="20" t="n">
        <f aca="false">MROUND(T277*'Fuel &amp; Inputs'!$C$19*'Fuel &amp; Inputs'!$C$21,100)</f>
        <v>4900</v>
      </c>
      <c r="X277" s="20" t="n">
        <f aca="false">MROUND(R277*'Fuel &amp; Inputs'!$C$20*'Fuel &amp; Inputs'!$C$22,500)</f>
        <v>70500</v>
      </c>
      <c r="Y277" s="20" t="n">
        <f aca="false">MROUND(S277*'Fuel &amp; Inputs'!$C$20*'Fuel &amp; Inputs'!$C$22,500)</f>
        <v>153000</v>
      </c>
      <c r="Z277" s="20" t="n">
        <f aca="false">MROUND(T277*'Fuel &amp; Inputs'!$C$20*'Fuel &amp; Inputs'!$C$22,500)</f>
        <v>131500</v>
      </c>
    </row>
    <row r="278" customFormat="false" ht="15" hidden="false" customHeight="false" outlineLevel="0" collapsed="false">
      <c r="A278" s="23" t="n">
        <v>256</v>
      </c>
      <c r="B278" s="34" t="s">
        <v>102</v>
      </c>
      <c r="C278" s="34" t="s">
        <v>705</v>
      </c>
      <c r="D278" s="34" t="s">
        <v>712</v>
      </c>
      <c r="E278" s="23" t="s">
        <v>251</v>
      </c>
      <c r="F278" s="23" t="s">
        <v>713</v>
      </c>
      <c r="G278" s="23" t="s">
        <v>714</v>
      </c>
      <c r="H278" s="23" t="s">
        <v>153</v>
      </c>
      <c r="I278" s="23" t="s">
        <v>596</v>
      </c>
      <c r="J278" s="36" t="n">
        <v>0.078</v>
      </c>
      <c r="K278" s="36" t="n">
        <v>0.1</v>
      </c>
      <c r="L278" s="36" t="n">
        <v>0.125</v>
      </c>
      <c r="M278" s="35" t="n">
        <v>1.063</v>
      </c>
      <c r="N278" s="26" t="n">
        <f aca="false">IF(J278=0,0,IF($I278="L/km",MROUND(J278*$M278*IF($H278="Petrol",'Fuel &amp; Inputs'!$C$5,'Fuel &amp; Inputs'!$C$4),1),MROUND(J278*$M278*IF($H278="Petrol",'Fuel &amp; Inputs'!$C$5,'Fuel &amp; Inputs'!$C$4),10)))</f>
        <v>32</v>
      </c>
      <c r="O278" s="26" t="n">
        <f aca="false">IF(K278=0,0,IF($I278="L/km",MROUND(K278*$M278*IF($H278="Petrol",'Fuel &amp; Inputs'!$C$5,'Fuel &amp; Inputs'!$C$4),1),MROUND(K278*$M278*IF($H278="Petrol",'Fuel &amp; Inputs'!$C$5,'Fuel &amp; Inputs'!$C$4),10)))</f>
        <v>41</v>
      </c>
      <c r="P278" s="26" t="n">
        <f aca="false">IF(L278=0,0,IF($I278="L/km",MROUND(L278*$M278*IF($H278="Petrol",'Fuel &amp; Inputs'!$C$5,'Fuel &amp; Inputs'!$C$4),1),MROUND(L278*$M278*IF($H278="Petrol",'Fuel &amp; Inputs'!$C$5,'Fuel &amp; Inputs'!$C$4),10)))</f>
        <v>51</v>
      </c>
      <c r="Q278" s="23" t="s">
        <v>597</v>
      </c>
      <c r="R278" s="27" t="n">
        <v>690</v>
      </c>
      <c r="S278" s="26" t="n">
        <f aca="false">MROUND(R278+'Fuel &amp; Inputs'!$C$13,50)</f>
        <v>1500</v>
      </c>
      <c r="T278" s="27" t="n">
        <v>1290</v>
      </c>
      <c r="U278" s="26" t="n">
        <f aca="false">MROUND(R278*'Fuel &amp; Inputs'!$C$19*'Fuel &amp; Inputs'!$C$21,100)</f>
        <v>2600</v>
      </c>
      <c r="V278" s="26" t="n">
        <f aca="false">MROUND(S278*'Fuel &amp; Inputs'!$C$19*'Fuel &amp; Inputs'!$C$21,100)</f>
        <v>5700</v>
      </c>
      <c r="W278" s="26" t="n">
        <f aca="false">MROUND(T278*'Fuel &amp; Inputs'!$C$19*'Fuel &amp; Inputs'!$C$21,100)</f>
        <v>4900</v>
      </c>
      <c r="X278" s="26" t="n">
        <f aca="false">MROUND(R278*'Fuel &amp; Inputs'!$C$20*'Fuel &amp; Inputs'!$C$22,500)</f>
        <v>70500</v>
      </c>
      <c r="Y278" s="26" t="n">
        <f aca="false">MROUND(S278*'Fuel &amp; Inputs'!$C$20*'Fuel &amp; Inputs'!$C$22,500)</f>
        <v>153000</v>
      </c>
      <c r="Z278" s="26" t="n">
        <f aca="false">MROUND(T278*'Fuel &amp; Inputs'!$C$20*'Fuel &amp; Inputs'!$C$22,500)</f>
        <v>131500</v>
      </c>
    </row>
    <row r="279" customFormat="false" ht="15" hidden="false" customHeight="false" outlineLevel="0" collapsed="false">
      <c r="A279" s="17" t="n">
        <v>257</v>
      </c>
      <c r="B279" s="32" t="s">
        <v>102</v>
      </c>
      <c r="C279" s="32" t="s">
        <v>705</v>
      </c>
      <c r="D279" s="32" t="s">
        <v>706</v>
      </c>
      <c r="E279" s="17" t="s">
        <v>174</v>
      </c>
      <c r="F279" s="17" t="s">
        <v>715</v>
      </c>
      <c r="G279" s="17" t="s">
        <v>716</v>
      </c>
      <c r="H279" s="17" t="s">
        <v>153</v>
      </c>
      <c r="I279" s="17" t="s">
        <v>596</v>
      </c>
      <c r="J279" s="37" t="n">
        <v>0.078</v>
      </c>
      <c r="K279" s="37" t="n">
        <v>0.1</v>
      </c>
      <c r="L279" s="37" t="n">
        <v>0.125</v>
      </c>
      <c r="M279" s="33" t="n">
        <v>1.07</v>
      </c>
      <c r="N279" s="20" t="n">
        <f aca="false">IF(J279=0,0,IF($I279="L/km",MROUND(J279*$M279*IF($H279="Petrol",'Fuel &amp; Inputs'!$C$5,'Fuel &amp; Inputs'!$C$4),1),MROUND(J279*$M279*IF($H279="Petrol",'Fuel &amp; Inputs'!$C$5,'Fuel &amp; Inputs'!$C$4),10)))</f>
        <v>32</v>
      </c>
      <c r="O279" s="20" t="n">
        <f aca="false">IF(K279=0,0,IF($I279="L/km",MROUND(K279*$M279*IF($H279="Petrol",'Fuel &amp; Inputs'!$C$5,'Fuel &amp; Inputs'!$C$4),1),MROUND(K279*$M279*IF($H279="Petrol",'Fuel &amp; Inputs'!$C$5,'Fuel &amp; Inputs'!$C$4),10)))</f>
        <v>41</v>
      </c>
      <c r="P279" s="20" t="n">
        <f aca="false">IF(L279=0,0,IF($I279="L/km",MROUND(L279*$M279*IF($H279="Petrol",'Fuel &amp; Inputs'!$C$5,'Fuel &amp; Inputs'!$C$4),1),MROUND(L279*$M279*IF($H279="Petrol",'Fuel &amp; Inputs'!$C$5,'Fuel &amp; Inputs'!$C$4),10)))</f>
        <v>51</v>
      </c>
      <c r="Q279" s="17" t="s">
        <v>597</v>
      </c>
      <c r="R279" s="21" t="n">
        <v>690</v>
      </c>
      <c r="S279" s="20" t="n">
        <f aca="false">MROUND(R279+'Fuel &amp; Inputs'!$C$13,50)</f>
        <v>1500</v>
      </c>
      <c r="T279" s="21" t="n">
        <v>1290</v>
      </c>
      <c r="U279" s="20" t="n">
        <f aca="false">MROUND(R279*'Fuel &amp; Inputs'!$C$19*'Fuel &amp; Inputs'!$C$21,100)</f>
        <v>2600</v>
      </c>
      <c r="V279" s="20" t="n">
        <f aca="false">MROUND(S279*'Fuel &amp; Inputs'!$C$19*'Fuel &amp; Inputs'!$C$21,100)</f>
        <v>5700</v>
      </c>
      <c r="W279" s="20" t="n">
        <f aca="false">MROUND(T279*'Fuel &amp; Inputs'!$C$19*'Fuel &amp; Inputs'!$C$21,100)</f>
        <v>4900</v>
      </c>
      <c r="X279" s="20" t="n">
        <f aca="false">MROUND(R279*'Fuel &amp; Inputs'!$C$20*'Fuel &amp; Inputs'!$C$22,500)</f>
        <v>70500</v>
      </c>
      <c r="Y279" s="20" t="n">
        <f aca="false">MROUND(S279*'Fuel &amp; Inputs'!$C$20*'Fuel &amp; Inputs'!$C$22,500)</f>
        <v>153000</v>
      </c>
      <c r="Z279" s="20" t="n">
        <f aca="false">MROUND(T279*'Fuel &amp; Inputs'!$C$20*'Fuel &amp; Inputs'!$C$22,500)</f>
        <v>131500</v>
      </c>
    </row>
    <row r="280" customFormat="false" ht="15" hidden="false" customHeight="false" outlineLevel="0" collapsed="false">
      <c r="A280" s="23" t="n">
        <v>258</v>
      </c>
      <c r="B280" s="34" t="s">
        <v>102</v>
      </c>
      <c r="C280" s="34" t="s">
        <v>705</v>
      </c>
      <c r="D280" s="34" t="s">
        <v>706</v>
      </c>
      <c r="E280" s="23" t="s">
        <v>174</v>
      </c>
      <c r="F280" s="23" t="s">
        <v>717</v>
      </c>
      <c r="G280" s="23" t="s">
        <v>718</v>
      </c>
      <c r="H280" s="23" t="s">
        <v>153</v>
      </c>
      <c r="I280" s="23" t="s">
        <v>596</v>
      </c>
      <c r="J280" s="36" t="n">
        <v>0.078</v>
      </c>
      <c r="K280" s="36" t="n">
        <v>0.1</v>
      </c>
      <c r="L280" s="36" t="n">
        <v>0.125</v>
      </c>
      <c r="M280" s="35" t="n">
        <v>1.07</v>
      </c>
      <c r="N280" s="26" t="n">
        <f aca="false">IF(J280=0,0,IF($I280="L/km",MROUND(J280*$M280*IF($H280="Petrol",'Fuel &amp; Inputs'!$C$5,'Fuel &amp; Inputs'!$C$4),1),MROUND(J280*$M280*IF($H280="Petrol",'Fuel &amp; Inputs'!$C$5,'Fuel &amp; Inputs'!$C$4),10)))</f>
        <v>32</v>
      </c>
      <c r="O280" s="26" t="n">
        <f aca="false">IF(K280=0,0,IF($I280="L/km",MROUND(K280*$M280*IF($H280="Petrol",'Fuel &amp; Inputs'!$C$5,'Fuel &amp; Inputs'!$C$4),1),MROUND(K280*$M280*IF($H280="Petrol",'Fuel &amp; Inputs'!$C$5,'Fuel &amp; Inputs'!$C$4),10)))</f>
        <v>41</v>
      </c>
      <c r="P280" s="26" t="n">
        <f aca="false">IF(L280=0,0,IF($I280="L/km",MROUND(L280*$M280*IF($H280="Petrol",'Fuel &amp; Inputs'!$C$5,'Fuel &amp; Inputs'!$C$4),1),MROUND(L280*$M280*IF($H280="Petrol",'Fuel &amp; Inputs'!$C$5,'Fuel &amp; Inputs'!$C$4),10)))</f>
        <v>51</v>
      </c>
      <c r="Q280" s="23" t="s">
        <v>597</v>
      </c>
      <c r="R280" s="27" t="n">
        <v>690</v>
      </c>
      <c r="S280" s="26" t="n">
        <f aca="false">MROUND(R280+'Fuel &amp; Inputs'!$C$13,50)</f>
        <v>1500</v>
      </c>
      <c r="T280" s="27" t="n">
        <v>1290</v>
      </c>
      <c r="U280" s="26" t="n">
        <f aca="false">MROUND(R280*'Fuel &amp; Inputs'!$C$19*'Fuel &amp; Inputs'!$C$21,100)</f>
        <v>2600</v>
      </c>
      <c r="V280" s="26" t="n">
        <f aca="false">MROUND(S280*'Fuel &amp; Inputs'!$C$19*'Fuel &amp; Inputs'!$C$21,100)</f>
        <v>5700</v>
      </c>
      <c r="W280" s="26" t="n">
        <f aca="false">MROUND(T280*'Fuel &amp; Inputs'!$C$19*'Fuel &amp; Inputs'!$C$21,100)</f>
        <v>4900</v>
      </c>
      <c r="X280" s="26" t="n">
        <f aca="false">MROUND(R280*'Fuel &amp; Inputs'!$C$20*'Fuel &amp; Inputs'!$C$22,500)</f>
        <v>70500</v>
      </c>
      <c r="Y280" s="26" t="n">
        <f aca="false">MROUND(S280*'Fuel &amp; Inputs'!$C$20*'Fuel &amp; Inputs'!$C$22,500)</f>
        <v>153000</v>
      </c>
      <c r="Z280" s="26" t="n">
        <f aca="false">MROUND(T280*'Fuel &amp; Inputs'!$C$20*'Fuel &amp; Inputs'!$C$22,500)</f>
        <v>131500</v>
      </c>
    </row>
    <row r="281" customFormat="false" ht="15" hidden="false" customHeight="false" outlineLevel="0" collapsed="false">
      <c r="A281" s="17" t="n">
        <v>259</v>
      </c>
      <c r="B281" s="32" t="s">
        <v>102</v>
      </c>
      <c r="C281" s="32" t="s">
        <v>705</v>
      </c>
      <c r="D281" s="32" t="s">
        <v>706</v>
      </c>
      <c r="E281" s="17" t="s">
        <v>174</v>
      </c>
      <c r="F281" s="17" t="s">
        <v>719</v>
      </c>
      <c r="G281" s="17" t="s">
        <v>720</v>
      </c>
      <c r="H281" s="17" t="s">
        <v>153</v>
      </c>
      <c r="I281" s="17" t="s">
        <v>596</v>
      </c>
      <c r="J281" s="37" t="n">
        <v>0.078</v>
      </c>
      <c r="K281" s="37" t="n">
        <v>0.1</v>
      </c>
      <c r="L281" s="37" t="n">
        <v>0.125</v>
      </c>
      <c r="M281" s="33" t="n">
        <v>1.07</v>
      </c>
      <c r="N281" s="20" t="n">
        <f aca="false">IF(J281=0,0,IF($I281="L/km",MROUND(J281*$M281*IF($H281="Petrol",'Fuel &amp; Inputs'!$C$5,'Fuel &amp; Inputs'!$C$4),1),MROUND(J281*$M281*IF($H281="Petrol",'Fuel &amp; Inputs'!$C$5,'Fuel &amp; Inputs'!$C$4),10)))</f>
        <v>32</v>
      </c>
      <c r="O281" s="20" t="n">
        <f aca="false">IF(K281=0,0,IF($I281="L/km",MROUND(K281*$M281*IF($H281="Petrol",'Fuel &amp; Inputs'!$C$5,'Fuel &amp; Inputs'!$C$4),1),MROUND(K281*$M281*IF($H281="Petrol",'Fuel &amp; Inputs'!$C$5,'Fuel &amp; Inputs'!$C$4),10)))</f>
        <v>41</v>
      </c>
      <c r="P281" s="20" t="n">
        <f aca="false">IF(L281=0,0,IF($I281="L/km",MROUND(L281*$M281*IF($H281="Petrol",'Fuel &amp; Inputs'!$C$5,'Fuel &amp; Inputs'!$C$4),1),MROUND(L281*$M281*IF($H281="Petrol",'Fuel &amp; Inputs'!$C$5,'Fuel &amp; Inputs'!$C$4),10)))</f>
        <v>51</v>
      </c>
      <c r="Q281" s="17" t="s">
        <v>597</v>
      </c>
      <c r="R281" s="21" t="n">
        <v>690</v>
      </c>
      <c r="S281" s="20" t="n">
        <f aca="false">MROUND(R281+'Fuel &amp; Inputs'!$C$13,50)</f>
        <v>1500</v>
      </c>
      <c r="T281" s="21" t="n">
        <v>1290</v>
      </c>
      <c r="U281" s="20" t="n">
        <f aca="false">MROUND(R281*'Fuel &amp; Inputs'!$C$19*'Fuel &amp; Inputs'!$C$21,100)</f>
        <v>2600</v>
      </c>
      <c r="V281" s="20" t="n">
        <f aca="false">MROUND(S281*'Fuel &amp; Inputs'!$C$19*'Fuel &amp; Inputs'!$C$21,100)</f>
        <v>5700</v>
      </c>
      <c r="W281" s="20" t="n">
        <f aca="false">MROUND(T281*'Fuel &amp; Inputs'!$C$19*'Fuel &amp; Inputs'!$C$21,100)</f>
        <v>4900</v>
      </c>
      <c r="X281" s="20" t="n">
        <f aca="false">MROUND(R281*'Fuel &amp; Inputs'!$C$20*'Fuel &amp; Inputs'!$C$22,500)</f>
        <v>70500</v>
      </c>
      <c r="Y281" s="20" t="n">
        <f aca="false">MROUND(S281*'Fuel &amp; Inputs'!$C$20*'Fuel &amp; Inputs'!$C$22,500)</f>
        <v>153000</v>
      </c>
      <c r="Z281" s="20" t="n">
        <f aca="false">MROUND(T281*'Fuel &amp; Inputs'!$C$20*'Fuel &amp; Inputs'!$C$22,500)</f>
        <v>131500</v>
      </c>
    </row>
    <row r="282" customFormat="false" ht="15" hidden="false" customHeight="false" outlineLevel="0" collapsed="false">
      <c r="A282" s="23" t="n">
        <v>260</v>
      </c>
      <c r="B282" s="34" t="s">
        <v>102</v>
      </c>
      <c r="C282" s="34" t="s">
        <v>630</v>
      </c>
      <c r="D282" s="34" t="s">
        <v>721</v>
      </c>
      <c r="E282" s="23" t="s">
        <v>282</v>
      </c>
      <c r="F282" s="23" t="s">
        <v>722</v>
      </c>
      <c r="G282" s="23" t="s">
        <v>723</v>
      </c>
      <c r="H282" s="23" t="s">
        <v>153</v>
      </c>
      <c r="I282" s="23" t="s">
        <v>596</v>
      </c>
      <c r="J282" s="36" t="n">
        <v>0.078</v>
      </c>
      <c r="K282" s="36" t="n">
        <v>0.1</v>
      </c>
      <c r="L282" s="36" t="n">
        <v>0.125</v>
      </c>
      <c r="M282" s="35" t="n">
        <v>1.175</v>
      </c>
      <c r="N282" s="26" t="n">
        <f aca="false">IF(J282=0,0,IF($I282="L/km",MROUND(J282*$M282*IF($H282="Petrol",'Fuel &amp; Inputs'!$C$5,'Fuel &amp; Inputs'!$C$4),1),MROUND(J282*$M282*IF($H282="Petrol",'Fuel &amp; Inputs'!$C$5,'Fuel &amp; Inputs'!$C$4),10)))</f>
        <v>35</v>
      </c>
      <c r="O282" s="26" t="n">
        <f aca="false">IF(K282=0,0,IF($I282="L/km",MROUND(K282*$M282*IF($H282="Petrol",'Fuel &amp; Inputs'!$C$5,'Fuel &amp; Inputs'!$C$4),1),MROUND(K282*$M282*IF($H282="Petrol",'Fuel &amp; Inputs'!$C$5,'Fuel &amp; Inputs'!$C$4),10)))</f>
        <v>45</v>
      </c>
      <c r="P282" s="26" t="n">
        <f aca="false">IF(L282=0,0,IF($I282="L/km",MROUND(L282*$M282*IF($H282="Petrol",'Fuel &amp; Inputs'!$C$5,'Fuel &amp; Inputs'!$C$4),1),MROUND(L282*$M282*IF($H282="Petrol",'Fuel &amp; Inputs'!$C$5,'Fuel &amp; Inputs'!$C$4),10)))</f>
        <v>56</v>
      </c>
      <c r="Q282" s="23" t="s">
        <v>597</v>
      </c>
      <c r="R282" s="27" t="n">
        <v>490</v>
      </c>
      <c r="S282" s="26" t="n">
        <f aca="false">MROUND(R282+'Fuel &amp; Inputs'!$C$13,50)</f>
        <v>1300</v>
      </c>
      <c r="T282" s="27" t="n">
        <v>910</v>
      </c>
      <c r="U282" s="26" t="n">
        <f aca="false">MROUND(R282*'Fuel &amp; Inputs'!$C$19*'Fuel &amp; Inputs'!$C$21,100)</f>
        <v>1900</v>
      </c>
      <c r="V282" s="26" t="n">
        <f aca="false">MROUND(S282*'Fuel &amp; Inputs'!$C$19*'Fuel &amp; Inputs'!$C$21,100)</f>
        <v>4900</v>
      </c>
      <c r="W282" s="26" t="n">
        <f aca="false">MROUND(T282*'Fuel &amp; Inputs'!$C$19*'Fuel &amp; Inputs'!$C$21,100)</f>
        <v>3500</v>
      </c>
      <c r="X282" s="26" t="n">
        <f aca="false">MROUND(R282*'Fuel &amp; Inputs'!$C$20*'Fuel &amp; Inputs'!$C$22,500)</f>
        <v>50000</v>
      </c>
      <c r="Y282" s="26" t="n">
        <f aca="false">MROUND(S282*'Fuel &amp; Inputs'!$C$20*'Fuel &amp; Inputs'!$C$22,500)</f>
        <v>132500</v>
      </c>
      <c r="Z282" s="26" t="n">
        <f aca="false">MROUND(T282*'Fuel &amp; Inputs'!$C$20*'Fuel &amp; Inputs'!$C$22,500)</f>
        <v>93000</v>
      </c>
    </row>
    <row r="283" customFormat="false" ht="15" hidden="false" customHeight="false" outlineLevel="0" collapsed="false">
      <c r="A283" s="17" t="n">
        <v>261</v>
      </c>
      <c r="B283" s="32" t="s">
        <v>102</v>
      </c>
      <c r="C283" s="32" t="s">
        <v>630</v>
      </c>
      <c r="D283" s="32" t="s">
        <v>724</v>
      </c>
      <c r="E283" s="17" t="s">
        <v>685</v>
      </c>
      <c r="F283" s="17" t="s">
        <v>725</v>
      </c>
      <c r="G283" s="17" t="s">
        <v>726</v>
      </c>
      <c r="H283" s="17" t="s">
        <v>153</v>
      </c>
      <c r="I283" s="17" t="s">
        <v>596</v>
      </c>
      <c r="J283" s="37" t="n">
        <v>0.078</v>
      </c>
      <c r="K283" s="37" t="n">
        <v>0.1</v>
      </c>
      <c r="L283" s="37" t="n">
        <v>0.125</v>
      </c>
      <c r="M283" s="33" t="n">
        <v>1.175</v>
      </c>
      <c r="N283" s="20" t="n">
        <f aca="false">IF(J283=0,0,IF($I283="L/km",MROUND(J283*$M283*IF($H283="Petrol",'Fuel &amp; Inputs'!$C$5,'Fuel &amp; Inputs'!$C$4),1),MROUND(J283*$M283*IF($H283="Petrol",'Fuel &amp; Inputs'!$C$5,'Fuel &amp; Inputs'!$C$4),10)))</f>
        <v>35</v>
      </c>
      <c r="O283" s="20" t="n">
        <f aca="false">IF(K283=0,0,IF($I283="L/km",MROUND(K283*$M283*IF($H283="Petrol",'Fuel &amp; Inputs'!$C$5,'Fuel &amp; Inputs'!$C$4),1),MROUND(K283*$M283*IF($H283="Petrol",'Fuel &amp; Inputs'!$C$5,'Fuel &amp; Inputs'!$C$4),10)))</f>
        <v>45</v>
      </c>
      <c r="P283" s="20" t="n">
        <f aca="false">IF(L283=0,0,IF($I283="L/km",MROUND(L283*$M283*IF($H283="Petrol",'Fuel &amp; Inputs'!$C$5,'Fuel &amp; Inputs'!$C$4),1),MROUND(L283*$M283*IF($H283="Petrol",'Fuel &amp; Inputs'!$C$5,'Fuel &amp; Inputs'!$C$4),10)))</f>
        <v>56</v>
      </c>
      <c r="Q283" s="17" t="s">
        <v>597</v>
      </c>
      <c r="R283" s="21" t="n">
        <v>430</v>
      </c>
      <c r="S283" s="20" t="n">
        <f aca="false">MROUND(R283+'Fuel &amp; Inputs'!$C$13,50)</f>
        <v>1250</v>
      </c>
      <c r="T283" s="21" t="n">
        <v>810</v>
      </c>
      <c r="U283" s="20" t="n">
        <f aca="false">MROUND(R283*'Fuel &amp; Inputs'!$C$19*'Fuel &amp; Inputs'!$C$21,100)</f>
        <v>1600</v>
      </c>
      <c r="V283" s="20" t="n">
        <f aca="false">MROUND(S283*'Fuel &amp; Inputs'!$C$19*'Fuel &amp; Inputs'!$C$21,100)</f>
        <v>4800</v>
      </c>
      <c r="W283" s="20" t="n">
        <f aca="false">MROUND(T283*'Fuel &amp; Inputs'!$C$19*'Fuel &amp; Inputs'!$C$21,100)</f>
        <v>3100</v>
      </c>
      <c r="X283" s="20" t="n">
        <f aca="false">MROUND(R283*'Fuel &amp; Inputs'!$C$20*'Fuel &amp; Inputs'!$C$22,500)</f>
        <v>44000</v>
      </c>
      <c r="Y283" s="20" t="n">
        <f aca="false">MROUND(S283*'Fuel &amp; Inputs'!$C$20*'Fuel &amp; Inputs'!$C$22,500)</f>
        <v>127500</v>
      </c>
      <c r="Z283" s="20" t="n">
        <f aca="false">MROUND(T283*'Fuel &amp; Inputs'!$C$20*'Fuel &amp; Inputs'!$C$22,500)</f>
        <v>82500</v>
      </c>
    </row>
    <row r="284" customFormat="false" ht="15" hidden="false" customHeight="false" outlineLevel="0" collapsed="false">
      <c r="A284" s="23" t="n">
        <v>262</v>
      </c>
      <c r="B284" s="34" t="s">
        <v>102</v>
      </c>
      <c r="C284" s="34" t="s">
        <v>630</v>
      </c>
      <c r="D284" s="34" t="s">
        <v>727</v>
      </c>
      <c r="E284" s="23" t="s">
        <v>685</v>
      </c>
      <c r="F284" s="23" t="s">
        <v>728</v>
      </c>
      <c r="G284" s="23" t="s">
        <v>729</v>
      </c>
      <c r="H284" s="23" t="s">
        <v>153</v>
      </c>
      <c r="I284" s="23" t="s">
        <v>596</v>
      </c>
      <c r="J284" s="36" t="n">
        <v>0.078</v>
      </c>
      <c r="K284" s="36" t="n">
        <v>0.1</v>
      </c>
      <c r="L284" s="36" t="n">
        <v>0.125</v>
      </c>
      <c r="M284" s="35" t="n">
        <v>1.175</v>
      </c>
      <c r="N284" s="26" t="n">
        <f aca="false">IF(J284=0,0,IF($I284="L/km",MROUND(J284*$M284*IF($H284="Petrol",'Fuel &amp; Inputs'!$C$5,'Fuel &amp; Inputs'!$C$4),1),MROUND(J284*$M284*IF($H284="Petrol",'Fuel &amp; Inputs'!$C$5,'Fuel &amp; Inputs'!$C$4),10)))</f>
        <v>35</v>
      </c>
      <c r="O284" s="26" t="n">
        <f aca="false">IF(K284=0,0,IF($I284="L/km",MROUND(K284*$M284*IF($H284="Petrol",'Fuel &amp; Inputs'!$C$5,'Fuel &amp; Inputs'!$C$4),1),MROUND(K284*$M284*IF($H284="Petrol",'Fuel &amp; Inputs'!$C$5,'Fuel &amp; Inputs'!$C$4),10)))</f>
        <v>45</v>
      </c>
      <c r="P284" s="26" t="n">
        <f aca="false">IF(L284=0,0,IF($I284="L/km",MROUND(L284*$M284*IF($H284="Petrol",'Fuel &amp; Inputs'!$C$5,'Fuel &amp; Inputs'!$C$4),1),MROUND(L284*$M284*IF($H284="Petrol",'Fuel &amp; Inputs'!$C$5,'Fuel &amp; Inputs'!$C$4),10)))</f>
        <v>56</v>
      </c>
      <c r="Q284" s="23" t="s">
        <v>597</v>
      </c>
      <c r="R284" s="27" t="n">
        <v>430</v>
      </c>
      <c r="S284" s="26" t="n">
        <f aca="false">MROUND(R284+'Fuel &amp; Inputs'!$C$13,50)</f>
        <v>1250</v>
      </c>
      <c r="T284" s="27" t="n">
        <v>810</v>
      </c>
      <c r="U284" s="26" t="n">
        <f aca="false">MROUND(R284*'Fuel &amp; Inputs'!$C$19*'Fuel &amp; Inputs'!$C$21,100)</f>
        <v>1600</v>
      </c>
      <c r="V284" s="26" t="n">
        <f aca="false">MROUND(S284*'Fuel &amp; Inputs'!$C$19*'Fuel &amp; Inputs'!$C$21,100)</f>
        <v>4800</v>
      </c>
      <c r="W284" s="26" t="n">
        <f aca="false">MROUND(T284*'Fuel &amp; Inputs'!$C$19*'Fuel &amp; Inputs'!$C$21,100)</f>
        <v>3100</v>
      </c>
      <c r="X284" s="26" t="n">
        <f aca="false">MROUND(R284*'Fuel &amp; Inputs'!$C$20*'Fuel &amp; Inputs'!$C$22,500)</f>
        <v>44000</v>
      </c>
      <c r="Y284" s="26" t="n">
        <f aca="false">MROUND(S284*'Fuel &amp; Inputs'!$C$20*'Fuel &amp; Inputs'!$C$22,500)</f>
        <v>127500</v>
      </c>
      <c r="Z284" s="26" t="n">
        <f aca="false">MROUND(T284*'Fuel &amp; Inputs'!$C$20*'Fuel &amp; Inputs'!$C$22,500)</f>
        <v>82500</v>
      </c>
    </row>
    <row r="285" customFormat="false" ht="15" hidden="false" customHeight="false" outlineLevel="0" collapsed="false">
      <c r="A285" s="17" t="n">
        <v>263</v>
      </c>
      <c r="B285" s="32" t="s">
        <v>102</v>
      </c>
      <c r="C285" s="32" t="s">
        <v>730</v>
      </c>
      <c r="D285" s="32" t="s">
        <v>731</v>
      </c>
      <c r="E285" s="17" t="s">
        <v>732</v>
      </c>
      <c r="F285" s="17" t="s">
        <v>733</v>
      </c>
      <c r="G285" s="17" t="s">
        <v>734</v>
      </c>
      <c r="H285" s="17" t="s">
        <v>153</v>
      </c>
      <c r="I285" s="17" t="s">
        <v>596</v>
      </c>
      <c r="J285" s="37" t="n">
        <v>0.078</v>
      </c>
      <c r="K285" s="37" t="n">
        <v>0.1</v>
      </c>
      <c r="L285" s="37" t="n">
        <v>0.125</v>
      </c>
      <c r="M285" s="33" t="n">
        <v>1.175</v>
      </c>
      <c r="N285" s="20" t="n">
        <f aca="false">IF(J285=0,0,IF($I285="L/km",MROUND(J285*$M285*IF($H285="Petrol",'Fuel &amp; Inputs'!$C$5,'Fuel &amp; Inputs'!$C$4),1),MROUND(J285*$M285*IF($H285="Petrol",'Fuel &amp; Inputs'!$C$5,'Fuel &amp; Inputs'!$C$4),10)))</f>
        <v>35</v>
      </c>
      <c r="O285" s="20" t="n">
        <f aca="false">IF(K285=0,0,IF($I285="L/km",MROUND(K285*$M285*IF($H285="Petrol",'Fuel &amp; Inputs'!$C$5,'Fuel &amp; Inputs'!$C$4),1),MROUND(K285*$M285*IF($H285="Petrol",'Fuel &amp; Inputs'!$C$5,'Fuel &amp; Inputs'!$C$4),10)))</f>
        <v>45</v>
      </c>
      <c r="P285" s="20" t="n">
        <f aca="false">IF(L285=0,0,IF($I285="L/km",MROUND(L285*$M285*IF($H285="Petrol",'Fuel &amp; Inputs'!$C$5,'Fuel &amp; Inputs'!$C$4),1),MROUND(L285*$M285*IF($H285="Petrol",'Fuel &amp; Inputs'!$C$5,'Fuel &amp; Inputs'!$C$4),10)))</f>
        <v>56</v>
      </c>
      <c r="Q285" s="17" t="s">
        <v>597</v>
      </c>
      <c r="R285" s="21" t="n">
        <v>430</v>
      </c>
      <c r="S285" s="20" t="n">
        <f aca="false">MROUND(R285+'Fuel &amp; Inputs'!$C$13,50)</f>
        <v>1250</v>
      </c>
      <c r="T285" s="21" t="n">
        <v>810</v>
      </c>
      <c r="U285" s="20" t="n">
        <f aca="false">MROUND(R285*'Fuel &amp; Inputs'!$C$19*'Fuel &amp; Inputs'!$C$21,100)</f>
        <v>1600</v>
      </c>
      <c r="V285" s="20" t="n">
        <f aca="false">MROUND(S285*'Fuel &amp; Inputs'!$C$19*'Fuel &amp; Inputs'!$C$21,100)</f>
        <v>4800</v>
      </c>
      <c r="W285" s="20" t="n">
        <f aca="false">MROUND(T285*'Fuel &amp; Inputs'!$C$19*'Fuel &amp; Inputs'!$C$21,100)</f>
        <v>3100</v>
      </c>
      <c r="X285" s="20" t="n">
        <f aca="false">MROUND(R285*'Fuel &amp; Inputs'!$C$20*'Fuel &amp; Inputs'!$C$22,500)</f>
        <v>44000</v>
      </c>
      <c r="Y285" s="20" t="n">
        <f aca="false">MROUND(S285*'Fuel &amp; Inputs'!$C$20*'Fuel &amp; Inputs'!$C$22,500)</f>
        <v>127500</v>
      </c>
      <c r="Z285" s="20" t="n">
        <f aca="false">MROUND(T285*'Fuel &amp; Inputs'!$C$20*'Fuel &amp; Inputs'!$C$22,500)</f>
        <v>82500</v>
      </c>
    </row>
    <row r="286" customFormat="false" ht="15" hidden="false" customHeight="false" outlineLevel="0" collapsed="false">
      <c r="A286" s="23" t="n">
        <v>264</v>
      </c>
      <c r="B286" s="34" t="s">
        <v>102</v>
      </c>
      <c r="C286" s="34" t="s">
        <v>630</v>
      </c>
      <c r="D286" s="34" t="s">
        <v>735</v>
      </c>
      <c r="E286" s="23" t="s">
        <v>736</v>
      </c>
      <c r="F286" s="23" t="s">
        <v>737</v>
      </c>
      <c r="G286" s="23" t="s">
        <v>738</v>
      </c>
      <c r="H286" s="23" t="s">
        <v>153</v>
      </c>
      <c r="I286" s="23" t="s">
        <v>596</v>
      </c>
      <c r="J286" s="36" t="n">
        <v>0.078</v>
      </c>
      <c r="K286" s="36" t="n">
        <v>0.1</v>
      </c>
      <c r="L286" s="36" t="n">
        <v>0.125</v>
      </c>
      <c r="M286" s="35" t="n">
        <v>1.175</v>
      </c>
      <c r="N286" s="26" t="n">
        <f aca="false">IF(J286=0,0,IF($I286="L/km",MROUND(J286*$M286*IF($H286="Petrol",'Fuel &amp; Inputs'!$C$5,'Fuel &amp; Inputs'!$C$4),1),MROUND(J286*$M286*IF($H286="Petrol",'Fuel &amp; Inputs'!$C$5,'Fuel &amp; Inputs'!$C$4),10)))</f>
        <v>35</v>
      </c>
      <c r="O286" s="26" t="n">
        <f aca="false">IF(K286=0,0,IF($I286="L/km",MROUND(K286*$M286*IF($H286="Petrol",'Fuel &amp; Inputs'!$C$5,'Fuel &amp; Inputs'!$C$4),1),MROUND(K286*$M286*IF($H286="Petrol",'Fuel &amp; Inputs'!$C$5,'Fuel &amp; Inputs'!$C$4),10)))</f>
        <v>45</v>
      </c>
      <c r="P286" s="26" t="n">
        <f aca="false">IF(L286=0,0,IF($I286="L/km",MROUND(L286*$M286*IF($H286="Petrol",'Fuel &amp; Inputs'!$C$5,'Fuel &amp; Inputs'!$C$4),1),MROUND(L286*$M286*IF($H286="Petrol",'Fuel &amp; Inputs'!$C$5,'Fuel &amp; Inputs'!$C$4),10)))</f>
        <v>56</v>
      </c>
      <c r="Q286" s="23" t="s">
        <v>597</v>
      </c>
      <c r="R286" s="27" t="n">
        <v>430</v>
      </c>
      <c r="S286" s="26" t="n">
        <f aca="false">MROUND(R286+'Fuel &amp; Inputs'!$C$13,50)</f>
        <v>1250</v>
      </c>
      <c r="T286" s="27" t="n">
        <v>810</v>
      </c>
      <c r="U286" s="26" t="n">
        <f aca="false">MROUND(R286*'Fuel &amp; Inputs'!$C$19*'Fuel &amp; Inputs'!$C$21,100)</f>
        <v>1600</v>
      </c>
      <c r="V286" s="26" t="n">
        <f aca="false">MROUND(S286*'Fuel &amp; Inputs'!$C$19*'Fuel &amp; Inputs'!$C$21,100)</f>
        <v>4800</v>
      </c>
      <c r="W286" s="26" t="n">
        <f aca="false">MROUND(T286*'Fuel &amp; Inputs'!$C$19*'Fuel &amp; Inputs'!$C$21,100)</f>
        <v>3100</v>
      </c>
      <c r="X286" s="26" t="n">
        <f aca="false">MROUND(R286*'Fuel &amp; Inputs'!$C$20*'Fuel &amp; Inputs'!$C$22,500)</f>
        <v>44000</v>
      </c>
      <c r="Y286" s="26" t="n">
        <f aca="false">MROUND(S286*'Fuel &amp; Inputs'!$C$20*'Fuel &amp; Inputs'!$C$22,500)</f>
        <v>127500</v>
      </c>
      <c r="Z286" s="26" t="n">
        <f aca="false">MROUND(T286*'Fuel &amp; Inputs'!$C$20*'Fuel &amp; Inputs'!$C$22,500)</f>
        <v>82500</v>
      </c>
    </row>
    <row r="287" customFormat="false" ht="15" hidden="false" customHeight="true" outlineLevel="0" collapsed="false">
      <c r="A287" s="31" t="s">
        <v>739</v>
      </c>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ustomFormat="false" ht="15" hidden="false" customHeight="false" outlineLevel="0" collapsed="false">
      <c r="A288" s="17" t="n">
        <v>265</v>
      </c>
      <c r="B288" s="32" t="s">
        <v>104</v>
      </c>
      <c r="C288" s="32" t="s">
        <v>649</v>
      </c>
      <c r="D288" s="32" t="s">
        <v>740</v>
      </c>
      <c r="E288" s="17" t="s">
        <v>180</v>
      </c>
      <c r="F288" s="17" t="s">
        <v>741</v>
      </c>
      <c r="G288" s="17" t="s">
        <v>742</v>
      </c>
      <c r="H288" s="17" t="s">
        <v>153</v>
      </c>
      <c r="I288" s="17" t="s">
        <v>596</v>
      </c>
      <c r="J288" s="37" t="n">
        <v>0.071</v>
      </c>
      <c r="K288" s="37" t="n">
        <v>0.091</v>
      </c>
      <c r="L288" s="37" t="n">
        <v>0.114</v>
      </c>
      <c r="M288" s="33" t="n">
        <v>1.049</v>
      </c>
      <c r="N288" s="20" t="n">
        <f aca="false">IF(J288=0,0,IF($I288="L/km",MROUND(J288*$M288*IF($H288="Petrol",'Fuel &amp; Inputs'!$C$5,'Fuel &amp; Inputs'!$C$4),1),MROUND(J288*$M288*IF($H288="Petrol",'Fuel &amp; Inputs'!$C$5,'Fuel &amp; Inputs'!$C$4),10)))</f>
        <v>28</v>
      </c>
      <c r="O288" s="20" t="n">
        <f aca="false">IF(K288=0,0,IF($I288="L/km",MROUND(K288*$M288*IF($H288="Petrol",'Fuel &amp; Inputs'!$C$5,'Fuel &amp; Inputs'!$C$4),1),MROUND(K288*$M288*IF($H288="Petrol",'Fuel &amp; Inputs'!$C$5,'Fuel &amp; Inputs'!$C$4),10)))</f>
        <v>36</v>
      </c>
      <c r="P288" s="20" t="n">
        <f aca="false">IF(L288=0,0,IF($I288="L/km",MROUND(L288*$M288*IF($H288="Petrol",'Fuel &amp; Inputs'!$C$5,'Fuel &amp; Inputs'!$C$4),1),MROUND(L288*$M288*IF($H288="Petrol",'Fuel &amp; Inputs'!$C$5,'Fuel &amp; Inputs'!$C$4),10)))</f>
        <v>46</v>
      </c>
      <c r="Q288" s="17" t="s">
        <v>597</v>
      </c>
      <c r="R288" s="21" t="n">
        <v>600</v>
      </c>
      <c r="S288" s="20" t="n">
        <f aca="false">MROUND(R288+'Fuel &amp; Inputs'!$C$13,50)</f>
        <v>1400</v>
      </c>
      <c r="T288" s="21" t="n">
        <v>1060</v>
      </c>
      <c r="U288" s="20" t="n">
        <f aca="false">MROUND(R288*'Fuel &amp; Inputs'!$C$19*'Fuel &amp; Inputs'!$C$21,100)</f>
        <v>2300</v>
      </c>
      <c r="V288" s="20" t="n">
        <f aca="false">MROUND(S288*'Fuel &amp; Inputs'!$C$19*'Fuel &amp; Inputs'!$C$21,100)</f>
        <v>5300</v>
      </c>
      <c r="W288" s="20" t="n">
        <f aca="false">MROUND(T288*'Fuel &amp; Inputs'!$C$19*'Fuel &amp; Inputs'!$C$21,100)</f>
        <v>4000</v>
      </c>
      <c r="X288" s="20" t="n">
        <f aca="false">MROUND(R288*'Fuel &amp; Inputs'!$C$20*'Fuel &amp; Inputs'!$C$22,500)</f>
        <v>61000</v>
      </c>
      <c r="Y288" s="20" t="n">
        <f aca="false">MROUND(S288*'Fuel &amp; Inputs'!$C$20*'Fuel &amp; Inputs'!$C$22,500)</f>
        <v>143000</v>
      </c>
      <c r="Z288" s="20" t="n">
        <f aca="false">MROUND(T288*'Fuel &amp; Inputs'!$C$20*'Fuel &amp; Inputs'!$C$22,500)</f>
        <v>108000</v>
      </c>
    </row>
    <row r="289" customFormat="false" ht="15" hidden="false" customHeight="false" outlineLevel="0" collapsed="false">
      <c r="A289" s="23" t="n">
        <v>266</v>
      </c>
      <c r="B289" s="34" t="s">
        <v>104</v>
      </c>
      <c r="C289" s="34" t="s">
        <v>649</v>
      </c>
      <c r="D289" s="34" t="s">
        <v>740</v>
      </c>
      <c r="E289" s="23" t="s">
        <v>180</v>
      </c>
      <c r="F289" s="23" t="s">
        <v>743</v>
      </c>
      <c r="G289" s="23" t="s">
        <v>744</v>
      </c>
      <c r="H289" s="23" t="s">
        <v>153</v>
      </c>
      <c r="I289" s="23" t="s">
        <v>596</v>
      </c>
      <c r="J289" s="36" t="n">
        <v>0.071</v>
      </c>
      <c r="K289" s="36" t="n">
        <v>0.091</v>
      </c>
      <c r="L289" s="36" t="n">
        <v>0.114</v>
      </c>
      <c r="M289" s="35" t="n">
        <v>1.049</v>
      </c>
      <c r="N289" s="26" t="n">
        <f aca="false">IF(J289=0,0,IF($I289="L/km",MROUND(J289*$M289*IF($H289="Petrol",'Fuel &amp; Inputs'!$C$5,'Fuel &amp; Inputs'!$C$4),1),MROUND(J289*$M289*IF($H289="Petrol",'Fuel &amp; Inputs'!$C$5,'Fuel &amp; Inputs'!$C$4),10)))</f>
        <v>28</v>
      </c>
      <c r="O289" s="26" t="n">
        <f aca="false">IF(K289=0,0,IF($I289="L/km",MROUND(K289*$M289*IF($H289="Petrol",'Fuel &amp; Inputs'!$C$5,'Fuel &amp; Inputs'!$C$4),1),MROUND(K289*$M289*IF($H289="Petrol",'Fuel &amp; Inputs'!$C$5,'Fuel &amp; Inputs'!$C$4),10)))</f>
        <v>36</v>
      </c>
      <c r="P289" s="26" t="n">
        <f aca="false">IF(L289=0,0,IF($I289="L/km",MROUND(L289*$M289*IF($H289="Petrol",'Fuel &amp; Inputs'!$C$5,'Fuel &amp; Inputs'!$C$4),1),MROUND(L289*$M289*IF($H289="Petrol",'Fuel &amp; Inputs'!$C$5,'Fuel &amp; Inputs'!$C$4),10)))</f>
        <v>46</v>
      </c>
      <c r="Q289" s="23" t="s">
        <v>597</v>
      </c>
      <c r="R289" s="27" t="n">
        <v>600</v>
      </c>
      <c r="S289" s="26" t="n">
        <f aca="false">MROUND(R289+'Fuel &amp; Inputs'!$C$13,50)</f>
        <v>1400</v>
      </c>
      <c r="T289" s="27" t="n">
        <v>1060</v>
      </c>
      <c r="U289" s="26" t="n">
        <f aca="false">MROUND(R289*'Fuel &amp; Inputs'!$C$19*'Fuel &amp; Inputs'!$C$21,100)</f>
        <v>2300</v>
      </c>
      <c r="V289" s="26" t="n">
        <f aca="false">MROUND(S289*'Fuel &amp; Inputs'!$C$19*'Fuel &amp; Inputs'!$C$21,100)</f>
        <v>5300</v>
      </c>
      <c r="W289" s="26" t="n">
        <f aca="false">MROUND(T289*'Fuel &amp; Inputs'!$C$19*'Fuel &amp; Inputs'!$C$21,100)</f>
        <v>4000</v>
      </c>
      <c r="X289" s="26" t="n">
        <f aca="false">MROUND(R289*'Fuel &amp; Inputs'!$C$20*'Fuel &amp; Inputs'!$C$22,500)</f>
        <v>61000</v>
      </c>
      <c r="Y289" s="26" t="n">
        <f aca="false">MROUND(S289*'Fuel &amp; Inputs'!$C$20*'Fuel &amp; Inputs'!$C$22,500)</f>
        <v>143000</v>
      </c>
      <c r="Z289" s="26" t="n">
        <f aca="false">MROUND(T289*'Fuel &amp; Inputs'!$C$20*'Fuel &amp; Inputs'!$C$22,500)</f>
        <v>108000</v>
      </c>
    </row>
    <row r="290" customFormat="false" ht="15" hidden="false" customHeight="false" outlineLevel="0" collapsed="false">
      <c r="A290" s="17" t="n">
        <v>267</v>
      </c>
      <c r="B290" s="32" t="s">
        <v>104</v>
      </c>
      <c r="C290" s="32" t="s">
        <v>649</v>
      </c>
      <c r="D290" s="32" t="s">
        <v>740</v>
      </c>
      <c r="E290" s="17" t="s">
        <v>180</v>
      </c>
      <c r="F290" s="17" t="s">
        <v>745</v>
      </c>
      <c r="G290" s="17" t="s">
        <v>746</v>
      </c>
      <c r="H290" s="17" t="s">
        <v>153</v>
      </c>
      <c r="I290" s="17" t="s">
        <v>596</v>
      </c>
      <c r="J290" s="37" t="n">
        <v>0.071</v>
      </c>
      <c r="K290" s="37" t="n">
        <v>0.091</v>
      </c>
      <c r="L290" s="37" t="n">
        <v>0.114</v>
      </c>
      <c r="M290" s="33" t="n">
        <v>1.049</v>
      </c>
      <c r="N290" s="20" t="n">
        <f aca="false">IF(J290=0,0,IF($I290="L/km",MROUND(J290*$M290*IF($H290="Petrol",'Fuel &amp; Inputs'!$C$5,'Fuel &amp; Inputs'!$C$4),1),MROUND(J290*$M290*IF($H290="Petrol",'Fuel &amp; Inputs'!$C$5,'Fuel &amp; Inputs'!$C$4),10)))</f>
        <v>28</v>
      </c>
      <c r="O290" s="20" t="n">
        <f aca="false">IF(K290=0,0,IF($I290="L/km",MROUND(K290*$M290*IF($H290="Petrol",'Fuel &amp; Inputs'!$C$5,'Fuel &amp; Inputs'!$C$4),1),MROUND(K290*$M290*IF($H290="Petrol",'Fuel &amp; Inputs'!$C$5,'Fuel &amp; Inputs'!$C$4),10)))</f>
        <v>36</v>
      </c>
      <c r="P290" s="20" t="n">
        <f aca="false">IF(L290=0,0,IF($I290="L/km",MROUND(L290*$M290*IF($H290="Petrol",'Fuel &amp; Inputs'!$C$5,'Fuel &amp; Inputs'!$C$4),1),MROUND(L290*$M290*IF($H290="Petrol",'Fuel &amp; Inputs'!$C$5,'Fuel &amp; Inputs'!$C$4),10)))</f>
        <v>46</v>
      </c>
      <c r="Q290" s="17" t="s">
        <v>597</v>
      </c>
      <c r="R290" s="21" t="n">
        <v>600</v>
      </c>
      <c r="S290" s="20" t="n">
        <f aca="false">MROUND(R290+'Fuel &amp; Inputs'!$C$13,50)</f>
        <v>1400</v>
      </c>
      <c r="T290" s="21" t="n">
        <v>1060</v>
      </c>
      <c r="U290" s="20" t="n">
        <f aca="false">MROUND(R290*'Fuel &amp; Inputs'!$C$19*'Fuel &amp; Inputs'!$C$21,100)</f>
        <v>2300</v>
      </c>
      <c r="V290" s="20" t="n">
        <f aca="false">MROUND(S290*'Fuel &amp; Inputs'!$C$19*'Fuel &amp; Inputs'!$C$21,100)</f>
        <v>5300</v>
      </c>
      <c r="W290" s="20" t="n">
        <f aca="false">MROUND(T290*'Fuel &amp; Inputs'!$C$19*'Fuel &amp; Inputs'!$C$21,100)</f>
        <v>4000</v>
      </c>
      <c r="X290" s="20" t="n">
        <f aca="false">MROUND(R290*'Fuel &amp; Inputs'!$C$20*'Fuel &amp; Inputs'!$C$22,500)</f>
        <v>61000</v>
      </c>
      <c r="Y290" s="20" t="n">
        <f aca="false">MROUND(S290*'Fuel &amp; Inputs'!$C$20*'Fuel &amp; Inputs'!$C$22,500)</f>
        <v>143000</v>
      </c>
      <c r="Z290" s="20" t="n">
        <f aca="false">MROUND(T290*'Fuel &amp; Inputs'!$C$20*'Fuel &amp; Inputs'!$C$22,500)</f>
        <v>108000</v>
      </c>
    </row>
    <row r="291" customFormat="false" ht="15" hidden="false" customHeight="false" outlineLevel="0" collapsed="false">
      <c r="A291" s="23" t="n">
        <v>268</v>
      </c>
      <c r="B291" s="34" t="s">
        <v>104</v>
      </c>
      <c r="C291" s="34" t="s">
        <v>649</v>
      </c>
      <c r="D291" s="34" t="s">
        <v>740</v>
      </c>
      <c r="E291" s="23" t="s">
        <v>180</v>
      </c>
      <c r="F291" s="23" t="s">
        <v>747</v>
      </c>
      <c r="G291" s="23" t="s">
        <v>748</v>
      </c>
      <c r="H291" s="23" t="s">
        <v>153</v>
      </c>
      <c r="I291" s="23" t="s">
        <v>596</v>
      </c>
      <c r="J291" s="36" t="n">
        <v>0.071</v>
      </c>
      <c r="K291" s="36" t="n">
        <v>0.091</v>
      </c>
      <c r="L291" s="36" t="n">
        <v>0.114</v>
      </c>
      <c r="M291" s="35" t="n">
        <v>1.049</v>
      </c>
      <c r="N291" s="26" t="n">
        <f aca="false">IF(J291=0,0,IF($I291="L/km",MROUND(J291*$M291*IF($H291="Petrol",'Fuel &amp; Inputs'!$C$5,'Fuel &amp; Inputs'!$C$4),1),MROUND(J291*$M291*IF($H291="Petrol",'Fuel &amp; Inputs'!$C$5,'Fuel &amp; Inputs'!$C$4),10)))</f>
        <v>28</v>
      </c>
      <c r="O291" s="26" t="n">
        <f aca="false">IF(K291=0,0,IF($I291="L/km",MROUND(K291*$M291*IF($H291="Petrol",'Fuel &amp; Inputs'!$C$5,'Fuel &amp; Inputs'!$C$4),1),MROUND(K291*$M291*IF($H291="Petrol",'Fuel &amp; Inputs'!$C$5,'Fuel &amp; Inputs'!$C$4),10)))</f>
        <v>36</v>
      </c>
      <c r="P291" s="26" t="n">
        <f aca="false">IF(L291=0,0,IF($I291="L/km",MROUND(L291*$M291*IF($H291="Petrol",'Fuel &amp; Inputs'!$C$5,'Fuel &amp; Inputs'!$C$4),1),MROUND(L291*$M291*IF($H291="Petrol",'Fuel &amp; Inputs'!$C$5,'Fuel &amp; Inputs'!$C$4),10)))</f>
        <v>46</v>
      </c>
      <c r="Q291" s="23" t="s">
        <v>597</v>
      </c>
      <c r="R291" s="27" t="n">
        <v>600</v>
      </c>
      <c r="S291" s="26" t="n">
        <f aca="false">MROUND(R291+'Fuel &amp; Inputs'!$C$13,50)</f>
        <v>1400</v>
      </c>
      <c r="T291" s="27" t="n">
        <v>1060</v>
      </c>
      <c r="U291" s="26" t="n">
        <f aca="false">MROUND(R291*'Fuel &amp; Inputs'!$C$19*'Fuel &amp; Inputs'!$C$21,100)</f>
        <v>2300</v>
      </c>
      <c r="V291" s="26" t="n">
        <f aca="false">MROUND(S291*'Fuel &amp; Inputs'!$C$19*'Fuel &amp; Inputs'!$C$21,100)</f>
        <v>5300</v>
      </c>
      <c r="W291" s="26" t="n">
        <f aca="false">MROUND(T291*'Fuel &amp; Inputs'!$C$19*'Fuel &amp; Inputs'!$C$21,100)</f>
        <v>4000</v>
      </c>
      <c r="X291" s="26" t="n">
        <f aca="false">MROUND(R291*'Fuel &amp; Inputs'!$C$20*'Fuel &amp; Inputs'!$C$22,500)</f>
        <v>61000</v>
      </c>
      <c r="Y291" s="26" t="n">
        <f aca="false">MROUND(S291*'Fuel &amp; Inputs'!$C$20*'Fuel &amp; Inputs'!$C$22,500)</f>
        <v>143000</v>
      </c>
      <c r="Z291" s="26" t="n">
        <f aca="false">MROUND(T291*'Fuel &amp; Inputs'!$C$20*'Fuel &amp; Inputs'!$C$22,500)</f>
        <v>108000</v>
      </c>
    </row>
    <row r="292" customFormat="false" ht="15" hidden="false" customHeight="false" outlineLevel="0" collapsed="false">
      <c r="A292" s="17" t="n">
        <v>269</v>
      </c>
      <c r="B292" s="32" t="s">
        <v>104</v>
      </c>
      <c r="C292" s="32" t="s">
        <v>249</v>
      </c>
      <c r="D292" s="32" t="s">
        <v>749</v>
      </c>
      <c r="E292" s="17" t="s">
        <v>180</v>
      </c>
      <c r="F292" s="17" t="s">
        <v>750</v>
      </c>
      <c r="G292" s="17" t="s">
        <v>751</v>
      </c>
      <c r="H292" s="17" t="s">
        <v>153</v>
      </c>
      <c r="I292" s="17" t="s">
        <v>596</v>
      </c>
      <c r="J292" s="37" t="n">
        <v>0.071</v>
      </c>
      <c r="K292" s="37" t="n">
        <v>0.091</v>
      </c>
      <c r="L292" s="37" t="n">
        <v>0.114</v>
      </c>
      <c r="M292" s="33" t="n">
        <v>1.049</v>
      </c>
      <c r="N292" s="20" t="n">
        <f aca="false">IF(J292=0,0,IF($I292="L/km",MROUND(J292*$M292*IF($H292="Petrol",'Fuel &amp; Inputs'!$C$5,'Fuel &amp; Inputs'!$C$4),1),MROUND(J292*$M292*IF($H292="Petrol",'Fuel &amp; Inputs'!$C$5,'Fuel &amp; Inputs'!$C$4),10)))</f>
        <v>28</v>
      </c>
      <c r="O292" s="20" t="n">
        <f aca="false">IF(K292=0,0,IF($I292="L/km",MROUND(K292*$M292*IF($H292="Petrol",'Fuel &amp; Inputs'!$C$5,'Fuel &amp; Inputs'!$C$4),1),MROUND(K292*$M292*IF($H292="Petrol",'Fuel &amp; Inputs'!$C$5,'Fuel &amp; Inputs'!$C$4),10)))</f>
        <v>36</v>
      </c>
      <c r="P292" s="20" t="n">
        <f aca="false">IF(L292=0,0,IF($I292="L/km",MROUND(L292*$M292*IF($H292="Petrol",'Fuel &amp; Inputs'!$C$5,'Fuel &amp; Inputs'!$C$4),1),MROUND(L292*$M292*IF($H292="Petrol",'Fuel &amp; Inputs'!$C$5,'Fuel &amp; Inputs'!$C$4),10)))</f>
        <v>46</v>
      </c>
      <c r="Q292" s="17" t="s">
        <v>597</v>
      </c>
      <c r="R292" s="21" t="n">
        <v>600</v>
      </c>
      <c r="S292" s="20" t="n">
        <f aca="false">MROUND(R292+'Fuel &amp; Inputs'!$C$13,50)</f>
        <v>1400</v>
      </c>
      <c r="T292" s="21" t="n">
        <v>1060</v>
      </c>
      <c r="U292" s="20" t="n">
        <f aca="false">MROUND(R292*'Fuel &amp; Inputs'!$C$19*'Fuel &amp; Inputs'!$C$21,100)</f>
        <v>2300</v>
      </c>
      <c r="V292" s="20" t="n">
        <f aca="false">MROUND(S292*'Fuel &amp; Inputs'!$C$19*'Fuel &amp; Inputs'!$C$21,100)</f>
        <v>5300</v>
      </c>
      <c r="W292" s="20" t="n">
        <f aca="false">MROUND(T292*'Fuel &amp; Inputs'!$C$19*'Fuel &amp; Inputs'!$C$21,100)</f>
        <v>4000</v>
      </c>
      <c r="X292" s="20" t="n">
        <f aca="false">MROUND(R292*'Fuel &amp; Inputs'!$C$20*'Fuel &amp; Inputs'!$C$22,500)</f>
        <v>61000</v>
      </c>
      <c r="Y292" s="20" t="n">
        <f aca="false">MROUND(S292*'Fuel &amp; Inputs'!$C$20*'Fuel &amp; Inputs'!$C$22,500)</f>
        <v>143000</v>
      </c>
      <c r="Z292" s="20" t="n">
        <f aca="false">MROUND(T292*'Fuel &amp; Inputs'!$C$20*'Fuel &amp; Inputs'!$C$22,500)</f>
        <v>108000</v>
      </c>
    </row>
    <row r="293" customFormat="false" ht="15" hidden="false" customHeight="false" outlineLevel="0" collapsed="false">
      <c r="A293" s="23" t="n">
        <v>270</v>
      </c>
      <c r="B293" s="34" t="s">
        <v>104</v>
      </c>
      <c r="C293" s="34" t="s">
        <v>249</v>
      </c>
      <c r="D293" s="34" t="s">
        <v>752</v>
      </c>
      <c r="E293" s="23" t="s">
        <v>228</v>
      </c>
      <c r="F293" s="23" t="s">
        <v>753</v>
      </c>
      <c r="G293" s="23" t="s">
        <v>754</v>
      </c>
      <c r="H293" s="23" t="s">
        <v>153</v>
      </c>
      <c r="I293" s="23" t="s">
        <v>596</v>
      </c>
      <c r="J293" s="36" t="n">
        <v>0.071</v>
      </c>
      <c r="K293" s="36" t="n">
        <v>0.091</v>
      </c>
      <c r="L293" s="36" t="n">
        <v>0.114</v>
      </c>
      <c r="M293" s="35" t="n">
        <v>1.084</v>
      </c>
      <c r="N293" s="26" t="n">
        <f aca="false">IF(J293=0,0,IF($I293="L/km",MROUND(J293*$M293*IF($H293="Petrol",'Fuel &amp; Inputs'!$C$5,'Fuel &amp; Inputs'!$C$4),1),MROUND(J293*$M293*IF($H293="Petrol",'Fuel &amp; Inputs'!$C$5,'Fuel &amp; Inputs'!$C$4),10)))</f>
        <v>29</v>
      </c>
      <c r="O293" s="26" t="n">
        <f aca="false">IF(K293=0,0,IF($I293="L/km",MROUND(K293*$M293*IF($H293="Petrol",'Fuel &amp; Inputs'!$C$5,'Fuel &amp; Inputs'!$C$4),1),MROUND(K293*$M293*IF($H293="Petrol",'Fuel &amp; Inputs'!$C$5,'Fuel &amp; Inputs'!$C$4),10)))</f>
        <v>38</v>
      </c>
      <c r="P293" s="26" t="n">
        <f aca="false">IF(L293=0,0,IF($I293="L/km",MROUND(L293*$M293*IF($H293="Petrol",'Fuel &amp; Inputs'!$C$5,'Fuel &amp; Inputs'!$C$4),1),MROUND(L293*$M293*IF($H293="Petrol",'Fuel &amp; Inputs'!$C$5,'Fuel &amp; Inputs'!$C$4),10)))</f>
        <v>47</v>
      </c>
      <c r="Q293" s="23" t="s">
        <v>597</v>
      </c>
      <c r="R293" s="27" t="n">
        <v>530</v>
      </c>
      <c r="S293" s="26" t="n">
        <f aca="false">MROUND(R293+'Fuel &amp; Inputs'!$C$13,50)</f>
        <v>1350</v>
      </c>
      <c r="T293" s="27" t="n">
        <v>940</v>
      </c>
      <c r="U293" s="26" t="n">
        <f aca="false">MROUND(R293*'Fuel &amp; Inputs'!$C$19*'Fuel &amp; Inputs'!$C$21,100)</f>
        <v>2000</v>
      </c>
      <c r="V293" s="26" t="n">
        <f aca="false">MROUND(S293*'Fuel &amp; Inputs'!$C$19*'Fuel &amp; Inputs'!$C$21,100)</f>
        <v>5100</v>
      </c>
      <c r="W293" s="26" t="n">
        <f aca="false">MROUND(T293*'Fuel &amp; Inputs'!$C$19*'Fuel &amp; Inputs'!$C$21,100)</f>
        <v>3600</v>
      </c>
      <c r="X293" s="26" t="n">
        <f aca="false">MROUND(R293*'Fuel &amp; Inputs'!$C$20*'Fuel &amp; Inputs'!$C$22,500)</f>
        <v>54000</v>
      </c>
      <c r="Y293" s="26" t="n">
        <f aca="false">MROUND(S293*'Fuel &amp; Inputs'!$C$20*'Fuel &amp; Inputs'!$C$22,500)</f>
        <v>137500</v>
      </c>
      <c r="Z293" s="26" t="n">
        <f aca="false">MROUND(T293*'Fuel &amp; Inputs'!$C$20*'Fuel &amp; Inputs'!$C$22,500)</f>
        <v>96000</v>
      </c>
    </row>
    <row r="294" customFormat="false" ht="15" hidden="false" customHeight="false" outlineLevel="0" collapsed="false">
      <c r="A294" s="17" t="n">
        <v>271</v>
      </c>
      <c r="B294" s="32" t="s">
        <v>104</v>
      </c>
      <c r="C294" s="32" t="s">
        <v>755</v>
      </c>
      <c r="D294" s="32" t="s">
        <v>756</v>
      </c>
      <c r="E294" s="17" t="s">
        <v>234</v>
      </c>
      <c r="F294" s="17" t="s">
        <v>757</v>
      </c>
      <c r="G294" s="17" t="s">
        <v>758</v>
      </c>
      <c r="H294" s="17" t="s">
        <v>153</v>
      </c>
      <c r="I294" s="17" t="s">
        <v>596</v>
      </c>
      <c r="J294" s="37" t="n">
        <v>0.071</v>
      </c>
      <c r="K294" s="37" t="n">
        <v>0.091</v>
      </c>
      <c r="L294" s="37" t="n">
        <v>0.114</v>
      </c>
      <c r="M294" s="33" t="n">
        <v>1.091</v>
      </c>
      <c r="N294" s="20" t="n">
        <f aca="false">IF(J294=0,0,IF($I294="L/km",MROUND(J294*$M294*IF($H294="Petrol",'Fuel &amp; Inputs'!$C$5,'Fuel &amp; Inputs'!$C$4),1),MROUND(J294*$M294*IF($H294="Petrol",'Fuel &amp; Inputs'!$C$5,'Fuel &amp; Inputs'!$C$4),10)))</f>
        <v>30</v>
      </c>
      <c r="O294" s="20" t="n">
        <f aca="false">IF(K294=0,0,IF($I294="L/km",MROUND(K294*$M294*IF($H294="Petrol",'Fuel &amp; Inputs'!$C$5,'Fuel &amp; Inputs'!$C$4),1),MROUND(K294*$M294*IF($H294="Petrol",'Fuel &amp; Inputs'!$C$5,'Fuel &amp; Inputs'!$C$4),10)))</f>
        <v>38</v>
      </c>
      <c r="P294" s="20" t="n">
        <f aca="false">IF(L294=0,0,IF($I294="L/km",MROUND(L294*$M294*IF($H294="Petrol",'Fuel &amp; Inputs'!$C$5,'Fuel &amp; Inputs'!$C$4),1),MROUND(L294*$M294*IF($H294="Petrol",'Fuel &amp; Inputs'!$C$5,'Fuel &amp; Inputs'!$C$4),10)))</f>
        <v>48</v>
      </c>
      <c r="Q294" s="17" t="s">
        <v>597</v>
      </c>
      <c r="R294" s="21" t="n">
        <v>530</v>
      </c>
      <c r="S294" s="20" t="n">
        <f aca="false">MROUND(R294+'Fuel &amp; Inputs'!$C$13,50)</f>
        <v>1350</v>
      </c>
      <c r="T294" s="21" t="n">
        <v>940</v>
      </c>
      <c r="U294" s="20" t="n">
        <f aca="false">MROUND(R294*'Fuel &amp; Inputs'!$C$19*'Fuel &amp; Inputs'!$C$21,100)</f>
        <v>2000</v>
      </c>
      <c r="V294" s="20" t="n">
        <f aca="false">MROUND(S294*'Fuel &amp; Inputs'!$C$19*'Fuel &amp; Inputs'!$C$21,100)</f>
        <v>5100</v>
      </c>
      <c r="W294" s="20" t="n">
        <f aca="false">MROUND(T294*'Fuel &amp; Inputs'!$C$19*'Fuel &amp; Inputs'!$C$21,100)</f>
        <v>3600</v>
      </c>
      <c r="X294" s="20" t="n">
        <f aca="false">MROUND(R294*'Fuel &amp; Inputs'!$C$20*'Fuel &amp; Inputs'!$C$22,500)</f>
        <v>54000</v>
      </c>
      <c r="Y294" s="20" t="n">
        <f aca="false">MROUND(S294*'Fuel &amp; Inputs'!$C$20*'Fuel &amp; Inputs'!$C$22,500)</f>
        <v>137500</v>
      </c>
      <c r="Z294" s="20" t="n">
        <f aca="false">MROUND(T294*'Fuel &amp; Inputs'!$C$20*'Fuel &amp; Inputs'!$C$22,500)</f>
        <v>96000</v>
      </c>
    </row>
    <row r="295" customFormat="false" ht="15" hidden="false" customHeight="false" outlineLevel="0" collapsed="false">
      <c r="A295" s="23" t="n">
        <v>272</v>
      </c>
      <c r="B295" s="34" t="s">
        <v>104</v>
      </c>
      <c r="C295" s="34" t="s">
        <v>249</v>
      </c>
      <c r="D295" s="34" t="s">
        <v>759</v>
      </c>
      <c r="E295" s="23" t="s">
        <v>166</v>
      </c>
      <c r="F295" s="23" t="s">
        <v>760</v>
      </c>
      <c r="G295" s="23" t="s">
        <v>761</v>
      </c>
      <c r="H295" s="23" t="s">
        <v>153</v>
      </c>
      <c r="I295" s="23" t="s">
        <v>596</v>
      </c>
      <c r="J295" s="36" t="n">
        <v>0.071</v>
      </c>
      <c r="K295" s="36" t="n">
        <v>0.091</v>
      </c>
      <c r="L295" s="36" t="n">
        <v>0.114</v>
      </c>
      <c r="M295" s="35" t="n">
        <v>1.098</v>
      </c>
      <c r="N295" s="26" t="n">
        <f aca="false">IF(J295=0,0,IF($I295="L/km",MROUND(J295*$M295*IF($H295="Petrol",'Fuel &amp; Inputs'!$C$5,'Fuel &amp; Inputs'!$C$4),1),MROUND(J295*$M295*IF($H295="Petrol",'Fuel &amp; Inputs'!$C$5,'Fuel &amp; Inputs'!$C$4),10)))</f>
        <v>30</v>
      </c>
      <c r="O295" s="26" t="n">
        <f aca="false">IF(K295=0,0,IF($I295="L/km",MROUND(K295*$M295*IF($H295="Petrol",'Fuel &amp; Inputs'!$C$5,'Fuel &amp; Inputs'!$C$4),1),MROUND(K295*$M295*IF($H295="Petrol",'Fuel &amp; Inputs'!$C$5,'Fuel &amp; Inputs'!$C$4),10)))</f>
        <v>38</v>
      </c>
      <c r="P295" s="26" t="n">
        <f aca="false">IF(L295=0,0,IF($I295="L/km",MROUND(L295*$M295*IF($H295="Petrol",'Fuel &amp; Inputs'!$C$5,'Fuel &amp; Inputs'!$C$4),1),MROUND(L295*$M295*IF($H295="Petrol",'Fuel &amp; Inputs'!$C$5,'Fuel &amp; Inputs'!$C$4),10)))</f>
        <v>48</v>
      </c>
      <c r="Q295" s="23" t="s">
        <v>597</v>
      </c>
      <c r="R295" s="27" t="n">
        <v>530</v>
      </c>
      <c r="S295" s="26" t="n">
        <f aca="false">MROUND(R295+'Fuel &amp; Inputs'!$C$13,50)</f>
        <v>1350</v>
      </c>
      <c r="T295" s="27" t="n">
        <v>940</v>
      </c>
      <c r="U295" s="26" t="n">
        <f aca="false">MROUND(R295*'Fuel &amp; Inputs'!$C$19*'Fuel &amp; Inputs'!$C$21,100)</f>
        <v>2000</v>
      </c>
      <c r="V295" s="26" t="n">
        <f aca="false">MROUND(S295*'Fuel &amp; Inputs'!$C$19*'Fuel &amp; Inputs'!$C$21,100)</f>
        <v>5100</v>
      </c>
      <c r="W295" s="26" t="n">
        <f aca="false">MROUND(T295*'Fuel &amp; Inputs'!$C$19*'Fuel &amp; Inputs'!$C$21,100)</f>
        <v>3600</v>
      </c>
      <c r="X295" s="26" t="n">
        <f aca="false">MROUND(R295*'Fuel &amp; Inputs'!$C$20*'Fuel &amp; Inputs'!$C$22,500)</f>
        <v>54000</v>
      </c>
      <c r="Y295" s="26" t="n">
        <f aca="false">MROUND(S295*'Fuel &amp; Inputs'!$C$20*'Fuel &amp; Inputs'!$C$22,500)</f>
        <v>137500</v>
      </c>
      <c r="Z295" s="26" t="n">
        <f aca="false">MROUND(T295*'Fuel &amp; Inputs'!$C$20*'Fuel &amp; Inputs'!$C$22,500)</f>
        <v>96000</v>
      </c>
    </row>
    <row r="296" customFormat="false" ht="15" hidden="false" customHeight="false" outlineLevel="0" collapsed="false">
      <c r="A296" s="17" t="n">
        <v>273</v>
      </c>
      <c r="B296" s="32" t="s">
        <v>104</v>
      </c>
      <c r="C296" s="32" t="s">
        <v>249</v>
      </c>
      <c r="D296" s="32" t="s">
        <v>759</v>
      </c>
      <c r="E296" s="17" t="s">
        <v>603</v>
      </c>
      <c r="F296" s="17" t="s">
        <v>762</v>
      </c>
      <c r="G296" s="17" t="s">
        <v>763</v>
      </c>
      <c r="H296" s="17" t="s">
        <v>153</v>
      </c>
      <c r="I296" s="17" t="s">
        <v>596</v>
      </c>
      <c r="J296" s="37" t="n">
        <v>0.071</v>
      </c>
      <c r="K296" s="37" t="n">
        <v>0.091</v>
      </c>
      <c r="L296" s="37" t="n">
        <v>0.114</v>
      </c>
      <c r="M296" s="33" t="n">
        <v>1.105</v>
      </c>
      <c r="N296" s="20" t="n">
        <f aca="false">IF(J296=0,0,IF($I296="L/km",MROUND(J296*$M296*IF($H296="Petrol",'Fuel &amp; Inputs'!$C$5,'Fuel &amp; Inputs'!$C$4),1),MROUND(J296*$M296*IF($H296="Petrol",'Fuel &amp; Inputs'!$C$5,'Fuel &amp; Inputs'!$C$4),10)))</f>
        <v>30</v>
      </c>
      <c r="O296" s="20" t="n">
        <f aca="false">IF(K296=0,0,IF($I296="L/km",MROUND(K296*$M296*IF($H296="Petrol",'Fuel &amp; Inputs'!$C$5,'Fuel &amp; Inputs'!$C$4),1),MROUND(K296*$M296*IF($H296="Petrol",'Fuel &amp; Inputs'!$C$5,'Fuel &amp; Inputs'!$C$4),10)))</f>
        <v>38</v>
      </c>
      <c r="P296" s="20" t="n">
        <f aca="false">IF(L296=0,0,IF($I296="L/km",MROUND(L296*$M296*IF($H296="Petrol",'Fuel &amp; Inputs'!$C$5,'Fuel &amp; Inputs'!$C$4),1),MROUND(L296*$M296*IF($H296="Petrol",'Fuel &amp; Inputs'!$C$5,'Fuel &amp; Inputs'!$C$4),10)))</f>
        <v>48</v>
      </c>
      <c r="Q296" s="17" t="s">
        <v>597</v>
      </c>
      <c r="R296" s="21" t="n">
        <v>530</v>
      </c>
      <c r="S296" s="20" t="n">
        <f aca="false">MROUND(R296+'Fuel &amp; Inputs'!$C$13,50)</f>
        <v>1350</v>
      </c>
      <c r="T296" s="21" t="n">
        <v>940</v>
      </c>
      <c r="U296" s="20" t="n">
        <f aca="false">MROUND(R296*'Fuel &amp; Inputs'!$C$19*'Fuel &amp; Inputs'!$C$21,100)</f>
        <v>2000</v>
      </c>
      <c r="V296" s="20" t="n">
        <f aca="false">MROUND(S296*'Fuel &amp; Inputs'!$C$19*'Fuel &amp; Inputs'!$C$21,100)</f>
        <v>5100</v>
      </c>
      <c r="W296" s="20" t="n">
        <f aca="false">MROUND(T296*'Fuel &amp; Inputs'!$C$19*'Fuel &amp; Inputs'!$C$21,100)</f>
        <v>3600</v>
      </c>
      <c r="X296" s="20" t="n">
        <f aca="false">MROUND(R296*'Fuel &amp; Inputs'!$C$20*'Fuel &amp; Inputs'!$C$22,500)</f>
        <v>54000</v>
      </c>
      <c r="Y296" s="20" t="n">
        <f aca="false">MROUND(S296*'Fuel &amp; Inputs'!$C$20*'Fuel &amp; Inputs'!$C$22,500)</f>
        <v>137500</v>
      </c>
      <c r="Z296" s="20" t="n">
        <f aca="false">MROUND(T296*'Fuel &amp; Inputs'!$C$20*'Fuel &amp; Inputs'!$C$22,500)</f>
        <v>96000</v>
      </c>
    </row>
    <row r="297" customFormat="false" ht="15" hidden="false" customHeight="false" outlineLevel="0" collapsed="false">
      <c r="A297" s="23" t="n">
        <v>274</v>
      </c>
      <c r="B297" s="34" t="s">
        <v>104</v>
      </c>
      <c r="C297" s="34" t="s">
        <v>249</v>
      </c>
      <c r="D297" s="34" t="s">
        <v>764</v>
      </c>
      <c r="E297" s="23" t="s">
        <v>603</v>
      </c>
      <c r="F297" s="23" t="s">
        <v>765</v>
      </c>
      <c r="G297" s="23" t="s">
        <v>766</v>
      </c>
      <c r="H297" s="23" t="s">
        <v>153</v>
      </c>
      <c r="I297" s="23" t="s">
        <v>596</v>
      </c>
      <c r="J297" s="36" t="n">
        <v>0.071</v>
      </c>
      <c r="K297" s="36" t="n">
        <v>0.091</v>
      </c>
      <c r="L297" s="36" t="n">
        <v>0.114</v>
      </c>
      <c r="M297" s="35" t="n">
        <v>1.105</v>
      </c>
      <c r="N297" s="26" t="n">
        <f aca="false">IF(J297=0,0,IF($I297="L/km",MROUND(J297*$M297*IF($H297="Petrol",'Fuel &amp; Inputs'!$C$5,'Fuel &amp; Inputs'!$C$4),1),MROUND(J297*$M297*IF($H297="Petrol",'Fuel &amp; Inputs'!$C$5,'Fuel &amp; Inputs'!$C$4),10)))</f>
        <v>30</v>
      </c>
      <c r="O297" s="26" t="n">
        <f aca="false">IF(K297=0,0,IF($I297="L/km",MROUND(K297*$M297*IF($H297="Petrol",'Fuel &amp; Inputs'!$C$5,'Fuel &amp; Inputs'!$C$4),1),MROUND(K297*$M297*IF($H297="Petrol",'Fuel &amp; Inputs'!$C$5,'Fuel &amp; Inputs'!$C$4),10)))</f>
        <v>38</v>
      </c>
      <c r="P297" s="26" t="n">
        <f aca="false">IF(L297=0,0,IF($I297="L/km",MROUND(L297*$M297*IF($H297="Petrol",'Fuel &amp; Inputs'!$C$5,'Fuel &amp; Inputs'!$C$4),1),MROUND(L297*$M297*IF($H297="Petrol",'Fuel &amp; Inputs'!$C$5,'Fuel &amp; Inputs'!$C$4),10)))</f>
        <v>48</v>
      </c>
      <c r="Q297" s="23" t="s">
        <v>597</v>
      </c>
      <c r="R297" s="27" t="n">
        <v>530</v>
      </c>
      <c r="S297" s="26" t="n">
        <f aca="false">MROUND(R297+'Fuel &amp; Inputs'!$C$13,50)</f>
        <v>1350</v>
      </c>
      <c r="T297" s="27" t="n">
        <v>940</v>
      </c>
      <c r="U297" s="26" t="n">
        <f aca="false">MROUND(R297*'Fuel &amp; Inputs'!$C$19*'Fuel &amp; Inputs'!$C$21,100)</f>
        <v>2000</v>
      </c>
      <c r="V297" s="26" t="n">
        <f aca="false">MROUND(S297*'Fuel &amp; Inputs'!$C$19*'Fuel &amp; Inputs'!$C$21,100)</f>
        <v>5100</v>
      </c>
      <c r="W297" s="26" t="n">
        <f aca="false">MROUND(T297*'Fuel &amp; Inputs'!$C$19*'Fuel &amp; Inputs'!$C$21,100)</f>
        <v>3600</v>
      </c>
      <c r="X297" s="26" t="n">
        <f aca="false">MROUND(R297*'Fuel &amp; Inputs'!$C$20*'Fuel &amp; Inputs'!$C$22,500)</f>
        <v>54000</v>
      </c>
      <c r="Y297" s="26" t="n">
        <f aca="false">MROUND(S297*'Fuel &amp; Inputs'!$C$20*'Fuel &amp; Inputs'!$C$22,500)</f>
        <v>137500</v>
      </c>
      <c r="Z297" s="26" t="n">
        <f aca="false">MROUND(T297*'Fuel &amp; Inputs'!$C$20*'Fuel &amp; Inputs'!$C$22,500)</f>
        <v>96000</v>
      </c>
    </row>
    <row r="298" customFormat="false" ht="15" hidden="false" customHeight="false" outlineLevel="0" collapsed="false">
      <c r="A298" s="17" t="n">
        <v>275</v>
      </c>
      <c r="B298" s="32" t="s">
        <v>104</v>
      </c>
      <c r="C298" s="32" t="s">
        <v>700</v>
      </c>
      <c r="D298" s="32" t="s">
        <v>764</v>
      </c>
      <c r="E298" s="17" t="s">
        <v>603</v>
      </c>
      <c r="F298" s="17" t="s">
        <v>767</v>
      </c>
      <c r="G298" s="17" t="s">
        <v>768</v>
      </c>
      <c r="H298" s="17" t="s">
        <v>153</v>
      </c>
      <c r="I298" s="17" t="s">
        <v>596</v>
      </c>
      <c r="J298" s="37" t="n">
        <v>0.071</v>
      </c>
      <c r="K298" s="37" t="n">
        <v>0.091</v>
      </c>
      <c r="L298" s="37" t="n">
        <v>0.114</v>
      </c>
      <c r="M298" s="33" t="n">
        <v>1.105</v>
      </c>
      <c r="N298" s="20" t="n">
        <f aca="false">IF(J298=0,0,IF($I298="L/km",MROUND(J298*$M298*IF($H298="Petrol",'Fuel &amp; Inputs'!$C$5,'Fuel &amp; Inputs'!$C$4),1),MROUND(J298*$M298*IF($H298="Petrol",'Fuel &amp; Inputs'!$C$5,'Fuel &amp; Inputs'!$C$4),10)))</f>
        <v>30</v>
      </c>
      <c r="O298" s="20" t="n">
        <f aca="false">IF(K298=0,0,IF($I298="L/km",MROUND(K298*$M298*IF($H298="Petrol",'Fuel &amp; Inputs'!$C$5,'Fuel &amp; Inputs'!$C$4),1),MROUND(K298*$M298*IF($H298="Petrol",'Fuel &amp; Inputs'!$C$5,'Fuel &amp; Inputs'!$C$4),10)))</f>
        <v>38</v>
      </c>
      <c r="P298" s="20" t="n">
        <f aca="false">IF(L298=0,0,IF($I298="L/km",MROUND(L298*$M298*IF($H298="Petrol",'Fuel &amp; Inputs'!$C$5,'Fuel &amp; Inputs'!$C$4),1),MROUND(L298*$M298*IF($H298="Petrol",'Fuel &amp; Inputs'!$C$5,'Fuel &amp; Inputs'!$C$4),10)))</f>
        <v>48</v>
      </c>
      <c r="Q298" s="17" t="s">
        <v>597</v>
      </c>
      <c r="R298" s="21" t="n">
        <v>530</v>
      </c>
      <c r="S298" s="20" t="n">
        <f aca="false">MROUND(R298+'Fuel &amp; Inputs'!$C$13,50)</f>
        <v>1350</v>
      </c>
      <c r="T298" s="21" t="n">
        <v>940</v>
      </c>
      <c r="U298" s="20" t="n">
        <f aca="false">MROUND(R298*'Fuel &amp; Inputs'!$C$19*'Fuel &amp; Inputs'!$C$21,100)</f>
        <v>2000</v>
      </c>
      <c r="V298" s="20" t="n">
        <f aca="false">MROUND(S298*'Fuel &amp; Inputs'!$C$19*'Fuel &amp; Inputs'!$C$21,100)</f>
        <v>5100</v>
      </c>
      <c r="W298" s="20" t="n">
        <f aca="false">MROUND(T298*'Fuel &amp; Inputs'!$C$19*'Fuel &amp; Inputs'!$C$21,100)</f>
        <v>3600</v>
      </c>
      <c r="X298" s="20" t="n">
        <f aca="false">MROUND(R298*'Fuel &amp; Inputs'!$C$20*'Fuel &amp; Inputs'!$C$22,500)</f>
        <v>54000</v>
      </c>
      <c r="Y298" s="20" t="n">
        <f aca="false">MROUND(S298*'Fuel &amp; Inputs'!$C$20*'Fuel &amp; Inputs'!$C$22,500)</f>
        <v>137500</v>
      </c>
      <c r="Z298" s="20" t="n">
        <f aca="false">MROUND(T298*'Fuel &amp; Inputs'!$C$20*'Fuel &amp; Inputs'!$C$22,500)</f>
        <v>96000</v>
      </c>
    </row>
    <row r="299" customFormat="false" ht="15" hidden="false" customHeight="false" outlineLevel="0" collapsed="false">
      <c r="A299" s="23" t="n">
        <v>276</v>
      </c>
      <c r="B299" s="34" t="s">
        <v>104</v>
      </c>
      <c r="C299" s="34" t="s">
        <v>249</v>
      </c>
      <c r="D299" s="34" t="s">
        <v>769</v>
      </c>
      <c r="E299" s="23" t="s">
        <v>204</v>
      </c>
      <c r="F299" s="23" t="s">
        <v>770</v>
      </c>
      <c r="G299" s="23" t="s">
        <v>771</v>
      </c>
      <c r="H299" s="23" t="s">
        <v>153</v>
      </c>
      <c r="I299" s="23" t="s">
        <v>596</v>
      </c>
      <c r="J299" s="36" t="n">
        <v>0.071</v>
      </c>
      <c r="K299" s="36" t="n">
        <v>0.091</v>
      </c>
      <c r="L299" s="36" t="n">
        <v>0.114</v>
      </c>
      <c r="M299" s="35" t="n">
        <v>1.14</v>
      </c>
      <c r="N299" s="26" t="n">
        <f aca="false">IF(J299=0,0,IF($I299="L/km",MROUND(J299*$M299*IF($H299="Petrol",'Fuel &amp; Inputs'!$C$5,'Fuel &amp; Inputs'!$C$4),1),MROUND(J299*$M299*IF($H299="Petrol",'Fuel &amp; Inputs'!$C$5,'Fuel &amp; Inputs'!$C$4),10)))</f>
        <v>31</v>
      </c>
      <c r="O299" s="26" t="n">
        <f aca="false">IF(K299=0,0,IF($I299="L/km",MROUND(K299*$M299*IF($H299="Petrol",'Fuel &amp; Inputs'!$C$5,'Fuel &amp; Inputs'!$C$4),1),MROUND(K299*$M299*IF($H299="Petrol",'Fuel &amp; Inputs'!$C$5,'Fuel &amp; Inputs'!$C$4),10)))</f>
        <v>40</v>
      </c>
      <c r="P299" s="26" t="n">
        <f aca="false">IF(L299=0,0,IF($I299="L/km",MROUND(L299*$M299*IF($H299="Petrol",'Fuel &amp; Inputs'!$C$5,'Fuel &amp; Inputs'!$C$4),1),MROUND(L299*$M299*IF($H299="Petrol",'Fuel &amp; Inputs'!$C$5,'Fuel &amp; Inputs'!$C$4),10)))</f>
        <v>50</v>
      </c>
      <c r="Q299" s="23" t="s">
        <v>597</v>
      </c>
      <c r="R299" s="27" t="n">
        <v>470</v>
      </c>
      <c r="S299" s="26" t="n">
        <f aca="false">MROUND(R299+'Fuel &amp; Inputs'!$C$13,50)</f>
        <v>1250</v>
      </c>
      <c r="T299" s="27" t="n">
        <v>830</v>
      </c>
      <c r="U299" s="26" t="n">
        <f aca="false">MROUND(R299*'Fuel &amp; Inputs'!$C$19*'Fuel &amp; Inputs'!$C$21,100)</f>
        <v>1800</v>
      </c>
      <c r="V299" s="26" t="n">
        <f aca="false">MROUND(S299*'Fuel &amp; Inputs'!$C$19*'Fuel &amp; Inputs'!$C$21,100)</f>
        <v>4800</v>
      </c>
      <c r="W299" s="26" t="n">
        <f aca="false">MROUND(T299*'Fuel &amp; Inputs'!$C$19*'Fuel &amp; Inputs'!$C$21,100)</f>
        <v>3200</v>
      </c>
      <c r="X299" s="26" t="n">
        <f aca="false">MROUND(R299*'Fuel &amp; Inputs'!$C$20*'Fuel &amp; Inputs'!$C$22,500)</f>
        <v>48000</v>
      </c>
      <c r="Y299" s="26" t="n">
        <f aca="false">MROUND(S299*'Fuel &amp; Inputs'!$C$20*'Fuel &amp; Inputs'!$C$22,500)</f>
        <v>127500</v>
      </c>
      <c r="Z299" s="26" t="n">
        <f aca="false">MROUND(T299*'Fuel &amp; Inputs'!$C$20*'Fuel &amp; Inputs'!$C$22,500)</f>
        <v>84500</v>
      </c>
    </row>
    <row r="300" customFormat="false" ht="15" hidden="false" customHeight="false" outlineLevel="0" collapsed="false">
      <c r="A300" s="17" t="n">
        <v>277</v>
      </c>
      <c r="B300" s="32" t="s">
        <v>104</v>
      </c>
      <c r="C300" s="32" t="s">
        <v>249</v>
      </c>
      <c r="D300" s="32" t="s">
        <v>759</v>
      </c>
      <c r="E300" s="17" t="s">
        <v>166</v>
      </c>
      <c r="F300" s="17" t="s">
        <v>772</v>
      </c>
      <c r="G300" s="17" t="s">
        <v>773</v>
      </c>
      <c r="H300" s="17" t="s">
        <v>153</v>
      </c>
      <c r="I300" s="17" t="s">
        <v>596</v>
      </c>
      <c r="J300" s="37" t="n">
        <v>0.071</v>
      </c>
      <c r="K300" s="37" t="n">
        <v>0.091</v>
      </c>
      <c r="L300" s="37" t="n">
        <v>0.114</v>
      </c>
      <c r="M300" s="33" t="n">
        <v>1.098</v>
      </c>
      <c r="N300" s="20" t="n">
        <f aca="false">IF(J300=0,0,IF($I300="L/km",MROUND(J300*$M300*IF($H300="Petrol",'Fuel &amp; Inputs'!$C$5,'Fuel &amp; Inputs'!$C$4),1),MROUND(J300*$M300*IF($H300="Petrol",'Fuel &amp; Inputs'!$C$5,'Fuel &amp; Inputs'!$C$4),10)))</f>
        <v>30</v>
      </c>
      <c r="O300" s="20" t="n">
        <f aca="false">IF(K300=0,0,IF($I300="L/km",MROUND(K300*$M300*IF($H300="Petrol",'Fuel &amp; Inputs'!$C$5,'Fuel &amp; Inputs'!$C$4),1),MROUND(K300*$M300*IF($H300="Petrol",'Fuel &amp; Inputs'!$C$5,'Fuel &amp; Inputs'!$C$4),10)))</f>
        <v>38</v>
      </c>
      <c r="P300" s="20" t="n">
        <f aca="false">IF(L300=0,0,IF($I300="L/km",MROUND(L300*$M300*IF($H300="Petrol",'Fuel &amp; Inputs'!$C$5,'Fuel &amp; Inputs'!$C$4),1),MROUND(L300*$M300*IF($H300="Petrol",'Fuel &amp; Inputs'!$C$5,'Fuel &amp; Inputs'!$C$4),10)))</f>
        <v>48</v>
      </c>
      <c r="Q300" s="17" t="s">
        <v>597</v>
      </c>
      <c r="R300" s="21" t="n">
        <v>380</v>
      </c>
      <c r="S300" s="20" t="n">
        <f aca="false">MROUND(R300+'Fuel &amp; Inputs'!$C$13,50)</f>
        <v>1200</v>
      </c>
      <c r="T300" s="21" t="n">
        <v>670</v>
      </c>
      <c r="U300" s="20" t="n">
        <f aca="false">MROUND(R300*'Fuel &amp; Inputs'!$C$19*'Fuel &amp; Inputs'!$C$21,100)</f>
        <v>1400</v>
      </c>
      <c r="V300" s="20" t="n">
        <f aca="false">MROUND(S300*'Fuel &amp; Inputs'!$C$19*'Fuel &amp; Inputs'!$C$21,100)</f>
        <v>4600</v>
      </c>
      <c r="W300" s="20" t="n">
        <f aca="false">MROUND(T300*'Fuel &amp; Inputs'!$C$19*'Fuel &amp; Inputs'!$C$21,100)</f>
        <v>2500</v>
      </c>
      <c r="X300" s="20" t="n">
        <f aca="false">MROUND(R300*'Fuel &amp; Inputs'!$C$20*'Fuel &amp; Inputs'!$C$22,500)</f>
        <v>39000</v>
      </c>
      <c r="Y300" s="20" t="n">
        <f aca="false">MROUND(S300*'Fuel &amp; Inputs'!$C$20*'Fuel &amp; Inputs'!$C$22,500)</f>
        <v>122500</v>
      </c>
      <c r="Z300" s="20" t="n">
        <f aca="false">MROUND(T300*'Fuel &amp; Inputs'!$C$20*'Fuel &amp; Inputs'!$C$22,500)</f>
        <v>68500</v>
      </c>
    </row>
    <row r="301" customFormat="false" ht="15" hidden="false" customHeight="true" outlineLevel="0" collapsed="false">
      <c r="A301" s="31" t="s">
        <v>774</v>
      </c>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ustomFormat="false" ht="23.85" hidden="false" customHeight="false" outlineLevel="0" collapsed="false">
      <c r="A302" s="23" t="n">
        <v>278</v>
      </c>
      <c r="B302" s="34" t="s">
        <v>106</v>
      </c>
      <c r="C302" s="34" t="s">
        <v>249</v>
      </c>
      <c r="D302" s="34" t="s">
        <v>775</v>
      </c>
      <c r="E302" s="23" t="s">
        <v>150</v>
      </c>
      <c r="F302" s="23" t="s">
        <v>776</v>
      </c>
      <c r="G302" s="23" t="s">
        <v>777</v>
      </c>
      <c r="H302" s="23" t="s">
        <v>153</v>
      </c>
      <c r="I302" s="23" t="s">
        <v>596</v>
      </c>
      <c r="J302" s="36" t="n">
        <v>0.263</v>
      </c>
      <c r="K302" s="36" t="n">
        <v>0.333</v>
      </c>
      <c r="L302" s="36" t="n">
        <v>0.417</v>
      </c>
      <c r="M302" s="35" t="n">
        <v>1.035</v>
      </c>
      <c r="N302" s="26" t="n">
        <f aca="false">IF(J302=0,0,IF($I302="L/km",MROUND(J302*$M302*IF($H302="Petrol",'Fuel &amp; Inputs'!$C$5,'Fuel &amp; Inputs'!$C$4),1),MROUND(J302*$M302*IF($H302="Petrol",'Fuel &amp; Inputs'!$C$5,'Fuel &amp; Inputs'!$C$4),10)))</f>
        <v>104</v>
      </c>
      <c r="O302" s="26" t="n">
        <f aca="false">IF(K302=0,0,IF($I302="L/km",MROUND(K302*$M302*IF($H302="Petrol",'Fuel &amp; Inputs'!$C$5,'Fuel &amp; Inputs'!$C$4),1),MROUND(K302*$M302*IF($H302="Petrol",'Fuel &amp; Inputs'!$C$5,'Fuel &amp; Inputs'!$C$4),10)))</f>
        <v>132</v>
      </c>
      <c r="P302" s="26" t="n">
        <f aca="false">IF(L302=0,0,IF($I302="L/km",MROUND(L302*$M302*IF($H302="Petrol",'Fuel &amp; Inputs'!$C$5,'Fuel &amp; Inputs'!$C$4),1),MROUND(L302*$M302*IF($H302="Petrol",'Fuel &amp; Inputs'!$C$5,'Fuel &amp; Inputs'!$C$4),10)))</f>
        <v>165</v>
      </c>
      <c r="Q302" s="23" t="s">
        <v>597</v>
      </c>
      <c r="R302" s="27" t="n">
        <v>1550</v>
      </c>
      <c r="S302" s="26" t="n">
        <f aca="false">MROUND(R302+'Fuel &amp; Inputs'!$C$13,50)</f>
        <v>2350</v>
      </c>
      <c r="T302" s="27" t="n">
        <v>3250</v>
      </c>
      <c r="U302" s="26" t="n">
        <f aca="false">MROUND(R302*'Fuel &amp; Inputs'!$C$19*'Fuel &amp; Inputs'!$C$21,100)</f>
        <v>5900</v>
      </c>
      <c r="V302" s="26" t="n">
        <f aca="false">MROUND(S302*'Fuel &amp; Inputs'!$C$19*'Fuel &amp; Inputs'!$C$21,100)</f>
        <v>8900</v>
      </c>
      <c r="W302" s="26" t="n">
        <f aca="false">MROUND(T302*'Fuel &amp; Inputs'!$C$19*'Fuel &amp; Inputs'!$C$21,100)</f>
        <v>12400</v>
      </c>
      <c r="X302" s="26" t="n">
        <f aca="false">MROUND(R302*'Fuel &amp; Inputs'!$C$20*'Fuel &amp; Inputs'!$C$22,500)</f>
        <v>158000</v>
      </c>
      <c r="Y302" s="26" t="n">
        <f aca="false">MROUND(S302*'Fuel &amp; Inputs'!$C$20*'Fuel &amp; Inputs'!$C$22,500)</f>
        <v>239500</v>
      </c>
      <c r="Z302" s="26" t="n">
        <f aca="false">MROUND(T302*'Fuel &amp; Inputs'!$C$20*'Fuel &amp; Inputs'!$C$22,500)</f>
        <v>331500</v>
      </c>
    </row>
    <row r="303" customFormat="false" ht="23.85" hidden="false" customHeight="false" outlineLevel="0" collapsed="false">
      <c r="A303" s="17" t="n">
        <v>279</v>
      </c>
      <c r="B303" s="32" t="s">
        <v>106</v>
      </c>
      <c r="C303" s="32" t="s">
        <v>249</v>
      </c>
      <c r="D303" s="32" t="s">
        <v>775</v>
      </c>
      <c r="E303" s="17" t="s">
        <v>603</v>
      </c>
      <c r="F303" s="17" t="s">
        <v>778</v>
      </c>
      <c r="G303" s="17" t="s">
        <v>779</v>
      </c>
      <c r="H303" s="17" t="s">
        <v>153</v>
      </c>
      <c r="I303" s="17" t="s">
        <v>596</v>
      </c>
      <c r="J303" s="37" t="n">
        <v>0.263</v>
      </c>
      <c r="K303" s="37" t="n">
        <v>0.333</v>
      </c>
      <c r="L303" s="37" t="n">
        <v>0.417</v>
      </c>
      <c r="M303" s="33" t="n">
        <v>1.105</v>
      </c>
      <c r="N303" s="20" t="n">
        <f aca="false">IF(J303=0,0,IF($I303="L/km",MROUND(J303*$M303*IF($H303="Petrol",'Fuel &amp; Inputs'!$C$5,'Fuel &amp; Inputs'!$C$4),1),MROUND(J303*$M303*IF($H303="Petrol",'Fuel &amp; Inputs'!$C$5,'Fuel &amp; Inputs'!$C$4),10)))</f>
        <v>111</v>
      </c>
      <c r="O303" s="20" t="n">
        <f aca="false">IF(K303=0,0,IF($I303="L/km",MROUND(K303*$M303*IF($H303="Petrol",'Fuel &amp; Inputs'!$C$5,'Fuel &amp; Inputs'!$C$4),1),MROUND(K303*$M303*IF($H303="Petrol",'Fuel &amp; Inputs'!$C$5,'Fuel &amp; Inputs'!$C$4),10)))</f>
        <v>141</v>
      </c>
      <c r="P303" s="20" t="n">
        <f aca="false">IF(L303=0,0,IF($I303="L/km",MROUND(L303*$M303*IF($H303="Petrol",'Fuel &amp; Inputs'!$C$5,'Fuel &amp; Inputs'!$C$4),1),MROUND(L303*$M303*IF($H303="Petrol",'Fuel &amp; Inputs'!$C$5,'Fuel &amp; Inputs'!$C$4),10)))</f>
        <v>176</v>
      </c>
      <c r="Q303" s="17" t="s">
        <v>597</v>
      </c>
      <c r="R303" s="21" t="n">
        <v>1550</v>
      </c>
      <c r="S303" s="20" t="n">
        <f aca="false">MROUND(R303+'Fuel &amp; Inputs'!$C$13,50)</f>
        <v>2350</v>
      </c>
      <c r="T303" s="21" t="n">
        <v>3250</v>
      </c>
      <c r="U303" s="20" t="n">
        <f aca="false">MROUND(R303*'Fuel &amp; Inputs'!$C$19*'Fuel &amp; Inputs'!$C$21,100)</f>
        <v>5900</v>
      </c>
      <c r="V303" s="20" t="n">
        <f aca="false">MROUND(S303*'Fuel &amp; Inputs'!$C$19*'Fuel &amp; Inputs'!$C$21,100)</f>
        <v>8900</v>
      </c>
      <c r="W303" s="20" t="n">
        <f aca="false">MROUND(T303*'Fuel &amp; Inputs'!$C$19*'Fuel &amp; Inputs'!$C$21,100)</f>
        <v>12400</v>
      </c>
      <c r="X303" s="20" t="n">
        <f aca="false">MROUND(R303*'Fuel &amp; Inputs'!$C$20*'Fuel &amp; Inputs'!$C$22,500)</f>
        <v>158000</v>
      </c>
      <c r="Y303" s="20" t="n">
        <f aca="false">MROUND(S303*'Fuel &amp; Inputs'!$C$20*'Fuel &amp; Inputs'!$C$22,500)</f>
        <v>239500</v>
      </c>
      <c r="Z303" s="20" t="n">
        <f aca="false">MROUND(T303*'Fuel &amp; Inputs'!$C$20*'Fuel &amp; Inputs'!$C$22,500)</f>
        <v>331500</v>
      </c>
    </row>
    <row r="304" customFormat="false" ht="23.85" hidden="false" customHeight="false" outlineLevel="0" collapsed="false">
      <c r="A304" s="23" t="n">
        <v>280</v>
      </c>
      <c r="B304" s="34" t="s">
        <v>106</v>
      </c>
      <c r="C304" s="34" t="s">
        <v>249</v>
      </c>
      <c r="D304" s="34" t="s">
        <v>775</v>
      </c>
      <c r="E304" s="23" t="s">
        <v>603</v>
      </c>
      <c r="F304" s="23" t="s">
        <v>780</v>
      </c>
      <c r="G304" s="23" t="s">
        <v>781</v>
      </c>
      <c r="H304" s="23" t="s">
        <v>153</v>
      </c>
      <c r="I304" s="23" t="s">
        <v>596</v>
      </c>
      <c r="J304" s="36" t="n">
        <v>0.263</v>
      </c>
      <c r="K304" s="36" t="n">
        <v>0.333</v>
      </c>
      <c r="L304" s="36" t="n">
        <v>0.417</v>
      </c>
      <c r="M304" s="35" t="n">
        <v>1.105</v>
      </c>
      <c r="N304" s="26" t="n">
        <f aca="false">IF(J304=0,0,IF($I304="L/km",MROUND(J304*$M304*IF($H304="Petrol",'Fuel &amp; Inputs'!$C$5,'Fuel &amp; Inputs'!$C$4),1),MROUND(J304*$M304*IF($H304="Petrol",'Fuel &amp; Inputs'!$C$5,'Fuel &amp; Inputs'!$C$4),10)))</f>
        <v>111</v>
      </c>
      <c r="O304" s="26" t="n">
        <f aca="false">IF(K304=0,0,IF($I304="L/km",MROUND(K304*$M304*IF($H304="Petrol",'Fuel &amp; Inputs'!$C$5,'Fuel &amp; Inputs'!$C$4),1),MROUND(K304*$M304*IF($H304="Petrol",'Fuel &amp; Inputs'!$C$5,'Fuel &amp; Inputs'!$C$4),10)))</f>
        <v>141</v>
      </c>
      <c r="P304" s="26" t="n">
        <f aca="false">IF(L304=0,0,IF($I304="L/km",MROUND(L304*$M304*IF($H304="Petrol",'Fuel &amp; Inputs'!$C$5,'Fuel &amp; Inputs'!$C$4),1),MROUND(L304*$M304*IF($H304="Petrol",'Fuel &amp; Inputs'!$C$5,'Fuel &amp; Inputs'!$C$4),10)))</f>
        <v>176</v>
      </c>
      <c r="Q304" s="23" t="s">
        <v>597</v>
      </c>
      <c r="R304" s="27" t="n">
        <v>1550</v>
      </c>
      <c r="S304" s="26" t="n">
        <f aca="false">MROUND(R304+'Fuel &amp; Inputs'!$C$13,50)</f>
        <v>2350</v>
      </c>
      <c r="T304" s="27" t="n">
        <v>3250</v>
      </c>
      <c r="U304" s="26" t="n">
        <f aca="false">MROUND(R304*'Fuel &amp; Inputs'!$C$19*'Fuel &amp; Inputs'!$C$21,100)</f>
        <v>5900</v>
      </c>
      <c r="V304" s="26" t="n">
        <f aca="false">MROUND(S304*'Fuel &amp; Inputs'!$C$19*'Fuel &amp; Inputs'!$C$21,100)</f>
        <v>8900</v>
      </c>
      <c r="W304" s="26" t="n">
        <f aca="false">MROUND(T304*'Fuel &amp; Inputs'!$C$19*'Fuel &amp; Inputs'!$C$21,100)</f>
        <v>12400</v>
      </c>
      <c r="X304" s="26" t="n">
        <f aca="false">MROUND(R304*'Fuel &amp; Inputs'!$C$20*'Fuel &amp; Inputs'!$C$22,500)</f>
        <v>158000</v>
      </c>
      <c r="Y304" s="26" t="n">
        <f aca="false">MROUND(S304*'Fuel &amp; Inputs'!$C$20*'Fuel &amp; Inputs'!$C$22,500)</f>
        <v>239500</v>
      </c>
      <c r="Z304" s="26" t="n">
        <f aca="false">MROUND(T304*'Fuel &amp; Inputs'!$C$20*'Fuel &amp; Inputs'!$C$22,500)</f>
        <v>331500</v>
      </c>
    </row>
    <row r="305" customFormat="false" ht="23.85" hidden="false" customHeight="false" outlineLevel="0" collapsed="false">
      <c r="A305" s="17" t="n">
        <v>281</v>
      </c>
      <c r="B305" s="32" t="s">
        <v>106</v>
      </c>
      <c r="C305" s="32" t="s">
        <v>249</v>
      </c>
      <c r="D305" s="32" t="s">
        <v>775</v>
      </c>
      <c r="E305" s="17" t="s">
        <v>166</v>
      </c>
      <c r="F305" s="17" t="s">
        <v>782</v>
      </c>
      <c r="G305" s="17" t="s">
        <v>783</v>
      </c>
      <c r="H305" s="17" t="s">
        <v>153</v>
      </c>
      <c r="I305" s="17" t="s">
        <v>596</v>
      </c>
      <c r="J305" s="37" t="n">
        <v>0.263</v>
      </c>
      <c r="K305" s="37" t="n">
        <v>0.333</v>
      </c>
      <c r="L305" s="37" t="n">
        <v>0.417</v>
      </c>
      <c r="M305" s="33" t="n">
        <v>1.098</v>
      </c>
      <c r="N305" s="20" t="n">
        <f aca="false">IF(J305=0,0,IF($I305="L/km",MROUND(J305*$M305*IF($H305="Petrol",'Fuel &amp; Inputs'!$C$5,'Fuel &amp; Inputs'!$C$4),1),MROUND(J305*$M305*IF($H305="Petrol",'Fuel &amp; Inputs'!$C$5,'Fuel &amp; Inputs'!$C$4),10)))</f>
        <v>110</v>
      </c>
      <c r="O305" s="20" t="n">
        <f aca="false">IF(K305=0,0,IF($I305="L/km",MROUND(K305*$M305*IF($H305="Petrol",'Fuel &amp; Inputs'!$C$5,'Fuel &amp; Inputs'!$C$4),1),MROUND(K305*$M305*IF($H305="Petrol",'Fuel &amp; Inputs'!$C$5,'Fuel &amp; Inputs'!$C$4),10)))</f>
        <v>140</v>
      </c>
      <c r="P305" s="20" t="n">
        <f aca="false">IF(L305=0,0,IF($I305="L/km",MROUND(L305*$M305*IF($H305="Petrol",'Fuel &amp; Inputs'!$C$5,'Fuel &amp; Inputs'!$C$4),1),MROUND(L305*$M305*IF($H305="Petrol",'Fuel &amp; Inputs'!$C$5,'Fuel &amp; Inputs'!$C$4),10)))</f>
        <v>175</v>
      </c>
      <c r="Q305" s="17" t="s">
        <v>597</v>
      </c>
      <c r="R305" s="21" t="n">
        <v>1550</v>
      </c>
      <c r="S305" s="20" t="n">
        <f aca="false">MROUND(R305+'Fuel &amp; Inputs'!$C$13,50)</f>
        <v>2350</v>
      </c>
      <c r="T305" s="21" t="n">
        <v>3250</v>
      </c>
      <c r="U305" s="20" t="n">
        <f aca="false">MROUND(R305*'Fuel &amp; Inputs'!$C$19*'Fuel &amp; Inputs'!$C$21,100)</f>
        <v>5900</v>
      </c>
      <c r="V305" s="20" t="n">
        <f aca="false">MROUND(S305*'Fuel &amp; Inputs'!$C$19*'Fuel &amp; Inputs'!$C$21,100)</f>
        <v>8900</v>
      </c>
      <c r="W305" s="20" t="n">
        <f aca="false">MROUND(T305*'Fuel &amp; Inputs'!$C$19*'Fuel &amp; Inputs'!$C$21,100)</f>
        <v>12400</v>
      </c>
      <c r="X305" s="20" t="n">
        <f aca="false">MROUND(R305*'Fuel &amp; Inputs'!$C$20*'Fuel &amp; Inputs'!$C$22,500)</f>
        <v>158000</v>
      </c>
      <c r="Y305" s="20" t="n">
        <f aca="false">MROUND(S305*'Fuel &amp; Inputs'!$C$20*'Fuel &amp; Inputs'!$C$22,500)</f>
        <v>239500</v>
      </c>
      <c r="Z305" s="20" t="n">
        <f aca="false">MROUND(T305*'Fuel &amp; Inputs'!$C$20*'Fuel &amp; Inputs'!$C$22,500)</f>
        <v>331500</v>
      </c>
    </row>
    <row r="306" customFormat="false" ht="23.85" hidden="false" customHeight="false" outlineLevel="0" collapsed="false">
      <c r="A306" s="23" t="n">
        <v>282</v>
      </c>
      <c r="B306" s="34" t="s">
        <v>106</v>
      </c>
      <c r="C306" s="34" t="s">
        <v>249</v>
      </c>
      <c r="D306" s="34" t="s">
        <v>775</v>
      </c>
      <c r="E306" s="23" t="s">
        <v>166</v>
      </c>
      <c r="F306" s="23" t="s">
        <v>784</v>
      </c>
      <c r="G306" s="23" t="s">
        <v>785</v>
      </c>
      <c r="H306" s="23" t="s">
        <v>153</v>
      </c>
      <c r="I306" s="23" t="s">
        <v>596</v>
      </c>
      <c r="J306" s="36" t="n">
        <v>0.263</v>
      </c>
      <c r="K306" s="36" t="n">
        <v>0.333</v>
      </c>
      <c r="L306" s="36" t="n">
        <v>0.417</v>
      </c>
      <c r="M306" s="35" t="n">
        <v>1.098</v>
      </c>
      <c r="N306" s="26" t="n">
        <f aca="false">IF(J306=0,0,IF($I306="L/km",MROUND(J306*$M306*IF($H306="Petrol",'Fuel &amp; Inputs'!$C$5,'Fuel &amp; Inputs'!$C$4),1),MROUND(J306*$M306*IF($H306="Petrol",'Fuel &amp; Inputs'!$C$5,'Fuel &amp; Inputs'!$C$4),10)))</f>
        <v>110</v>
      </c>
      <c r="O306" s="26" t="n">
        <f aca="false">IF(K306=0,0,IF($I306="L/km",MROUND(K306*$M306*IF($H306="Petrol",'Fuel &amp; Inputs'!$C$5,'Fuel &amp; Inputs'!$C$4),1),MROUND(K306*$M306*IF($H306="Petrol",'Fuel &amp; Inputs'!$C$5,'Fuel &amp; Inputs'!$C$4),10)))</f>
        <v>140</v>
      </c>
      <c r="P306" s="26" t="n">
        <f aca="false">IF(L306=0,0,IF($I306="L/km",MROUND(L306*$M306*IF($H306="Petrol",'Fuel &amp; Inputs'!$C$5,'Fuel &amp; Inputs'!$C$4),1),MROUND(L306*$M306*IF($H306="Petrol",'Fuel &amp; Inputs'!$C$5,'Fuel &amp; Inputs'!$C$4),10)))</f>
        <v>175</v>
      </c>
      <c r="Q306" s="23" t="s">
        <v>597</v>
      </c>
      <c r="R306" s="27" t="n">
        <v>1550</v>
      </c>
      <c r="S306" s="26" t="n">
        <f aca="false">MROUND(R306+'Fuel &amp; Inputs'!$C$13,50)</f>
        <v>2350</v>
      </c>
      <c r="T306" s="27" t="n">
        <v>3250</v>
      </c>
      <c r="U306" s="26" t="n">
        <f aca="false">MROUND(R306*'Fuel &amp; Inputs'!$C$19*'Fuel &amp; Inputs'!$C$21,100)</f>
        <v>5900</v>
      </c>
      <c r="V306" s="26" t="n">
        <f aca="false">MROUND(S306*'Fuel &amp; Inputs'!$C$19*'Fuel &amp; Inputs'!$C$21,100)</f>
        <v>8900</v>
      </c>
      <c r="W306" s="26" t="n">
        <f aca="false">MROUND(T306*'Fuel &amp; Inputs'!$C$19*'Fuel &amp; Inputs'!$C$21,100)</f>
        <v>12400</v>
      </c>
      <c r="X306" s="26" t="n">
        <f aca="false">MROUND(R306*'Fuel &amp; Inputs'!$C$20*'Fuel &amp; Inputs'!$C$22,500)</f>
        <v>158000</v>
      </c>
      <c r="Y306" s="26" t="n">
        <f aca="false">MROUND(S306*'Fuel &amp; Inputs'!$C$20*'Fuel &amp; Inputs'!$C$22,500)</f>
        <v>239500</v>
      </c>
      <c r="Z306" s="26" t="n">
        <f aca="false">MROUND(T306*'Fuel &amp; Inputs'!$C$20*'Fuel &amp; Inputs'!$C$22,500)</f>
        <v>331500</v>
      </c>
    </row>
    <row r="307" customFormat="false" ht="23.85" hidden="false" customHeight="false" outlineLevel="0" collapsed="false">
      <c r="A307" s="17" t="n">
        <v>283</v>
      </c>
      <c r="B307" s="32" t="s">
        <v>106</v>
      </c>
      <c r="C307" s="32" t="s">
        <v>249</v>
      </c>
      <c r="D307" s="32" t="s">
        <v>775</v>
      </c>
      <c r="E307" s="17" t="s">
        <v>174</v>
      </c>
      <c r="F307" s="17" t="s">
        <v>786</v>
      </c>
      <c r="G307" s="17" t="s">
        <v>787</v>
      </c>
      <c r="H307" s="17" t="s">
        <v>153</v>
      </c>
      <c r="I307" s="17" t="s">
        <v>596</v>
      </c>
      <c r="J307" s="37" t="n">
        <v>0.263</v>
      </c>
      <c r="K307" s="37" t="n">
        <v>0.333</v>
      </c>
      <c r="L307" s="37" t="n">
        <v>0.417</v>
      </c>
      <c r="M307" s="33" t="n">
        <v>1.07</v>
      </c>
      <c r="N307" s="20" t="n">
        <f aca="false">IF(J307=0,0,IF($I307="L/km",MROUND(J307*$M307*IF($H307="Petrol",'Fuel &amp; Inputs'!$C$5,'Fuel &amp; Inputs'!$C$4),1),MROUND(J307*$M307*IF($H307="Petrol",'Fuel &amp; Inputs'!$C$5,'Fuel &amp; Inputs'!$C$4),10)))</f>
        <v>107</v>
      </c>
      <c r="O307" s="20" t="n">
        <f aca="false">IF(K307=0,0,IF($I307="L/km",MROUND(K307*$M307*IF($H307="Petrol",'Fuel &amp; Inputs'!$C$5,'Fuel &amp; Inputs'!$C$4),1),MROUND(K307*$M307*IF($H307="Petrol",'Fuel &amp; Inputs'!$C$5,'Fuel &amp; Inputs'!$C$4),10)))</f>
        <v>136</v>
      </c>
      <c r="P307" s="20" t="n">
        <f aca="false">IF(L307=0,0,IF($I307="L/km",MROUND(L307*$M307*IF($H307="Petrol",'Fuel &amp; Inputs'!$C$5,'Fuel &amp; Inputs'!$C$4),1),MROUND(L307*$M307*IF($H307="Petrol",'Fuel &amp; Inputs'!$C$5,'Fuel &amp; Inputs'!$C$4),10)))</f>
        <v>170</v>
      </c>
      <c r="Q307" s="17" t="s">
        <v>597</v>
      </c>
      <c r="R307" s="21" t="n">
        <v>1550</v>
      </c>
      <c r="S307" s="20" t="n">
        <f aca="false">MROUND(R307+'Fuel &amp; Inputs'!$C$13,50)</f>
        <v>2350</v>
      </c>
      <c r="T307" s="21" t="n">
        <v>3250</v>
      </c>
      <c r="U307" s="20" t="n">
        <f aca="false">MROUND(R307*'Fuel &amp; Inputs'!$C$19*'Fuel &amp; Inputs'!$C$21,100)</f>
        <v>5900</v>
      </c>
      <c r="V307" s="20" t="n">
        <f aca="false">MROUND(S307*'Fuel &amp; Inputs'!$C$19*'Fuel &amp; Inputs'!$C$21,100)</f>
        <v>8900</v>
      </c>
      <c r="W307" s="20" t="n">
        <f aca="false">MROUND(T307*'Fuel &amp; Inputs'!$C$19*'Fuel &amp; Inputs'!$C$21,100)</f>
        <v>12400</v>
      </c>
      <c r="X307" s="20" t="n">
        <f aca="false">MROUND(R307*'Fuel &amp; Inputs'!$C$20*'Fuel &amp; Inputs'!$C$22,500)</f>
        <v>158000</v>
      </c>
      <c r="Y307" s="20" t="n">
        <f aca="false">MROUND(S307*'Fuel &amp; Inputs'!$C$20*'Fuel &amp; Inputs'!$C$22,500)</f>
        <v>239500</v>
      </c>
      <c r="Z307" s="20" t="n">
        <f aca="false">MROUND(T307*'Fuel &amp; Inputs'!$C$20*'Fuel &amp; Inputs'!$C$22,500)</f>
        <v>331500</v>
      </c>
    </row>
    <row r="308" customFormat="false" ht="23.85" hidden="false" customHeight="false" outlineLevel="0" collapsed="false">
      <c r="A308" s="23" t="n">
        <v>284</v>
      </c>
      <c r="B308" s="34" t="s">
        <v>106</v>
      </c>
      <c r="C308" s="34" t="s">
        <v>249</v>
      </c>
      <c r="D308" s="34" t="s">
        <v>775</v>
      </c>
      <c r="E308" s="23" t="s">
        <v>166</v>
      </c>
      <c r="F308" s="23" t="s">
        <v>788</v>
      </c>
      <c r="G308" s="23" t="s">
        <v>789</v>
      </c>
      <c r="H308" s="23" t="s">
        <v>153</v>
      </c>
      <c r="I308" s="23" t="s">
        <v>596</v>
      </c>
      <c r="J308" s="36" t="n">
        <v>0.263</v>
      </c>
      <c r="K308" s="36" t="n">
        <v>0.333</v>
      </c>
      <c r="L308" s="36" t="n">
        <v>0.417</v>
      </c>
      <c r="M308" s="35" t="n">
        <v>1.098</v>
      </c>
      <c r="N308" s="26" t="n">
        <f aca="false">IF(J308=0,0,IF($I308="L/km",MROUND(J308*$M308*IF($H308="Petrol",'Fuel &amp; Inputs'!$C$5,'Fuel &amp; Inputs'!$C$4),1),MROUND(J308*$M308*IF($H308="Petrol",'Fuel &amp; Inputs'!$C$5,'Fuel &amp; Inputs'!$C$4),10)))</f>
        <v>110</v>
      </c>
      <c r="O308" s="26" t="n">
        <f aca="false">IF(K308=0,0,IF($I308="L/km",MROUND(K308*$M308*IF($H308="Petrol",'Fuel &amp; Inputs'!$C$5,'Fuel &amp; Inputs'!$C$4),1),MROUND(K308*$M308*IF($H308="Petrol",'Fuel &amp; Inputs'!$C$5,'Fuel &amp; Inputs'!$C$4),10)))</f>
        <v>140</v>
      </c>
      <c r="P308" s="26" t="n">
        <f aca="false">IF(L308=0,0,IF($I308="L/km",MROUND(L308*$M308*IF($H308="Petrol",'Fuel &amp; Inputs'!$C$5,'Fuel &amp; Inputs'!$C$4),1),MROUND(L308*$M308*IF($H308="Petrol",'Fuel &amp; Inputs'!$C$5,'Fuel &amp; Inputs'!$C$4),10)))</f>
        <v>175</v>
      </c>
      <c r="Q308" s="23" t="s">
        <v>597</v>
      </c>
      <c r="R308" s="27" t="n">
        <v>1550</v>
      </c>
      <c r="S308" s="26" t="n">
        <f aca="false">MROUND(R308+'Fuel &amp; Inputs'!$C$13,50)</f>
        <v>2350</v>
      </c>
      <c r="T308" s="27" t="n">
        <v>3250</v>
      </c>
      <c r="U308" s="26" t="n">
        <f aca="false">MROUND(R308*'Fuel &amp; Inputs'!$C$19*'Fuel &amp; Inputs'!$C$21,100)</f>
        <v>5900</v>
      </c>
      <c r="V308" s="26" t="n">
        <f aca="false">MROUND(S308*'Fuel &amp; Inputs'!$C$19*'Fuel &amp; Inputs'!$C$21,100)</f>
        <v>8900</v>
      </c>
      <c r="W308" s="26" t="n">
        <f aca="false">MROUND(T308*'Fuel &amp; Inputs'!$C$19*'Fuel &amp; Inputs'!$C$21,100)</f>
        <v>12400</v>
      </c>
      <c r="X308" s="26" t="n">
        <f aca="false">MROUND(R308*'Fuel &amp; Inputs'!$C$20*'Fuel &amp; Inputs'!$C$22,500)</f>
        <v>158000</v>
      </c>
      <c r="Y308" s="26" t="n">
        <f aca="false">MROUND(S308*'Fuel &amp; Inputs'!$C$20*'Fuel &amp; Inputs'!$C$22,500)</f>
        <v>239500</v>
      </c>
      <c r="Z308" s="26" t="n">
        <f aca="false">MROUND(T308*'Fuel &amp; Inputs'!$C$20*'Fuel &amp; Inputs'!$C$22,500)</f>
        <v>331500</v>
      </c>
    </row>
    <row r="309" customFormat="false" ht="23.85" hidden="false" customHeight="false" outlineLevel="0" collapsed="false">
      <c r="A309" s="17" t="n">
        <v>285</v>
      </c>
      <c r="B309" s="32" t="s">
        <v>106</v>
      </c>
      <c r="C309" s="32" t="s">
        <v>249</v>
      </c>
      <c r="D309" s="32" t="s">
        <v>775</v>
      </c>
      <c r="E309" s="17" t="s">
        <v>603</v>
      </c>
      <c r="F309" s="17" t="s">
        <v>790</v>
      </c>
      <c r="G309" s="17" t="s">
        <v>791</v>
      </c>
      <c r="H309" s="17" t="s">
        <v>153</v>
      </c>
      <c r="I309" s="17" t="s">
        <v>596</v>
      </c>
      <c r="J309" s="37" t="n">
        <v>0.263</v>
      </c>
      <c r="K309" s="37" t="n">
        <v>0.333</v>
      </c>
      <c r="L309" s="37" t="n">
        <v>0.417</v>
      </c>
      <c r="M309" s="33" t="n">
        <v>1.105</v>
      </c>
      <c r="N309" s="20" t="n">
        <f aca="false">IF(J309=0,0,IF($I309="L/km",MROUND(J309*$M309*IF($H309="Petrol",'Fuel &amp; Inputs'!$C$5,'Fuel &amp; Inputs'!$C$4),1),MROUND(J309*$M309*IF($H309="Petrol",'Fuel &amp; Inputs'!$C$5,'Fuel &amp; Inputs'!$C$4),10)))</f>
        <v>111</v>
      </c>
      <c r="O309" s="20" t="n">
        <f aca="false">IF(K309=0,0,IF($I309="L/km",MROUND(K309*$M309*IF($H309="Petrol",'Fuel &amp; Inputs'!$C$5,'Fuel &amp; Inputs'!$C$4),1),MROUND(K309*$M309*IF($H309="Petrol",'Fuel &amp; Inputs'!$C$5,'Fuel &amp; Inputs'!$C$4),10)))</f>
        <v>141</v>
      </c>
      <c r="P309" s="20" t="n">
        <f aca="false">IF(L309=0,0,IF($I309="L/km",MROUND(L309*$M309*IF($H309="Petrol",'Fuel &amp; Inputs'!$C$5,'Fuel &amp; Inputs'!$C$4),1),MROUND(L309*$M309*IF($H309="Petrol",'Fuel &amp; Inputs'!$C$5,'Fuel &amp; Inputs'!$C$4),10)))</f>
        <v>176</v>
      </c>
      <c r="Q309" s="17" t="s">
        <v>597</v>
      </c>
      <c r="R309" s="21" t="n">
        <v>1550</v>
      </c>
      <c r="S309" s="20" t="n">
        <f aca="false">MROUND(R309+'Fuel &amp; Inputs'!$C$13,50)</f>
        <v>2350</v>
      </c>
      <c r="T309" s="21" t="n">
        <v>3250</v>
      </c>
      <c r="U309" s="20" t="n">
        <f aca="false">MROUND(R309*'Fuel &amp; Inputs'!$C$19*'Fuel &amp; Inputs'!$C$21,100)</f>
        <v>5900</v>
      </c>
      <c r="V309" s="20" t="n">
        <f aca="false">MROUND(S309*'Fuel &amp; Inputs'!$C$19*'Fuel &amp; Inputs'!$C$21,100)</f>
        <v>8900</v>
      </c>
      <c r="W309" s="20" t="n">
        <f aca="false">MROUND(T309*'Fuel &amp; Inputs'!$C$19*'Fuel &amp; Inputs'!$C$21,100)</f>
        <v>12400</v>
      </c>
      <c r="X309" s="20" t="n">
        <f aca="false">MROUND(R309*'Fuel &amp; Inputs'!$C$20*'Fuel &amp; Inputs'!$C$22,500)</f>
        <v>158000</v>
      </c>
      <c r="Y309" s="20" t="n">
        <f aca="false">MROUND(S309*'Fuel &amp; Inputs'!$C$20*'Fuel &amp; Inputs'!$C$22,500)</f>
        <v>239500</v>
      </c>
      <c r="Z309" s="20" t="n">
        <f aca="false">MROUND(T309*'Fuel &amp; Inputs'!$C$20*'Fuel &amp; Inputs'!$C$22,500)</f>
        <v>331500</v>
      </c>
    </row>
    <row r="310" customFormat="false" ht="23.85" hidden="false" customHeight="false" outlineLevel="0" collapsed="false">
      <c r="A310" s="23" t="n">
        <v>286</v>
      </c>
      <c r="B310" s="34" t="s">
        <v>106</v>
      </c>
      <c r="C310" s="34" t="s">
        <v>249</v>
      </c>
      <c r="D310" s="34" t="s">
        <v>775</v>
      </c>
      <c r="E310" s="23" t="s">
        <v>174</v>
      </c>
      <c r="F310" s="23" t="s">
        <v>792</v>
      </c>
      <c r="G310" s="23" t="s">
        <v>793</v>
      </c>
      <c r="H310" s="23" t="s">
        <v>153</v>
      </c>
      <c r="I310" s="23" t="s">
        <v>596</v>
      </c>
      <c r="J310" s="36" t="n">
        <v>0.263</v>
      </c>
      <c r="K310" s="36" t="n">
        <v>0.333</v>
      </c>
      <c r="L310" s="36" t="n">
        <v>0.417</v>
      </c>
      <c r="M310" s="35" t="n">
        <v>1.07</v>
      </c>
      <c r="N310" s="26" t="n">
        <f aca="false">IF(J310=0,0,IF($I310="L/km",MROUND(J310*$M310*IF($H310="Petrol",'Fuel &amp; Inputs'!$C$5,'Fuel &amp; Inputs'!$C$4),1),MROUND(J310*$M310*IF($H310="Petrol",'Fuel &amp; Inputs'!$C$5,'Fuel &amp; Inputs'!$C$4),10)))</f>
        <v>107</v>
      </c>
      <c r="O310" s="26" t="n">
        <f aca="false">IF(K310=0,0,IF($I310="L/km",MROUND(K310*$M310*IF($H310="Petrol",'Fuel &amp; Inputs'!$C$5,'Fuel &amp; Inputs'!$C$4),1),MROUND(K310*$M310*IF($H310="Petrol",'Fuel &amp; Inputs'!$C$5,'Fuel &amp; Inputs'!$C$4),10)))</f>
        <v>136</v>
      </c>
      <c r="P310" s="26" t="n">
        <f aca="false">IF(L310=0,0,IF($I310="L/km",MROUND(L310*$M310*IF($H310="Petrol",'Fuel &amp; Inputs'!$C$5,'Fuel &amp; Inputs'!$C$4),1),MROUND(L310*$M310*IF($H310="Petrol",'Fuel &amp; Inputs'!$C$5,'Fuel &amp; Inputs'!$C$4),10)))</f>
        <v>170</v>
      </c>
      <c r="Q310" s="23" t="s">
        <v>597</v>
      </c>
      <c r="R310" s="27" t="n">
        <v>1550</v>
      </c>
      <c r="S310" s="26" t="n">
        <f aca="false">MROUND(R310+'Fuel &amp; Inputs'!$C$13,50)</f>
        <v>2350</v>
      </c>
      <c r="T310" s="27" t="n">
        <v>3250</v>
      </c>
      <c r="U310" s="26" t="n">
        <f aca="false">MROUND(R310*'Fuel &amp; Inputs'!$C$19*'Fuel &amp; Inputs'!$C$21,100)</f>
        <v>5900</v>
      </c>
      <c r="V310" s="26" t="n">
        <f aca="false">MROUND(S310*'Fuel &amp; Inputs'!$C$19*'Fuel &amp; Inputs'!$C$21,100)</f>
        <v>8900</v>
      </c>
      <c r="W310" s="26" t="n">
        <f aca="false">MROUND(T310*'Fuel &amp; Inputs'!$C$19*'Fuel &amp; Inputs'!$C$21,100)</f>
        <v>12400</v>
      </c>
      <c r="X310" s="26" t="n">
        <f aca="false">MROUND(R310*'Fuel &amp; Inputs'!$C$20*'Fuel &amp; Inputs'!$C$22,500)</f>
        <v>158000</v>
      </c>
      <c r="Y310" s="26" t="n">
        <f aca="false">MROUND(S310*'Fuel &amp; Inputs'!$C$20*'Fuel &amp; Inputs'!$C$22,500)</f>
        <v>239500</v>
      </c>
      <c r="Z310" s="26" t="n">
        <f aca="false">MROUND(T310*'Fuel &amp; Inputs'!$C$20*'Fuel &amp; Inputs'!$C$22,500)</f>
        <v>331500</v>
      </c>
    </row>
    <row r="311" customFormat="false" ht="23.85" hidden="false" customHeight="false" outlineLevel="0" collapsed="false">
      <c r="A311" s="17" t="n">
        <v>287</v>
      </c>
      <c r="B311" s="32" t="s">
        <v>106</v>
      </c>
      <c r="C311" s="32" t="s">
        <v>249</v>
      </c>
      <c r="D311" s="32" t="s">
        <v>775</v>
      </c>
      <c r="E311" s="17" t="s">
        <v>174</v>
      </c>
      <c r="F311" s="17" t="s">
        <v>794</v>
      </c>
      <c r="G311" s="17" t="s">
        <v>795</v>
      </c>
      <c r="H311" s="17" t="s">
        <v>153</v>
      </c>
      <c r="I311" s="17" t="s">
        <v>596</v>
      </c>
      <c r="J311" s="37" t="n">
        <v>0.263</v>
      </c>
      <c r="K311" s="37" t="n">
        <v>0.333</v>
      </c>
      <c r="L311" s="37" t="n">
        <v>0.417</v>
      </c>
      <c r="M311" s="33" t="n">
        <v>1.07</v>
      </c>
      <c r="N311" s="20" t="n">
        <f aca="false">IF(J311=0,0,IF($I311="L/km",MROUND(J311*$M311*IF($H311="Petrol",'Fuel &amp; Inputs'!$C$5,'Fuel &amp; Inputs'!$C$4),1),MROUND(J311*$M311*IF($H311="Petrol",'Fuel &amp; Inputs'!$C$5,'Fuel &amp; Inputs'!$C$4),10)))</f>
        <v>107</v>
      </c>
      <c r="O311" s="20" t="n">
        <f aca="false">IF(K311=0,0,IF($I311="L/km",MROUND(K311*$M311*IF($H311="Petrol",'Fuel &amp; Inputs'!$C$5,'Fuel &amp; Inputs'!$C$4),1),MROUND(K311*$M311*IF($H311="Petrol",'Fuel &amp; Inputs'!$C$5,'Fuel &amp; Inputs'!$C$4),10)))</f>
        <v>136</v>
      </c>
      <c r="P311" s="20" t="n">
        <f aca="false">IF(L311=0,0,IF($I311="L/km",MROUND(L311*$M311*IF($H311="Petrol",'Fuel &amp; Inputs'!$C$5,'Fuel &amp; Inputs'!$C$4),1),MROUND(L311*$M311*IF($H311="Petrol",'Fuel &amp; Inputs'!$C$5,'Fuel &amp; Inputs'!$C$4),10)))</f>
        <v>170</v>
      </c>
      <c r="Q311" s="17" t="s">
        <v>597</v>
      </c>
      <c r="R311" s="21" t="n">
        <v>1550</v>
      </c>
      <c r="S311" s="20" t="n">
        <f aca="false">MROUND(R311+'Fuel &amp; Inputs'!$C$13,50)</f>
        <v>2350</v>
      </c>
      <c r="T311" s="21" t="n">
        <v>3250</v>
      </c>
      <c r="U311" s="20" t="n">
        <f aca="false">MROUND(R311*'Fuel &amp; Inputs'!$C$19*'Fuel &amp; Inputs'!$C$21,100)</f>
        <v>5900</v>
      </c>
      <c r="V311" s="20" t="n">
        <f aca="false">MROUND(S311*'Fuel &amp; Inputs'!$C$19*'Fuel &amp; Inputs'!$C$21,100)</f>
        <v>8900</v>
      </c>
      <c r="W311" s="20" t="n">
        <f aca="false">MROUND(T311*'Fuel &amp; Inputs'!$C$19*'Fuel &amp; Inputs'!$C$21,100)</f>
        <v>12400</v>
      </c>
      <c r="X311" s="20" t="n">
        <f aca="false">MROUND(R311*'Fuel &amp; Inputs'!$C$20*'Fuel &amp; Inputs'!$C$22,500)</f>
        <v>158000</v>
      </c>
      <c r="Y311" s="20" t="n">
        <f aca="false">MROUND(S311*'Fuel &amp; Inputs'!$C$20*'Fuel &amp; Inputs'!$C$22,500)</f>
        <v>239500</v>
      </c>
      <c r="Z311" s="20" t="n">
        <f aca="false">MROUND(T311*'Fuel &amp; Inputs'!$C$20*'Fuel &amp; Inputs'!$C$22,500)</f>
        <v>331500</v>
      </c>
    </row>
    <row r="312" customFormat="false" ht="23.85" hidden="false" customHeight="false" outlineLevel="0" collapsed="false">
      <c r="A312" s="23" t="n">
        <v>288</v>
      </c>
      <c r="B312" s="34" t="s">
        <v>106</v>
      </c>
      <c r="C312" s="34" t="s">
        <v>249</v>
      </c>
      <c r="D312" s="34" t="s">
        <v>775</v>
      </c>
      <c r="E312" s="23" t="s">
        <v>174</v>
      </c>
      <c r="F312" s="23" t="s">
        <v>796</v>
      </c>
      <c r="G312" s="23" t="s">
        <v>797</v>
      </c>
      <c r="H312" s="23" t="s">
        <v>153</v>
      </c>
      <c r="I312" s="23" t="s">
        <v>596</v>
      </c>
      <c r="J312" s="36" t="n">
        <v>0.263</v>
      </c>
      <c r="K312" s="36" t="n">
        <v>0.333</v>
      </c>
      <c r="L312" s="36" t="n">
        <v>0.417</v>
      </c>
      <c r="M312" s="35" t="n">
        <v>1.07</v>
      </c>
      <c r="N312" s="26" t="n">
        <f aca="false">IF(J312=0,0,IF($I312="L/km",MROUND(J312*$M312*IF($H312="Petrol",'Fuel &amp; Inputs'!$C$5,'Fuel &amp; Inputs'!$C$4),1),MROUND(J312*$M312*IF($H312="Petrol",'Fuel &amp; Inputs'!$C$5,'Fuel &amp; Inputs'!$C$4),10)))</f>
        <v>107</v>
      </c>
      <c r="O312" s="26" t="n">
        <f aca="false">IF(K312=0,0,IF($I312="L/km",MROUND(K312*$M312*IF($H312="Petrol",'Fuel &amp; Inputs'!$C$5,'Fuel &amp; Inputs'!$C$4),1),MROUND(K312*$M312*IF($H312="Petrol",'Fuel &amp; Inputs'!$C$5,'Fuel &amp; Inputs'!$C$4),10)))</f>
        <v>136</v>
      </c>
      <c r="P312" s="26" t="n">
        <f aca="false">IF(L312=0,0,IF($I312="L/km",MROUND(L312*$M312*IF($H312="Petrol",'Fuel &amp; Inputs'!$C$5,'Fuel &amp; Inputs'!$C$4),1),MROUND(L312*$M312*IF($H312="Petrol",'Fuel &amp; Inputs'!$C$5,'Fuel &amp; Inputs'!$C$4),10)))</f>
        <v>170</v>
      </c>
      <c r="Q312" s="23" t="s">
        <v>597</v>
      </c>
      <c r="R312" s="27" t="n">
        <v>1550</v>
      </c>
      <c r="S312" s="26" t="n">
        <f aca="false">MROUND(R312+'Fuel &amp; Inputs'!$C$13,50)</f>
        <v>2350</v>
      </c>
      <c r="T312" s="27" t="n">
        <v>3250</v>
      </c>
      <c r="U312" s="26" t="n">
        <f aca="false">MROUND(R312*'Fuel &amp; Inputs'!$C$19*'Fuel &amp; Inputs'!$C$21,100)</f>
        <v>5900</v>
      </c>
      <c r="V312" s="26" t="n">
        <f aca="false">MROUND(S312*'Fuel &amp; Inputs'!$C$19*'Fuel &amp; Inputs'!$C$21,100)</f>
        <v>8900</v>
      </c>
      <c r="W312" s="26" t="n">
        <f aca="false">MROUND(T312*'Fuel &amp; Inputs'!$C$19*'Fuel &amp; Inputs'!$C$21,100)</f>
        <v>12400</v>
      </c>
      <c r="X312" s="26" t="n">
        <f aca="false">MROUND(R312*'Fuel &amp; Inputs'!$C$20*'Fuel &amp; Inputs'!$C$22,500)</f>
        <v>158000</v>
      </c>
      <c r="Y312" s="26" t="n">
        <f aca="false">MROUND(S312*'Fuel &amp; Inputs'!$C$20*'Fuel &amp; Inputs'!$C$22,500)</f>
        <v>239500</v>
      </c>
      <c r="Z312" s="26" t="n">
        <f aca="false">MROUND(T312*'Fuel &amp; Inputs'!$C$20*'Fuel &amp; Inputs'!$C$22,500)</f>
        <v>331500</v>
      </c>
    </row>
    <row r="313" customFormat="false" ht="23.85" hidden="false" customHeight="false" outlineLevel="0" collapsed="false">
      <c r="A313" s="17" t="n">
        <v>289</v>
      </c>
      <c r="B313" s="32" t="s">
        <v>106</v>
      </c>
      <c r="C313" s="32" t="s">
        <v>249</v>
      </c>
      <c r="D313" s="32" t="s">
        <v>775</v>
      </c>
      <c r="E313" s="17" t="s">
        <v>174</v>
      </c>
      <c r="F313" s="17" t="s">
        <v>798</v>
      </c>
      <c r="G313" s="17" t="s">
        <v>799</v>
      </c>
      <c r="H313" s="17" t="s">
        <v>153</v>
      </c>
      <c r="I313" s="17" t="s">
        <v>596</v>
      </c>
      <c r="J313" s="37" t="n">
        <v>0.263</v>
      </c>
      <c r="K313" s="37" t="n">
        <v>0.333</v>
      </c>
      <c r="L313" s="37" t="n">
        <v>0.417</v>
      </c>
      <c r="M313" s="33" t="n">
        <v>1.07</v>
      </c>
      <c r="N313" s="20" t="n">
        <f aca="false">IF(J313=0,0,IF($I313="L/km",MROUND(J313*$M313*IF($H313="Petrol",'Fuel &amp; Inputs'!$C$5,'Fuel &amp; Inputs'!$C$4),1),MROUND(J313*$M313*IF($H313="Petrol",'Fuel &amp; Inputs'!$C$5,'Fuel &amp; Inputs'!$C$4),10)))</f>
        <v>107</v>
      </c>
      <c r="O313" s="20" t="n">
        <f aca="false">IF(K313=0,0,IF($I313="L/km",MROUND(K313*$M313*IF($H313="Petrol",'Fuel &amp; Inputs'!$C$5,'Fuel &amp; Inputs'!$C$4),1),MROUND(K313*$M313*IF($H313="Petrol",'Fuel &amp; Inputs'!$C$5,'Fuel &amp; Inputs'!$C$4),10)))</f>
        <v>136</v>
      </c>
      <c r="P313" s="20" t="n">
        <f aca="false">IF(L313=0,0,IF($I313="L/km",MROUND(L313*$M313*IF($H313="Petrol",'Fuel &amp; Inputs'!$C$5,'Fuel &amp; Inputs'!$C$4),1),MROUND(L313*$M313*IF($H313="Petrol",'Fuel &amp; Inputs'!$C$5,'Fuel &amp; Inputs'!$C$4),10)))</f>
        <v>170</v>
      </c>
      <c r="Q313" s="17" t="s">
        <v>597</v>
      </c>
      <c r="R313" s="21" t="n">
        <v>1550</v>
      </c>
      <c r="S313" s="20" t="n">
        <f aca="false">MROUND(R313+'Fuel &amp; Inputs'!$C$13,50)</f>
        <v>2350</v>
      </c>
      <c r="T313" s="21" t="n">
        <v>3250</v>
      </c>
      <c r="U313" s="20" t="n">
        <f aca="false">MROUND(R313*'Fuel &amp; Inputs'!$C$19*'Fuel &amp; Inputs'!$C$21,100)</f>
        <v>5900</v>
      </c>
      <c r="V313" s="20" t="n">
        <f aca="false">MROUND(S313*'Fuel &amp; Inputs'!$C$19*'Fuel &amp; Inputs'!$C$21,100)</f>
        <v>8900</v>
      </c>
      <c r="W313" s="20" t="n">
        <f aca="false">MROUND(T313*'Fuel &amp; Inputs'!$C$19*'Fuel &amp; Inputs'!$C$21,100)</f>
        <v>12400</v>
      </c>
      <c r="X313" s="20" t="n">
        <f aca="false">MROUND(R313*'Fuel &amp; Inputs'!$C$20*'Fuel &amp; Inputs'!$C$22,500)</f>
        <v>158000</v>
      </c>
      <c r="Y313" s="20" t="n">
        <f aca="false">MROUND(S313*'Fuel &amp; Inputs'!$C$20*'Fuel &amp; Inputs'!$C$22,500)</f>
        <v>239500</v>
      </c>
      <c r="Z313" s="20" t="n">
        <f aca="false">MROUND(T313*'Fuel &amp; Inputs'!$C$20*'Fuel &amp; Inputs'!$C$22,500)</f>
        <v>331500</v>
      </c>
    </row>
    <row r="314" customFormat="false" ht="23.85" hidden="false" customHeight="false" outlineLevel="0" collapsed="false">
      <c r="A314" s="23" t="n">
        <v>290</v>
      </c>
      <c r="B314" s="34" t="s">
        <v>106</v>
      </c>
      <c r="C314" s="34" t="s">
        <v>249</v>
      </c>
      <c r="D314" s="34" t="s">
        <v>775</v>
      </c>
      <c r="E314" s="23" t="s">
        <v>174</v>
      </c>
      <c r="F314" s="23" t="s">
        <v>800</v>
      </c>
      <c r="G314" s="23" t="s">
        <v>801</v>
      </c>
      <c r="H314" s="23" t="s">
        <v>153</v>
      </c>
      <c r="I314" s="23" t="s">
        <v>596</v>
      </c>
      <c r="J314" s="36" t="n">
        <v>0.263</v>
      </c>
      <c r="K314" s="36" t="n">
        <v>0.333</v>
      </c>
      <c r="L314" s="36" t="n">
        <v>0.417</v>
      </c>
      <c r="M314" s="35" t="n">
        <v>1.07</v>
      </c>
      <c r="N314" s="26" t="n">
        <f aca="false">IF(J314=0,0,IF($I314="L/km",MROUND(J314*$M314*IF($H314="Petrol",'Fuel &amp; Inputs'!$C$5,'Fuel &amp; Inputs'!$C$4),1),MROUND(J314*$M314*IF($H314="Petrol",'Fuel &amp; Inputs'!$C$5,'Fuel &amp; Inputs'!$C$4),10)))</f>
        <v>107</v>
      </c>
      <c r="O314" s="26" t="n">
        <f aca="false">IF(K314=0,0,IF($I314="L/km",MROUND(K314*$M314*IF($H314="Petrol",'Fuel &amp; Inputs'!$C$5,'Fuel &amp; Inputs'!$C$4),1),MROUND(K314*$M314*IF($H314="Petrol",'Fuel &amp; Inputs'!$C$5,'Fuel &amp; Inputs'!$C$4),10)))</f>
        <v>136</v>
      </c>
      <c r="P314" s="26" t="n">
        <f aca="false">IF(L314=0,0,IF($I314="L/km",MROUND(L314*$M314*IF($H314="Petrol",'Fuel &amp; Inputs'!$C$5,'Fuel &amp; Inputs'!$C$4),1),MROUND(L314*$M314*IF($H314="Petrol",'Fuel &amp; Inputs'!$C$5,'Fuel &amp; Inputs'!$C$4),10)))</f>
        <v>170</v>
      </c>
      <c r="Q314" s="23" t="s">
        <v>597</v>
      </c>
      <c r="R314" s="27" t="n">
        <v>1550</v>
      </c>
      <c r="S314" s="26" t="n">
        <f aca="false">MROUND(R314+'Fuel &amp; Inputs'!$C$13,50)</f>
        <v>2350</v>
      </c>
      <c r="T314" s="27" t="n">
        <v>3250</v>
      </c>
      <c r="U314" s="26" t="n">
        <f aca="false">MROUND(R314*'Fuel &amp; Inputs'!$C$19*'Fuel &amp; Inputs'!$C$21,100)</f>
        <v>5900</v>
      </c>
      <c r="V314" s="26" t="n">
        <f aca="false">MROUND(S314*'Fuel &amp; Inputs'!$C$19*'Fuel &amp; Inputs'!$C$21,100)</f>
        <v>8900</v>
      </c>
      <c r="W314" s="26" t="n">
        <f aca="false">MROUND(T314*'Fuel &amp; Inputs'!$C$19*'Fuel &amp; Inputs'!$C$21,100)</f>
        <v>12400</v>
      </c>
      <c r="X314" s="26" t="n">
        <f aca="false">MROUND(R314*'Fuel &amp; Inputs'!$C$20*'Fuel &amp; Inputs'!$C$22,500)</f>
        <v>158000</v>
      </c>
      <c r="Y314" s="26" t="n">
        <f aca="false">MROUND(S314*'Fuel &amp; Inputs'!$C$20*'Fuel &amp; Inputs'!$C$22,500)</f>
        <v>239500</v>
      </c>
      <c r="Z314" s="26" t="n">
        <f aca="false">MROUND(T314*'Fuel &amp; Inputs'!$C$20*'Fuel &amp; Inputs'!$C$22,500)</f>
        <v>331500</v>
      </c>
    </row>
    <row r="315" customFormat="false" ht="23.85" hidden="false" customHeight="false" outlineLevel="0" collapsed="false">
      <c r="A315" s="17" t="n">
        <v>291</v>
      </c>
      <c r="B315" s="32" t="s">
        <v>106</v>
      </c>
      <c r="C315" s="32" t="s">
        <v>249</v>
      </c>
      <c r="D315" s="32" t="s">
        <v>775</v>
      </c>
      <c r="E315" s="17" t="s">
        <v>174</v>
      </c>
      <c r="F315" s="17" t="s">
        <v>802</v>
      </c>
      <c r="G315" s="17" t="s">
        <v>803</v>
      </c>
      <c r="H315" s="17" t="s">
        <v>153</v>
      </c>
      <c r="I315" s="17" t="s">
        <v>596</v>
      </c>
      <c r="J315" s="37" t="n">
        <v>0.263</v>
      </c>
      <c r="K315" s="37" t="n">
        <v>0.333</v>
      </c>
      <c r="L315" s="37" t="n">
        <v>0.417</v>
      </c>
      <c r="M315" s="33" t="n">
        <v>1.07</v>
      </c>
      <c r="N315" s="20" t="n">
        <f aca="false">IF(J315=0,0,IF($I315="L/km",MROUND(J315*$M315*IF($H315="Petrol",'Fuel &amp; Inputs'!$C$5,'Fuel &amp; Inputs'!$C$4),1),MROUND(J315*$M315*IF($H315="Petrol",'Fuel &amp; Inputs'!$C$5,'Fuel &amp; Inputs'!$C$4),10)))</f>
        <v>107</v>
      </c>
      <c r="O315" s="20" t="n">
        <f aca="false">IF(K315=0,0,IF($I315="L/km",MROUND(K315*$M315*IF($H315="Petrol",'Fuel &amp; Inputs'!$C$5,'Fuel &amp; Inputs'!$C$4),1),MROUND(K315*$M315*IF($H315="Petrol",'Fuel &amp; Inputs'!$C$5,'Fuel &amp; Inputs'!$C$4),10)))</f>
        <v>136</v>
      </c>
      <c r="P315" s="20" t="n">
        <f aca="false">IF(L315=0,0,IF($I315="L/km",MROUND(L315*$M315*IF($H315="Petrol",'Fuel &amp; Inputs'!$C$5,'Fuel &amp; Inputs'!$C$4),1),MROUND(L315*$M315*IF($H315="Petrol",'Fuel &amp; Inputs'!$C$5,'Fuel &amp; Inputs'!$C$4),10)))</f>
        <v>170</v>
      </c>
      <c r="Q315" s="17" t="s">
        <v>597</v>
      </c>
      <c r="R315" s="21" t="n">
        <v>1550</v>
      </c>
      <c r="S315" s="20" t="n">
        <f aca="false">MROUND(R315+'Fuel &amp; Inputs'!$C$13,50)</f>
        <v>2350</v>
      </c>
      <c r="T315" s="21" t="n">
        <v>3250</v>
      </c>
      <c r="U315" s="20" t="n">
        <f aca="false">MROUND(R315*'Fuel &amp; Inputs'!$C$19*'Fuel &amp; Inputs'!$C$21,100)</f>
        <v>5900</v>
      </c>
      <c r="V315" s="20" t="n">
        <f aca="false">MROUND(S315*'Fuel &amp; Inputs'!$C$19*'Fuel &amp; Inputs'!$C$21,100)</f>
        <v>8900</v>
      </c>
      <c r="W315" s="20" t="n">
        <f aca="false">MROUND(T315*'Fuel &amp; Inputs'!$C$19*'Fuel &amp; Inputs'!$C$21,100)</f>
        <v>12400</v>
      </c>
      <c r="X315" s="20" t="n">
        <f aca="false">MROUND(R315*'Fuel &amp; Inputs'!$C$20*'Fuel &amp; Inputs'!$C$22,500)</f>
        <v>158000</v>
      </c>
      <c r="Y315" s="20" t="n">
        <f aca="false">MROUND(S315*'Fuel &amp; Inputs'!$C$20*'Fuel &amp; Inputs'!$C$22,500)</f>
        <v>239500</v>
      </c>
      <c r="Z315" s="20" t="n">
        <f aca="false">MROUND(T315*'Fuel &amp; Inputs'!$C$20*'Fuel &amp; Inputs'!$C$22,500)</f>
        <v>331500</v>
      </c>
    </row>
    <row r="316" customFormat="false" ht="23.85" hidden="false" customHeight="false" outlineLevel="0" collapsed="false">
      <c r="A316" s="23" t="n">
        <v>292</v>
      </c>
      <c r="B316" s="34" t="s">
        <v>106</v>
      </c>
      <c r="C316" s="34" t="s">
        <v>249</v>
      </c>
      <c r="D316" s="34" t="s">
        <v>775</v>
      </c>
      <c r="E316" s="23" t="s">
        <v>174</v>
      </c>
      <c r="F316" s="23" t="s">
        <v>804</v>
      </c>
      <c r="G316" s="23" t="s">
        <v>805</v>
      </c>
      <c r="H316" s="23" t="s">
        <v>153</v>
      </c>
      <c r="I316" s="23" t="s">
        <v>596</v>
      </c>
      <c r="J316" s="36" t="n">
        <v>0.263</v>
      </c>
      <c r="K316" s="36" t="n">
        <v>0.333</v>
      </c>
      <c r="L316" s="36" t="n">
        <v>0.417</v>
      </c>
      <c r="M316" s="35" t="n">
        <v>1.07</v>
      </c>
      <c r="N316" s="26" t="n">
        <f aca="false">IF(J316=0,0,IF($I316="L/km",MROUND(J316*$M316*IF($H316="Petrol",'Fuel &amp; Inputs'!$C$5,'Fuel &amp; Inputs'!$C$4),1),MROUND(J316*$M316*IF($H316="Petrol",'Fuel &amp; Inputs'!$C$5,'Fuel &amp; Inputs'!$C$4),10)))</f>
        <v>107</v>
      </c>
      <c r="O316" s="26" t="n">
        <f aca="false">IF(K316=0,0,IF($I316="L/km",MROUND(K316*$M316*IF($H316="Petrol",'Fuel &amp; Inputs'!$C$5,'Fuel &amp; Inputs'!$C$4),1),MROUND(K316*$M316*IF($H316="Petrol",'Fuel &amp; Inputs'!$C$5,'Fuel &amp; Inputs'!$C$4),10)))</f>
        <v>136</v>
      </c>
      <c r="P316" s="26" t="n">
        <f aca="false">IF(L316=0,0,IF($I316="L/km",MROUND(L316*$M316*IF($H316="Petrol",'Fuel &amp; Inputs'!$C$5,'Fuel &amp; Inputs'!$C$4),1),MROUND(L316*$M316*IF($H316="Petrol",'Fuel &amp; Inputs'!$C$5,'Fuel &amp; Inputs'!$C$4),10)))</f>
        <v>170</v>
      </c>
      <c r="Q316" s="23" t="s">
        <v>597</v>
      </c>
      <c r="R316" s="27" t="n">
        <v>1550</v>
      </c>
      <c r="S316" s="26" t="n">
        <f aca="false">MROUND(R316+'Fuel &amp; Inputs'!$C$13,50)</f>
        <v>2350</v>
      </c>
      <c r="T316" s="27" t="n">
        <v>3250</v>
      </c>
      <c r="U316" s="26" t="n">
        <f aca="false">MROUND(R316*'Fuel &amp; Inputs'!$C$19*'Fuel &amp; Inputs'!$C$21,100)</f>
        <v>5900</v>
      </c>
      <c r="V316" s="26" t="n">
        <f aca="false">MROUND(S316*'Fuel &amp; Inputs'!$C$19*'Fuel &amp; Inputs'!$C$21,100)</f>
        <v>8900</v>
      </c>
      <c r="W316" s="26" t="n">
        <f aca="false">MROUND(T316*'Fuel &amp; Inputs'!$C$19*'Fuel &amp; Inputs'!$C$21,100)</f>
        <v>12400</v>
      </c>
      <c r="X316" s="26" t="n">
        <f aca="false">MROUND(R316*'Fuel &amp; Inputs'!$C$20*'Fuel &amp; Inputs'!$C$22,500)</f>
        <v>158000</v>
      </c>
      <c r="Y316" s="26" t="n">
        <f aca="false">MROUND(S316*'Fuel &amp; Inputs'!$C$20*'Fuel &amp; Inputs'!$C$22,500)</f>
        <v>239500</v>
      </c>
      <c r="Z316" s="26" t="n">
        <f aca="false">MROUND(T316*'Fuel &amp; Inputs'!$C$20*'Fuel &amp; Inputs'!$C$22,500)</f>
        <v>331500</v>
      </c>
    </row>
    <row r="317" customFormat="false" ht="23.85" hidden="false" customHeight="false" outlineLevel="0" collapsed="false">
      <c r="A317" s="17" t="n">
        <v>293</v>
      </c>
      <c r="B317" s="32" t="s">
        <v>106</v>
      </c>
      <c r="C317" s="32" t="s">
        <v>249</v>
      </c>
      <c r="D317" s="32" t="s">
        <v>775</v>
      </c>
      <c r="E317" s="17" t="s">
        <v>174</v>
      </c>
      <c r="F317" s="17" t="s">
        <v>806</v>
      </c>
      <c r="G317" s="17" t="s">
        <v>807</v>
      </c>
      <c r="H317" s="17" t="s">
        <v>153</v>
      </c>
      <c r="I317" s="17" t="s">
        <v>596</v>
      </c>
      <c r="J317" s="37" t="n">
        <v>0.263</v>
      </c>
      <c r="K317" s="37" t="n">
        <v>0.333</v>
      </c>
      <c r="L317" s="37" t="n">
        <v>0.417</v>
      </c>
      <c r="M317" s="33" t="n">
        <v>1.07</v>
      </c>
      <c r="N317" s="20" t="n">
        <f aca="false">IF(J317=0,0,IF($I317="L/km",MROUND(J317*$M317*IF($H317="Petrol",'Fuel &amp; Inputs'!$C$5,'Fuel &amp; Inputs'!$C$4),1),MROUND(J317*$M317*IF($H317="Petrol",'Fuel &amp; Inputs'!$C$5,'Fuel &amp; Inputs'!$C$4),10)))</f>
        <v>107</v>
      </c>
      <c r="O317" s="20" t="n">
        <f aca="false">IF(K317=0,0,IF($I317="L/km",MROUND(K317*$M317*IF($H317="Petrol",'Fuel &amp; Inputs'!$C$5,'Fuel &amp; Inputs'!$C$4),1),MROUND(K317*$M317*IF($H317="Petrol",'Fuel &amp; Inputs'!$C$5,'Fuel &amp; Inputs'!$C$4),10)))</f>
        <v>136</v>
      </c>
      <c r="P317" s="20" t="n">
        <f aca="false">IF(L317=0,0,IF($I317="L/km",MROUND(L317*$M317*IF($H317="Petrol",'Fuel &amp; Inputs'!$C$5,'Fuel &amp; Inputs'!$C$4),1),MROUND(L317*$M317*IF($H317="Petrol",'Fuel &amp; Inputs'!$C$5,'Fuel &amp; Inputs'!$C$4),10)))</f>
        <v>170</v>
      </c>
      <c r="Q317" s="17" t="s">
        <v>597</v>
      </c>
      <c r="R317" s="21" t="n">
        <v>1550</v>
      </c>
      <c r="S317" s="20" t="n">
        <f aca="false">MROUND(R317+'Fuel &amp; Inputs'!$C$13,50)</f>
        <v>2350</v>
      </c>
      <c r="T317" s="21" t="n">
        <v>3250</v>
      </c>
      <c r="U317" s="20" t="n">
        <f aca="false">MROUND(R317*'Fuel &amp; Inputs'!$C$19*'Fuel &amp; Inputs'!$C$21,100)</f>
        <v>5900</v>
      </c>
      <c r="V317" s="20" t="n">
        <f aca="false">MROUND(S317*'Fuel &amp; Inputs'!$C$19*'Fuel &amp; Inputs'!$C$21,100)</f>
        <v>8900</v>
      </c>
      <c r="W317" s="20" t="n">
        <f aca="false">MROUND(T317*'Fuel &amp; Inputs'!$C$19*'Fuel &amp; Inputs'!$C$21,100)</f>
        <v>12400</v>
      </c>
      <c r="X317" s="20" t="n">
        <f aca="false">MROUND(R317*'Fuel &amp; Inputs'!$C$20*'Fuel &amp; Inputs'!$C$22,500)</f>
        <v>158000</v>
      </c>
      <c r="Y317" s="20" t="n">
        <f aca="false">MROUND(S317*'Fuel &amp; Inputs'!$C$20*'Fuel &amp; Inputs'!$C$22,500)</f>
        <v>239500</v>
      </c>
      <c r="Z317" s="20" t="n">
        <f aca="false">MROUND(T317*'Fuel &amp; Inputs'!$C$20*'Fuel &amp; Inputs'!$C$22,500)</f>
        <v>331500</v>
      </c>
    </row>
    <row r="318" customFormat="false" ht="23.85" hidden="false" customHeight="false" outlineLevel="0" collapsed="false">
      <c r="A318" s="23" t="n">
        <v>294</v>
      </c>
      <c r="B318" s="34" t="s">
        <v>106</v>
      </c>
      <c r="C318" s="34" t="s">
        <v>249</v>
      </c>
      <c r="D318" s="34" t="s">
        <v>775</v>
      </c>
      <c r="E318" s="23" t="s">
        <v>304</v>
      </c>
      <c r="F318" s="23" t="s">
        <v>808</v>
      </c>
      <c r="G318" s="23" t="s">
        <v>809</v>
      </c>
      <c r="H318" s="23" t="s">
        <v>153</v>
      </c>
      <c r="I318" s="23" t="s">
        <v>596</v>
      </c>
      <c r="J318" s="36" t="n">
        <v>0.263</v>
      </c>
      <c r="K318" s="36" t="n">
        <v>0.333</v>
      </c>
      <c r="L318" s="36" t="n">
        <v>0.417</v>
      </c>
      <c r="M318" s="35" t="n">
        <v>1.056</v>
      </c>
      <c r="N318" s="26" t="n">
        <f aca="false">IF(J318=0,0,IF($I318="L/km",MROUND(J318*$M318*IF($H318="Petrol",'Fuel &amp; Inputs'!$C$5,'Fuel &amp; Inputs'!$C$4),1),MROUND(J318*$M318*IF($H318="Petrol",'Fuel &amp; Inputs'!$C$5,'Fuel &amp; Inputs'!$C$4),10)))</f>
        <v>106</v>
      </c>
      <c r="O318" s="26" t="n">
        <f aca="false">IF(K318=0,0,IF($I318="L/km",MROUND(K318*$M318*IF($H318="Petrol",'Fuel &amp; Inputs'!$C$5,'Fuel &amp; Inputs'!$C$4),1),MROUND(K318*$M318*IF($H318="Petrol",'Fuel &amp; Inputs'!$C$5,'Fuel &amp; Inputs'!$C$4),10)))</f>
        <v>134</v>
      </c>
      <c r="P318" s="26" t="n">
        <f aca="false">IF(L318=0,0,IF($I318="L/km",MROUND(L318*$M318*IF($H318="Petrol",'Fuel &amp; Inputs'!$C$5,'Fuel &amp; Inputs'!$C$4),1),MROUND(L318*$M318*IF($H318="Petrol",'Fuel &amp; Inputs'!$C$5,'Fuel &amp; Inputs'!$C$4),10)))</f>
        <v>168</v>
      </c>
      <c r="Q318" s="23" t="s">
        <v>597</v>
      </c>
      <c r="R318" s="27" t="n">
        <v>1550</v>
      </c>
      <c r="S318" s="26" t="n">
        <f aca="false">MROUND(R318+'Fuel &amp; Inputs'!$C$13,50)</f>
        <v>2350</v>
      </c>
      <c r="T318" s="27" t="n">
        <v>3250</v>
      </c>
      <c r="U318" s="26" t="n">
        <f aca="false">MROUND(R318*'Fuel &amp; Inputs'!$C$19*'Fuel &amp; Inputs'!$C$21,100)</f>
        <v>5900</v>
      </c>
      <c r="V318" s="26" t="n">
        <f aca="false">MROUND(S318*'Fuel &amp; Inputs'!$C$19*'Fuel &amp; Inputs'!$C$21,100)</f>
        <v>8900</v>
      </c>
      <c r="W318" s="26" t="n">
        <f aca="false">MROUND(T318*'Fuel &amp; Inputs'!$C$19*'Fuel &amp; Inputs'!$C$21,100)</f>
        <v>12400</v>
      </c>
      <c r="X318" s="26" t="n">
        <f aca="false">MROUND(R318*'Fuel &amp; Inputs'!$C$20*'Fuel &amp; Inputs'!$C$22,500)</f>
        <v>158000</v>
      </c>
      <c r="Y318" s="26" t="n">
        <f aca="false">MROUND(S318*'Fuel &amp; Inputs'!$C$20*'Fuel &amp; Inputs'!$C$22,500)</f>
        <v>239500</v>
      </c>
      <c r="Z318" s="26" t="n">
        <f aca="false">MROUND(T318*'Fuel &amp; Inputs'!$C$20*'Fuel &amp; Inputs'!$C$22,500)</f>
        <v>331500</v>
      </c>
    </row>
    <row r="319" customFormat="false" ht="23.85" hidden="false" customHeight="false" outlineLevel="0" collapsed="false">
      <c r="A319" s="17" t="n">
        <v>295</v>
      </c>
      <c r="B319" s="32" t="s">
        <v>106</v>
      </c>
      <c r="C319" s="32" t="s">
        <v>249</v>
      </c>
      <c r="D319" s="32" t="s">
        <v>775</v>
      </c>
      <c r="E319" s="17" t="s">
        <v>304</v>
      </c>
      <c r="F319" s="17" t="s">
        <v>810</v>
      </c>
      <c r="G319" s="17" t="s">
        <v>811</v>
      </c>
      <c r="H319" s="17" t="s">
        <v>153</v>
      </c>
      <c r="I319" s="17" t="s">
        <v>596</v>
      </c>
      <c r="J319" s="37" t="n">
        <v>0.263</v>
      </c>
      <c r="K319" s="37" t="n">
        <v>0.333</v>
      </c>
      <c r="L319" s="37" t="n">
        <v>0.417</v>
      </c>
      <c r="M319" s="33" t="n">
        <v>1.056</v>
      </c>
      <c r="N319" s="20" t="n">
        <f aca="false">IF(J319=0,0,IF($I319="L/km",MROUND(J319*$M319*IF($H319="Petrol",'Fuel &amp; Inputs'!$C$5,'Fuel &amp; Inputs'!$C$4),1),MROUND(J319*$M319*IF($H319="Petrol",'Fuel &amp; Inputs'!$C$5,'Fuel &amp; Inputs'!$C$4),10)))</f>
        <v>106</v>
      </c>
      <c r="O319" s="20" t="n">
        <f aca="false">IF(K319=0,0,IF($I319="L/km",MROUND(K319*$M319*IF($H319="Petrol",'Fuel &amp; Inputs'!$C$5,'Fuel &amp; Inputs'!$C$4),1),MROUND(K319*$M319*IF($H319="Petrol",'Fuel &amp; Inputs'!$C$5,'Fuel &amp; Inputs'!$C$4),10)))</f>
        <v>134</v>
      </c>
      <c r="P319" s="20" t="n">
        <f aca="false">IF(L319=0,0,IF($I319="L/km",MROUND(L319*$M319*IF($H319="Petrol",'Fuel &amp; Inputs'!$C$5,'Fuel &amp; Inputs'!$C$4),1),MROUND(L319*$M319*IF($H319="Petrol",'Fuel &amp; Inputs'!$C$5,'Fuel &amp; Inputs'!$C$4),10)))</f>
        <v>168</v>
      </c>
      <c r="Q319" s="17" t="s">
        <v>597</v>
      </c>
      <c r="R319" s="21" t="n">
        <v>1550</v>
      </c>
      <c r="S319" s="20" t="n">
        <f aca="false">MROUND(R319+'Fuel &amp; Inputs'!$C$13,50)</f>
        <v>2350</v>
      </c>
      <c r="T319" s="21" t="n">
        <v>3250</v>
      </c>
      <c r="U319" s="20" t="n">
        <f aca="false">MROUND(R319*'Fuel &amp; Inputs'!$C$19*'Fuel &amp; Inputs'!$C$21,100)</f>
        <v>5900</v>
      </c>
      <c r="V319" s="20" t="n">
        <f aca="false">MROUND(S319*'Fuel &amp; Inputs'!$C$19*'Fuel &amp; Inputs'!$C$21,100)</f>
        <v>8900</v>
      </c>
      <c r="W319" s="20" t="n">
        <f aca="false">MROUND(T319*'Fuel &amp; Inputs'!$C$19*'Fuel &amp; Inputs'!$C$21,100)</f>
        <v>12400</v>
      </c>
      <c r="X319" s="20" t="n">
        <f aca="false">MROUND(R319*'Fuel &amp; Inputs'!$C$20*'Fuel &amp; Inputs'!$C$22,500)</f>
        <v>158000</v>
      </c>
      <c r="Y319" s="20" t="n">
        <f aca="false">MROUND(S319*'Fuel &amp; Inputs'!$C$20*'Fuel &amp; Inputs'!$C$22,500)</f>
        <v>239500</v>
      </c>
      <c r="Z319" s="20" t="n">
        <f aca="false">MROUND(T319*'Fuel &amp; Inputs'!$C$20*'Fuel &amp; Inputs'!$C$22,500)</f>
        <v>331500</v>
      </c>
    </row>
    <row r="320" customFormat="false" ht="23.85" hidden="false" customHeight="false" outlineLevel="0" collapsed="false">
      <c r="A320" s="23" t="n">
        <v>296</v>
      </c>
      <c r="B320" s="34" t="s">
        <v>106</v>
      </c>
      <c r="C320" s="34" t="s">
        <v>249</v>
      </c>
      <c r="D320" s="34" t="s">
        <v>775</v>
      </c>
      <c r="E320" s="23" t="s">
        <v>304</v>
      </c>
      <c r="F320" s="23" t="s">
        <v>812</v>
      </c>
      <c r="G320" s="23" t="s">
        <v>813</v>
      </c>
      <c r="H320" s="23" t="s">
        <v>153</v>
      </c>
      <c r="I320" s="23" t="s">
        <v>596</v>
      </c>
      <c r="J320" s="36" t="n">
        <v>0.263</v>
      </c>
      <c r="K320" s="36" t="n">
        <v>0.333</v>
      </c>
      <c r="L320" s="36" t="n">
        <v>0.417</v>
      </c>
      <c r="M320" s="35" t="n">
        <v>1.056</v>
      </c>
      <c r="N320" s="26" t="n">
        <f aca="false">IF(J320=0,0,IF($I320="L/km",MROUND(J320*$M320*IF($H320="Petrol",'Fuel &amp; Inputs'!$C$5,'Fuel &amp; Inputs'!$C$4),1),MROUND(J320*$M320*IF($H320="Petrol",'Fuel &amp; Inputs'!$C$5,'Fuel &amp; Inputs'!$C$4),10)))</f>
        <v>106</v>
      </c>
      <c r="O320" s="26" t="n">
        <f aca="false">IF(K320=0,0,IF($I320="L/km",MROUND(K320*$M320*IF($H320="Petrol",'Fuel &amp; Inputs'!$C$5,'Fuel &amp; Inputs'!$C$4),1),MROUND(K320*$M320*IF($H320="Petrol",'Fuel &amp; Inputs'!$C$5,'Fuel &amp; Inputs'!$C$4),10)))</f>
        <v>134</v>
      </c>
      <c r="P320" s="26" t="n">
        <f aca="false">IF(L320=0,0,IF($I320="L/km",MROUND(L320*$M320*IF($H320="Petrol",'Fuel &amp; Inputs'!$C$5,'Fuel &amp; Inputs'!$C$4),1),MROUND(L320*$M320*IF($H320="Petrol",'Fuel &amp; Inputs'!$C$5,'Fuel &amp; Inputs'!$C$4),10)))</f>
        <v>168</v>
      </c>
      <c r="Q320" s="23" t="s">
        <v>597</v>
      </c>
      <c r="R320" s="27" t="n">
        <v>1550</v>
      </c>
      <c r="S320" s="26" t="n">
        <f aca="false">MROUND(R320+'Fuel &amp; Inputs'!$C$13,50)</f>
        <v>2350</v>
      </c>
      <c r="T320" s="27" t="n">
        <v>3250</v>
      </c>
      <c r="U320" s="26" t="n">
        <f aca="false">MROUND(R320*'Fuel &amp; Inputs'!$C$19*'Fuel &amp; Inputs'!$C$21,100)</f>
        <v>5900</v>
      </c>
      <c r="V320" s="26" t="n">
        <f aca="false">MROUND(S320*'Fuel &amp; Inputs'!$C$19*'Fuel &amp; Inputs'!$C$21,100)</f>
        <v>8900</v>
      </c>
      <c r="W320" s="26" t="n">
        <f aca="false">MROUND(T320*'Fuel &amp; Inputs'!$C$19*'Fuel &amp; Inputs'!$C$21,100)</f>
        <v>12400</v>
      </c>
      <c r="X320" s="26" t="n">
        <f aca="false">MROUND(R320*'Fuel &amp; Inputs'!$C$20*'Fuel &amp; Inputs'!$C$22,500)</f>
        <v>158000</v>
      </c>
      <c r="Y320" s="26" t="n">
        <f aca="false">MROUND(S320*'Fuel &amp; Inputs'!$C$20*'Fuel &amp; Inputs'!$C$22,500)</f>
        <v>239500</v>
      </c>
      <c r="Z320" s="26" t="n">
        <f aca="false">MROUND(T320*'Fuel &amp; Inputs'!$C$20*'Fuel &amp; Inputs'!$C$22,500)</f>
        <v>331500</v>
      </c>
    </row>
    <row r="321" customFormat="false" ht="23.85" hidden="false" customHeight="false" outlineLevel="0" collapsed="false">
      <c r="A321" s="17" t="n">
        <v>297</v>
      </c>
      <c r="B321" s="32" t="s">
        <v>106</v>
      </c>
      <c r="C321" s="32" t="s">
        <v>249</v>
      </c>
      <c r="D321" s="32" t="s">
        <v>775</v>
      </c>
      <c r="E321" s="17" t="s">
        <v>174</v>
      </c>
      <c r="F321" s="17" t="s">
        <v>814</v>
      </c>
      <c r="G321" s="17" t="s">
        <v>815</v>
      </c>
      <c r="H321" s="17" t="s">
        <v>153</v>
      </c>
      <c r="I321" s="17" t="s">
        <v>596</v>
      </c>
      <c r="J321" s="37" t="n">
        <v>0.263</v>
      </c>
      <c r="K321" s="37" t="n">
        <v>0.333</v>
      </c>
      <c r="L321" s="37" t="n">
        <v>0.417</v>
      </c>
      <c r="M321" s="33" t="n">
        <v>1.07</v>
      </c>
      <c r="N321" s="20" t="n">
        <f aca="false">IF(J321=0,0,IF($I321="L/km",MROUND(J321*$M321*IF($H321="Petrol",'Fuel &amp; Inputs'!$C$5,'Fuel &amp; Inputs'!$C$4),1),MROUND(J321*$M321*IF($H321="Petrol",'Fuel &amp; Inputs'!$C$5,'Fuel &amp; Inputs'!$C$4),10)))</f>
        <v>107</v>
      </c>
      <c r="O321" s="20" t="n">
        <f aca="false">IF(K321=0,0,IF($I321="L/km",MROUND(K321*$M321*IF($H321="Petrol",'Fuel &amp; Inputs'!$C$5,'Fuel &amp; Inputs'!$C$4),1),MROUND(K321*$M321*IF($H321="Petrol",'Fuel &amp; Inputs'!$C$5,'Fuel &amp; Inputs'!$C$4),10)))</f>
        <v>136</v>
      </c>
      <c r="P321" s="20" t="n">
        <f aca="false">IF(L321=0,0,IF($I321="L/km",MROUND(L321*$M321*IF($H321="Petrol",'Fuel &amp; Inputs'!$C$5,'Fuel &amp; Inputs'!$C$4),1),MROUND(L321*$M321*IF($H321="Petrol",'Fuel &amp; Inputs'!$C$5,'Fuel &amp; Inputs'!$C$4),10)))</f>
        <v>170</v>
      </c>
      <c r="Q321" s="17" t="s">
        <v>597</v>
      </c>
      <c r="R321" s="21" t="n">
        <v>1550</v>
      </c>
      <c r="S321" s="20" t="n">
        <f aca="false">MROUND(R321+'Fuel &amp; Inputs'!$C$13,50)</f>
        <v>2350</v>
      </c>
      <c r="T321" s="21" t="n">
        <v>3250</v>
      </c>
      <c r="U321" s="20" t="n">
        <f aca="false">MROUND(R321*'Fuel &amp; Inputs'!$C$19*'Fuel &amp; Inputs'!$C$21,100)</f>
        <v>5900</v>
      </c>
      <c r="V321" s="20" t="n">
        <f aca="false">MROUND(S321*'Fuel &amp; Inputs'!$C$19*'Fuel &amp; Inputs'!$C$21,100)</f>
        <v>8900</v>
      </c>
      <c r="W321" s="20" t="n">
        <f aca="false">MROUND(T321*'Fuel &amp; Inputs'!$C$19*'Fuel &amp; Inputs'!$C$21,100)</f>
        <v>12400</v>
      </c>
      <c r="X321" s="20" t="n">
        <f aca="false">MROUND(R321*'Fuel &amp; Inputs'!$C$20*'Fuel &amp; Inputs'!$C$22,500)</f>
        <v>158000</v>
      </c>
      <c r="Y321" s="20" t="n">
        <f aca="false">MROUND(S321*'Fuel &amp; Inputs'!$C$20*'Fuel &amp; Inputs'!$C$22,500)</f>
        <v>239500</v>
      </c>
      <c r="Z321" s="20" t="n">
        <f aca="false">MROUND(T321*'Fuel &amp; Inputs'!$C$20*'Fuel &amp; Inputs'!$C$22,500)</f>
        <v>331500</v>
      </c>
    </row>
    <row r="322" customFormat="false" ht="23.85" hidden="false" customHeight="false" outlineLevel="0" collapsed="false">
      <c r="A322" s="23" t="n">
        <v>298</v>
      </c>
      <c r="B322" s="34" t="s">
        <v>106</v>
      </c>
      <c r="C322" s="34" t="s">
        <v>249</v>
      </c>
      <c r="D322" s="34" t="s">
        <v>775</v>
      </c>
      <c r="E322" s="23" t="s">
        <v>174</v>
      </c>
      <c r="F322" s="23" t="s">
        <v>816</v>
      </c>
      <c r="G322" s="23" t="s">
        <v>817</v>
      </c>
      <c r="H322" s="23" t="s">
        <v>153</v>
      </c>
      <c r="I322" s="23" t="s">
        <v>596</v>
      </c>
      <c r="J322" s="36" t="n">
        <v>0.263</v>
      </c>
      <c r="K322" s="36" t="n">
        <v>0.333</v>
      </c>
      <c r="L322" s="36" t="n">
        <v>0.417</v>
      </c>
      <c r="M322" s="35" t="n">
        <v>1.07</v>
      </c>
      <c r="N322" s="26" t="n">
        <f aca="false">IF(J322=0,0,IF($I322="L/km",MROUND(J322*$M322*IF($H322="Petrol",'Fuel &amp; Inputs'!$C$5,'Fuel &amp; Inputs'!$C$4),1),MROUND(J322*$M322*IF($H322="Petrol",'Fuel &amp; Inputs'!$C$5,'Fuel &amp; Inputs'!$C$4),10)))</f>
        <v>107</v>
      </c>
      <c r="O322" s="26" t="n">
        <f aca="false">IF(K322=0,0,IF($I322="L/km",MROUND(K322*$M322*IF($H322="Petrol",'Fuel &amp; Inputs'!$C$5,'Fuel &amp; Inputs'!$C$4),1),MROUND(K322*$M322*IF($H322="Petrol",'Fuel &amp; Inputs'!$C$5,'Fuel &amp; Inputs'!$C$4),10)))</f>
        <v>136</v>
      </c>
      <c r="P322" s="26" t="n">
        <f aca="false">IF(L322=0,0,IF($I322="L/km",MROUND(L322*$M322*IF($H322="Petrol",'Fuel &amp; Inputs'!$C$5,'Fuel &amp; Inputs'!$C$4),1),MROUND(L322*$M322*IF($H322="Petrol",'Fuel &amp; Inputs'!$C$5,'Fuel &amp; Inputs'!$C$4),10)))</f>
        <v>170</v>
      </c>
      <c r="Q322" s="23" t="s">
        <v>597</v>
      </c>
      <c r="R322" s="27" t="n">
        <v>1550</v>
      </c>
      <c r="S322" s="26" t="n">
        <f aca="false">MROUND(R322+'Fuel &amp; Inputs'!$C$13,50)</f>
        <v>2350</v>
      </c>
      <c r="T322" s="27" t="n">
        <v>3250</v>
      </c>
      <c r="U322" s="26" t="n">
        <f aca="false">MROUND(R322*'Fuel &amp; Inputs'!$C$19*'Fuel &amp; Inputs'!$C$21,100)</f>
        <v>5900</v>
      </c>
      <c r="V322" s="26" t="n">
        <f aca="false">MROUND(S322*'Fuel &amp; Inputs'!$C$19*'Fuel &amp; Inputs'!$C$21,100)</f>
        <v>8900</v>
      </c>
      <c r="W322" s="26" t="n">
        <f aca="false">MROUND(T322*'Fuel &amp; Inputs'!$C$19*'Fuel &amp; Inputs'!$C$21,100)</f>
        <v>12400</v>
      </c>
      <c r="X322" s="26" t="n">
        <f aca="false">MROUND(R322*'Fuel &amp; Inputs'!$C$20*'Fuel &amp; Inputs'!$C$22,500)</f>
        <v>158000</v>
      </c>
      <c r="Y322" s="26" t="n">
        <f aca="false">MROUND(S322*'Fuel &amp; Inputs'!$C$20*'Fuel &amp; Inputs'!$C$22,500)</f>
        <v>239500</v>
      </c>
      <c r="Z322" s="26" t="n">
        <f aca="false">MROUND(T322*'Fuel &amp; Inputs'!$C$20*'Fuel &amp; Inputs'!$C$22,500)</f>
        <v>331500</v>
      </c>
    </row>
    <row r="323" customFormat="false" ht="23.85" hidden="false" customHeight="false" outlineLevel="0" collapsed="false">
      <c r="A323" s="17" t="n">
        <v>299</v>
      </c>
      <c r="B323" s="32" t="s">
        <v>106</v>
      </c>
      <c r="C323" s="32" t="s">
        <v>249</v>
      </c>
      <c r="D323" s="32" t="s">
        <v>775</v>
      </c>
      <c r="E323" s="17" t="s">
        <v>304</v>
      </c>
      <c r="F323" s="17" t="s">
        <v>818</v>
      </c>
      <c r="G323" s="17" t="s">
        <v>819</v>
      </c>
      <c r="H323" s="17" t="s">
        <v>153</v>
      </c>
      <c r="I323" s="17" t="s">
        <v>596</v>
      </c>
      <c r="J323" s="37" t="n">
        <v>0.263</v>
      </c>
      <c r="K323" s="37" t="n">
        <v>0.333</v>
      </c>
      <c r="L323" s="37" t="n">
        <v>0.417</v>
      </c>
      <c r="M323" s="33" t="n">
        <v>1.056</v>
      </c>
      <c r="N323" s="20" t="n">
        <f aca="false">IF(J323=0,0,IF($I323="L/km",MROUND(J323*$M323*IF($H323="Petrol",'Fuel &amp; Inputs'!$C$5,'Fuel &amp; Inputs'!$C$4),1),MROUND(J323*$M323*IF($H323="Petrol",'Fuel &amp; Inputs'!$C$5,'Fuel &amp; Inputs'!$C$4),10)))</f>
        <v>106</v>
      </c>
      <c r="O323" s="20" t="n">
        <f aca="false">IF(K323=0,0,IF($I323="L/km",MROUND(K323*$M323*IF($H323="Petrol",'Fuel &amp; Inputs'!$C$5,'Fuel &amp; Inputs'!$C$4),1),MROUND(K323*$M323*IF($H323="Petrol",'Fuel &amp; Inputs'!$C$5,'Fuel &amp; Inputs'!$C$4),10)))</f>
        <v>134</v>
      </c>
      <c r="P323" s="20" t="n">
        <f aca="false">IF(L323=0,0,IF($I323="L/km",MROUND(L323*$M323*IF($H323="Petrol",'Fuel &amp; Inputs'!$C$5,'Fuel &amp; Inputs'!$C$4),1),MROUND(L323*$M323*IF($H323="Petrol",'Fuel &amp; Inputs'!$C$5,'Fuel &amp; Inputs'!$C$4),10)))</f>
        <v>168</v>
      </c>
      <c r="Q323" s="17" t="s">
        <v>597</v>
      </c>
      <c r="R323" s="21" t="n">
        <v>1550</v>
      </c>
      <c r="S323" s="20" t="n">
        <f aca="false">MROUND(R323+'Fuel &amp; Inputs'!$C$13,50)</f>
        <v>2350</v>
      </c>
      <c r="T323" s="21" t="n">
        <v>3250</v>
      </c>
      <c r="U323" s="20" t="n">
        <f aca="false">MROUND(R323*'Fuel &amp; Inputs'!$C$19*'Fuel &amp; Inputs'!$C$21,100)</f>
        <v>5900</v>
      </c>
      <c r="V323" s="20" t="n">
        <f aca="false">MROUND(S323*'Fuel &amp; Inputs'!$C$19*'Fuel &amp; Inputs'!$C$21,100)</f>
        <v>8900</v>
      </c>
      <c r="W323" s="20" t="n">
        <f aca="false">MROUND(T323*'Fuel &amp; Inputs'!$C$19*'Fuel &amp; Inputs'!$C$21,100)</f>
        <v>12400</v>
      </c>
      <c r="X323" s="20" t="n">
        <f aca="false">MROUND(R323*'Fuel &amp; Inputs'!$C$20*'Fuel &amp; Inputs'!$C$22,500)</f>
        <v>158000</v>
      </c>
      <c r="Y323" s="20" t="n">
        <f aca="false">MROUND(S323*'Fuel &amp; Inputs'!$C$20*'Fuel &amp; Inputs'!$C$22,500)</f>
        <v>239500</v>
      </c>
      <c r="Z323" s="20" t="n">
        <f aca="false">MROUND(T323*'Fuel &amp; Inputs'!$C$20*'Fuel &amp; Inputs'!$C$22,500)</f>
        <v>331500</v>
      </c>
    </row>
    <row r="324" customFormat="false" ht="23.85" hidden="false" customHeight="false" outlineLevel="0" collapsed="false">
      <c r="A324" s="23" t="n">
        <v>300</v>
      </c>
      <c r="B324" s="34" t="s">
        <v>106</v>
      </c>
      <c r="C324" s="34" t="s">
        <v>249</v>
      </c>
      <c r="D324" s="34" t="s">
        <v>775</v>
      </c>
      <c r="E324" s="23" t="s">
        <v>304</v>
      </c>
      <c r="F324" s="23" t="s">
        <v>820</v>
      </c>
      <c r="G324" s="23" t="s">
        <v>821</v>
      </c>
      <c r="H324" s="23" t="s">
        <v>153</v>
      </c>
      <c r="I324" s="23" t="s">
        <v>596</v>
      </c>
      <c r="J324" s="36" t="n">
        <v>0.263</v>
      </c>
      <c r="K324" s="36" t="n">
        <v>0.333</v>
      </c>
      <c r="L324" s="36" t="n">
        <v>0.417</v>
      </c>
      <c r="M324" s="35" t="n">
        <v>1.056</v>
      </c>
      <c r="N324" s="26" t="n">
        <f aca="false">IF(J324=0,0,IF($I324="L/km",MROUND(J324*$M324*IF($H324="Petrol",'Fuel &amp; Inputs'!$C$5,'Fuel &amp; Inputs'!$C$4),1),MROUND(J324*$M324*IF($H324="Petrol",'Fuel &amp; Inputs'!$C$5,'Fuel &amp; Inputs'!$C$4),10)))</f>
        <v>106</v>
      </c>
      <c r="O324" s="26" t="n">
        <f aca="false">IF(K324=0,0,IF($I324="L/km",MROUND(K324*$M324*IF($H324="Petrol",'Fuel &amp; Inputs'!$C$5,'Fuel &amp; Inputs'!$C$4),1),MROUND(K324*$M324*IF($H324="Petrol",'Fuel &amp; Inputs'!$C$5,'Fuel &amp; Inputs'!$C$4),10)))</f>
        <v>134</v>
      </c>
      <c r="P324" s="26" t="n">
        <f aca="false">IF(L324=0,0,IF($I324="L/km",MROUND(L324*$M324*IF($H324="Petrol",'Fuel &amp; Inputs'!$C$5,'Fuel &amp; Inputs'!$C$4),1),MROUND(L324*$M324*IF($H324="Petrol",'Fuel &amp; Inputs'!$C$5,'Fuel &amp; Inputs'!$C$4),10)))</f>
        <v>168</v>
      </c>
      <c r="Q324" s="23" t="s">
        <v>597</v>
      </c>
      <c r="R324" s="27" t="n">
        <v>1550</v>
      </c>
      <c r="S324" s="26" t="n">
        <f aca="false">MROUND(R324+'Fuel &amp; Inputs'!$C$13,50)</f>
        <v>2350</v>
      </c>
      <c r="T324" s="27" t="n">
        <v>3250</v>
      </c>
      <c r="U324" s="26" t="n">
        <f aca="false">MROUND(R324*'Fuel &amp; Inputs'!$C$19*'Fuel &amp; Inputs'!$C$21,100)</f>
        <v>5900</v>
      </c>
      <c r="V324" s="26" t="n">
        <f aca="false">MROUND(S324*'Fuel &amp; Inputs'!$C$19*'Fuel &amp; Inputs'!$C$21,100)</f>
        <v>8900</v>
      </c>
      <c r="W324" s="26" t="n">
        <f aca="false">MROUND(T324*'Fuel &amp; Inputs'!$C$19*'Fuel &amp; Inputs'!$C$21,100)</f>
        <v>12400</v>
      </c>
      <c r="X324" s="26" t="n">
        <f aca="false">MROUND(R324*'Fuel &amp; Inputs'!$C$20*'Fuel &amp; Inputs'!$C$22,500)</f>
        <v>158000</v>
      </c>
      <c r="Y324" s="26" t="n">
        <f aca="false">MROUND(S324*'Fuel &amp; Inputs'!$C$20*'Fuel &amp; Inputs'!$C$22,500)</f>
        <v>239500</v>
      </c>
      <c r="Z324" s="26" t="n">
        <f aca="false">MROUND(T324*'Fuel &amp; Inputs'!$C$20*'Fuel &amp; Inputs'!$C$22,500)</f>
        <v>331500</v>
      </c>
    </row>
    <row r="325" customFormat="false" ht="23.85" hidden="false" customHeight="false" outlineLevel="0" collapsed="false">
      <c r="A325" s="17" t="n">
        <v>301</v>
      </c>
      <c r="B325" s="32" t="s">
        <v>106</v>
      </c>
      <c r="C325" s="32" t="s">
        <v>249</v>
      </c>
      <c r="D325" s="32" t="s">
        <v>775</v>
      </c>
      <c r="E325" s="17" t="s">
        <v>304</v>
      </c>
      <c r="F325" s="17" t="s">
        <v>822</v>
      </c>
      <c r="G325" s="17" t="s">
        <v>823</v>
      </c>
      <c r="H325" s="17" t="s">
        <v>153</v>
      </c>
      <c r="I325" s="17" t="s">
        <v>596</v>
      </c>
      <c r="J325" s="37" t="n">
        <v>0.263</v>
      </c>
      <c r="K325" s="37" t="n">
        <v>0.333</v>
      </c>
      <c r="L325" s="37" t="n">
        <v>0.417</v>
      </c>
      <c r="M325" s="33" t="n">
        <v>1.056</v>
      </c>
      <c r="N325" s="20" t="n">
        <f aca="false">IF(J325=0,0,IF($I325="L/km",MROUND(J325*$M325*IF($H325="Petrol",'Fuel &amp; Inputs'!$C$5,'Fuel &amp; Inputs'!$C$4),1),MROUND(J325*$M325*IF($H325="Petrol",'Fuel &amp; Inputs'!$C$5,'Fuel &amp; Inputs'!$C$4),10)))</f>
        <v>106</v>
      </c>
      <c r="O325" s="20" t="n">
        <f aca="false">IF(K325=0,0,IF($I325="L/km",MROUND(K325*$M325*IF($H325="Petrol",'Fuel &amp; Inputs'!$C$5,'Fuel &amp; Inputs'!$C$4),1),MROUND(K325*$M325*IF($H325="Petrol",'Fuel &amp; Inputs'!$C$5,'Fuel &amp; Inputs'!$C$4),10)))</f>
        <v>134</v>
      </c>
      <c r="P325" s="20" t="n">
        <f aca="false">IF(L325=0,0,IF($I325="L/km",MROUND(L325*$M325*IF($H325="Petrol",'Fuel &amp; Inputs'!$C$5,'Fuel &amp; Inputs'!$C$4),1),MROUND(L325*$M325*IF($H325="Petrol",'Fuel &amp; Inputs'!$C$5,'Fuel &amp; Inputs'!$C$4),10)))</f>
        <v>168</v>
      </c>
      <c r="Q325" s="17" t="s">
        <v>597</v>
      </c>
      <c r="R325" s="21" t="n">
        <v>1550</v>
      </c>
      <c r="S325" s="20" t="n">
        <f aca="false">MROUND(R325+'Fuel &amp; Inputs'!$C$13,50)</f>
        <v>2350</v>
      </c>
      <c r="T325" s="21" t="n">
        <v>3250</v>
      </c>
      <c r="U325" s="20" t="n">
        <f aca="false">MROUND(R325*'Fuel &amp; Inputs'!$C$19*'Fuel &amp; Inputs'!$C$21,100)</f>
        <v>5900</v>
      </c>
      <c r="V325" s="20" t="n">
        <f aca="false">MROUND(S325*'Fuel &amp; Inputs'!$C$19*'Fuel &amp; Inputs'!$C$21,100)</f>
        <v>8900</v>
      </c>
      <c r="W325" s="20" t="n">
        <f aca="false">MROUND(T325*'Fuel &amp; Inputs'!$C$19*'Fuel &amp; Inputs'!$C$21,100)</f>
        <v>12400</v>
      </c>
      <c r="X325" s="20" t="n">
        <f aca="false">MROUND(R325*'Fuel &amp; Inputs'!$C$20*'Fuel &amp; Inputs'!$C$22,500)</f>
        <v>158000</v>
      </c>
      <c r="Y325" s="20" t="n">
        <f aca="false">MROUND(S325*'Fuel &amp; Inputs'!$C$20*'Fuel &amp; Inputs'!$C$22,500)</f>
        <v>239500</v>
      </c>
      <c r="Z325" s="20" t="n">
        <f aca="false">MROUND(T325*'Fuel &amp; Inputs'!$C$20*'Fuel &amp; Inputs'!$C$22,500)</f>
        <v>331500</v>
      </c>
    </row>
    <row r="326" customFormat="false" ht="23.85" hidden="false" customHeight="false" outlineLevel="0" collapsed="false">
      <c r="A326" s="23" t="n">
        <v>302</v>
      </c>
      <c r="B326" s="34" t="s">
        <v>106</v>
      </c>
      <c r="C326" s="34" t="s">
        <v>249</v>
      </c>
      <c r="D326" s="34" t="s">
        <v>775</v>
      </c>
      <c r="E326" s="23" t="s">
        <v>304</v>
      </c>
      <c r="F326" s="23" t="s">
        <v>824</v>
      </c>
      <c r="G326" s="23" t="s">
        <v>825</v>
      </c>
      <c r="H326" s="23" t="s">
        <v>153</v>
      </c>
      <c r="I326" s="23" t="s">
        <v>596</v>
      </c>
      <c r="J326" s="36" t="n">
        <v>0.263</v>
      </c>
      <c r="K326" s="36" t="n">
        <v>0.333</v>
      </c>
      <c r="L326" s="36" t="n">
        <v>0.417</v>
      </c>
      <c r="M326" s="35" t="n">
        <v>1.056</v>
      </c>
      <c r="N326" s="26" t="n">
        <f aca="false">IF(J326=0,0,IF($I326="L/km",MROUND(J326*$M326*IF($H326="Petrol",'Fuel &amp; Inputs'!$C$5,'Fuel &amp; Inputs'!$C$4),1),MROUND(J326*$M326*IF($H326="Petrol",'Fuel &amp; Inputs'!$C$5,'Fuel &amp; Inputs'!$C$4),10)))</f>
        <v>106</v>
      </c>
      <c r="O326" s="26" t="n">
        <f aca="false">IF(K326=0,0,IF($I326="L/km",MROUND(K326*$M326*IF($H326="Petrol",'Fuel &amp; Inputs'!$C$5,'Fuel &amp; Inputs'!$C$4),1),MROUND(K326*$M326*IF($H326="Petrol",'Fuel &amp; Inputs'!$C$5,'Fuel &amp; Inputs'!$C$4),10)))</f>
        <v>134</v>
      </c>
      <c r="P326" s="26" t="n">
        <f aca="false">IF(L326=0,0,IF($I326="L/km",MROUND(L326*$M326*IF($H326="Petrol",'Fuel &amp; Inputs'!$C$5,'Fuel &amp; Inputs'!$C$4),1),MROUND(L326*$M326*IF($H326="Petrol",'Fuel &amp; Inputs'!$C$5,'Fuel &amp; Inputs'!$C$4),10)))</f>
        <v>168</v>
      </c>
      <c r="Q326" s="23" t="s">
        <v>597</v>
      </c>
      <c r="R326" s="27" t="n">
        <v>1550</v>
      </c>
      <c r="S326" s="26" t="n">
        <f aca="false">MROUND(R326+'Fuel &amp; Inputs'!$C$13,50)</f>
        <v>2350</v>
      </c>
      <c r="T326" s="27" t="n">
        <v>3250</v>
      </c>
      <c r="U326" s="26" t="n">
        <f aca="false">MROUND(R326*'Fuel &amp; Inputs'!$C$19*'Fuel &amp; Inputs'!$C$21,100)</f>
        <v>5900</v>
      </c>
      <c r="V326" s="26" t="n">
        <f aca="false">MROUND(S326*'Fuel &amp; Inputs'!$C$19*'Fuel &amp; Inputs'!$C$21,100)</f>
        <v>8900</v>
      </c>
      <c r="W326" s="26" t="n">
        <f aca="false">MROUND(T326*'Fuel &amp; Inputs'!$C$19*'Fuel &amp; Inputs'!$C$21,100)</f>
        <v>12400</v>
      </c>
      <c r="X326" s="26" t="n">
        <f aca="false">MROUND(R326*'Fuel &amp; Inputs'!$C$20*'Fuel &amp; Inputs'!$C$22,500)</f>
        <v>158000</v>
      </c>
      <c r="Y326" s="26" t="n">
        <f aca="false">MROUND(S326*'Fuel &amp; Inputs'!$C$20*'Fuel &amp; Inputs'!$C$22,500)</f>
        <v>239500</v>
      </c>
      <c r="Z326" s="26" t="n">
        <f aca="false">MROUND(T326*'Fuel &amp; Inputs'!$C$20*'Fuel &amp; Inputs'!$C$22,500)</f>
        <v>331500</v>
      </c>
    </row>
    <row r="327" customFormat="false" ht="23.85" hidden="false" customHeight="false" outlineLevel="0" collapsed="false">
      <c r="A327" s="17" t="n">
        <v>303</v>
      </c>
      <c r="B327" s="32" t="s">
        <v>106</v>
      </c>
      <c r="C327" s="32" t="s">
        <v>249</v>
      </c>
      <c r="D327" s="32" t="s">
        <v>775</v>
      </c>
      <c r="E327" s="17" t="s">
        <v>304</v>
      </c>
      <c r="F327" s="17" t="s">
        <v>826</v>
      </c>
      <c r="G327" s="17" t="s">
        <v>827</v>
      </c>
      <c r="H327" s="17" t="s">
        <v>153</v>
      </c>
      <c r="I327" s="17" t="s">
        <v>596</v>
      </c>
      <c r="J327" s="37" t="n">
        <v>0.263</v>
      </c>
      <c r="K327" s="37" t="n">
        <v>0.333</v>
      </c>
      <c r="L327" s="37" t="n">
        <v>0.417</v>
      </c>
      <c r="M327" s="33" t="n">
        <v>1.056</v>
      </c>
      <c r="N327" s="20" t="n">
        <f aca="false">IF(J327=0,0,IF($I327="L/km",MROUND(J327*$M327*IF($H327="Petrol",'Fuel &amp; Inputs'!$C$5,'Fuel &amp; Inputs'!$C$4),1),MROUND(J327*$M327*IF($H327="Petrol",'Fuel &amp; Inputs'!$C$5,'Fuel &amp; Inputs'!$C$4),10)))</f>
        <v>106</v>
      </c>
      <c r="O327" s="20" t="n">
        <f aca="false">IF(K327=0,0,IF($I327="L/km",MROUND(K327*$M327*IF($H327="Petrol",'Fuel &amp; Inputs'!$C$5,'Fuel &amp; Inputs'!$C$4),1),MROUND(K327*$M327*IF($H327="Petrol",'Fuel &amp; Inputs'!$C$5,'Fuel &amp; Inputs'!$C$4),10)))</f>
        <v>134</v>
      </c>
      <c r="P327" s="20" t="n">
        <f aca="false">IF(L327=0,0,IF($I327="L/km",MROUND(L327*$M327*IF($H327="Petrol",'Fuel &amp; Inputs'!$C$5,'Fuel &amp; Inputs'!$C$4),1),MROUND(L327*$M327*IF($H327="Petrol",'Fuel &amp; Inputs'!$C$5,'Fuel &amp; Inputs'!$C$4),10)))</f>
        <v>168</v>
      </c>
      <c r="Q327" s="17" t="s">
        <v>597</v>
      </c>
      <c r="R327" s="21" t="n">
        <v>1550</v>
      </c>
      <c r="S327" s="20" t="n">
        <f aca="false">MROUND(R327+'Fuel &amp; Inputs'!$C$13,50)</f>
        <v>2350</v>
      </c>
      <c r="T327" s="21" t="n">
        <v>3250</v>
      </c>
      <c r="U327" s="20" t="n">
        <f aca="false">MROUND(R327*'Fuel &amp; Inputs'!$C$19*'Fuel &amp; Inputs'!$C$21,100)</f>
        <v>5900</v>
      </c>
      <c r="V327" s="20" t="n">
        <f aca="false">MROUND(S327*'Fuel &amp; Inputs'!$C$19*'Fuel &amp; Inputs'!$C$21,100)</f>
        <v>8900</v>
      </c>
      <c r="W327" s="20" t="n">
        <f aca="false">MROUND(T327*'Fuel &amp; Inputs'!$C$19*'Fuel &amp; Inputs'!$C$21,100)</f>
        <v>12400</v>
      </c>
      <c r="X327" s="20" t="n">
        <f aca="false">MROUND(R327*'Fuel &amp; Inputs'!$C$20*'Fuel &amp; Inputs'!$C$22,500)</f>
        <v>158000</v>
      </c>
      <c r="Y327" s="20" t="n">
        <f aca="false">MROUND(S327*'Fuel &amp; Inputs'!$C$20*'Fuel &amp; Inputs'!$C$22,500)</f>
        <v>239500</v>
      </c>
      <c r="Z327" s="20" t="n">
        <f aca="false">MROUND(T327*'Fuel &amp; Inputs'!$C$20*'Fuel &amp; Inputs'!$C$22,500)</f>
        <v>331500</v>
      </c>
    </row>
    <row r="328" customFormat="false" ht="23.85" hidden="false" customHeight="false" outlineLevel="0" collapsed="false">
      <c r="A328" s="23" t="n">
        <v>304</v>
      </c>
      <c r="B328" s="34" t="s">
        <v>106</v>
      </c>
      <c r="C328" s="34" t="s">
        <v>249</v>
      </c>
      <c r="D328" s="34" t="s">
        <v>775</v>
      </c>
      <c r="E328" s="23" t="s">
        <v>304</v>
      </c>
      <c r="F328" s="23" t="s">
        <v>828</v>
      </c>
      <c r="G328" s="23" t="s">
        <v>829</v>
      </c>
      <c r="H328" s="23" t="s">
        <v>153</v>
      </c>
      <c r="I328" s="23" t="s">
        <v>596</v>
      </c>
      <c r="J328" s="36" t="n">
        <v>0.263</v>
      </c>
      <c r="K328" s="36" t="n">
        <v>0.333</v>
      </c>
      <c r="L328" s="36" t="n">
        <v>0.417</v>
      </c>
      <c r="M328" s="35" t="n">
        <v>1.056</v>
      </c>
      <c r="N328" s="26" t="n">
        <f aca="false">IF(J328=0,0,IF($I328="L/km",MROUND(J328*$M328*IF($H328="Petrol",'Fuel &amp; Inputs'!$C$5,'Fuel &amp; Inputs'!$C$4),1),MROUND(J328*$M328*IF($H328="Petrol",'Fuel &amp; Inputs'!$C$5,'Fuel &amp; Inputs'!$C$4),10)))</f>
        <v>106</v>
      </c>
      <c r="O328" s="26" t="n">
        <f aca="false">IF(K328=0,0,IF($I328="L/km",MROUND(K328*$M328*IF($H328="Petrol",'Fuel &amp; Inputs'!$C$5,'Fuel &amp; Inputs'!$C$4),1),MROUND(K328*$M328*IF($H328="Petrol",'Fuel &amp; Inputs'!$C$5,'Fuel &amp; Inputs'!$C$4),10)))</f>
        <v>134</v>
      </c>
      <c r="P328" s="26" t="n">
        <f aca="false">IF(L328=0,0,IF($I328="L/km",MROUND(L328*$M328*IF($H328="Petrol",'Fuel &amp; Inputs'!$C$5,'Fuel &amp; Inputs'!$C$4),1),MROUND(L328*$M328*IF($H328="Petrol",'Fuel &amp; Inputs'!$C$5,'Fuel &amp; Inputs'!$C$4),10)))</f>
        <v>168</v>
      </c>
      <c r="Q328" s="23" t="s">
        <v>597</v>
      </c>
      <c r="R328" s="27" t="n">
        <v>1550</v>
      </c>
      <c r="S328" s="26" t="n">
        <f aca="false">MROUND(R328+'Fuel &amp; Inputs'!$C$13,50)</f>
        <v>2350</v>
      </c>
      <c r="T328" s="27" t="n">
        <v>3250</v>
      </c>
      <c r="U328" s="26" t="n">
        <f aca="false">MROUND(R328*'Fuel &amp; Inputs'!$C$19*'Fuel &amp; Inputs'!$C$21,100)</f>
        <v>5900</v>
      </c>
      <c r="V328" s="26" t="n">
        <f aca="false">MROUND(S328*'Fuel &amp; Inputs'!$C$19*'Fuel &amp; Inputs'!$C$21,100)</f>
        <v>8900</v>
      </c>
      <c r="W328" s="26" t="n">
        <f aca="false">MROUND(T328*'Fuel &amp; Inputs'!$C$19*'Fuel &amp; Inputs'!$C$21,100)</f>
        <v>12400</v>
      </c>
      <c r="X328" s="26" t="n">
        <f aca="false">MROUND(R328*'Fuel &amp; Inputs'!$C$20*'Fuel &amp; Inputs'!$C$22,500)</f>
        <v>158000</v>
      </c>
      <c r="Y328" s="26" t="n">
        <f aca="false">MROUND(S328*'Fuel &amp; Inputs'!$C$20*'Fuel &amp; Inputs'!$C$22,500)</f>
        <v>239500</v>
      </c>
      <c r="Z328" s="26" t="n">
        <f aca="false">MROUND(T328*'Fuel &amp; Inputs'!$C$20*'Fuel &amp; Inputs'!$C$22,500)</f>
        <v>331500</v>
      </c>
    </row>
    <row r="329" customFormat="false" ht="23.85" hidden="false" customHeight="false" outlineLevel="0" collapsed="false">
      <c r="A329" s="17" t="n">
        <v>305</v>
      </c>
      <c r="B329" s="32" t="s">
        <v>106</v>
      </c>
      <c r="C329" s="32" t="s">
        <v>249</v>
      </c>
      <c r="D329" s="32" t="s">
        <v>775</v>
      </c>
      <c r="E329" s="17" t="s">
        <v>304</v>
      </c>
      <c r="F329" s="17" t="s">
        <v>830</v>
      </c>
      <c r="G329" s="17" t="s">
        <v>831</v>
      </c>
      <c r="H329" s="17" t="s">
        <v>153</v>
      </c>
      <c r="I329" s="17" t="s">
        <v>596</v>
      </c>
      <c r="J329" s="37" t="n">
        <v>0.263</v>
      </c>
      <c r="K329" s="37" t="n">
        <v>0.333</v>
      </c>
      <c r="L329" s="37" t="n">
        <v>0.417</v>
      </c>
      <c r="M329" s="33" t="n">
        <v>1.056</v>
      </c>
      <c r="N329" s="20" t="n">
        <f aca="false">IF(J329=0,0,IF($I329="L/km",MROUND(J329*$M329*IF($H329="Petrol",'Fuel &amp; Inputs'!$C$5,'Fuel &amp; Inputs'!$C$4),1),MROUND(J329*$M329*IF($H329="Petrol",'Fuel &amp; Inputs'!$C$5,'Fuel &amp; Inputs'!$C$4),10)))</f>
        <v>106</v>
      </c>
      <c r="O329" s="20" t="n">
        <f aca="false">IF(K329=0,0,IF($I329="L/km",MROUND(K329*$M329*IF($H329="Petrol",'Fuel &amp; Inputs'!$C$5,'Fuel &amp; Inputs'!$C$4),1),MROUND(K329*$M329*IF($H329="Petrol",'Fuel &amp; Inputs'!$C$5,'Fuel &amp; Inputs'!$C$4),10)))</f>
        <v>134</v>
      </c>
      <c r="P329" s="20" t="n">
        <f aca="false">IF(L329=0,0,IF($I329="L/km",MROUND(L329*$M329*IF($H329="Petrol",'Fuel &amp; Inputs'!$C$5,'Fuel &amp; Inputs'!$C$4),1),MROUND(L329*$M329*IF($H329="Petrol",'Fuel &amp; Inputs'!$C$5,'Fuel &amp; Inputs'!$C$4),10)))</f>
        <v>168</v>
      </c>
      <c r="Q329" s="17" t="s">
        <v>597</v>
      </c>
      <c r="R329" s="21" t="n">
        <v>1550</v>
      </c>
      <c r="S329" s="20" t="n">
        <f aca="false">MROUND(R329+'Fuel &amp; Inputs'!$C$13,50)</f>
        <v>2350</v>
      </c>
      <c r="T329" s="21" t="n">
        <v>3250</v>
      </c>
      <c r="U329" s="20" t="n">
        <f aca="false">MROUND(R329*'Fuel &amp; Inputs'!$C$19*'Fuel &amp; Inputs'!$C$21,100)</f>
        <v>5900</v>
      </c>
      <c r="V329" s="20" t="n">
        <f aca="false">MROUND(S329*'Fuel &amp; Inputs'!$C$19*'Fuel &amp; Inputs'!$C$21,100)</f>
        <v>8900</v>
      </c>
      <c r="W329" s="20" t="n">
        <f aca="false">MROUND(T329*'Fuel &amp; Inputs'!$C$19*'Fuel &amp; Inputs'!$C$21,100)</f>
        <v>12400</v>
      </c>
      <c r="X329" s="20" t="n">
        <f aca="false">MROUND(R329*'Fuel &amp; Inputs'!$C$20*'Fuel &amp; Inputs'!$C$22,500)</f>
        <v>158000</v>
      </c>
      <c r="Y329" s="20" t="n">
        <f aca="false">MROUND(S329*'Fuel &amp; Inputs'!$C$20*'Fuel &amp; Inputs'!$C$22,500)</f>
        <v>239500</v>
      </c>
      <c r="Z329" s="20" t="n">
        <f aca="false">MROUND(T329*'Fuel &amp; Inputs'!$C$20*'Fuel &amp; Inputs'!$C$22,500)</f>
        <v>331500</v>
      </c>
    </row>
    <row r="330" customFormat="false" ht="23.85" hidden="false" customHeight="false" outlineLevel="0" collapsed="false">
      <c r="A330" s="23" t="n">
        <v>306</v>
      </c>
      <c r="B330" s="34" t="s">
        <v>106</v>
      </c>
      <c r="C330" s="34" t="s">
        <v>249</v>
      </c>
      <c r="D330" s="34" t="s">
        <v>250</v>
      </c>
      <c r="E330" s="23" t="s">
        <v>304</v>
      </c>
      <c r="F330" s="23" t="s">
        <v>832</v>
      </c>
      <c r="G330" s="23" t="s">
        <v>833</v>
      </c>
      <c r="H330" s="23" t="s">
        <v>153</v>
      </c>
      <c r="I330" s="23" t="s">
        <v>596</v>
      </c>
      <c r="J330" s="36" t="n">
        <v>0.263</v>
      </c>
      <c r="K330" s="36" t="n">
        <v>0.333</v>
      </c>
      <c r="L330" s="36" t="n">
        <v>0.417</v>
      </c>
      <c r="M330" s="35" t="n">
        <v>1.056</v>
      </c>
      <c r="N330" s="26" t="n">
        <f aca="false">IF(J330=0,0,IF($I330="L/km",MROUND(J330*$M330*IF($H330="Petrol",'Fuel &amp; Inputs'!$C$5,'Fuel &amp; Inputs'!$C$4),1),MROUND(J330*$M330*IF($H330="Petrol",'Fuel &amp; Inputs'!$C$5,'Fuel &amp; Inputs'!$C$4),10)))</f>
        <v>106</v>
      </c>
      <c r="O330" s="26" t="n">
        <f aca="false">IF(K330=0,0,IF($I330="L/km",MROUND(K330*$M330*IF($H330="Petrol",'Fuel &amp; Inputs'!$C$5,'Fuel &amp; Inputs'!$C$4),1),MROUND(K330*$M330*IF($H330="Petrol",'Fuel &amp; Inputs'!$C$5,'Fuel &amp; Inputs'!$C$4),10)))</f>
        <v>134</v>
      </c>
      <c r="P330" s="26" t="n">
        <f aca="false">IF(L330=0,0,IF($I330="L/km",MROUND(L330*$M330*IF($H330="Petrol",'Fuel &amp; Inputs'!$C$5,'Fuel &amp; Inputs'!$C$4),1),MROUND(L330*$M330*IF($H330="Petrol",'Fuel &amp; Inputs'!$C$5,'Fuel &amp; Inputs'!$C$4),10)))</f>
        <v>168</v>
      </c>
      <c r="Q330" s="23" t="s">
        <v>597</v>
      </c>
      <c r="R330" s="27" t="n">
        <v>1430</v>
      </c>
      <c r="S330" s="26" t="n">
        <f aca="false">MROUND(R330+'Fuel &amp; Inputs'!$C$13,50)</f>
        <v>2250</v>
      </c>
      <c r="T330" s="27" t="n">
        <v>2990</v>
      </c>
      <c r="U330" s="26" t="n">
        <f aca="false">MROUND(R330*'Fuel &amp; Inputs'!$C$19*'Fuel &amp; Inputs'!$C$21,100)</f>
        <v>5400</v>
      </c>
      <c r="V330" s="26" t="n">
        <f aca="false">MROUND(S330*'Fuel &amp; Inputs'!$C$19*'Fuel &amp; Inputs'!$C$21,100)</f>
        <v>8600</v>
      </c>
      <c r="W330" s="26" t="n">
        <f aca="false">MROUND(T330*'Fuel &amp; Inputs'!$C$19*'Fuel &amp; Inputs'!$C$21,100)</f>
        <v>11400</v>
      </c>
      <c r="X330" s="26" t="n">
        <f aca="false">MROUND(R330*'Fuel &amp; Inputs'!$C$20*'Fuel &amp; Inputs'!$C$22,500)</f>
        <v>146000</v>
      </c>
      <c r="Y330" s="26" t="n">
        <f aca="false">MROUND(S330*'Fuel &amp; Inputs'!$C$20*'Fuel &amp; Inputs'!$C$22,500)</f>
        <v>229500</v>
      </c>
      <c r="Z330" s="26" t="n">
        <f aca="false">MROUND(T330*'Fuel &amp; Inputs'!$C$20*'Fuel &amp; Inputs'!$C$22,500)</f>
        <v>305000</v>
      </c>
    </row>
    <row r="331" customFormat="false" ht="23.85" hidden="false" customHeight="false" outlineLevel="0" collapsed="false">
      <c r="A331" s="17" t="n">
        <v>307</v>
      </c>
      <c r="B331" s="32" t="s">
        <v>106</v>
      </c>
      <c r="C331" s="32" t="s">
        <v>249</v>
      </c>
      <c r="D331" s="32" t="s">
        <v>250</v>
      </c>
      <c r="E331" s="17" t="s">
        <v>304</v>
      </c>
      <c r="F331" s="17" t="s">
        <v>834</v>
      </c>
      <c r="G331" s="17" t="s">
        <v>835</v>
      </c>
      <c r="H331" s="17" t="s">
        <v>153</v>
      </c>
      <c r="I331" s="17" t="s">
        <v>596</v>
      </c>
      <c r="J331" s="37" t="n">
        <v>0.263</v>
      </c>
      <c r="K331" s="37" t="n">
        <v>0.333</v>
      </c>
      <c r="L331" s="37" t="n">
        <v>0.417</v>
      </c>
      <c r="M331" s="33" t="n">
        <v>1.056</v>
      </c>
      <c r="N331" s="20" t="n">
        <f aca="false">IF(J331=0,0,IF($I331="L/km",MROUND(J331*$M331*IF($H331="Petrol",'Fuel &amp; Inputs'!$C$5,'Fuel &amp; Inputs'!$C$4),1),MROUND(J331*$M331*IF($H331="Petrol",'Fuel &amp; Inputs'!$C$5,'Fuel &amp; Inputs'!$C$4),10)))</f>
        <v>106</v>
      </c>
      <c r="O331" s="20" t="n">
        <f aca="false">IF(K331=0,0,IF($I331="L/km",MROUND(K331*$M331*IF($H331="Petrol",'Fuel &amp; Inputs'!$C$5,'Fuel &amp; Inputs'!$C$4),1),MROUND(K331*$M331*IF($H331="Petrol",'Fuel &amp; Inputs'!$C$5,'Fuel &amp; Inputs'!$C$4),10)))</f>
        <v>134</v>
      </c>
      <c r="P331" s="20" t="n">
        <f aca="false">IF(L331=0,0,IF($I331="L/km",MROUND(L331*$M331*IF($H331="Petrol",'Fuel &amp; Inputs'!$C$5,'Fuel &amp; Inputs'!$C$4),1),MROUND(L331*$M331*IF($H331="Petrol",'Fuel &amp; Inputs'!$C$5,'Fuel &amp; Inputs'!$C$4),10)))</f>
        <v>168</v>
      </c>
      <c r="Q331" s="17" t="s">
        <v>597</v>
      </c>
      <c r="R331" s="21" t="n">
        <v>1430</v>
      </c>
      <c r="S331" s="20" t="n">
        <f aca="false">MROUND(R331+'Fuel &amp; Inputs'!$C$13,50)</f>
        <v>2250</v>
      </c>
      <c r="T331" s="21" t="n">
        <v>2990</v>
      </c>
      <c r="U331" s="20" t="n">
        <f aca="false">MROUND(R331*'Fuel &amp; Inputs'!$C$19*'Fuel &amp; Inputs'!$C$21,100)</f>
        <v>5400</v>
      </c>
      <c r="V331" s="20" t="n">
        <f aca="false">MROUND(S331*'Fuel &amp; Inputs'!$C$19*'Fuel &amp; Inputs'!$C$21,100)</f>
        <v>8600</v>
      </c>
      <c r="W331" s="20" t="n">
        <f aca="false">MROUND(T331*'Fuel &amp; Inputs'!$C$19*'Fuel &amp; Inputs'!$C$21,100)</f>
        <v>11400</v>
      </c>
      <c r="X331" s="20" t="n">
        <f aca="false">MROUND(R331*'Fuel &amp; Inputs'!$C$20*'Fuel &amp; Inputs'!$C$22,500)</f>
        <v>146000</v>
      </c>
      <c r="Y331" s="20" t="n">
        <f aca="false">MROUND(S331*'Fuel &amp; Inputs'!$C$20*'Fuel &amp; Inputs'!$C$22,500)</f>
        <v>229500</v>
      </c>
      <c r="Z331" s="20" t="n">
        <f aca="false">MROUND(T331*'Fuel &amp; Inputs'!$C$20*'Fuel &amp; Inputs'!$C$22,500)</f>
        <v>305000</v>
      </c>
    </row>
    <row r="332" customFormat="false" ht="23.85" hidden="false" customHeight="false" outlineLevel="0" collapsed="false">
      <c r="A332" s="23" t="n">
        <v>308</v>
      </c>
      <c r="B332" s="34" t="s">
        <v>106</v>
      </c>
      <c r="C332" s="34" t="s">
        <v>249</v>
      </c>
      <c r="D332" s="34" t="s">
        <v>250</v>
      </c>
      <c r="E332" s="23" t="s">
        <v>304</v>
      </c>
      <c r="F332" s="23" t="s">
        <v>836</v>
      </c>
      <c r="G332" s="23" t="s">
        <v>837</v>
      </c>
      <c r="H332" s="23" t="s">
        <v>153</v>
      </c>
      <c r="I332" s="23" t="s">
        <v>596</v>
      </c>
      <c r="J332" s="36" t="n">
        <v>0.263</v>
      </c>
      <c r="K332" s="36" t="n">
        <v>0.333</v>
      </c>
      <c r="L332" s="36" t="n">
        <v>0.417</v>
      </c>
      <c r="M332" s="35" t="n">
        <v>1.056</v>
      </c>
      <c r="N332" s="26" t="n">
        <f aca="false">IF(J332=0,0,IF($I332="L/km",MROUND(J332*$M332*IF($H332="Petrol",'Fuel &amp; Inputs'!$C$5,'Fuel &amp; Inputs'!$C$4),1),MROUND(J332*$M332*IF($H332="Petrol",'Fuel &amp; Inputs'!$C$5,'Fuel &amp; Inputs'!$C$4),10)))</f>
        <v>106</v>
      </c>
      <c r="O332" s="26" t="n">
        <f aca="false">IF(K332=0,0,IF($I332="L/km",MROUND(K332*$M332*IF($H332="Petrol",'Fuel &amp; Inputs'!$C$5,'Fuel &amp; Inputs'!$C$4),1),MROUND(K332*$M332*IF($H332="Petrol",'Fuel &amp; Inputs'!$C$5,'Fuel &amp; Inputs'!$C$4),10)))</f>
        <v>134</v>
      </c>
      <c r="P332" s="26" t="n">
        <f aca="false">IF(L332=0,0,IF($I332="L/km",MROUND(L332*$M332*IF($H332="Petrol",'Fuel &amp; Inputs'!$C$5,'Fuel &amp; Inputs'!$C$4),1),MROUND(L332*$M332*IF($H332="Petrol",'Fuel &amp; Inputs'!$C$5,'Fuel &amp; Inputs'!$C$4),10)))</f>
        <v>168</v>
      </c>
      <c r="Q332" s="23" t="s">
        <v>597</v>
      </c>
      <c r="R332" s="27" t="n">
        <v>1430</v>
      </c>
      <c r="S332" s="26" t="n">
        <f aca="false">MROUND(R332+'Fuel &amp; Inputs'!$C$13,50)</f>
        <v>2250</v>
      </c>
      <c r="T332" s="27" t="n">
        <v>2990</v>
      </c>
      <c r="U332" s="26" t="n">
        <f aca="false">MROUND(R332*'Fuel &amp; Inputs'!$C$19*'Fuel &amp; Inputs'!$C$21,100)</f>
        <v>5400</v>
      </c>
      <c r="V332" s="26" t="n">
        <f aca="false">MROUND(S332*'Fuel &amp; Inputs'!$C$19*'Fuel &amp; Inputs'!$C$21,100)</f>
        <v>8600</v>
      </c>
      <c r="W332" s="26" t="n">
        <f aca="false">MROUND(T332*'Fuel &amp; Inputs'!$C$19*'Fuel &amp; Inputs'!$C$21,100)</f>
        <v>11400</v>
      </c>
      <c r="X332" s="26" t="n">
        <f aca="false">MROUND(R332*'Fuel &amp; Inputs'!$C$20*'Fuel &amp; Inputs'!$C$22,500)</f>
        <v>146000</v>
      </c>
      <c r="Y332" s="26" t="n">
        <f aca="false">MROUND(S332*'Fuel &amp; Inputs'!$C$20*'Fuel &amp; Inputs'!$C$22,500)</f>
        <v>229500</v>
      </c>
      <c r="Z332" s="26" t="n">
        <f aca="false">MROUND(T332*'Fuel &amp; Inputs'!$C$20*'Fuel &amp; Inputs'!$C$22,500)</f>
        <v>305000</v>
      </c>
    </row>
    <row r="333" customFormat="false" ht="23.85" hidden="false" customHeight="false" outlineLevel="0" collapsed="false">
      <c r="A333" s="17" t="n">
        <v>309</v>
      </c>
      <c r="B333" s="32" t="s">
        <v>106</v>
      </c>
      <c r="C333" s="32" t="s">
        <v>249</v>
      </c>
      <c r="D333" s="32" t="s">
        <v>250</v>
      </c>
      <c r="E333" s="17" t="s">
        <v>150</v>
      </c>
      <c r="F333" s="17" t="s">
        <v>838</v>
      </c>
      <c r="G333" s="17" t="s">
        <v>839</v>
      </c>
      <c r="H333" s="17" t="s">
        <v>153</v>
      </c>
      <c r="I333" s="17" t="s">
        <v>596</v>
      </c>
      <c r="J333" s="37" t="n">
        <v>0.263</v>
      </c>
      <c r="K333" s="37" t="n">
        <v>0.333</v>
      </c>
      <c r="L333" s="37" t="n">
        <v>0.417</v>
      </c>
      <c r="M333" s="33" t="n">
        <v>1.035</v>
      </c>
      <c r="N333" s="20" t="n">
        <f aca="false">IF(J333=0,0,IF($I333="L/km",MROUND(J333*$M333*IF($H333="Petrol",'Fuel &amp; Inputs'!$C$5,'Fuel &amp; Inputs'!$C$4),1),MROUND(J333*$M333*IF($H333="Petrol",'Fuel &amp; Inputs'!$C$5,'Fuel &amp; Inputs'!$C$4),10)))</f>
        <v>104</v>
      </c>
      <c r="O333" s="20" t="n">
        <f aca="false">IF(K333=0,0,IF($I333="L/km",MROUND(K333*$M333*IF($H333="Petrol",'Fuel &amp; Inputs'!$C$5,'Fuel &amp; Inputs'!$C$4),1),MROUND(K333*$M333*IF($H333="Petrol",'Fuel &amp; Inputs'!$C$5,'Fuel &amp; Inputs'!$C$4),10)))</f>
        <v>132</v>
      </c>
      <c r="P333" s="20" t="n">
        <f aca="false">IF(L333=0,0,IF($I333="L/km",MROUND(L333*$M333*IF($H333="Petrol",'Fuel &amp; Inputs'!$C$5,'Fuel &amp; Inputs'!$C$4),1),MROUND(L333*$M333*IF($H333="Petrol",'Fuel &amp; Inputs'!$C$5,'Fuel &amp; Inputs'!$C$4),10)))</f>
        <v>165</v>
      </c>
      <c r="Q333" s="17" t="s">
        <v>597</v>
      </c>
      <c r="R333" s="21" t="n">
        <v>1430</v>
      </c>
      <c r="S333" s="20" t="n">
        <f aca="false">MROUND(R333+'Fuel &amp; Inputs'!$C$13,50)</f>
        <v>2250</v>
      </c>
      <c r="T333" s="21" t="n">
        <v>2990</v>
      </c>
      <c r="U333" s="20" t="n">
        <f aca="false">MROUND(R333*'Fuel &amp; Inputs'!$C$19*'Fuel &amp; Inputs'!$C$21,100)</f>
        <v>5400</v>
      </c>
      <c r="V333" s="20" t="n">
        <f aca="false">MROUND(S333*'Fuel &amp; Inputs'!$C$19*'Fuel &amp; Inputs'!$C$21,100)</f>
        <v>8600</v>
      </c>
      <c r="W333" s="20" t="n">
        <f aca="false">MROUND(T333*'Fuel &amp; Inputs'!$C$19*'Fuel &amp; Inputs'!$C$21,100)</f>
        <v>11400</v>
      </c>
      <c r="X333" s="20" t="n">
        <f aca="false">MROUND(R333*'Fuel &amp; Inputs'!$C$20*'Fuel &amp; Inputs'!$C$22,500)</f>
        <v>146000</v>
      </c>
      <c r="Y333" s="20" t="n">
        <f aca="false">MROUND(S333*'Fuel &amp; Inputs'!$C$20*'Fuel &amp; Inputs'!$C$22,500)</f>
        <v>229500</v>
      </c>
      <c r="Z333" s="20" t="n">
        <f aca="false">MROUND(T333*'Fuel &amp; Inputs'!$C$20*'Fuel &amp; Inputs'!$C$22,500)</f>
        <v>305000</v>
      </c>
    </row>
    <row r="334" customFormat="false" ht="23.85" hidden="false" customHeight="false" outlineLevel="0" collapsed="false">
      <c r="A334" s="23" t="n">
        <v>310</v>
      </c>
      <c r="B334" s="34" t="s">
        <v>106</v>
      </c>
      <c r="C334" s="34" t="s">
        <v>249</v>
      </c>
      <c r="D334" s="34" t="s">
        <v>775</v>
      </c>
      <c r="E334" s="23" t="s">
        <v>304</v>
      </c>
      <c r="F334" s="23" t="s">
        <v>840</v>
      </c>
      <c r="G334" s="23" t="s">
        <v>841</v>
      </c>
      <c r="H334" s="23" t="s">
        <v>153</v>
      </c>
      <c r="I334" s="23" t="s">
        <v>596</v>
      </c>
      <c r="J334" s="36" t="n">
        <v>0.263</v>
      </c>
      <c r="K334" s="36" t="n">
        <v>0.333</v>
      </c>
      <c r="L334" s="36" t="n">
        <v>0.417</v>
      </c>
      <c r="M334" s="35" t="n">
        <v>1.056</v>
      </c>
      <c r="N334" s="26" t="n">
        <f aca="false">IF(J334=0,0,IF($I334="L/km",MROUND(J334*$M334*IF($H334="Petrol",'Fuel &amp; Inputs'!$C$5,'Fuel &amp; Inputs'!$C$4),1),MROUND(J334*$M334*IF($H334="Petrol",'Fuel &amp; Inputs'!$C$5,'Fuel &amp; Inputs'!$C$4),10)))</f>
        <v>106</v>
      </c>
      <c r="O334" s="26" t="n">
        <f aca="false">IF(K334=0,0,IF($I334="L/km",MROUND(K334*$M334*IF($H334="Petrol",'Fuel &amp; Inputs'!$C$5,'Fuel &amp; Inputs'!$C$4),1),MROUND(K334*$M334*IF($H334="Petrol",'Fuel &amp; Inputs'!$C$5,'Fuel &amp; Inputs'!$C$4),10)))</f>
        <v>134</v>
      </c>
      <c r="P334" s="26" t="n">
        <f aca="false">IF(L334=0,0,IF($I334="L/km",MROUND(L334*$M334*IF($H334="Petrol",'Fuel &amp; Inputs'!$C$5,'Fuel &amp; Inputs'!$C$4),1),MROUND(L334*$M334*IF($H334="Petrol",'Fuel &amp; Inputs'!$C$5,'Fuel &amp; Inputs'!$C$4),10)))</f>
        <v>168</v>
      </c>
      <c r="Q334" s="23" t="s">
        <v>597</v>
      </c>
      <c r="R334" s="27" t="n">
        <v>1430</v>
      </c>
      <c r="S334" s="26" t="n">
        <f aca="false">MROUND(R334+'Fuel &amp; Inputs'!$C$13,50)</f>
        <v>2250</v>
      </c>
      <c r="T334" s="27" t="n">
        <v>2990</v>
      </c>
      <c r="U334" s="26" t="n">
        <f aca="false">MROUND(R334*'Fuel &amp; Inputs'!$C$19*'Fuel &amp; Inputs'!$C$21,100)</f>
        <v>5400</v>
      </c>
      <c r="V334" s="26" t="n">
        <f aca="false">MROUND(S334*'Fuel &amp; Inputs'!$C$19*'Fuel &amp; Inputs'!$C$21,100)</f>
        <v>8600</v>
      </c>
      <c r="W334" s="26" t="n">
        <f aca="false">MROUND(T334*'Fuel &amp; Inputs'!$C$19*'Fuel &amp; Inputs'!$C$21,100)</f>
        <v>11400</v>
      </c>
      <c r="X334" s="26" t="n">
        <f aca="false">MROUND(R334*'Fuel &amp; Inputs'!$C$20*'Fuel &amp; Inputs'!$C$22,500)</f>
        <v>146000</v>
      </c>
      <c r="Y334" s="26" t="n">
        <f aca="false">MROUND(S334*'Fuel &amp; Inputs'!$C$20*'Fuel &amp; Inputs'!$C$22,500)</f>
        <v>229500</v>
      </c>
      <c r="Z334" s="26" t="n">
        <f aca="false">MROUND(T334*'Fuel &amp; Inputs'!$C$20*'Fuel &amp; Inputs'!$C$22,500)</f>
        <v>305000</v>
      </c>
    </row>
    <row r="335" customFormat="false" ht="23.85" hidden="false" customHeight="false" outlineLevel="0" collapsed="false">
      <c r="A335" s="17" t="n">
        <v>311</v>
      </c>
      <c r="B335" s="32" t="s">
        <v>106</v>
      </c>
      <c r="C335" s="32" t="s">
        <v>249</v>
      </c>
      <c r="D335" s="32" t="s">
        <v>842</v>
      </c>
      <c r="E335" s="17" t="s">
        <v>304</v>
      </c>
      <c r="F335" s="17" t="s">
        <v>843</v>
      </c>
      <c r="G335" s="17" t="s">
        <v>844</v>
      </c>
      <c r="H335" s="17" t="s">
        <v>153</v>
      </c>
      <c r="I335" s="17" t="s">
        <v>596</v>
      </c>
      <c r="J335" s="37" t="n">
        <v>0.263</v>
      </c>
      <c r="K335" s="37" t="n">
        <v>0.333</v>
      </c>
      <c r="L335" s="37" t="n">
        <v>0.417</v>
      </c>
      <c r="M335" s="33" t="n">
        <v>1.056</v>
      </c>
      <c r="N335" s="20" t="n">
        <f aca="false">IF(J335=0,0,IF($I335="L/km",MROUND(J335*$M335*IF($H335="Petrol",'Fuel &amp; Inputs'!$C$5,'Fuel &amp; Inputs'!$C$4),1),MROUND(J335*$M335*IF($H335="Petrol",'Fuel &amp; Inputs'!$C$5,'Fuel &amp; Inputs'!$C$4),10)))</f>
        <v>106</v>
      </c>
      <c r="O335" s="20" t="n">
        <f aca="false">IF(K335=0,0,IF($I335="L/km",MROUND(K335*$M335*IF($H335="Petrol",'Fuel &amp; Inputs'!$C$5,'Fuel &amp; Inputs'!$C$4),1),MROUND(K335*$M335*IF($H335="Petrol",'Fuel &amp; Inputs'!$C$5,'Fuel &amp; Inputs'!$C$4),10)))</f>
        <v>134</v>
      </c>
      <c r="P335" s="20" t="n">
        <f aca="false">IF(L335=0,0,IF($I335="L/km",MROUND(L335*$M335*IF($H335="Petrol",'Fuel &amp; Inputs'!$C$5,'Fuel &amp; Inputs'!$C$4),1),MROUND(L335*$M335*IF($H335="Petrol",'Fuel &amp; Inputs'!$C$5,'Fuel &amp; Inputs'!$C$4),10)))</f>
        <v>168</v>
      </c>
      <c r="Q335" s="17" t="s">
        <v>597</v>
      </c>
      <c r="R335" s="21" t="n">
        <v>1430</v>
      </c>
      <c r="S335" s="20" t="n">
        <f aca="false">MROUND(R335+'Fuel &amp; Inputs'!$C$13,50)</f>
        <v>2250</v>
      </c>
      <c r="T335" s="21" t="n">
        <v>2990</v>
      </c>
      <c r="U335" s="20" t="n">
        <f aca="false">MROUND(R335*'Fuel &amp; Inputs'!$C$19*'Fuel &amp; Inputs'!$C$21,100)</f>
        <v>5400</v>
      </c>
      <c r="V335" s="20" t="n">
        <f aca="false">MROUND(S335*'Fuel &amp; Inputs'!$C$19*'Fuel &amp; Inputs'!$C$21,100)</f>
        <v>8600</v>
      </c>
      <c r="W335" s="20" t="n">
        <f aca="false">MROUND(T335*'Fuel &amp; Inputs'!$C$19*'Fuel &amp; Inputs'!$C$21,100)</f>
        <v>11400</v>
      </c>
      <c r="X335" s="20" t="n">
        <f aca="false">MROUND(R335*'Fuel &amp; Inputs'!$C$20*'Fuel &amp; Inputs'!$C$22,500)</f>
        <v>146000</v>
      </c>
      <c r="Y335" s="20" t="n">
        <f aca="false">MROUND(S335*'Fuel &amp; Inputs'!$C$20*'Fuel &amp; Inputs'!$C$22,500)</f>
        <v>229500</v>
      </c>
      <c r="Z335" s="20" t="n">
        <f aca="false">MROUND(T335*'Fuel &amp; Inputs'!$C$20*'Fuel &amp; Inputs'!$C$22,500)</f>
        <v>305000</v>
      </c>
    </row>
    <row r="336" customFormat="false" ht="23.85" hidden="false" customHeight="false" outlineLevel="0" collapsed="false">
      <c r="A336" s="23" t="n">
        <v>312</v>
      </c>
      <c r="B336" s="34" t="s">
        <v>106</v>
      </c>
      <c r="C336" s="34" t="s">
        <v>249</v>
      </c>
      <c r="D336" s="34" t="s">
        <v>842</v>
      </c>
      <c r="E336" s="23" t="s">
        <v>150</v>
      </c>
      <c r="F336" s="23" t="s">
        <v>845</v>
      </c>
      <c r="G336" s="23" t="s">
        <v>846</v>
      </c>
      <c r="H336" s="23" t="s">
        <v>153</v>
      </c>
      <c r="I336" s="23" t="s">
        <v>596</v>
      </c>
      <c r="J336" s="36" t="n">
        <v>0.263</v>
      </c>
      <c r="K336" s="36" t="n">
        <v>0.333</v>
      </c>
      <c r="L336" s="36" t="n">
        <v>0.417</v>
      </c>
      <c r="M336" s="35" t="n">
        <v>1.035</v>
      </c>
      <c r="N336" s="26" t="n">
        <f aca="false">IF(J336=0,0,IF($I336="L/km",MROUND(J336*$M336*IF($H336="Petrol",'Fuel &amp; Inputs'!$C$5,'Fuel &amp; Inputs'!$C$4),1),MROUND(J336*$M336*IF($H336="Petrol",'Fuel &amp; Inputs'!$C$5,'Fuel &amp; Inputs'!$C$4),10)))</f>
        <v>104</v>
      </c>
      <c r="O336" s="26" t="n">
        <f aca="false">IF(K336=0,0,IF($I336="L/km",MROUND(K336*$M336*IF($H336="Petrol",'Fuel &amp; Inputs'!$C$5,'Fuel &amp; Inputs'!$C$4),1),MROUND(K336*$M336*IF($H336="Petrol",'Fuel &amp; Inputs'!$C$5,'Fuel &amp; Inputs'!$C$4),10)))</f>
        <v>132</v>
      </c>
      <c r="P336" s="26" t="n">
        <f aca="false">IF(L336=0,0,IF($I336="L/km",MROUND(L336*$M336*IF($H336="Petrol",'Fuel &amp; Inputs'!$C$5,'Fuel &amp; Inputs'!$C$4),1),MROUND(L336*$M336*IF($H336="Petrol",'Fuel &amp; Inputs'!$C$5,'Fuel &amp; Inputs'!$C$4),10)))</f>
        <v>165</v>
      </c>
      <c r="Q336" s="23" t="s">
        <v>597</v>
      </c>
      <c r="R336" s="27" t="n">
        <v>1430</v>
      </c>
      <c r="S336" s="26" t="n">
        <f aca="false">MROUND(R336+'Fuel &amp; Inputs'!$C$13,50)</f>
        <v>2250</v>
      </c>
      <c r="T336" s="27" t="n">
        <v>2990</v>
      </c>
      <c r="U336" s="26" t="n">
        <f aca="false">MROUND(R336*'Fuel &amp; Inputs'!$C$19*'Fuel &amp; Inputs'!$C$21,100)</f>
        <v>5400</v>
      </c>
      <c r="V336" s="26" t="n">
        <f aca="false">MROUND(S336*'Fuel &amp; Inputs'!$C$19*'Fuel &amp; Inputs'!$C$21,100)</f>
        <v>8600</v>
      </c>
      <c r="W336" s="26" t="n">
        <f aca="false">MROUND(T336*'Fuel &amp; Inputs'!$C$19*'Fuel &amp; Inputs'!$C$21,100)</f>
        <v>11400</v>
      </c>
      <c r="X336" s="26" t="n">
        <f aca="false">MROUND(R336*'Fuel &amp; Inputs'!$C$20*'Fuel &amp; Inputs'!$C$22,500)</f>
        <v>146000</v>
      </c>
      <c r="Y336" s="26" t="n">
        <f aca="false">MROUND(S336*'Fuel &amp; Inputs'!$C$20*'Fuel &amp; Inputs'!$C$22,500)</f>
        <v>229500</v>
      </c>
      <c r="Z336" s="26" t="n">
        <f aca="false">MROUND(T336*'Fuel &amp; Inputs'!$C$20*'Fuel &amp; Inputs'!$C$22,500)</f>
        <v>305000</v>
      </c>
    </row>
    <row r="337" customFormat="false" ht="23.85" hidden="false" customHeight="false" outlineLevel="0" collapsed="false">
      <c r="A337" s="17" t="n">
        <v>313</v>
      </c>
      <c r="B337" s="32" t="s">
        <v>106</v>
      </c>
      <c r="C337" s="32" t="s">
        <v>249</v>
      </c>
      <c r="D337" s="32" t="s">
        <v>842</v>
      </c>
      <c r="E337" s="17" t="s">
        <v>150</v>
      </c>
      <c r="F337" s="17" t="s">
        <v>847</v>
      </c>
      <c r="G337" s="17" t="s">
        <v>848</v>
      </c>
      <c r="H337" s="17" t="s">
        <v>153</v>
      </c>
      <c r="I337" s="17" t="s">
        <v>596</v>
      </c>
      <c r="J337" s="37" t="n">
        <v>0.263</v>
      </c>
      <c r="K337" s="37" t="n">
        <v>0.333</v>
      </c>
      <c r="L337" s="37" t="n">
        <v>0.417</v>
      </c>
      <c r="M337" s="33" t="n">
        <v>1.035</v>
      </c>
      <c r="N337" s="20" t="n">
        <f aca="false">IF(J337=0,0,IF($I337="L/km",MROUND(J337*$M337*IF($H337="Petrol",'Fuel &amp; Inputs'!$C$5,'Fuel &amp; Inputs'!$C$4),1),MROUND(J337*$M337*IF($H337="Petrol",'Fuel &amp; Inputs'!$C$5,'Fuel &amp; Inputs'!$C$4),10)))</f>
        <v>104</v>
      </c>
      <c r="O337" s="20" t="n">
        <f aca="false">IF(K337=0,0,IF($I337="L/km",MROUND(K337*$M337*IF($H337="Petrol",'Fuel &amp; Inputs'!$C$5,'Fuel &amp; Inputs'!$C$4),1),MROUND(K337*$M337*IF($H337="Petrol",'Fuel &amp; Inputs'!$C$5,'Fuel &amp; Inputs'!$C$4),10)))</f>
        <v>132</v>
      </c>
      <c r="P337" s="20" t="n">
        <f aca="false">IF(L337=0,0,IF($I337="L/km",MROUND(L337*$M337*IF($H337="Petrol",'Fuel &amp; Inputs'!$C$5,'Fuel &amp; Inputs'!$C$4),1),MROUND(L337*$M337*IF($H337="Petrol",'Fuel &amp; Inputs'!$C$5,'Fuel &amp; Inputs'!$C$4),10)))</f>
        <v>165</v>
      </c>
      <c r="Q337" s="17" t="s">
        <v>597</v>
      </c>
      <c r="R337" s="21" t="n">
        <v>1430</v>
      </c>
      <c r="S337" s="20" t="n">
        <f aca="false">MROUND(R337+'Fuel &amp; Inputs'!$C$13,50)</f>
        <v>2250</v>
      </c>
      <c r="T337" s="21" t="n">
        <v>2990</v>
      </c>
      <c r="U337" s="20" t="n">
        <f aca="false">MROUND(R337*'Fuel &amp; Inputs'!$C$19*'Fuel &amp; Inputs'!$C$21,100)</f>
        <v>5400</v>
      </c>
      <c r="V337" s="20" t="n">
        <f aca="false">MROUND(S337*'Fuel &amp; Inputs'!$C$19*'Fuel &amp; Inputs'!$C$21,100)</f>
        <v>8600</v>
      </c>
      <c r="W337" s="20" t="n">
        <f aca="false">MROUND(T337*'Fuel &amp; Inputs'!$C$19*'Fuel &amp; Inputs'!$C$21,100)</f>
        <v>11400</v>
      </c>
      <c r="X337" s="20" t="n">
        <f aca="false">MROUND(R337*'Fuel &amp; Inputs'!$C$20*'Fuel &amp; Inputs'!$C$22,500)</f>
        <v>146000</v>
      </c>
      <c r="Y337" s="20" t="n">
        <f aca="false">MROUND(S337*'Fuel &amp; Inputs'!$C$20*'Fuel &amp; Inputs'!$C$22,500)</f>
        <v>229500</v>
      </c>
      <c r="Z337" s="20" t="n">
        <f aca="false">MROUND(T337*'Fuel &amp; Inputs'!$C$20*'Fuel &amp; Inputs'!$C$22,500)</f>
        <v>305000</v>
      </c>
    </row>
    <row r="338" customFormat="false" ht="23.85" hidden="false" customHeight="false" outlineLevel="0" collapsed="false">
      <c r="A338" s="23" t="n">
        <v>314</v>
      </c>
      <c r="B338" s="34" t="s">
        <v>106</v>
      </c>
      <c r="C338" s="34" t="s">
        <v>249</v>
      </c>
      <c r="D338" s="34" t="s">
        <v>842</v>
      </c>
      <c r="E338" s="23" t="s">
        <v>150</v>
      </c>
      <c r="F338" s="23" t="s">
        <v>849</v>
      </c>
      <c r="G338" s="23" t="s">
        <v>850</v>
      </c>
      <c r="H338" s="23" t="s">
        <v>153</v>
      </c>
      <c r="I338" s="23" t="s">
        <v>596</v>
      </c>
      <c r="J338" s="36" t="n">
        <v>0.263</v>
      </c>
      <c r="K338" s="36" t="n">
        <v>0.333</v>
      </c>
      <c r="L338" s="36" t="n">
        <v>0.417</v>
      </c>
      <c r="M338" s="35" t="n">
        <v>1.035</v>
      </c>
      <c r="N338" s="26" t="n">
        <f aca="false">IF(J338=0,0,IF($I338="L/km",MROUND(J338*$M338*IF($H338="Petrol",'Fuel &amp; Inputs'!$C$5,'Fuel &amp; Inputs'!$C$4),1),MROUND(J338*$M338*IF($H338="Petrol",'Fuel &amp; Inputs'!$C$5,'Fuel &amp; Inputs'!$C$4),10)))</f>
        <v>104</v>
      </c>
      <c r="O338" s="26" t="n">
        <f aca="false">IF(K338=0,0,IF($I338="L/km",MROUND(K338*$M338*IF($H338="Petrol",'Fuel &amp; Inputs'!$C$5,'Fuel &amp; Inputs'!$C$4),1),MROUND(K338*$M338*IF($H338="Petrol",'Fuel &amp; Inputs'!$C$5,'Fuel &amp; Inputs'!$C$4),10)))</f>
        <v>132</v>
      </c>
      <c r="P338" s="26" t="n">
        <f aca="false">IF(L338=0,0,IF($I338="L/km",MROUND(L338*$M338*IF($H338="Petrol",'Fuel &amp; Inputs'!$C$5,'Fuel &amp; Inputs'!$C$4),1),MROUND(L338*$M338*IF($H338="Petrol",'Fuel &amp; Inputs'!$C$5,'Fuel &amp; Inputs'!$C$4),10)))</f>
        <v>165</v>
      </c>
      <c r="Q338" s="23" t="s">
        <v>597</v>
      </c>
      <c r="R338" s="27" t="n">
        <v>1430</v>
      </c>
      <c r="S338" s="26" t="n">
        <f aca="false">MROUND(R338+'Fuel &amp; Inputs'!$C$13,50)</f>
        <v>2250</v>
      </c>
      <c r="T338" s="27" t="n">
        <v>2990</v>
      </c>
      <c r="U338" s="26" t="n">
        <f aca="false">MROUND(R338*'Fuel &amp; Inputs'!$C$19*'Fuel &amp; Inputs'!$C$21,100)</f>
        <v>5400</v>
      </c>
      <c r="V338" s="26" t="n">
        <f aca="false">MROUND(S338*'Fuel &amp; Inputs'!$C$19*'Fuel &amp; Inputs'!$C$21,100)</f>
        <v>8600</v>
      </c>
      <c r="W338" s="26" t="n">
        <f aca="false">MROUND(T338*'Fuel &amp; Inputs'!$C$19*'Fuel &amp; Inputs'!$C$21,100)</f>
        <v>11400</v>
      </c>
      <c r="X338" s="26" t="n">
        <f aca="false">MROUND(R338*'Fuel &amp; Inputs'!$C$20*'Fuel &amp; Inputs'!$C$22,500)</f>
        <v>146000</v>
      </c>
      <c r="Y338" s="26" t="n">
        <f aca="false">MROUND(S338*'Fuel &amp; Inputs'!$C$20*'Fuel &amp; Inputs'!$C$22,500)</f>
        <v>229500</v>
      </c>
      <c r="Z338" s="26" t="n">
        <f aca="false">MROUND(T338*'Fuel &amp; Inputs'!$C$20*'Fuel &amp; Inputs'!$C$22,500)</f>
        <v>305000</v>
      </c>
    </row>
    <row r="339" customFormat="false" ht="23.85" hidden="false" customHeight="false" outlineLevel="0" collapsed="false">
      <c r="A339" s="17" t="n">
        <v>315</v>
      </c>
      <c r="B339" s="32" t="s">
        <v>106</v>
      </c>
      <c r="C339" s="32" t="s">
        <v>249</v>
      </c>
      <c r="D339" s="32" t="s">
        <v>842</v>
      </c>
      <c r="E339" s="17" t="s">
        <v>150</v>
      </c>
      <c r="F339" s="17" t="s">
        <v>851</v>
      </c>
      <c r="G339" s="17" t="s">
        <v>852</v>
      </c>
      <c r="H339" s="17" t="s">
        <v>153</v>
      </c>
      <c r="I339" s="17" t="s">
        <v>596</v>
      </c>
      <c r="J339" s="37" t="n">
        <v>0.263</v>
      </c>
      <c r="K339" s="37" t="n">
        <v>0.333</v>
      </c>
      <c r="L339" s="37" t="n">
        <v>0.417</v>
      </c>
      <c r="M339" s="33" t="n">
        <v>1.035</v>
      </c>
      <c r="N339" s="20" t="n">
        <f aca="false">IF(J339=0,0,IF($I339="L/km",MROUND(J339*$M339*IF($H339="Petrol",'Fuel &amp; Inputs'!$C$5,'Fuel &amp; Inputs'!$C$4),1),MROUND(J339*$M339*IF($H339="Petrol",'Fuel &amp; Inputs'!$C$5,'Fuel &amp; Inputs'!$C$4),10)))</f>
        <v>104</v>
      </c>
      <c r="O339" s="20" t="n">
        <f aca="false">IF(K339=0,0,IF($I339="L/km",MROUND(K339*$M339*IF($H339="Petrol",'Fuel &amp; Inputs'!$C$5,'Fuel &amp; Inputs'!$C$4),1),MROUND(K339*$M339*IF($H339="Petrol",'Fuel &amp; Inputs'!$C$5,'Fuel &amp; Inputs'!$C$4),10)))</f>
        <v>132</v>
      </c>
      <c r="P339" s="20" t="n">
        <f aca="false">IF(L339=0,0,IF($I339="L/km",MROUND(L339*$M339*IF($H339="Petrol",'Fuel &amp; Inputs'!$C$5,'Fuel &amp; Inputs'!$C$4),1),MROUND(L339*$M339*IF($H339="Petrol",'Fuel &amp; Inputs'!$C$5,'Fuel &amp; Inputs'!$C$4),10)))</f>
        <v>165</v>
      </c>
      <c r="Q339" s="17" t="s">
        <v>597</v>
      </c>
      <c r="R339" s="21" t="n">
        <v>1430</v>
      </c>
      <c r="S339" s="20" t="n">
        <f aca="false">MROUND(R339+'Fuel &amp; Inputs'!$C$13,50)</f>
        <v>2250</v>
      </c>
      <c r="T339" s="21" t="n">
        <v>2990</v>
      </c>
      <c r="U339" s="20" t="n">
        <f aca="false">MROUND(R339*'Fuel &amp; Inputs'!$C$19*'Fuel &amp; Inputs'!$C$21,100)</f>
        <v>5400</v>
      </c>
      <c r="V339" s="20" t="n">
        <f aca="false">MROUND(S339*'Fuel &amp; Inputs'!$C$19*'Fuel &amp; Inputs'!$C$21,100)</f>
        <v>8600</v>
      </c>
      <c r="W339" s="20" t="n">
        <f aca="false">MROUND(T339*'Fuel &amp; Inputs'!$C$19*'Fuel &amp; Inputs'!$C$21,100)</f>
        <v>11400</v>
      </c>
      <c r="X339" s="20" t="n">
        <f aca="false">MROUND(R339*'Fuel &amp; Inputs'!$C$20*'Fuel &amp; Inputs'!$C$22,500)</f>
        <v>146000</v>
      </c>
      <c r="Y339" s="20" t="n">
        <f aca="false">MROUND(S339*'Fuel &amp; Inputs'!$C$20*'Fuel &amp; Inputs'!$C$22,500)</f>
        <v>229500</v>
      </c>
      <c r="Z339" s="20" t="n">
        <f aca="false">MROUND(T339*'Fuel &amp; Inputs'!$C$20*'Fuel &amp; Inputs'!$C$22,500)</f>
        <v>305000</v>
      </c>
    </row>
    <row r="340" customFormat="false" ht="23.85" hidden="false" customHeight="false" outlineLevel="0" collapsed="false">
      <c r="A340" s="23" t="n">
        <v>316</v>
      </c>
      <c r="B340" s="34" t="s">
        <v>106</v>
      </c>
      <c r="C340" s="34" t="s">
        <v>249</v>
      </c>
      <c r="D340" s="34" t="s">
        <v>842</v>
      </c>
      <c r="E340" s="23" t="s">
        <v>150</v>
      </c>
      <c r="F340" s="23" t="s">
        <v>853</v>
      </c>
      <c r="G340" s="23" t="s">
        <v>854</v>
      </c>
      <c r="H340" s="23" t="s">
        <v>153</v>
      </c>
      <c r="I340" s="23" t="s">
        <v>596</v>
      </c>
      <c r="J340" s="36" t="n">
        <v>0.263</v>
      </c>
      <c r="K340" s="36" t="n">
        <v>0.333</v>
      </c>
      <c r="L340" s="36" t="n">
        <v>0.417</v>
      </c>
      <c r="M340" s="35" t="n">
        <v>1.035</v>
      </c>
      <c r="N340" s="26" t="n">
        <f aca="false">IF(J340=0,0,IF($I340="L/km",MROUND(J340*$M340*IF($H340="Petrol",'Fuel &amp; Inputs'!$C$5,'Fuel &amp; Inputs'!$C$4),1),MROUND(J340*$M340*IF($H340="Petrol",'Fuel &amp; Inputs'!$C$5,'Fuel &amp; Inputs'!$C$4),10)))</f>
        <v>104</v>
      </c>
      <c r="O340" s="26" t="n">
        <f aca="false">IF(K340=0,0,IF($I340="L/km",MROUND(K340*$M340*IF($H340="Petrol",'Fuel &amp; Inputs'!$C$5,'Fuel &amp; Inputs'!$C$4),1),MROUND(K340*$M340*IF($H340="Petrol",'Fuel &amp; Inputs'!$C$5,'Fuel &amp; Inputs'!$C$4),10)))</f>
        <v>132</v>
      </c>
      <c r="P340" s="26" t="n">
        <f aca="false">IF(L340=0,0,IF($I340="L/km",MROUND(L340*$M340*IF($H340="Petrol",'Fuel &amp; Inputs'!$C$5,'Fuel &amp; Inputs'!$C$4),1),MROUND(L340*$M340*IF($H340="Petrol",'Fuel &amp; Inputs'!$C$5,'Fuel &amp; Inputs'!$C$4),10)))</f>
        <v>165</v>
      </c>
      <c r="Q340" s="23" t="s">
        <v>597</v>
      </c>
      <c r="R340" s="27" t="n">
        <v>1430</v>
      </c>
      <c r="S340" s="26" t="n">
        <f aca="false">MROUND(R340+'Fuel &amp; Inputs'!$C$13,50)</f>
        <v>2250</v>
      </c>
      <c r="T340" s="27" t="n">
        <v>2990</v>
      </c>
      <c r="U340" s="26" t="n">
        <f aca="false">MROUND(R340*'Fuel &amp; Inputs'!$C$19*'Fuel &amp; Inputs'!$C$21,100)</f>
        <v>5400</v>
      </c>
      <c r="V340" s="26" t="n">
        <f aca="false">MROUND(S340*'Fuel &amp; Inputs'!$C$19*'Fuel &amp; Inputs'!$C$21,100)</f>
        <v>8600</v>
      </c>
      <c r="W340" s="26" t="n">
        <f aca="false">MROUND(T340*'Fuel &amp; Inputs'!$C$19*'Fuel &amp; Inputs'!$C$21,100)</f>
        <v>11400</v>
      </c>
      <c r="X340" s="26" t="n">
        <f aca="false">MROUND(R340*'Fuel &amp; Inputs'!$C$20*'Fuel &amp; Inputs'!$C$22,500)</f>
        <v>146000</v>
      </c>
      <c r="Y340" s="26" t="n">
        <f aca="false">MROUND(S340*'Fuel &amp; Inputs'!$C$20*'Fuel &amp; Inputs'!$C$22,500)</f>
        <v>229500</v>
      </c>
      <c r="Z340" s="26" t="n">
        <f aca="false">MROUND(T340*'Fuel &amp; Inputs'!$C$20*'Fuel &amp; Inputs'!$C$22,500)</f>
        <v>305000</v>
      </c>
    </row>
    <row r="341" customFormat="false" ht="23.85" hidden="false" customHeight="false" outlineLevel="0" collapsed="false">
      <c r="A341" s="17" t="n">
        <v>317</v>
      </c>
      <c r="B341" s="32" t="s">
        <v>106</v>
      </c>
      <c r="C341" s="32" t="s">
        <v>249</v>
      </c>
      <c r="D341" s="32" t="s">
        <v>842</v>
      </c>
      <c r="E341" s="17" t="s">
        <v>150</v>
      </c>
      <c r="F341" s="17" t="s">
        <v>855</v>
      </c>
      <c r="G341" s="17" t="s">
        <v>856</v>
      </c>
      <c r="H341" s="17" t="s">
        <v>153</v>
      </c>
      <c r="I341" s="17" t="s">
        <v>596</v>
      </c>
      <c r="J341" s="37" t="n">
        <v>0.263</v>
      </c>
      <c r="K341" s="37" t="n">
        <v>0.333</v>
      </c>
      <c r="L341" s="37" t="n">
        <v>0.417</v>
      </c>
      <c r="M341" s="33" t="n">
        <v>1.035</v>
      </c>
      <c r="N341" s="20" t="n">
        <f aca="false">IF(J341=0,0,IF($I341="L/km",MROUND(J341*$M341*IF($H341="Petrol",'Fuel &amp; Inputs'!$C$5,'Fuel &amp; Inputs'!$C$4),1),MROUND(J341*$M341*IF($H341="Petrol",'Fuel &amp; Inputs'!$C$5,'Fuel &amp; Inputs'!$C$4),10)))</f>
        <v>104</v>
      </c>
      <c r="O341" s="20" t="n">
        <f aca="false">IF(K341=0,0,IF($I341="L/km",MROUND(K341*$M341*IF($H341="Petrol",'Fuel &amp; Inputs'!$C$5,'Fuel &amp; Inputs'!$C$4),1),MROUND(K341*$M341*IF($H341="Petrol",'Fuel &amp; Inputs'!$C$5,'Fuel &amp; Inputs'!$C$4),10)))</f>
        <v>132</v>
      </c>
      <c r="P341" s="20" t="n">
        <f aca="false">IF(L341=0,0,IF($I341="L/km",MROUND(L341*$M341*IF($H341="Petrol",'Fuel &amp; Inputs'!$C$5,'Fuel &amp; Inputs'!$C$4),1),MROUND(L341*$M341*IF($H341="Petrol",'Fuel &amp; Inputs'!$C$5,'Fuel &amp; Inputs'!$C$4),10)))</f>
        <v>165</v>
      </c>
      <c r="Q341" s="17" t="s">
        <v>597</v>
      </c>
      <c r="R341" s="21" t="n">
        <v>1430</v>
      </c>
      <c r="S341" s="20" t="n">
        <f aca="false">MROUND(R341+'Fuel &amp; Inputs'!$C$13,50)</f>
        <v>2250</v>
      </c>
      <c r="T341" s="21" t="n">
        <v>2990</v>
      </c>
      <c r="U341" s="20" t="n">
        <f aca="false">MROUND(R341*'Fuel &amp; Inputs'!$C$19*'Fuel &amp; Inputs'!$C$21,100)</f>
        <v>5400</v>
      </c>
      <c r="V341" s="20" t="n">
        <f aca="false">MROUND(S341*'Fuel &amp; Inputs'!$C$19*'Fuel &amp; Inputs'!$C$21,100)</f>
        <v>8600</v>
      </c>
      <c r="W341" s="20" t="n">
        <f aca="false">MROUND(T341*'Fuel &amp; Inputs'!$C$19*'Fuel &amp; Inputs'!$C$21,100)</f>
        <v>11400</v>
      </c>
      <c r="X341" s="20" t="n">
        <f aca="false">MROUND(R341*'Fuel &amp; Inputs'!$C$20*'Fuel &amp; Inputs'!$C$22,500)</f>
        <v>146000</v>
      </c>
      <c r="Y341" s="20" t="n">
        <f aca="false">MROUND(S341*'Fuel &amp; Inputs'!$C$20*'Fuel &amp; Inputs'!$C$22,500)</f>
        <v>229500</v>
      </c>
      <c r="Z341" s="20" t="n">
        <f aca="false">MROUND(T341*'Fuel &amp; Inputs'!$C$20*'Fuel &amp; Inputs'!$C$22,500)</f>
        <v>305000</v>
      </c>
    </row>
    <row r="342" customFormat="false" ht="23.85" hidden="false" customHeight="false" outlineLevel="0" collapsed="false">
      <c r="A342" s="23" t="n">
        <v>318</v>
      </c>
      <c r="B342" s="34" t="s">
        <v>106</v>
      </c>
      <c r="C342" s="34" t="s">
        <v>249</v>
      </c>
      <c r="D342" s="34" t="s">
        <v>842</v>
      </c>
      <c r="E342" s="23" t="s">
        <v>150</v>
      </c>
      <c r="F342" s="23" t="s">
        <v>857</v>
      </c>
      <c r="G342" s="23" t="s">
        <v>858</v>
      </c>
      <c r="H342" s="23" t="s">
        <v>153</v>
      </c>
      <c r="I342" s="23" t="s">
        <v>596</v>
      </c>
      <c r="J342" s="36" t="n">
        <v>0.263</v>
      </c>
      <c r="K342" s="36" t="n">
        <v>0.333</v>
      </c>
      <c r="L342" s="36" t="n">
        <v>0.417</v>
      </c>
      <c r="M342" s="35" t="n">
        <v>1.035</v>
      </c>
      <c r="N342" s="26" t="n">
        <f aca="false">IF(J342=0,0,IF($I342="L/km",MROUND(J342*$M342*IF($H342="Petrol",'Fuel &amp; Inputs'!$C$5,'Fuel &amp; Inputs'!$C$4),1),MROUND(J342*$M342*IF($H342="Petrol",'Fuel &amp; Inputs'!$C$5,'Fuel &amp; Inputs'!$C$4),10)))</f>
        <v>104</v>
      </c>
      <c r="O342" s="26" t="n">
        <f aca="false">IF(K342=0,0,IF($I342="L/km",MROUND(K342*$M342*IF($H342="Petrol",'Fuel &amp; Inputs'!$C$5,'Fuel &amp; Inputs'!$C$4),1),MROUND(K342*$M342*IF($H342="Petrol",'Fuel &amp; Inputs'!$C$5,'Fuel &amp; Inputs'!$C$4),10)))</f>
        <v>132</v>
      </c>
      <c r="P342" s="26" t="n">
        <f aca="false">IF(L342=0,0,IF($I342="L/km",MROUND(L342*$M342*IF($H342="Petrol",'Fuel &amp; Inputs'!$C$5,'Fuel &amp; Inputs'!$C$4),1),MROUND(L342*$M342*IF($H342="Petrol",'Fuel &amp; Inputs'!$C$5,'Fuel &amp; Inputs'!$C$4),10)))</f>
        <v>165</v>
      </c>
      <c r="Q342" s="23" t="s">
        <v>597</v>
      </c>
      <c r="R342" s="27" t="n">
        <v>1430</v>
      </c>
      <c r="S342" s="26" t="n">
        <f aca="false">MROUND(R342+'Fuel &amp; Inputs'!$C$13,50)</f>
        <v>2250</v>
      </c>
      <c r="T342" s="27" t="n">
        <v>2990</v>
      </c>
      <c r="U342" s="26" t="n">
        <f aca="false">MROUND(R342*'Fuel &amp; Inputs'!$C$19*'Fuel &amp; Inputs'!$C$21,100)</f>
        <v>5400</v>
      </c>
      <c r="V342" s="26" t="n">
        <f aca="false">MROUND(S342*'Fuel &amp; Inputs'!$C$19*'Fuel &amp; Inputs'!$C$21,100)</f>
        <v>8600</v>
      </c>
      <c r="W342" s="26" t="n">
        <f aca="false">MROUND(T342*'Fuel &amp; Inputs'!$C$19*'Fuel &amp; Inputs'!$C$21,100)</f>
        <v>11400</v>
      </c>
      <c r="X342" s="26" t="n">
        <f aca="false">MROUND(R342*'Fuel &amp; Inputs'!$C$20*'Fuel &amp; Inputs'!$C$22,500)</f>
        <v>146000</v>
      </c>
      <c r="Y342" s="26" t="n">
        <f aca="false">MROUND(S342*'Fuel &amp; Inputs'!$C$20*'Fuel &amp; Inputs'!$C$22,500)</f>
        <v>229500</v>
      </c>
      <c r="Z342" s="26" t="n">
        <f aca="false">MROUND(T342*'Fuel &amp; Inputs'!$C$20*'Fuel &amp; Inputs'!$C$22,500)</f>
        <v>305000</v>
      </c>
    </row>
    <row r="343" customFormat="false" ht="23.85" hidden="false" customHeight="false" outlineLevel="0" collapsed="false">
      <c r="A343" s="17" t="n">
        <v>319</v>
      </c>
      <c r="B343" s="32" t="s">
        <v>106</v>
      </c>
      <c r="C343" s="32" t="s">
        <v>249</v>
      </c>
      <c r="D343" s="32" t="s">
        <v>842</v>
      </c>
      <c r="E343" s="17" t="s">
        <v>150</v>
      </c>
      <c r="F343" s="17" t="s">
        <v>859</v>
      </c>
      <c r="G343" s="17" t="s">
        <v>860</v>
      </c>
      <c r="H343" s="17" t="s">
        <v>153</v>
      </c>
      <c r="I343" s="17" t="s">
        <v>596</v>
      </c>
      <c r="J343" s="37" t="n">
        <v>0.263</v>
      </c>
      <c r="K343" s="37" t="n">
        <v>0.333</v>
      </c>
      <c r="L343" s="37" t="n">
        <v>0.417</v>
      </c>
      <c r="M343" s="33" t="n">
        <v>1.035</v>
      </c>
      <c r="N343" s="20" t="n">
        <f aca="false">IF(J343=0,0,IF($I343="L/km",MROUND(J343*$M343*IF($H343="Petrol",'Fuel &amp; Inputs'!$C$5,'Fuel &amp; Inputs'!$C$4),1),MROUND(J343*$M343*IF($H343="Petrol",'Fuel &amp; Inputs'!$C$5,'Fuel &amp; Inputs'!$C$4),10)))</f>
        <v>104</v>
      </c>
      <c r="O343" s="20" t="n">
        <f aca="false">IF(K343=0,0,IF($I343="L/km",MROUND(K343*$M343*IF($H343="Petrol",'Fuel &amp; Inputs'!$C$5,'Fuel &amp; Inputs'!$C$4),1),MROUND(K343*$M343*IF($H343="Petrol",'Fuel &amp; Inputs'!$C$5,'Fuel &amp; Inputs'!$C$4),10)))</f>
        <v>132</v>
      </c>
      <c r="P343" s="20" t="n">
        <f aca="false">IF(L343=0,0,IF($I343="L/km",MROUND(L343*$M343*IF($H343="Petrol",'Fuel &amp; Inputs'!$C$5,'Fuel &amp; Inputs'!$C$4),1),MROUND(L343*$M343*IF($H343="Petrol",'Fuel &amp; Inputs'!$C$5,'Fuel &amp; Inputs'!$C$4),10)))</f>
        <v>165</v>
      </c>
      <c r="Q343" s="17" t="s">
        <v>597</v>
      </c>
      <c r="R343" s="21" t="n">
        <v>1430</v>
      </c>
      <c r="S343" s="20" t="n">
        <f aca="false">MROUND(R343+'Fuel &amp; Inputs'!$C$13,50)</f>
        <v>2250</v>
      </c>
      <c r="T343" s="21" t="n">
        <v>2990</v>
      </c>
      <c r="U343" s="20" t="n">
        <f aca="false">MROUND(R343*'Fuel &amp; Inputs'!$C$19*'Fuel &amp; Inputs'!$C$21,100)</f>
        <v>5400</v>
      </c>
      <c r="V343" s="20" t="n">
        <f aca="false">MROUND(S343*'Fuel &amp; Inputs'!$C$19*'Fuel &amp; Inputs'!$C$21,100)</f>
        <v>8600</v>
      </c>
      <c r="W343" s="20" t="n">
        <f aca="false">MROUND(T343*'Fuel &amp; Inputs'!$C$19*'Fuel &amp; Inputs'!$C$21,100)</f>
        <v>11400</v>
      </c>
      <c r="X343" s="20" t="n">
        <f aca="false">MROUND(R343*'Fuel &amp; Inputs'!$C$20*'Fuel &amp; Inputs'!$C$22,500)</f>
        <v>146000</v>
      </c>
      <c r="Y343" s="20" t="n">
        <f aca="false">MROUND(S343*'Fuel &amp; Inputs'!$C$20*'Fuel &amp; Inputs'!$C$22,500)</f>
        <v>229500</v>
      </c>
      <c r="Z343" s="20" t="n">
        <f aca="false">MROUND(T343*'Fuel &amp; Inputs'!$C$20*'Fuel &amp; Inputs'!$C$22,500)</f>
        <v>305000</v>
      </c>
    </row>
    <row r="344" customFormat="false" ht="23.85" hidden="false" customHeight="false" outlineLevel="0" collapsed="false">
      <c r="A344" s="23" t="n">
        <v>320</v>
      </c>
      <c r="B344" s="34" t="s">
        <v>106</v>
      </c>
      <c r="C344" s="34" t="s">
        <v>249</v>
      </c>
      <c r="D344" s="34" t="s">
        <v>842</v>
      </c>
      <c r="E344" s="23" t="s">
        <v>150</v>
      </c>
      <c r="F344" s="23" t="s">
        <v>861</v>
      </c>
      <c r="G344" s="23" t="s">
        <v>862</v>
      </c>
      <c r="H344" s="23" t="s">
        <v>153</v>
      </c>
      <c r="I344" s="23" t="s">
        <v>596</v>
      </c>
      <c r="J344" s="36" t="n">
        <v>0.263</v>
      </c>
      <c r="K344" s="36" t="n">
        <v>0.333</v>
      </c>
      <c r="L344" s="36" t="n">
        <v>0.417</v>
      </c>
      <c r="M344" s="35" t="n">
        <v>1.035</v>
      </c>
      <c r="N344" s="26" t="n">
        <f aca="false">IF(J344=0,0,IF($I344="L/km",MROUND(J344*$M344*IF($H344="Petrol",'Fuel &amp; Inputs'!$C$5,'Fuel &amp; Inputs'!$C$4),1),MROUND(J344*$M344*IF($H344="Petrol",'Fuel &amp; Inputs'!$C$5,'Fuel &amp; Inputs'!$C$4),10)))</f>
        <v>104</v>
      </c>
      <c r="O344" s="26" t="n">
        <f aca="false">IF(K344=0,0,IF($I344="L/km",MROUND(K344*$M344*IF($H344="Petrol",'Fuel &amp; Inputs'!$C$5,'Fuel &amp; Inputs'!$C$4),1),MROUND(K344*$M344*IF($H344="Petrol",'Fuel &amp; Inputs'!$C$5,'Fuel &amp; Inputs'!$C$4),10)))</f>
        <v>132</v>
      </c>
      <c r="P344" s="26" t="n">
        <f aca="false">IF(L344=0,0,IF($I344="L/km",MROUND(L344*$M344*IF($H344="Petrol",'Fuel &amp; Inputs'!$C$5,'Fuel &amp; Inputs'!$C$4),1),MROUND(L344*$M344*IF($H344="Petrol",'Fuel &amp; Inputs'!$C$5,'Fuel &amp; Inputs'!$C$4),10)))</f>
        <v>165</v>
      </c>
      <c r="Q344" s="23" t="s">
        <v>597</v>
      </c>
      <c r="R344" s="27" t="n">
        <v>1430</v>
      </c>
      <c r="S344" s="26" t="n">
        <f aca="false">MROUND(R344+'Fuel &amp; Inputs'!$C$13,50)</f>
        <v>2250</v>
      </c>
      <c r="T344" s="27" t="n">
        <v>2990</v>
      </c>
      <c r="U344" s="26" t="n">
        <f aca="false">MROUND(R344*'Fuel &amp; Inputs'!$C$19*'Fuel &amp; Inputs'!$C$21,100)</f>
        <v>5400</v>
      </c>
      <c r="V344" s="26" t="n">
        <f aca="false">MROUND(S344*'Fuel &amp; Inputs'!$C$19*'Fuel &amp; Inputs'!$C$21,100)</f>
        <v>8600</v>
      </c>
      <c r="W344" s="26" t="n">
        <f aca="false">MROUND(T344*'Fuel &amp; Inputs'!$C$19*'Fuel &amp; Inputs'!$C$21,100)</f>
        <v>11400</v>
      </c>
      <c r="X344" s="26" t="n">
        <f aca="false">MROUND(R344*'Fuel &amp; Inputs'!$C$20*'Fuel &amp; Inputs'!$C$22,500)</f>
        <v>146000</v>
      </c>
      <c r="Y344" s="26" t="n">
        <f aca="false">MROUND(S344*'Fuel &amp; Inputs'!$C$20*'Fuel &amp; Inputs'!$C$22,500)</f>
        <v>229500</v>
      </c>
      <c r="Z344" s="26" t="n">
        <f aca="false">MROUND(T344*'Fuel &amp; Inputs'!$C$20*'Fuel &amp; Inputs'!$C$22,500)</f>
        <v>305000</v>
      </c>
    </row>
    <row r="345" customFormat="false" ht="23.85" hidden="false" customHeight="false" outlineLevel="0" collapsed="false">
      <c r="A345" s="17" t="n">
        <v>321</v>
      </c>
      <c r="B345" s="32" t="s">
        <v>106</v>
      </c>
      <c r="C345" s="32" t="s">
        <v>249</v>
      </c>
      <c r="D345" s="32" t="s">
        <v>842</v>
      </c>
      <c r="E345" s="17" t="s">
        <v>150</v>
      </c>
      <c r="F345" s="17" t="s">
        <v>863</v>
      </c>
      <c r="G345" s="17" t="s">
        <v>864</v>
      </c>
      <c r="H345" s="17" t="s">
        <v>153</v>
      </c>
      <c r="I345" s="17" t="s">
        <v>596</v>
      </c>
      <c r="J345" s="37" t="n">
        <v>0.263</v>
      </c>
      <c r="K345" s="37" t="n">
        <v>0.333</v>
      </c>
      <c r="L345" s="37" t="n">
        <v>0.417</v>
      </c>
      <c r="M345" s="33" t="n">
        <v>1.035</v>
      </c>
      <c r="N345" s="20" t="n">
        <f aca="false">IF(J345=0,0,IF($I345="L/km",MROUND(J345*$M345*IF($H345="Petrol",'Fuel &amp; Inputs'!$C$5,'Fuel &amp; Inputs'!$C$4),1),MROUND(J345*$M345*IF($H345="Petrol",'Fuel &amp; Inputs'!$C$5,'Fuel &amp; Inputs'!$C$4),10)))</f>
        <v>104</v>
      </c>
      <c r="O345" s="20" t="n">
        <f aca="false">IF(K345=0,0,IF($I345="L/km",MROUND(K345*$M345*IF($H345="Petrol",'Fuel &amp; Inputs'!$C$5,'Fuel &amp; Inputs'!$C$4),1),MROUND(K345*$M345*IF($H345="Petrol",'Fuel &amp; Inputs'!$C$5,'Fuel &amp; Inputs'!$C$4),10)))</f>
        <v>132</v>
      </c>
      <c r="P345" s="20" t="n">
        <f aca="false">IF(L345=0,0,IF($I345="L/km",MROUND(L345*$M345*IF($H345="Petrol",'Fuel &amp; Inputs'!$C$5,'Fuel &amp; Inputs'!$C$4),1),MROUND(L345*$M345*IF($H345="Petrol",'Fuel &amp; Inputs'!$C$5,'Fuel &amp; Inputs'!$C$4),10)))</f>
        <v>165</v>
      </c>
      <c r="Q345" s="17" t="s">
        <v>597</v>
      </c>
      <c r="R345" s="21" t="n">
        <v>1430</v>
      </c>
      <c r="S345" s="20" t="n">
        <f aca="false">MROUND(R345+'Fuel &amp; Inputs'!$C$13,50)</f>
        <v>2250</v>
      </c>
      <c r="T345" s="21" t="n">
        <v>2990</v>
      </c>
      <c r="U345" s="20" t="n">
        <f aca="false">MROUND(R345*'Fuel &amp; Inputs'!$C$19*'Fuel &amp; Inputs'!$C$21,100)</f>
        <v>5400</v>
      </c>
      <c r="V345" s="20" t="n">
        <f aca="false">MROUND(S345*'Fuel &amp; Inputs'!$C$19*'Fuel &amp; Inputs'!$C$21,100)</f>
        <v>8600</v>
      </c>
      <c r="W345" s="20" t="n">
        <f aca="false">MROUND(T345*'Fuel &amp; Inputs'!$C$19*'Fuel &amp; Inputs'!$C$21,100)</f>
        <v>11400</v>
      </c>
      <c r="X345" s="20" t="n">
        <f aca="false">MROUND(R345*'Fuel &amp; Inputs'!$C$20*'Fuel &amp; Inputs'!$C$22,500)</f>
        <v>146000</v>
      </c>
      <c r="Y345" s="20" t="n">
        <f aca="false">MROUND(S345*'Fuel &amp; Inputs'!$C$20*'Fuel &amp; Inputs'!$C$22,500)</f>
        <v>229500</v>
      </c>
      <c r="Z345" s="20" t="n">
        <f aca="false">MROUND(T345*'Fuel &amp; Inputs'!$C$20*'Fuel &amp; Inputs'!$C$22,500)</f>
        <v>305000</v>
      </c>
    </row>
    <row r="346" customFormat="false" ht="23.85" hidden="false" customHeight="false" outlineLevel="0" collapsed="false">
      <c r="A346" s="23" t="n">
        <v>322</v>
      </c>
      <c r="B346" s="34" t="s">
        <v>106</v>
      </c>
      <c r="C346" s="34" t="s">
        <v>249</v>
      </c>
      <c r="D346" s="34" t="s">
        <v>865</v>
      </c>
      <c r="E346" s="23" t="s">
        <v>251</v>
      </c>
      <c r="F346" s="23" t="s">
        <v>866</v>
      </c>
      <c r="G346" s="23" t="s">
        <v>867</v>
      </c>
      <c r="H346" s="23" t="s">
        <v>153</v>
      </c>
      <c r="I346" s="23" t="s">
        <v>596</v>
      </c>
      <c r="J346" s="36" t="n">
        <v>0.217</v>
      </c>
      <c r="K346" s="36" t="n">
        <v>0.278</v>
      </c>
      <c r="L346" s="36" t="n">
        <v>0.345</v>
      </c>
      <c r="M346" s="35" t="n">
        <v>1.063</v>
      </c>
      <c r="N346" s="26" t="n">
        <f aca="false">IF(J346=0,0,IF($I346="L/km",MROUND(J346*$M346*IF($H346="Petrol",'Fuel &amp; Inputs'!$C$5,'Fuel &amp; Inputs'!$C$4),1),MROUND(J346*$M346*IF($H346="Petrol",'Fuel &amp; Inputs'!$C$5,'Fuel &amp; Inputs'!$C$4),10)))</f>
        <v>88</v>
      </c>
      <c r="O346" s="26" t="n">
        <f aca="false">IF(K346=0,0,IF($I346="L/km",MROUND(K346*$M346*IF($H346="Petrol",'Fuel &amp; Inputs'!$C$5,'Fuel &amp; Inputs'!$C$4),1),MROUND(K346*$M346*IF($H346="Petrol",'Fuel &amp; Inputs'!$C$5,'Fuel &amp; Inputs'!$C$4),10)))</f>
        <v>113</v>
      </c>
      <c r="P346" s="26" t="n">
        <f aca="false">IF(L346=0,0,IF($I346="L/km",MROUND(L346*$M346*IF($H346="Petrol",'Fuel &amp; Inputs'!$C$5,'Fuel &amp; Inputs'!$C$4),1),MROUND(L346*$M346*IF($H346="Petrol",'Fuel &amp; Inputs'!$C$5,'Fuel &amp; Inputs'!$C$4),10)))</f>
        <v>140</v>
      </c>
      <c r="Q346" s="23" t="s">
        <v>597</v>
      </c>
      <c r="R346" s="27" t="n">
        <v>1430</v>
      </c>
      <c r="S346" s="26" t="n">
        <f aca="false">MROUND(R346+'Fuel &amp; Inputs'!$C$13,50)</f>
        <v>2250</v>
      </c>
      <c r="T346" s="27" t="n">
        <v>2990</v>
      </c>
      <c r="U346" s="26" t="n">
        <f aca="false">MROUND(R346*'Fuel &amp; Inputs'!$C$19*'Fuel &amp; Inputs'!$C$21,100)</f>
        <v>5400</v>
      </c>
      <c r="V346" s="26" t="n">
        <f aca="false">MROUND(S346*'Fuel &amp; Inputs'!$C$19*'Fuel &amp; Inputs'!$C$21,100)</f>
        <v>8600</v>
      </c>
      <c r="W346" s="26" t="n">
        <f aca="false">MROUND(T346*'Fuel &amp; Inputs'!$C$19*'Fuel &amp; Inputs'!$C$21,100)</f>
        <v>11400</v>
      </c>
      <c r="X346" s="26" t="n">
        <f aca="false">MROUND(R346*'Fuel &amp; Inputs'!$C$20*'Fuel &amp; Inputs'!$C$22,500)</f>
        <v>146000</v>
      </c>
      <c r="Y346" s="26" t="n">
        <f aca="false">MROUND(S346*'Fuel &amp; Inputs'!$C$20*'Fuel &amp; Inputs'!$C$22,500)</f>
        <v>229500</v>
      </c>
      <c r="Z346" s="26" t="n">
        <f aca="false">MROUND(T346*'Fuel &amp; Inputs'!$C$20*'Fuel &amp; Inputs'!$C$22,500)</f>
        <v>305000</v>
      </c>
    </row>
    <row r="347" customFormat="false" ht="23.85" hidden="false" customHeight="false" outlineLevel="0" collapsed="false">
      <c r="A347" s="17" t="n">
        <v>323</v>
      </c>
      <c r="B347" s="32" t="s">
        <v>106</v>
      </c>
      <c r="C347" s="32" t="s">
        <v>249</v>
      </c>
      <c r="D347" s="32" t="s">
        <v>868</v>
      </c>
      <c r="E347" s="17" t="s">
        <v>174</v>
      </c>
      <c r="F347" s="17" t="s">
        <v>869</v>
      </c>
      <c r="G347" s="17" t="s">
        <v>870</v>
      </c>
      <c r="H347" s="17" t="s">
        <v>153</v>
      </c>
      <c r="I347" s="17" t="s">
        <v>596</v>
      </c>
      <c r="J347" s="37" t="n">
        <v>0.263</v>
      </c>
      <c r="K347" s="37" t="n">
        <v>0.333</v>
      </c>
      <c r="L347" s="37" t="n">
        <v>0.417</v>
      </c>
      <c r="M347" s="33" t="n">
        <v>1.07</v>
      </c>
      <c r="N347" s="20" t="n">
        <f aca="false">IF(J347=0,0,IF($I347="L/km",MROUND(J347*$M347*IF($H347="Petrol",'Fuel &amp; Inputs'!$C$5,'Fuel &amp; Inputs'!$C$4),1),MROUND(J347*$M347*IF($H347="Petrol",'Fuel &amp; Inputs'!$C$5,'Fuel &amp; Inputs'!$C$4),10)))</f>
        <v>107</v>
      </c>
      <c r="O347" s="20" t="n">
        <f aca="false">IF(K347=0,0,IF($I347="L/km",MROUND(K347*$M347*IF($H347="Petrol",'Fuel &amp; Inputs'!$C$5,'Fuel &amp; Inputs'!$C$4),1),MROUND(K347*$M347*IF($H347="Petrol",'Fuel &amp; Inputs'!$C$5,'Fuel &amp; Inputs'!$C$4),10)))</f>
        <v>136</v>
      </c>
      <c r="P347" s="20" t="n">
        <f aca="false">IF(L347=0,0,IF($I347="L/km",MROUND(L347*$M347*IF($H347="Petrol",'Fuel &amp; Inputs'!$C$5,'Fuel &amp; Inputs'!$C$4),1),MROUND(L347*$M347*IF($H347="Petrol",'Fuel &amp; Inputs'!$C$5,'Fuel &amp; Inputs'!$C$4),10)))</f>
        <v>170</v>
      </c>
      <c r="Q347" s="17" t="s">
        <v>597</v>
      </c>
      <c r="R347" s="21" t="n">
        <v>1430</v>
      </c>
      <c r="S347" s="20" t="n">
        <f aca="false">MROUND(R347+'Fuel &amp; Inputs'!$C$13,50)</f>
        <v>2250</v>
      </c>
      <c r="T347" s="21" t="n">
        <v>2990</v>
      </c>
      <c r="U347" s="20" t="n">
        <f aca="false">MROUND(R347*'Fuel &amp; Inputs'!$C$19*'Fuel &amp; Inputs'!$C$21,100)</f>
        <v>5400</v>
      </c>
      <c r="V347" s="20" t="n">
        <f aca="false">MROUND(S347*'Fuel &amp; Inputs'!$C$19*'Fuel &amp; Inputs'!$C$21,100)</f>
        <v>8600</v>
      </c>
      <c r="W347" s="20" t="n">
        <f aca="false">MROUND(T347*'Fuel &amp; Inputs'!$C$19*'Fuel &amp; Inputs'!$C$21,100)</f>
        <v>11400</v>
      </c>
      <c r="X347" s="20" t="n">
        <f aca="false">MROUND(R347*'Fuel &amp; Inputs'!$C$20*'Fuel &amp; Inputs'!$C$22,500)</f>
        <v>146000</v>
      </c>
      <c r="Y347" s="20" t="n">
        <f aca="false">MROUND(S347*'Fuel &amp; Inputs'!$C$20*'Fuel &amp; Inputs'!$C$22,500)</f>
        <v>229500</v>
      </c>
      <c r="Z347" s="20" t="n">
        <f aca="false">MROUND(T347*'Fuel &amp; Inputs'!$C$20*'Fuel &amp; Inputs'!$C$22,500)</f>
        <v>305000</v>
      </c>
    </row>
    <row r="348" customFormat="false" ht="23.85" hidden="false" customHeight="false" outlineLevel="0" collapsed="false">
      <c r="A348" s="23" t="n">
        <v>324</v>
      </c>
      <c r="B348" s="34" t="s">
        <v>106</v>
      </c>
      <c r="C348" s="34" t="s">
        <v>249</v>
      </c>
      <c r="D348" s="34" t="s">
        <v>868</v>
      </c>
      <c r="E348" s="23" t="s">
        <v>150</v>
      </c>
      <c r="F348" s="23" t="s">
        <v>871</v>
      </c>
      <c r="G348" s="23" t="s">
        <v>872</v>
      </c>
      <c r="H348" s="23" t="s">
        <v>153</v>
      </c>
      <c r="I348" s="23" t="s">
        <v>596</v>
      </c>
      <c r="J348" s="36" t="n">
        <v>0.263</v>
      </c>
      <c r="K348" s="36" t="n">
        <v>0.333</v>
      </c>
      <c r="L348" s="36" t="n">
        <v>0.417</v>
      </c>
      <c r="M348" s="35" t="n">
        <v>1.035</v>
      </c>
      <c r="N348" s="26" t="n">
        <f aca="false">IF(J348=0,0,IF($I348="L/km",MROUND(J348*$M348*IF($H348="Petrol",'Fuel &amp; Inputs'!$C$5,'Fuel &amp; Inputs'!$C$4),1),MROUND(J348*$M348*IF($H348="Petrol",'Fuel &amp; Inputs'!$C$5,'Fuel &amp; Inputs'!$C$4),10)))</f>
        <v>104</v>
      </c>
      <c r="O348" s="26" t="n">
        <f aca="false">IF(K348=0,0,IF($I348="L/km",MROUND(K348*$M348*IF($H348="Petrol",'Fuel &amp; Inputs'!$C$5,'Fuel &amp; Inputs'!$C$4),1),MROUND(K348*$M348*IF($H348="Petrol",'Fuel &amp; Inputs'!$C$5,'Fuel &amp; Inputs'!$C$4),10)))</f>
        <v>132</v>
      </c>
      <c r="P348" s="26" t="n">
        <f aca="false">IF(L348=0,0,IF($I348="L/km",MROUND(L348*$M348*IF($H348="Petrol",'Fuel &amp; Inputs'!$C$5,'Fuel &amp; Inputs'!$C$4),1),MROUND(L348*$M348*IF($H348="Petrol",'Fuel &amp; Inputs'!$C$5,'Fuel &amp; Inputs'!$C$4),10)))</f>
        <v>165</v>
      </c>
      <c r="Q348" s="23" t="s">
        <v>597</v>
      </c>
      <c r="R348" s="27" t="n">
        <v>1430</v>
      </c>
      <c r="S348" s="26" t="n">
        <f aca="false">MROUND(R348+'Fuel &amp; Inputs'!$C$13,50)</f>
        <v>2250</v>
      </c>
      <c r="T348" s="27" t="n">
        <v>2990</v>
      </c>
      <c r="U348" s="26" t="n">
        <f aca="false">MROUND(R348*'Fuel &amp; Inputs'!$C$19*'Fuel &amp; Inputs'!$C$21,100)</f>
        <v>5400</v>
      </c>
      <c r="V348" s="26" t="n">
        <f aca="false">MROUND(S348*'Fuel &amp; Inputs'!$C$19*'Fuel &amp; Inputs'!$C$21,100)</f>
        <v>8600</v>
      </c>
      <c r="W348" s="26" t="n">
        <f aca="false">MROUND(T348*'Fuel &amp; Inputs'!$C$19*'Fuel &amp; Inputs'!$C$21,100)</f>
        <v>11400</v>
      </c>
      <c r="X348" s="26" t="n">
        <f aca="false">MROUND(R348*'Fuel &amp; Inputs'!$C$20*'Fuel &amp; Inputs'!$C$22,500)</f>
        <v>146000</v>
      </c>
      <c r="Y348" s="26" t="n">
        <f aca="false">MROUND(S348*'Fuel &amp; Inputs'!$C$20*'Fuel &amp; Inputs'!$C$22,500)</f>
        <v>229500</v>
      </c>
      <c r="Z348" s="26" t="n">
        <f aca="false">MROUND(T348*'Fuel &amp; Inputs'!$C$20*'Fuel &amp; Inputs'!$C$22,500)</f>
        <v>305000</v>
      </c>
    </row>
    <row r="349" customFormat="false" ht="23.85" hidden="false" customHeight="false" outlineLevel="0" collapsed="false">
      <c r="A349" s="17" t="n">
        <v>325</v>
      </c>
      <c r="B349" s="32" t="s">
        <v>106</v>
      </c>
      <c r="C349" s="32" t="s">
        <v>249</v>
      </c>
      <c r="D349" s="32" t="s">
        <v>868</v>
      </c>
      <c r="E349" s="17" t="s">
        <v>150</v>
      </c>
      <c r="F349" s="17" t="s">
        <v>873</v>
      </c>
      <c r="G349" s="17" t="s">
        <v>874</v>
      </c>
      <c r="H349" s="17" t="s">
        <v>153</v>
      </c>
      <c r="I349" s="17" t="s">
        <v>596</v>
      </c>
      <c r="J349" s="37" t="n">
        <v>0.263</v>
      </c>
      <c r="K349" s="37" t="n">
        <v>0.333</v>
      </c>
      <c r="L349" s="37" t="n">
        <v>0.417</v>
      </c>
      <c r="M349" s="33" t="n">
        <v>1.035</v>
      </c>
      <c r="N349" s="20" t="n">
        <f aca="false">IF(J349=0,0,IF($I349="L/km",MROUND(J349*$M349*IF($H349="Petrol",'Fuel &amp; Inputs'!$C$5,'Fuel &amp; Inputs'!$C$4),1),MROUND(J349*$M349*IF($H349="Petrol",'Fuel &amp; Inputs'!$C$5,'Fuel &amp; Inputs'!$C$4),10)))</f>
        <v>104</v>
      </c>
      <c r="O349" s="20" t="n">
        <f aca="false">IF(K349=0,0,IF($I349="L/km",MROUND(K349*$M349*IF($H349="Petrol",'Fuel &amp; Inputs'!$C$5,'Fuel &amp; Inputs'!$C$4),1),MROUND(K349*$M349*IF($H349="Petrol",'Fuel &amp; Inputs'!$C$5,'Fuel &amp; Inputs'!$C$4),10)))</f>
        <v>132</v>
      </c>
      <c r="P349" s="20" t="n">
        <f aca="false">IF(L349=0,0,IF($I349="L/km",MROUND(L349*$M349*IF($H349="Petrol",'Fuel &amp; Inputs'!$C$5,'Fuel &amp; Inputs'!$C$4),1),MROUND(L349*$M349*IF($H349="Petrol",'Fuel &amp; Inputs'!$C$5,'Fuel &amp; Inputs'!$C$4),10)))</f>
        <v>165</v>
      </c>
      <c r="Q349" s="17" t="s">
        <v>597</v>
      </c>
      <c r="R349" s="21" t="n">
        <v>1430</v>
      </c>
      <c r="S349" s="20" t="n">
        <f aca="false">MROUND(R349+'Fuel &amp; Inputs'!$C$13,50)</f>
        <v>2250</v>
      </c>
      <c r="T349" s="21" t="n">
        <v>2990</v>
      </c>
      <c r="U349" s="20" t="n">
        <f aca="false">MROUND(R349*'Fuel &amp; Inputs'!$C$19*'Fuel &amp; Inputs'!$C$21,100)</f>
        <v>5400</v>
      </c>
      <c r="V349" s="20" t="n">
        <f aca="false">MROUND(S349*'Fuel &amp; Inputs'!$C$19*'Fuel &amp; Inputs'!$C$21,100)</f>
        <v>8600</v>
      </c>
      <c r="W349" s="20" t="n">
        <f aca="false">MROUND(T349*'Fuel &amp; Inputs'!$C$19*'Fuel &amp; Inputs'!$C$21,100)</f>
        <v>11400</v>
      </c>
      <c r="X349" s="20" t="n">
        <f aca="false">MROUND(R349*'Fuel &amp; Inputs'!$C$20*'Fuel &amp; Inputs'!$C$22,500)</f>
        <v>146000</v>
      </c>
      <c r="Y349" s="20" t="n">
        <f aca="false">MROUND(S349*'Fuel &amp; Inputs'!$C$20*'Fuel &amp; Inputs'!$C$22,500)</f>
        <v>229500</v>
      </c>
      <c r="Z349" s="20" t="n">
        <f aca="false">MROUND(T349*'Fuel &amp; Inputs'!$C$20*'Fuel &amp; Inputs'!$C$22,500)</f>
        <v>305000</v>
      </c>
    </row>
    <row r="350" customFormat="false" ht="23.85" hidden="false" customHeight="false" outlineLevel="0" collapsed="false">
      <c r="A350" s="23" t="n">
        <v>326</v>
      </c>
      <c r="B350" s="34" t="s">
        <v>106</v>
      </c>
      <c r="C350" s="34" t="s">
        <v>249</v>
      </c>
      <c r="D350" s="34" t="s">
        <v>868</v>
      </c>
      <c r="E350" s="23" t="s">
        <v>150</v>
      </c>
      <c r="F350" s="23" t="s">
        <v>875</v>
      </c>
      <c r="G350" s="23" t="s">
        <v>876</v>
      </c>
      <c r="H350" s="23" t="s">
        <v>153</v>
      </c>
      <c r="I350" s="23" t="s">
        <v>596</v>
      </c>
      <c r="J350" s="36" t="n">
        <v>0.263</v>
      </c>
      <c r="K350" s="36" t="n">
        <v>0.333</v>
      </c>
      <c r="L350" s="36" t="n">
        <v>0.417</v>
      </c>
      <c r="M350" s="35" t="n">
        <v>1.035</v>
      </c>
      <c r="N350" s="26" t="n">
        <f aca="false">IF(J350=0,0,IF($I350="L/km",MROUND(J350*$M350*IF($H350="Petrol",'Fuel &amp; Inputs'!$C$5,'Fuel &amp; Inputs'!$C$4),1),MROUND(J350*$M350*IF($H350="Petrol",'Fuel &amp; Inputs'!$C$5,'Fuel &amp; Inputs'!$C$4),10)))</f>
        <v>104</v>
      </c>
      <c r="O350" s="26" t="n">
        <f aca="false">IF(K350=0,0,IF($I350="L/km",MROUND(K350*$M350*IF($H350="Petrol",'Fuel &amp; Inputs'!$C$5,'Fuel &amp; Inputs'!$C$4),1),MROUND(K350*$M350*IF($H350="Petrol",'Fuel &amp; Inputs'!$C$5,'Fuel &amp; Inputs'!$C$4),10)))</f>
        <v>132</v>
      </c>
      <c r="P350" s="26" t="n">
        <f aca="false">IF(L350=0,0,IF($I350="L/km",MROUND(L350*$M350*IF($H350="Petrol",'Fuel &amp; Inputs'!$C$5,'Fuel &amp; Inputs'!$C$4),1),MROUND(L350*$M350*IF($H350="Petrol",'Fuel &amp; Inputs'!$C$5,'Fuel &amp; Inputs'!$C$4),10)))</f>
        <v>165</v>
      </c>
      <c r="Q350" s="23" t="s">
        <v>597</v>
      </c>
      <c r="R350" s="27" t="n">
        <v>1430</v>
      </c>
      <c r="S350" s="26" t="n">
        <f aca="false">MROUND(R350+'Fuel &amp; Inputs'!$C$13,50)</f>
        <v>2250</v>
      </c>
      <c r="T350" s="27" t="n">
        <v>2990</v>
      </c>
      <c r="U350" s="26" t="n">
        <f aca="false">MROUND(R350*'Fuel &amp; Inputs'!$C$19*'Fuel &amp; Inputs'!$C$21,100)</f>
        <v>5400</v>
      </c>
      <c r="V350" s="26" t="n">
        <f aca="false">MROUND(S350*'Fuel &amp; Inputs'!$C$19*'Fuel &amp; Inputs'!$C$21,100)</f>
        <v>8600</v>
      </c>
      <c r="W350" s="26" t="n">
        <f aca="false">MROUND(T350*'Fuel &amp; Inputs'!$C$19*'Fuel &amp; Inputs'!$C$21,100)</f>
        <v>11400</v>
      </c>
      <c r="X350" s="26" t="n">
        <f aca="false">MROUND(R350*'Fuel &amp; Inputs'!$C$20*'Fuel &amp; Inputs'!$C$22,500)</f>
        <v>146000</v>
      </c>
      <c r="Y350" s="26" t="n">
        <f aca="false">MROUND(S350*'Fuel &amp; Inputs'!$C$20*'Fuel &amp; Inputs'!$C$22,500)</f>
        <v>229500</v>
      </c>
      <c r="Z350" s="26" t="n">
        <f aca="false">MROUND(T350*'Fuel &amp; Inputs'!$C$20*'Fuel &amp; Inputs'!$C$22,500)</f>
        <v>305000</v>
      </c>
    </row>
    <row r="351" customFormat="false" ht="23.85" hidden="false" customHeight="false" outlineLevel="0" collapsed="false">
      <c r="A351" s="17" t="n">
        <v>327</v>
      </c>
      <c r="B351" s="32" t="s">
        <v>106</v>
      </c>
      <c r="C351" s="32" t="s">
        <v>249</v>
      </c>
      <c r="D351" s="32" t="s">
        <v>868</v>
      </c>
      <c r="E351" s="17" t="s">
        <v>150</v>
      </c>
      <c r="F351" s="17" t="s">
        <v>877</v>
      </c>
      <c r="G351" s="17" t="s">
        <v>878</v>
      </c>
      <c r="H351" s="17" t="s">
        <v>153</v>
      </c>
      <c r="I351" s="17" t="s">
        <v>596</v>
      </c>
      <c r="J351" s="37" t="n">
        <v>0.263</v>
      </c>
      <c r="K351" s="37" t="n">
        <v>0.333</v>
      </c>
      <c r="L351" s="37" t="n">
        <v>0.417</v>
      </c>
      <c r="M351" s="33" t="n">
        <v>1.035</v>
      </c>
      <c r="N351" s="20" t="n">
        <f aca="false">IF(J351=0,0,IF($I351="L/km",MROUND(J351*$M351*IF($H351="Petrol",'Fuel &amp; Inputs'!$C$5,'Fuel &amp; Inputs'!$C$4),1),MROUND(J351*$M351*IF($H351="Petrol",'Fuel &amp; Inputs'!$C$5,'Fuel &amp; Inputs'!$C$4),10)))</f>
        <v>104</v>
      </c>
      <c r="O351" s="20" t="n">
        <f aca="false">IF(K351=0,0,IF($I351="L/km",MROUND(K351*$M351*IF($H351="Petrol",'Fuel &amp; Inputs'!$C$5,'Fuel &amp; Inputs'!$C$4),1),MROUND(K351*$M351*IF($H351="Petrol",'Fuel &amp; Inputs'!$C$5,'Fuel &amp; Inputs'!$C$4),10)))</f>
        <v>132</v>
      </c>
      <c r="P351" s="20" t="n">
        <f aca="false">IF(L351=0,0,IF($I351="L/km",MROUND(L351*$M351*IF($H351="Petrol",'Fuel &amp; Inputs'!$C$5,'Fuel &amp; Inputs'!$C$4),1),MROUND(L351*$M351*IF($H351="Petrol",'Fuel &amp; Inputs'!$C$5,'Fuel &amp; Inputs'!$C$4),10)))</f>
        <v>165</v>
      </c>
      <c r="Q351" s="17" t="s">
        <v>597</v>
      </c>
      <c r="R351" s="21" t="n">
        <v>1430</v>
      </c>
      <c r="S351" s="20" t="n">
        <f aca="false">MROUND(R351+'Fuel &amp; Inputs'!$C$13,50)</f>
        <v>2250</v>
      </c>
      <c r="T351" s="21" t="n">
        <v>2990</v>
      </c>
      <c r="U351" s="20" t="n">
        <f aca="false">MROUND(R351*'Fuel &amp; Inputs'!$C$19*'Fuel &amp; Inputs'!$C$21,100)</f>
        <v>5400</v>
      </c>
      <c r="V351" s="20" t="n">
        <f aca="false">MROUND(S351*'Fuel &amp; Inputs'!$C$19*'Fuel &amp; Inputs'!$C$21,100)</f>
        <v>8600</v>
      </c>
      <c r="W351" s="20" t="n">
        <f aca="false">MROUND(T351*'Fuel &amp; Inputs'!$C$19*'Fuel &amp; Inputs'!$C$21,100)</f>
        <v>11400</v>
      </c>
      <c r="X351" s="20" t="n">
        <f aca="false">MROUND(R351*'Fuel &amp; Inputs'!$C$20*'Fuel &amp; Inputs'!$C$22,500)</f>
        <v>146000</v>
      </c>
      <c r="Y351" s="20" t="n">
        <f aca="false">MROUND(S351*'Fuel &amp; Inputs'!$C$20*'Fuel &amp; Inputs'!$C$22,500)</f>
        <v>229500</v>
      </c>
      <c r="Z351" s="20" t="n">
        <f aca="false">MROUND(T351*'Fuel &amp; Inputs'!$C$20*'Fuel &amp; Inputs'!$C$22,500)</f>
        <v>305000</v>
      </c>
    </row>
    <row r="352" customFormat="false" ht="23.85" hidden="false" customHeight="false" outlineLevel="0" collapsed="false">
      <c r="A352" s="23" t="n">
        <v>328</v>
      </c>
      <c r="B352" s="34" t="s">
        <v>106</v>
      </c>
      <c r="C352" s="34" t="s">
        <v>249</v>
      </c>
      <c r="D352" s="34" t="s">
        <v>868</v>
      </c>
      <c r="E352" s="23" t="s">
        <v>150</v>
      </c>
      <c r="F352" s="23" t="s">
        <v>879</v>
      </c>
      <c r="G352" s="23" t="s">
        <v>880</v>
      </c>
      <c r="H352" s="23" t="s">
        <v>153</v>
      </c>
      <c r="I352" s="23" t="s">
        <v>596</v>
      </c>
      <c r="J352" s="36" t="n">
        <v>0.263</v>
      </c>
      <c r="K352" s="36" t="n">
        <v>0.333</v>
      </c>
      <c r="L352" s="36" t="n">
        <v>0.417</v>
      </c>
      <c r="M352" s="35" t="n">
        <v>1.035</v>
      </c>
      <c r="N352" s="26" t="n">
        <f aca="false">IF(J352=0,0,IF($I352="L/km",MROUND(J352*$M352*IF($H352="Petrol",'Fuel &amp; Inputs'!$C$5,'Fuel &amp; Inputs'!$C$4),1),MROUND(J352*$M352*IF($H352="Petrol",'Fuel &amp; Inputs'!$C$5,'Fuel &amp; Inputs'!$C$4),10)))</f>
        <v>104</v>
      </c>
      <c r="O352" s="26" t="n">
        <f aca="false">IF(K352=0,0,IF($I352="L/km",MROUND(K352*$M352*IF($H352="Petrol",'Fuel &amp; Inputs'!$C$5,'Fuel &amp; Inputs'!$C$4),1),MROUND(K352*$M352*IF($H352="Petrol",'Fuel &amp; Inputs'!$C$5,'Fuel &amp; Inputs'!$C$4),10)))</f>
        <v>132</v>
      </c>
      <c r="P352" s="26" t="n">
        <f aca="false">IF(L352=0,0,IF($I352="L/km",MROUND(L352*$M352*IF($H352="Petrol",'Fuel &amp; Inputs'!$C$5,'Fuel &amp; Inputs'!$C$4),1),MROUND(L352*$M352*IF($H352="Petrol",'Fuel &amp; Inputs'!$C$5,'Fuel &amp; Inputs'!$C$4),10)))</f>
        <v>165</v>
      </c>
      <c r="Q352" s="23" t="s">
        <v>597</v>
      </c>
      <c r="R352" s="27" t="n">
        <v>1430</v>
      </c>
      <c r="S352" s="26" t="n">
        <f aca="false">MROUND(R352+'Fuel &amp; Inputs'!$C$13,50)</f>
        <v>2250</v>
      </c>
      <c r="T352" s="27" t="n">
        <v>2990</v>
      </c>
      <c r="U352" s="26" t="n">
        <f aca="false">MROUND(R352*'Fuel &amp; Inputs'!$C$19*'Fuel &amp; Inputs'!$C$21,100)</f>
        <v>5400</v>
      </c>
      <c r="V352" s="26" t="n">
        <f aca="false">MROUND(S352*'Fuel &amp; Inputs'!$C$19*'Fuel &amp; Inputs'!$C$21,100)</f>
        <v>8600</v>
      </c>
      <c r="W352" s="26" t="n">
        <f aca="false">MROUND(T352*'Fuel &amp; Inputs'!$C$19*'Fuel &amp; Inputs'!$C$21,100)</f>
        <v>11400</v>
      </c>
      <c r="X352" s="26" t="n">
        <f aca="false">MROUND(R352*'Fuel &amp; Inputs'!$C$20*'Fuel &amp; Inputs'!$C$22,500)</f>
        <v>146000</v>
      </c>
      <c r="Y352" s="26" t="n">
        <f aca="false">MROUND(S352*'Fuel &amp; Inputs'!$C$20*'Fuel &amp; Inputs'!$C$22,500)</f>
        <v>229500</v>
      </c>
      <c r="Z352" s="26" t="n">
        <f aca="false">MROUND(T352*'Fuel &amp; Inputs'!$C$20*'Fuel &amp; Inputs'!$C$22,500)</f>
        <v>305000</v>
      </c>
    </row>
    <row r="353" customFormat="false" ht="23.85" hidden="false" customHeight="false" outlineLevel="0" collapsed="false">
      <c r="A353" s="17" t="n">
        <v>329</v>
      </c>
      <c r="B353" s="32" t="s">
        <v>106</v>
      </c>
      <c r="C353" s="32" t="s">
        <v>249</v>
      </c>
      <c r="D353" s="32" t="s">
        <v>868</v>
      </c>
      <c r="E353" s="17" t="s">
        <v>150</v>
      </c>
      <c r="F353" s="17" t="s">
        <v>881</v>
      </c>
      <c r="G353" s="17" t="s">
        <v>882</v>
      </c>
      <c r="H353" s="17" t="s">
        <v>153</v>
      </c>
      <c r="I353" s="17" t="s">
        <v>596</v>
      </c>
      <c r="J353" s="37" t="n">
        <v>0.263</v>
      </c>
      <c r="K353" s="37" t="n">
        <v>0.333</v>
      </c>
      <c r="L353" s="37" t="n">
        <v>0.417</v>
      </c>
      <c r="M353" s="33" t="n">
        <v>1.035</v>
      </c>
      <c r="N353" s="20" t="n">
        <f aca="false">IF(J353=0,0,IF($I353="L/km",MROUND(J353*$M353*IF($H353="Petrol",'Fuel &amp; Inputs'!$C$5,'Fuel &amp; Inputs'!$C$4),1),MROUND(J353*$M353*IF($H353="Petrol",'Fuel &amp; Inputs'!$C$5,'Fuel &amp; Inputs'!$C$4),10)))</f>
        <v>104</v>
      </c>
      <c r="O353" s="20" t="n">
        <f aca="false">IF(K353=0,0,IF($I353="L/km",MROUND(K353*$M353*IF($H353="Petrol",'Fuel &amp; Inputs'!$C$5,'Fuel &amp; Inputs'!$C$4),1),MROUND(K353*$M353*IF($H353="Petrol",'Fuel &amp; Inputs'!$C$5,'Fuel &amp; Inputs'!$C$4),10)))</f>
        <v>132</v>
      </c>
      <c r="P353" s="20" t="n">
        <f aca="false">IF(L353=0,0,IF($I353="L/km",MROUND(L353*$M353*IF($H353="Petrol",'Fuel &amp; Inputs'!$C$5,'Fuel &amp; Inputs'!$C$4),1),MROUND(L353*$M353*IF($H353="Petrol",'Fuel &amp; Inputs'!$C$5,'Fuel &amp; Inputs'!$C$4),10)))</f>
        <v>165</v>
      </c>
      <c r="Q353" s="17" t="s">
        <v>597</v>
      </c>
      <c r="R353" s="21" t="n">
        <v>1430</v>
      </c>
      <c r="S353" s="20" t="n">
        <f aca="false">MROUND(R353+'Fuel &amp; Inputs'!$C$13,50)</f>
        <v>2250</v>
      </c>
      <c r="T353" s="21" t="n">
        <v>2990</v>
      </c>
      <c r="U353" s="20" t="n">
        <f aca="false">MROUND(R353*'Fuel &amp; Inputs'!$C$19*'Fuel &amp; Inputs'!$C$21,100)</f>
        <v>5400</v>
      </c>
      <c r="V353" s="20" t="n">
        <f aca="false">MROUND(S353*'Fuel &amp; Inputs'!$C$19*'Fuel &amp; Inputs'!$C$21,100)</f>
        <v>8600</v>
      </c>
      <c r="W353" s="20" t="n">
        <f aca="false">MROUND(T353*'Fuel &amp; Inputs'!$C$19*'Fuel &amp; Inputs'!$C$21,100)</f>
        <v>11400</v>
      </c>
      <c r="X353" s="20" t="n">
        <f aca="false">MROUND(R353*'Fuel &amp; Inputs'!$C$20*'Fuel &amp; Inputs'!$C$22,500)</f>
        <v>146000</v>
      </c>
      <c r="Y353" s="20" t="n">
        <f aca="false">MROUND(S353*'Fuel &amp; Inputs'!$C$20*'Fuel &amp; Inputs'!$C$22,500)</f>
        <v>229500</v>
      </c>
      <c r="Z353" s="20" t="n">
        <f aca="false">MROUND(T353*'Fuel &amp; Inputs'!$C$20*'Fuel &amp; Inputs'!$C$22,500)</f>
        <v>305000</v>
      </c>
    </row>
    <row r="354" customFormat="false" ht="23.85" hidden="false" customHeight="false" outlineLevel="0" collapsed="false">
      <c r="A354" s="23" t="n">
        <v>330</v>
      </c>
      <c r="B354" s="34" t="s">
        <v>106</v>
      </c>
      <c r="C354" s="34" t="s">
        <v>249</v>
      </c>
      <c r="D354" s="34" t="s">
        <v>868</v>
      </c>
      <c r="E354" s="23" t="s">
        <v>150</v>
      </c>
      <c r="F354" s="23" t="s">
        <v>883</v>
      </c>
      <c r="G354" s="23" t="s">
        <v>884</v>
      </c>
      <c r="H354" s="23" t="s">
        <v>153</v>
      </c>
      <c r="I354" s="23" t="s">
        <v>596</v>
      </c>
      <c r="J354" s="36" t="n">
        <v>0.263</v>
      </c>
      <c r="K354" s="36" t="n">
        <v>0.333</v>
      </c>
      <c r="L354" s="36" t="n">
        <v>0.417</v>
      </c>
      <c r="M354" s="35" t="n">
        <v>1.035</v>
      </c>
      <c r="N354" s="26" t="n">
        <f aca="false">IF(J354=0,0,IF($I354="L/km",MROUND(J354*$M354*IF($H354="Petrol",'Fuel &amp; Inputs'!$C$5,'Fuel &amp; Inputs'!$C$4),1),MROUND(J354*$M354*IF($H354="Petrol",'Fuel &amp; Inputs'!$C$5,'Fuel &amp; Inputs'!$C$4),10)))</f>
        <v>104</v>
      </c>
      <c r="O354" s="26" t="n">
        <f aca="false">IF(K354=0,0,IF($I354="L/km",MROUND(K354*$M354*IF($H354="Petrol",'Fuel &amp; Inputs'!$C$5,'Fuel &amp; Inputs'!$C$4),1),MROUND(K354*$M354*IF($H354="Petrol",'Fuel &amp; Inputs'!$C$5,'Fuel &amp; Inputs'!$C$4),10)))</f>
        <v>132</v>
      </c>
      <c r="P354" s="26" t="n">
        <f aca="false">IF(L354=0,0,IF($I354="L/km",MROUND(L354*$M354*IF($H354="Petrol",'Fuel &amp; Inputs'!$C$5,'Fuel &amp; Inputs'!$C$4),1),MROUND(L354*$M354*IF($H354="Petrol",'Fuel &amp; Inputs'!$C$5,'Fuel &amp; Inputs'!$C$4),10)))</f>
        <v>165</v>
      </c>
      <c r="Q354" s="23" t="s">
        <v>597</v>
      </c>
      <c r="R354" s="27" t="n">
        <v>1430</v>
      </c>
      <c r="S354" s="26" t="n">
        <f aca="false">MROUND(R354+'Fuel &amp; Inputs'!$C$13,50)</f>
        <v>2250</v>
      </c>
      <c r="T354" s="27" t="n">
        <v>2990</v>
      </c>
      <c r="U354" s="26" t="n">
        <f aca="false">MROUND(R354*'Fuel &amp; Inputs'!$C$19*'Fuel &amp; Inputs'!$C$21,100)</f>
        <v>5400</v>
      </c>
      <c r="V354" s="26" t="n">
        <f aca="false">MROUND(S354*'Fuel &amp; Inputs'!$C$19*'Fuel &amp; Inputs'!$C$21,100)</f>
        <v>8600</v>
      </c>
      <c r="W354" s="26" t="n">
        <f aca="false">MROUND(T354*'Fuel &amp; Inputs'!$C$19*'Fuel &amp; Inputs'!$C$21,100)</f>
        <v>11400</v>
      </c>
      <c r="X354" s="26" t="n">
        <f aca="false">MROUND(R354*'Fuel &amp; Inputs'!$C$20*'Fuel &amp; Inputs'!$C$22,500)</f>
        <v>146000</v>
      </c>
      <c r="Y354" s="26" t="n">
        <f aca="false">MROUND(S354*'Fuel &amp; Inputs'!$C$20*'Fuel &amp; Inputs'!$C$22,500)</f>
        <v>229500</v>
      </c>
      <c r="Z354" s="26" t="n">
        <f aca="false">MROUND(T354*'Fuel &amp; Inputs'!$C$20*'Fuel &amp; Inputs'!$C$22,500)</f>
        <v>305000</v>
      </c>
    </row>
    <row r="355" customFormat="false" ht="23.85" hidden="false" customHeight="false" outlineLevel="0" collapsed="false">
      <c r="A355" s="17" t="n">
        <v>331</v>
      </c>
      <c r="B355" s="32" t="s">
        <v>106</v>
      </c>
      <c r="C355" s="32" t="s">
        <v>249</v>
      </c>
      <c r="D355" s="32" t="s">
        <v>868</v>
      </c>
      <c r="E355" s="17" t="s">
        <v>150</v>
      </c>
      <c r="F355" s="17" t="s">
        <v>885</v>
      </c>
      <c r="G355" s="17" t="s">
        <v>886</v>
      </c>
      <c r="H355" s="17" t="s">
        <v>153</v>
      </c>
      <c r="I355" s="17" t="s">
        <v>596</v>
      </c>
      <c r="J355" s="37" t="n">
        <v>0.263</v>
      </c>
      <c r="K355" s="37" t="n">
        <v>0.333</v>
      </c>
      <c r="L355" s="37" t="n">
        <v>0.417</v>
      </c>
      <c r="M355" s="33" t="n">
        <v>1.035</v>
      </c>
      <c r="N355" s="20" t="n">
        <f aca="false">IF(J355=0,0,IF($I355="L/km",MROUND(J355*$M355*IF($H355="Petrol",'Fuel &amp; Inputs'!$C$5,'Fuel &amp; Inputs'!$C$4),1),MROUND(J355*$M355*IF($H355="Petrol",'Fuel &amp; Inputs'!$C$5,'Fuel &amp; Inputs'!$C$4),10)))</f>
        <v>104</v>
      </c>
      <c r="O355" s="20" t="n">
        <f aca="false">IF(K355=0,0,IF($I355="L/km",MROUND(K355*$M355*IF($H355="Petrol",'Fuel &amp; Inputs'!$C$5,'Fuel &amp; Inputs'!$C$4),1),MROUND(K355*$M355*IF($H355="Petrol",'Fuel &amp; Inputs'!$C$5,'Fuel &amp; Inputs'!$C$4),10)))</f>
        <v>132</v>
      </c>
      <c r="P355" s="20" t="n">
        <f aca="false">IF(L355=0,0,IF($I355="L/km",MROUND(L355*$M355*IF($H355="Petrol",'Fuel &amp; Inputs'!$C$5,'Fuel &amp; Inputs'!$C$4),1),MROUND(L355*$M355*IF($H355="Petrol",'Fuel &amp; Inputs'!$C$5,'Fuel &amp; Inputs'!$C$4),10)))</f>
        <v>165</v>
      </c>
      <c r="Q355" s="17" t="s">
        <v>597</v>
      </c>
      <c r="R355" s="21" t="n">
        <v>1430</v>
      </c>
      <c r="S355" s="20" t="n">
        <f aca="false">MROUND(R355+'Fuel &amp; Inputs'!$C$13,50)</f>
        <v>2250</v>
      </c>
      <c r="T355" s="21" t="n">
        <v>2990</v>
      </c>
      <c r="U355" s="20" t="n">
        <f aca="false">MROUND(R355*'Fuel &amp; Inputs'!$C$19*'Fuel &amp; Inputs'!$C$21,100)</f>
        <v>5400</v>
      </c>
      <c r="V355" s="20" t="n">
        <f aca="false">MROUND(S355*'Fuel &amp; Inputs'!$C$19*'Fuel &amp; Inputs'!$C$21,100)</f>
        <v>8600</v>
      </c>
      <c r="W355" s="20" t="n">
        <f aca="false">MROUND(T355*'Fuel &amp; Inputs'!$C$19*'Fuel &amp; Inputs'!$C$21,100)</f>
        <v>11400</v>
      </c>
      <c r="X355" s="20" t="n">
        <f aca="false">MROUND(R355*'Fuel &amp; Inputs'!$C$20*'Fuel &amp; Inputs'!$C$22,500)</f>
        <v>146000</v>
      </c>
      <c r="Y355" s="20" t="n">
        <f aca="false">MROUND(S355*'Fuel &amp; Inputs'!$C$20*'Fuel &amp; Inputs'!$C$22,500)</f>
        <v>229500</v>
      </c>
      <c r="Z355" s="20" t="n">
        <f aca="false">MROUND(T355*'Fuel &amp; Inputs'!$C$20*'Fuel &amp; Inputs'!$C$22,500)</f>
        <v>305000</v>
      </c>
    </row>
    <row r="356" customFormat="false" ht="23.85" hidden="false" customHeight="false" outlineLevel="0" collapsed="false">
      <c r="A356" s="23" t="n">
        <v>332</v>
      </c>
      <c r="B356" s="34" t="s">
        <v>106</v>
      </c>
      <c r="C356" s="34" t="s">
        <v>249</v>
      </c>
      <c r="D356" s="34" t="s">
        <v>868</v>
      </c>
      <c r="E356" s="23" t="s">
        <v>150</v>
      </c>
      <c r="F356" s="23" t="s">
        <v>887</v>
      </c>
      <c r="G356" s="23" t="s">
        <v>888</v>
      </c>
      <c r="H356" s="23" t="s">
        <v>153</v>
      </c>
      <c r="I356" s="23" t="s">
        <v>596</v>
      </c>
      <c r="J356" s="36" t="n">
        <v>0.263</v>
      </c>
      <c r="K356" s="36" t="n">
        <v>0.333</v>
      </c>
      <c r="L356" s="36" t="n">
        <v>0.417</v>
      </c>
      <c r="M356" s="35" t="n">
        <v>1.035</v>
      </c>
      <c r="N356" s="26" t="n">
        <f aca="false">IF(J356=0,0,IF($I356="L/km",MROUND(J356*$M356*IF($H356="Petrol",'Fuel &amp; Inputs'!$C$5,'Fuel &amp; Inputs'!$C$4),1),MROUND(J356*$M356*IF($H356="Petrol",'Fuel &amp; Inputs'!$C$5,'Fuel &amp; Inputs'!$C$4),10)))</f>
        <v>104</v>
      </c>
      <c r="O356" s="26" t="n">
        <f aca="false">IF(K356=0,0,IF($I356="L/km",MROUND(K356*$M356*IF($H356="Petrol",'Fuel &amp; Inputs'!$C$5,'Fuel &amp; Inputs'!$C$4),1),MROUND(K356*$M356*IF($H356="Petrol",'Fuel &amp; Inputs'!$C$5,'Fuel &amp; Inputs'!$C$4),10)))</f>
        <v>132</v>
      </c>
      <c r="P356" s="26" t="n">
        <f aca="false">IF(L356=0,0,IF($I356="L/km",MROUND(L356*$M356*IF($H356="Petrol",'Fuel &amp; Inputs'!$C$5,'Fuel &amp; Inputs'!$C$4),1),MROUND(L356*$M356*IF($H356="Petrol",'Fuel &amp; Inputs'!$C$5,'Fuel &amp; Inputs'!$C$4),10)))</f>
        <v>165</v>
      </c>
      <c r="Q356" s="23" t="s">
        <v>597</v>
      </c>
      <c r="R356" s="27" t="n">
        <v>1430</v>
      </c>
      <c r="S356" s="26" t="n">
        <f aca="false">MROUND(R356+'Fuel &amp; Inputs'!$C$13,50)</f>
        <v>2250</v>
      </c>
      <c r="T356" s="27" t="n">
        <v>2990</v>
      </c>
      <c r="U356" s="26" t="n">
        <f aca="false">MROUND(R356*'Fuel &amp; Inputs'!$C$19*'Fuel &amp; Inputs'!$C$21,100)</f>
        <v>5400</v>
      </c>
      <c r="V356" s="26" t="n">
        <f aca="false">MROUND(S356*'Fuel &amp; Inputs'!$C$19*'Fuel &amp; Inputs'!$C$21,100)</f>
        <v>8600</v>
      </c>
      <c r="W356" s="26" t="n">
        <f aca="false">MROUND(T356*'Fuel &amp; Inputs'!$C$19*'Fuel &amp; Inputs'!$C$21,100)</f>
        <v>11400</v>
      </c>
      <c r="X356" s="26" t="n">
        <f aca="false">MROUND(R356*'Fuel &amp; Inputs'!$C$20*'Fuel &amp; Inputs'!$C$22,500)</f>
        <v>146000</v>
      </c>
      <c r="Y356" s="26" t="n">
        <f aca="false">MROUND(S356*'Fuel &amp; Inputs'!$C$20*'Fuel &amp; Inputs'!$C$22,500)</f>
        <v>229500</v>
      </c>
      <c r="Z356" s="26" t="n">
        <f aca="false">MROUND(T356*'Fuel &amp; Inputs'!$C$20*'Fuel &amp; Inputs'!$C$22,500)</f>
        <v>305000</v>
      </c>
    </row>
    <row r="357" customFormat="false" ht="23.85" hidden="false" customHeight="false" outlineLevel="0" collapsed="false">
      <c r="A357" s="17" t="n">
        <v>333</v>
      </c>
      <c r="B357" s="32" t="s">
        <v>106</v>
      </c>
      <c r="C357" s="32" t="s">
        <v>249</v>
      </c>
      <c r="D357" s="32" t="s">
        <v>842</v>
      </c>
      <c r="E357" s="17" t="s">
        <v>174</v>
      </c>
      <c r="F357" s="17" t="s">
        <v>889</v>
      </c>
      <c r="G357" s="17" t="s">
        <v>890</v>
      </c>
      <c r="H357" s="17" t="s">
        <v>153</v>
      </c>
      <c r="I357" s="17" t="s">
        <v>596</v>
      </c>
      <c r="J357" s="37" t="n">
        <v>0.263</v>
      </c>
      <c r="K357" s="37" t="n">
        <v>0.333</v>
      </c>
      <c r="L357" s="37" t="n">
        <v>0.417</v>
      </c>
      <c r="M357" s="33" t="n">
        <v>1.07</v>
      </c>
      <c r="N357" s="20" t="n">
        <f aca="false">IF(J357=0,0,IF($I357="L/km",MROUND(J357*$M357*IF($H357="Petrol",'Fuel &amp; Inputs'!$C$5,'Fuel &amp; Inputs'!$C$4),1),MROUND(J357*$M357*IF($H357="Petrol",'Fuel &amp; Inputs'!$C$5,'Fuel &amp; Inputs'!$C$4),10)))</f>
        <v>107</v>
      </c>
      <c r="O357" s="20" t="n">
        <f aca="false">IF(K357=0,0,IF($I357="L/km",MROUND(K357*$M357*IF($H357="Petrol",'Fuel &amp; Inputs'!$C$5,'Fuel &amp; Inputs'!$C$4),1),MROUND(K357*$M357*IF($H357="Petrol",'Fuel &amp; Inputs'!$C$5,'Fuel &amp; Inputs'!$C$4),10)))</f>
        <v>136</v>
      </c>
      <c r="P357" s="20" t="n">
        <f aca="false">IF(L357=0,0,IF($I357="L/km",MROUND(L357*$M357*IF($H357="Petrol",'Fuel &amp; Inputs'!$C$5,'Fuel &amp; Inputs'!$C$4),1),MROUND(L357*$M357*IF($H357="Petrol",'Fuel &amp; Inputs'!$C$5,'Fuel &amp; Inputs'!$C$4),10)))</f>
        <v>170</v>
      </c>
      <c r="Q357" s="17" t="s">
        <v>597</v>
      </c>
      <c r="R357" s="21" t="n">
        <v>1430</v>
      </c>
      <c r="S357" s="20" t="n">
        <f aca="false">MROUND(R357+'Fuel &amp; Inputs'!$C$13,50)</f>
        <v>2250</v>
      </c>
      <c r="T357" s="21" t="n">
        <v>2990</v>
      </c>
      <c r="U357" s="20" t="n">
        <f aca="false">MROUND(R357*'Fuel &amp; Inputs'!$C$19*'Fuel &amp; Inputs'!$C$21,100)</f>
        <v>5400</v>
      </c>
      <c r="V357" s="20" t="n">
        <f aca="false">MROUND(S357*'Fuel &amp; Inputs'!$C$19*'Fuel &amp; Inputs'!$C$21,100)</f>
        <v>8600</v>
      </c>
      <c r="W357" s="20" t="n">
        <f aca="false">MROUND(T357*'Fuel &amp; Inputs'!$C$19*'Fuel &amp; Inputs'!$C$21,100)</f>
        <v>11400</v>
      </c>
      <c r="X357" s="20" t="n">
        <f aca="false">MROUND(R357*'Fuel &amp; Inputs'!$C$20*'Fuel &amp; Inputs'!$C$22,500)</f>
        <v>146000</v>
      </c>
      <c r="Y357" s="20" t="n">
        <f aca="false">MROUND(S357*'Fuel &amp; Inputs'!$C$20*'Fuel &amp; Inputs'!$C$22,500)</f>
        <v>229500</v>
      </c>
      <c r="Z357" s="20" t="n">
        <f aca="false">MROUND(T357*'Fuel &amp; Inputs'!$C$20*'Fuel &amp; Inputs'!$C$22,500)</f>
        <v>305000</v>
      </c>
    </row>
    <row r="358" customFormat="false" ht="23.85" hidden="false" customHeight="false" outlineLevel="0" collapsed="false">
      <c r="A358" s="23" t="n">
        <v>334</v>
      </c>
      <c r="B358" s="34" t="s">
        <v>106</v>
      </c>
      <c r="C358" s="34" t="s">
        <v>249</v>
      </c>
      <c r="D358" s="34" t="s">
        <v>842</v>
      </c>
      <c r="E358" s="23" t="s">
        <v>150</v>
      </c>
      <c r="F358" s="23" t="s">
        <v>891</v>
      </c>
      <c r="G358" s="23" t="s">
        <v>892</v>
      </c>
      <c r="H358" s="23" t="s">
        <v>153</v>
      </c>
      <c r="I358" s="23" t="s">
        <v>596</v>
      </c>
      <c r="J358" s="36" t="n">
        <v>0.263</v>
      </c>
      <c r="K358" s="36" t="n">
        <v>0.333</v>
      </c>
      <c r="L358" s="36" t="n">
        <v>0.417</v>
      </c>
      <c r="M358" s="35" t="n">
        <v>1.035</v>
      </c>
      <c r="N358" s="26" t="n">
        <f aca="false">IF(J358=0,0,IF($I358="L/km",MROUND(J358*$M358*IF($H358="Petrol",'Fuel &amp; Inputs'!$C$5,'Fuel &amp; Inputs'!$C$4),1),MROUND(J358*$M358*IF($H358="Petrol",'Fuel &amp; Inputs'!$C$5,'Fuel &amp; Inputs'!$C$4),10)))</f>
        <v>104</v>
      </c>
      <c r="O358" s="26" t="n">
        <f aca="false">IF(K358=0,0,IF($I358="L/km",MROUND(K358*$M358*IF($H358="Petrol",'Fuel &amp; Inputs'!$C$5,'Fuel &amp; Inputs'!$C$4),1),MROUND(K358*$M358*IF($H358="Petrol",'Fuel &amp; Inputs'!$C$5,'Fuel &amp; Inputs'!$C$4),10)))</f>
        <v>132</v>
      </c>
      <c r="P358" s="26" t="n">
        <f aca="false">IF(L358=0,0,IF($I358="L/km",MROUND(L358*$M358*IF($H358="Petrol",'Fuel &amp; Inputs'!$C$5,'Fuel &amp; Inputs'!$C$4),1),MROUND(L358*$M358*IF($H358="Petrol",'Fuel &amp; Inputs'!$C$5,'Fuel &amp; Inputs'!$C$4),10)))</f>
        <v>165</v>
      </c>
      <c r="Q358" s="23" t="s">
        <v>597</v>
      </c>
      <c r="R358" s="27" t="n">
        <v>1430</v>
      </c>
      <c r="S358" s="26" t="n">
        <f aca="false">MROUND(R358+'Fuel &amp; Inputs'!$C$13,50)</f>
        <v>2250</v>
      </c>
      <c r="T358" s="27" t="n">
        <v>2990</v>
      </c>
      <c r="U358" s="26" t="n">
        <f aca="false">MROUND(R358*'Fuel &amp; Inputs'!$C$19*'Fuel &amp; Inputs'!$C$21,100)</f>
        <v>5400</v>
      </c>
      <c r="V358" s="26" t="n">
        <f aca="false">MROUND(S358*'Fuel &amp; Inputs'!$C$19*'Fuel &amp; Inputs'!$C$21,100)</f>
        <v>8600</v>
      </c>
      <c r="W358" s="26" t="n">
        <f aca="false">MROUND(T358*'Fuel &amp; Inputs'!$C$19*'Fuel &amp; Inputs'!$C$21,100)</f>
        <v>11400</v>
      </c>
      <c r="X358" s="26" t="n">
        <f aca="false">MROUND(R358*'Fuel &amp; Inputs'!$C$20*'Fuel &amp; Inputs'!$C$22,500)</f>
        <v>146000</v>
      </c>
      <c r="Y358" s="26" t="n">
        <f aca="false">MROUND(S358*'Fuel &amp; Inputs'!$C$20*'Fuel &amp; Inputs'!$C$22,500)</f>
        <v>229500</v>
      </c>
      <c r="Z358" s="26" t="n">
        <f aca="false">MROUND(T358*'Fuel &amp; Inputs'!$C$20*'Fuel &amp; Inputs'!$C$22,500)</f>
        <v>305000</v>
      </c>
    </row>
    <row r="359" customFormat="false" ht="23.85" hidden="false" customHeight="false" outlineLevel="0" collapsed="false">
      <c r="A359" s="17" t="n">
        <v>335</v>
      </c>
      <c r="B359" s="32" t="s">
        <v>106</v>
      </c>
      <c r="C359" s="32" t="s">
        <v>249</v>
      </c>
      <c r="D359" s="32" t="s">
        <v>842</v>
      </c>
      <c r="E359" s="17" t="s">
        <v>150</v>
      </c>
      <c r="F359" s="17" t="s">
        <v>893</v>
      </c>
      <c r="G359" s="17" t="s">
        <v>894</v>
      </c>
      <c r="H359" s="17" t="s">
        <v>153</v>
      </c>
      <c r="I359" s="17" t="s">
        <v>596</v>
      </c>
      <c r="J359" s="37" t="n">
        <v>0.263</v>
      </c>
      <c r="K359" s="37" t="n">
        <v>0.333</v>
      </c>
      <c r="L359" s="37" t="n">
        <v>0.417</v>
      </c>
      <c r="M359" s="33" t="n">
        <v>1.035</v>
      </c>
      <c r="N359" s="20" t="n">
        <f aca="false">IF(J359=0,0,IF($I359="L/km",MROUND(J359*$M359*IF($H359="Petrol",'Fuel &amp; Inputs'!$C$5,'Fuel &amp; Inputs'!$C$4),1),MROUND(J359*$M359*IF($H359="Petrol",'Fuel &amp; Inputs'!$C$5,'Fuel &amp; Inputs'!$C$4),10)))</f>
        <v>104</v>
      </c>
      <c r="O359" s="20" t="n">
        <f aca="false">IF(K359=0,0,IF($I359="L/km",MROUND(K359*$M359*IF($H359="Petrol",'Fuel &amp; Inputs'!$C$5,'Fuel &amp; Inputs'!$C$4),1),MROUND(K359*$M359*IF($H359="Petrol",'Fuel &amp; Inputs'!$C$5,'Fuel &amp; Inputs'!$C$4),10)))</f>
        <v>132</v>
      </c>
      <c r="P359" s="20" t="n">
        <f aca="false">IF(L359=0,0,IF($I359="L/km",MROUND(L359*$M359*IF($H359="Petrol",'Fuel &amp; Inputs'!$C$5,'Fuel &amp; Inputs'!$C$4),1),MROUND(L359*$M359*IF($H359="Petrol",'Fuel &amp; Inputs'!$C$5,'Fuel &amp; Inputs'!$C$4),10)))</f>
        <v>165</v>
      </c>
      <c r="Q359" s="17" t="s">
        <v>597</v>
      </c>
      <c r="R359" s="21" t="n">
        <v>1430</v>
      </c>
      <c r="S359" s="20" t="n">
        <f aca="false">MROUND(R359+'Fuel &amp; Inputs'!$C$13,50)</f>
        <v>2250</v>
      </c>
      <c r="T359" s="21" t="n">
        <v>2990</v>
      </c>
      <c r="U359" s="20" t="n">
        <f aca="false">MROUND(R359*'Fuel &amp; Inputs'!$C$19*'Fuel &amp; Inputs'!$C$21,100)</f>
        <v>5400</v>
      </c>
      <c r="V359" s="20" t="n">
        <f aca="false">MROUND(S359*'Fuel &amp; Inputs'!$C$19*'Fuel &amp; Inputs'!$C$21,100)</f>
        <v>8600</v>
      </c>
      <c r="W359" s="20" t="n">
        <f aca="false">MROUND(T359*'Fuel &amp; Inputs'!$C$19*'Fuel &amp; Inputs'!$C$21,100)</f>
        <v>11400</v>
      </c>
      <c r="X359" s="20" t="n">
        <f aca="false">MROUND(R359*'Fuel &amp; Inputs'!$C$20*'Fuel &amp; Inputs'!$C$22,500)</f>
        <v>146000</v>
      </c>
      <c r="Y359" s="20" t="n">
        <f aca="false">MROUND(S359*'Fuel &amp; Inputs'!$C$20*'Fuel &amp; Inputs'!$C$22,500)</f>
        <v>229500</v>
      </c>
      <c r="Z359" s="20" t="n">
        <f aca="false">MROUND(T359*'Fuel &amp; Inputs'!$C$20*'Fuel &amp; Inputs'!$C$22,500)</f>
        <v>305000</v>
      </c>
    </row>
    <row r="360" customFormat="false" ht="23.85" hidden="false" customHeight="false" outlineLevel="0" collapsed="false">
      <c r="A360" s="23" t="n">
        <v>336</v>
      </c>
      <c r="B360" s="34" t="s">
        <v>106</v>
      </c>
      <c r="C360" s="34" t="s">
        <v>592</v>
      </c>
      <c r="D360" s="34" t="s">
        <v>895</v>
      </c>
      <c r="E360" s="23" t="s">
        <v>234</v>
      </c>
      <c r="F360" s="23" t="s">
        <v>896</v>
      </c>
      <c r="G360" s="23" t="s">
        <v>897</v>
      </c>
      <c r="H360" s="23" t="s">
        <v>153</v>
      </c>
      <c r="I360" s="23" t="s">
        <v>596</v>
      </c>
      <c r="J360" s="36" t="n">
        <v>0.156</v>
      </c>
      <c r="K360" s="36" t="n">
        <v>0.2</v>
      </c>
      <c r="L360" s="36" t="n">
        <v>0.25</v>
      </c>
      <c r="M360" s="35" t="n">
        <v>1.091</v>
      </c>
      <c r="N360" s="26" t="n">
        <f aca="false">IF(J360=0,0,IF($I360="L/km",MROUND(J360*$M360*IF($H360="Petrol",'Fuel &amp; Inputs'!$C$5,'Fuel &amp; Inputs'!$C$4),1),MROUND(J360*$M360*IF($H360="Petrol",'Fuel &amp; Inputs'!$C$5,'Fuel &amp; Inputs'!$C$4),10)))</f>
        <v>65</v>
      </c>
      <c r="O360" s="26" t="n">
        <f aca="false">IF(K360=0,0,IF($I360="L/km",MROUND(K360*$M360*IF($H360="Petrol",'Fuel &amp; Inputs'!$C$5,'Fuel &amp; Inputs'!$C$4),1),MROUND(K360*$M360*IF($H360="Petrol",'Fuel &amp; Inputs'!$C$5,'Fuel &amp; Inputs'!$C$4),10)))</f>
        <v>83</v>
      </c>
      <c r="P360" s="26" t="n">
        <f aca="false">IF(L360=0,0,IF($I360="L/km",MROUND(L360*$M360*IF($H360="Petrol",'Fuel &amp; Inputs'!$C$5,'Fuel &amp; Inputs'!$C$4),1),MROUND(L360*$M360*IF($H360="Petrol",'Fuel &amp; Inputs'!$C$5,'Fuel &amp; Inputs'!$C$4),10)))</f>
        <v>104</v>
      </c>
      <c r="Q360" s="23" t="s">
        <v>597</v>
      </c>
      <c r="R360" s="27" t="n">
        <v>1270</v>
      </c>
      <c r="S360" s="26" t="n">
        <f aca="false">MROUND(R360+'Fuel &amp; Inputs'!$C$13,50)</f>
        <v>2050</v>
      </c>
      <c r="T360" s="27" t="n">
        <v>2670</v>
      </c>
      <c r="U360" s="26" t="n">
        <f aca="false">MROUND(R360*'Fuel &amp; Inputs'!$C$19*'Fuel &amp; Inputs'!$C$21,100)</f>
        <v>4800</v>
      </c>
      <c r="V360" s="26" t="n">
        <f aca="false">MROUND(S360*'Fuel &amp; Inputs'!$C$19*'Fuel &amp; Inputs'!$C$21,100)</f>
        <v>7800</v>
      </c>
      <c r="W360" s="26" t="n">
        <f aca="false">MROUND(T360*'Fuel &amp; Inputs'!$C$19*'Fuel &amp; Inputs'!$C$21,100)</f>
        <v>10100</v>
      </c>
      <c r="X360" s="26" t="n">
        <f aca="false">MROUND(R360*'Fuel &amp; Inputs'!$C$20*'Fuel &amp; Inputs'!$C$22,500)</f>
        <v>129500</v>
      </c>
      <c r="Y360" s="26" t="n">
        <f aca="false">MROUND(S360*'Fuel &amp; Inputs'!$C$20*'Fuel &amp; Inputs'!$C$22,500)</f>
        <v>209000</v>
      </c>
      <c r="Z360" s="26" t="n">
        <f aca="false">MROUND(T360*'Fuel &amp; Inputs'!$C$20*'Fuel &amp; Inputs'!$C$22,500)</f>
        <v>272500</v>
      </c>
    </row>
    <row r="361" customFormat="false" ht="23.85" hidden="false" customHeight="false" outlineLevel="0" collapsed="false">
      <c r="A361" s="17" t="n">
        <v>337</v>
      </c>
      <c r="B361" s="32" t="s">
        <v>106</v>
      </c>
      <c r="C361" s="32" t="s">
        <v>249</v>
      </c>
      <c r="D361" s="32" t="s">
        <v>895</v>
      </c>
      <c r="E361" s="17" t="s">
        <v>234</v>
      </c>
      <c r="F361" s="17" t="s">
        <v>898</v>
      </c>
      <c r="G361" s="17" t="s">
        <v>899</v>
      </c>
      <c r="H361" s="17" t="s">
        <v>153</v>
      </c>
      <c r="I361" s="17" t="s">
        <v>596</v>
      </c>
      <c r="J361" s="37" t="n">
        <v>0.156</v>
      </c>
      <c r="K361" s="37" t="n">
        <v>0.2</v>
      </c>
      <c r="L361" s="37" t="n">
        <v>0.25</v>
      </c>
      <c r="M361" s="33" t="n">
        <v>1.091</v>
      </c>
      <c r="N361" s="20" t="n">
        <f aca="false">IF(J361=0,0,IF($I361="L/km",MROUND(J361*$M361*IF($H361="Petrol",'Fuel &amp; Inputs'!$C$5,'Fuel &amp; Inputs'!$C$4),1),MROUND(J361*$M361*IF($H361="Petrol",'Fuel &amp; Inputs'!$C$5,'Fuel &amp; Inputs'!$C$4),10)))</f>
        <v>65</v>
      </c>
      <c r="O361" s="20" t="n">
        <f aca="false">IF(K361=0,0,IF($I361="L/km",MROUND(K361*$M361*IF($H361="Petrol",'Fuel &amp; Inputs'!$C$5,'Fuel &amp; Inputs'!$C$4),1),MROUND(K361*$M361*IF($H361="Petrol",'Fuel &amp; Inputs'!$C$5,'Fuel &amp; Inputs'!$C$4),10)))</f>
        <v>83</v>
      </c>
      <c r="P361" s="20" t="n">
        <f aca="false">IF(L361=0,0,IF($I361="L/km",MROUND(L361*$M361*IF($H361="Petrol",'Fuel &amp; Inputs'!$C$5,'Fuel &amp; Inputs'!$C$4),1),MROUND(L361*$M361*IF($H361="Petrol",'Fuel &amp; Inputs'!$C$5,'Fuel &amp; Inputs'!$C$4),10)))</f>
        <v>104</v>
      </c>
      <c r="Q361" s="17" t="s">
        <v>597</v>
      </c>
      <c r="R361" s="21" t="n">
        <v>1270</v>
      </c>
      <c r="S361" s="20" t="n">
        <f aca="false">MROUND(R361+'Fuel &amp; Inputs'!$C$13,50)</f>
        <v>2050</v>
      </c>
      <c r="T361" s="21" t="n">
        <v>2670</v>
      </c>
      <c r="U361" s="20" t="n">
        <f aca="false">MROUND(R361*'Fuel &amp; Inputs'!$C$19*'Fuel &amp; Inputs'!$C$21,100)</f>
        <v>4800</v>
      </c>
      <c r="V361" s="20" t="n">
        <f aca="false">MROUND(S361*'Fuel &amp; Inputs'!$C$19*'Fuel &amp; Inputs'!$C$21,100)</f>
        <v>7800</v>
      </c>
      <c r="W361" s="20" t="n">
        <f aca="false">MROUND(T361*'Fuel &amp; Inputs'!$C$19*'Fuel &amp; Inputs'!$C$21,100)</f>
        <v>10100</v>
      </c>
      <c r="X361" s="20" t="n">
        <f aca="false">MROUND(R361*'Fuel &amp; Inputs'!$C$20*'Fuel &amp; Inputs'!$C$22,500)</f>
        <v>129500</v>
      </c>
      <c r="Y361" s="20" t="n">
        <f aca="false">MROUND(S361*'Fuel &amp; Inputs'!$C$20*'Fuel &amp; Inputs'!$C$22,500)</f>
        <v>209000</v>
      </c>
      <c r="Z361" s="20" t="n">
        <f aca="false">MROUND(T361*'Fuel &amp; Inputs'!$C$20*'Fuel &amp; Inputs'!$C$22,500)</f>
        <v>272500</v>
      </c>
    </row>
    <row r="362" customFormat="false" ht="23.85" hidden="false" customHeight="false" outlineLevel="0" collapsed="false">
      <c r="A362" s="23" t="n">
        <v>338</v>
      </c>
      <c r="B362" s="34" t="s">
        <v>106</v>
      </c>
      <c r="C362" s="34" t="s">
        <v>592</v>
      </c>
      <c r="D362" s="34" t="s">
        <v>900</v>
      </c>
      <c r="E362" s="23" t="s">
        <v>166</v>
      </c>
      <c r="F362" s="23" t="s">
        <v>901</v>
      </c>
      <c r="G362" s="23" t="s">
        <v>902</v>
      </c>
      <c r="H362" s="23" t="s">
        <v>153</v>
      </c>
      <c r="I362" s="23" t="s">
        <v>596</v>
      </c>
      <c r="J362" s="36" t="n">
        <v>0.263</v>
      </c>
      <c r="K362" s="36" t="n">
        <v>0.333</v>
      </c>
      <c r="L362" s="36" t="n">
        <v>0.417</v>
      </c>
      <c r="M362" s="35" t="n">
        <v>1.098</v>
      </c>
      <c r="N362" s="26" t="n">
        <f aca="false">IF(J362=0,0,IF($I362="L/km",MROUND(J362*$M362*IF($H362="Petrol",'Fuel &amp; Inputs'!$C$5,'Fuel &amp; Inputs'!$C$4),1),MROUND(J362*$M362*IF($H362="Petrol",'Fuel &amp; Inputs'!$C$5,'Fuel &amp; Inputs'!$C$4),10)))</f>
        <v>110</v>
      </c>
      <c r="O362" s="26" t="n">
        <f aca="false">IF(K362=0,0,IF($I362="L/km",MROUND(K362*$M362*IF($H362="Petrol",'Fuel &amp; Inputs'!$C$5,'Fuel &amp; Inputs'!$C$4),1),MROUND(K362*$M362*IF($H362="Petrol",'Fuel &amp; Inputs'!$C$5,'Fuel &amp; Inputs'!$C$4),10)))</f>
        <v>140</v>
      </c>
      <c r="P362" s="26" t="n">
        <f aca="false">IF(L362=0,0,IF($I362="L/km",MROUND(L362*$M362*IF($H362="Petrol",'Fuel &amp; Inputs'!$C$5,'Fuel &amp; Inputs'!$C$4),1),MROUND(L362*$M362*IF($H362="Petrol",'Fuel &amp; Inputs'!$C$5,'Fuel &amp; Inputs'!$C$4),10)))</f>
        <v>175</v>
      </c>
      <c r="Q362" s="23" t="s">
        <v>597</v>
      </c>
      <c r="R362" s="27" t="n">
        <v>1270</v>
      </c>
      <c r="S362" s="26" t="n">
        <f aca="false">MROUND(R362+'Fuel &amp; Inputs'!$C$13,50)</f>
        <v>2050</v>
      </c>
      <c r="T362" s="27" t="n">
        <v>2670</v>
      </c>
      <c r="U362" s="26" t="n">
        <f aca="false">MROUND(R362*'Fuel &amp; Inputs'!$C$19*'Fuel &amp; Inputs'!$C$21,100)</f>
        <v>4800</v>
      </c>
      <c r="V362" s="26" t="n">
        <f aca="false">MROUND(S362*'Fuel &amp; Inputs'!$C$19*'Fuel &amp; Inputs'!$C$21,100)</f>
        <v>7800</v>
      </c>
      <c r="W362" s="26" t="n">
        <f aca="false">MROUND(T362*'Fuel &amp; Inputs'!$C$19*'Fuel &amp; Inputs'!$C$21,100)</f>
        <v>10100</v>
      </c>
      <c r="X362" s="26" t="n">
        <f aca="false">MROUND(R362*'Fuel &amp; Inputs'!$C$20*'Fuel &amp; Inputs'!$C$22,500)</f>
        <v>129500</v>
      </c>
      <c r="Y362" s="26" t="n">
        <f aca="false">MROUND(S362*'Fuel &amp; Inputs'!$C$20*'Fuel &amp; Inputs'!$C$22,500)</f>
        <v>209000</v>
      </c>
      <c r="Z362" s="26" t="n">
        <f aca="false">MROUND(T362*'Fuel &amp; Inputs'!$C$20*'Fuel &amp; Inputs'!$C$22,500)</f>
        <v>272500</v>
      </c>
    </row>
    <row r="363" customFormat="false" ht="23.85" hidden="false" customHeight="false" outlineLevel="0" collapsed="false">
      <c r="A363" s="17" t="n">
        <v>339</v>
      </c>
      <c r="B363" s="32" t="s">
        <v>106</v>
      </c>
      <c r="C363" s="32" t="s">
        <v>592</v>
      </c>
      <c r="D363" s="32" t="s">
        <v>900</v>
      </c>
      <c r="E363" s="17" t="s">
        <v>277</v>
      </c>
      <c r="F363" s="17" t="s">
        <v>903</v>
      </c>
      <c r="G363" s="17" t="s">
        <v>904</v>
      </c>
      <c r="H363" s="17" t="s">
        <v>153</v>
      </c>
      <c r="I363" s="17" t="s">
        <v>596</v>
      </c>
      <c r="J363" s="37" t="n">
        <v>0.263</v>
      </c>
      <c r="K363" s="37" t="n">
        <v>0.333</v>
      </c>
      <c r="L363" s="37" t="n">
        <v>0.417</v>
      </c>
      <c r="M363" s="33" t="n">
        <v>1.161</v>
      </c>
      <c r="N363" s="20" t="n">
        <f aca="false">IF(J363=0,0,IF($I363="L/km",MROUND(J363*$M363*IF($H363="Petrol",'Fuel &amp; Inputs'!$C$5,'Fuel &amp; Inputs'!$C$4),1),MROUND(J363*$M363*IF($H363="Petrol",'Fuel &amp; Inputs'!$C$5,'Fuel &amp; Inputs'!$C$4),10)))</f>
        <v>117</v>
      </c>
      <c r="O363" s="20" t="n">
        <f aca="false">IF(K363=0,0,IF($I363="L/km",MROUND(K363*$M363*IF($H363="Petrol",'Fuel &amp; Inputs'!$C$5,'Fuel &amp; Inputs'!$C$4),1),MROUND(K363*$M363*IF($H363="Petrol",'Fuel &amp; Inputs'!$C$5,'Fuel &amp; Inputs'!$C$4),10)))</f>
        <v>148</v>
      </c>
      <c r="P363" s="20" t="n">
        <f aca="false">IF(L363=0,0,IF($I363="L/km",MROUND(L363*$M363*IF($H363="Petrol",'Fuel &amp; Inputs'!$C$5,'Fuel &amp; Inputs'!$C$4),1),MROUND(L363*$M363*IF($H363="Petrol",'Fuel &amp; Inputs'!$C$5,'Fuel &amp; Inputs'!$C$4),10)))</f>
        <v>185</v>
      </c>
      <c r="Q363" s="17" t="s">
        <v>597</v>
      </c>
      <c r="R363" s="21" t="n">
        <v>1270</v>
      </c>
      <c r="S363" s="20" t="n">
        <f aca="false">MROUND(R363+'Fuel &amp; Inputs'!$C$13,50)</f>
        <v>2050</v>
      </c>
      <c r="T363" s="21" t="n">
        <v>2670</v>
      </c>
      <c r="U363" s="20" t="n">
        <f aca="false">MROUND(R363*'Fuel &amp; Inputs'!$C$19*'Fuel &amp; Inputs'!$C$21,100)</f>
        <v>4800</v>
      </c>
      <c r="V363" s="20" t="n">
        <f aca="false">MROUND(S363*'Fuel &amp; Inputs'!$C$19*'Fuel &amp; Inputs'!$C$21,100)</f>
        <v>7800</v>
      </c>
      <c r="W363" s="20" t="n">
        <f aca="false">MROUND(T363*'Fuel &amp; Inputs'!$C$19*'Fuel &amp; Inputs'!$C$21,100)</f>
        <v>10100</v>
      </c>
      <c r="X363" s="20" t="n">
        <f aca="false">MROUND(R363*'Fuel &amp; Inputs'!$C$20*'Fuel &amp; Inputs'!$C$22,500)</f>
        <v>129500</v>
      </c>
      <c r="Y363" s="20" t="n">
        <f aca="false">MROUND(S363*'Fuel &amp; Inputs'!$C$20*'Fuel &amp; Inputs'!$C$22,500)</f>
        <v>209000</v>
      </c>
      <c r="Z363" s="20" t="n">
        <f aca="false">MROUND(T363*'Fuel &amp; Inputs'!$C$20*'Fuel &amp; Inputs'!$C$22,500)</f>
        <v>272500</v>
      </c>
    </row>
    <row r="364" customFormat="false" ht="23.85" hidden="false" customHeight="false" outlineLevel="0" collapsed="false">
      <c r="A364" s="23" t="n">
        <v>340</v>
      </c>
      <c r="B364" s="34" t="s">
        <v>106</v>
      </c>
      <c r="C364" s="34" t="s">
        <v>592</v>
      </c>
      <c r="D364" s="34" t="s">
        <v>900</v>
      </c>
      <c r="E364" s="23" t="s">
        <v>166</v>
      </c>
      <c r="F364" s="23" t="s">
        <v>905</v>
      </c>
      <c r="G364" s="23" t="s">
        <v>906</v>
      </c>
      <c r="H364" s="23" t="s">
        <v>153</v>
      </c>
      <c r="I364" s="23" t="s">
        <v>596</v>
      </c>
      <c r="J364" s="36" t="n">
        <v>0.263</v>
      </c>
      <c r="K364" s="36" t="n">
        <v>0.333</v>
      </c>
      <c r="L364" s="36" t="n">
        <v>0.417</v>
      </c>
      <c r="M364" s="35" t="n">
        <v>1.098</v>
      </c>
      <c r="N364" s="26" t="n">
        <f aca="false">IF(J364=0,0,IF($I364="L/km",MROUND(J364*$M364*IF($H364="Petrol",'Fuel &amp; Inputs'!$C$5,'Fuel &amp; Inputs'!$C$4),1),MROUND(J364*$M364*IF($H364="Petrol",'Fuel &amp; Inputs'!$C$5,'Fuel &amp; Inputs'!$C$4),10)))</f>
        <v>110</v>
      </c>
      <c r="O364" s="26" t="n">
        <f aca="false">IF(K364=0,0,IF($I364="L/km",MROUND(K364*$M364*IF($H364="Petrol",'Fuel &amp; Inputs'!$C$5,'Fuel &amp; Inputs'!$C$4),1),MROUND(K364*$M364*IF($H364="Petrol",'Fuel &amp; Inputs'!$C$5,'Fuel &amp; Inputs'!$C$4),10)))</f>
        <v>140</v>
      </c>
      <c r="P364" s="26" t="n">
        <f aca="false">IF(L364=0,0,IF($I364="L/km",MROUND(L364*$M364*IF($H364="Petrol",'Fuel &amp; Inputs'!$C$5,'Fuel &amp; Inputs'!$C$4),1),MROUND(L364*$M364*IF($H364="Petrol",'Fuel &amp; Inputs'!$C$5,'Fuel &amp; Inputs'!$C$4),10)))</f>
        <v>175</v>
      </c>
      <c r="Q364" s="23" t="s">
        <v>597</v>
      </c>
      <c r="R364" s="27" t="n">
        <v>1270</v>
      </c>
      <c r="S364" s="26" t="n">
        <f aca="false">MROUND(R364+'Fuel &amp; Inputs'!$C$13,50)</f>
        <v>2050</v>
      </c>
      <c r="T364" s="27" t="n">
        <v>2670</v>
      </c>
      <c r="U364" s="26" t="n">
        <f aca="false">MROUND(R364*'Fuel &amp; Inputs'!$C$19*'Fuel &amp; Inputs'!$C$21,100)</f>
        <v>4800</v>
      </c>
      <c r="V364" s="26" t="n">
        <f aca="false">MROUND(S364*'Fuel &amp; Inputs'!$C$19*'Fuel &amp; Inputs'!$C$21,100)</f>
        <v>7800</v>
      </c>
      <c r="W364" s="26" t="n">
        <f aca="false">MROUND(T364*'Fuel &amp; Inputs'!$C$19*'Fuel &amp; Inputs'!$C$21,100)</f>
        <v>10100</v>
      </c>
      <c r="X364" s="26" t="n">
        <f aca="false">MROUND(R364*'Fuel &amp; Inputs'!$C$20*'Fuel &amp; Inputs'!$C$22,500)</f>
        <v>129500</v>
      </c>
      <c r="Y364" s="26" t="n">
        <f aca="false">MROUND(S364*'Fuel &amp; Inputs'!$C$20*'Fuel &amp; Inputs'!$C$22,500)</f>
        <v>209000</v>
      </c>
      <c r="Z364" s="26" t="n">
        <f aca="false">MROUND(T364*'Fuel &amp; Inputs'!$C$20*'Fuel &amp; Inputs'!$C$22,500)</f>
        <v>272500</v>
      </c>
    </row>
    <row r="365" customFormat="false" ht="23.85" hidden="false" customHeight="false" outlineLevel="0" collapsed="false">
      <c r="A365" s="17" t="n">
        <v>341</v>
      </c>
      <c r="B365" s="32" t="s">
        <v>106</v>
      </c>
      <c r="C365" s="32" t="s">
        <v>592</v>
      </c>
      <c r="D365" s="32" t="s">
        <v>907</v>
      </c>
      <c r="E365" s="17" t="s">
        <v>166</v>
      </c>
      <c r="F365" s="17" t="s">
        <v>908</v>
      </c>
      <c r="G365" s="17" t="s">
        <v>909</v>
      </c>
      <c r="H365" s="17" t="s">
        <v>153</v>
      </c>
      <c r="I365" s="17" t="s">
        <v>596</v>
      </c>
      <c r="J365" s="37" t="n">
        <v>0.345</v>
      </c>
      <c r="K365" s="37" t="n">
        <v>0.435</v>
      </c>
      <c r="L365" s="37" t="n">
        <v>0.556</v>
      </c>
      <c r="M365" s="33" t="n">
        <v>1.098</v>
      </c>
      <c r="N365" s="20" t="n">
        <f aca="false">IF(J365=0,0,IF($I365="L/km",MROUND(J365*$M365*IF($H365="Petrol",'Fuel &amp; Inputs'!$C$5,'Fuel &amp; Inputs'!$C$4),1),MROUND(J365*$M365*IF($H365="Petrol",'Fuel &amp; Inputs'!$C$5,'Fuel &amp; Inputs'!$C$4),10)))</f>
        <v>145</v>
      </c>
      <c r="O365" s="20" t="n">
        <f aca="false">IF(K365=0,0,IF($I365="L/km",MROUND(K365*$M365*IF($H365="Petrol",'Fuel &amp; Inputs'!$C$5,'Fuel &amp; Inputs'!$C$4),1),MROUND(K365*$M365*IF($H365="Petrol",'Fuel &amp; Inputs'!$C$5,'Fuel &amp; Inputs'!$C$4),10)))</f>
        <v>182</v>
      </c>
      <c r="P365" s="20" t="n">
        <f aca="false">IF(L365=0,0,IF($I365="L/km",MROUND(L365*$M365*IF($H365="Petrol",'Fuel &amp; Inputs'!$C$5,'Fuel &amp; Inputs'!$C$4),1),MROUND(L365*$M365*IF($H365="Petrol",'Fuel &amp; Inputs'!$C$5,'Fuel &amp; Inputs'!$C$4),10)))</f>
        <v>233</v>
      </c>
      <c r="Q365" s="17" t="s">
        <v>597</v>
      </c>
      <c r="R365" s="21" t="n">
        <v>1270</v>
      </c>
      <c r="S365" s="20" t="n">
        <f aca="false">MROUND(R365+'Fuel &amp; Inputs'!$C$13,50)</f>
        <v>2050</v>
      </c>
      <c r="T365" s="21" t="n">
        <v>2670</v>
      </c>
      <c r="U365" s="20" t="n">
        <f aca="false">MROUND(R365*'Fuel &amp; Inputs'!$C$19*'Fuel &amp; Inputs'!$C$21,100)</f>
        <v>4800</v>
      </c>
      <c r="V365" s="20" t="n">
        <f aca="false">MROUND(S365*'Fuel &amp; Inputs'!$C$19*'Fuel &amp; Inputs'!$C$21,100)</f>
        <v>7800</v>
      </c>
      <c r="W365" s="20" t="n">
        <f aca="false">MROUND(T365*'Fuel &amp; Inputs'!$C$19*'Fuel &amp; Inputs'!$C$21,100)</f>
        <v>10100</v>
      </c>
      <c r="X365" s="20" t="n">
        <f aca="false">MROUND(R365*'Fuel &amp; Inputs'!$C$20*'Fuel &amp; Inputs'!$C$22,500)</f>
        <v>129500</v>
      </c>
      <c r="Y365" s="20" t="n">
        <f aca="false">MROUND(S365*'Fuel &amp; Inputs'!$C$20*'Fuel &amp; Inputs'!$C$22,500)</f>
        <v>209000</v>
      </c>
      <c r="Z365" s="20" t="n">
        <f aca="false">MROUND(T365*'Fuel &amp; Inputs'!$C$20*'Fuel &amp; Inputs'!$C$22,500)</f>
        <v>272500</v>
      </c>
    </row>
    <row r="366" customFormat="false" ht="23.85" hidden="false" customHeight="false" outlineLevel="0" collapsed="false">
      <c r="A366" s="23" t="n">
        <v>342</v>
      </c>
      <c r="B366" s="34" t="s">
        <v>106</v>
      </c>
      <c r="C366" s="34" t="s">
        <v>592</v>
      </c>
      <c r="D366" s="34" t="s">
        <v>907</v>
      </c>
      <c r="E366" s="23" t="s">
        <v>166</v>
      </c>
      <c r="F366" s="23" t="s">
        <v>910</v>
      </c>
      <c r="G366" s="23" t="s">
        <v>911</v>
      </c>
      <c r="H366" s="23" t="s">
        <v>153</v>
      </c>
      <c r="I366" s="23" t="s">
        <v>596</v>
      </c>
      <c r="J366" s="36" t="n">
        <v>0.345</v>
      </c>
      <c r="K366" s="36" t="n">
        <v>0.435</v>
      </c>
      <c r="L366" s="36" t="n">
        <v>0.556</v>
      </c>
      <c r="M366" s="35" t="n">
        <v>1.098</v>
      </c>
      <c r="N366" s="26" t="n">
        <f aca="false">IF(J366=0,0,IF($I366="L/km",MROUND(J366*$M366*IF($H366="Petrol",'Fuel &amp; Inputs'!$C$5,'Fuel &amp; Inputs'!$C$4),1),MROUND(J366*$M366*IF($H366="Petrol",'Fuel &amp; Inputs'!$C$5,'Fuel &amp; Inputs'!$C$4),10)))</f>
        <v>145</v>
      </c>
      <c r="O366" s="26" t="n">
        <f aca="false">IF(K366=0,0,IF($I366="L/km",MROUND(K366*$M366*IF($H366="Petrol",'Fuel &amp; Inputs'!$C$5,'Fuel &amp; Inputs'!$C$4),1),MROUND(K366*$M366*IF($H366="Petrol",'Fuel &amp; Inputs'!$C$5,'Fuel &amp; Inputs'!$C$4),10)))</f>
        <v>182</v>
      </c>
      <c r="P366" s="26" t="n">
        <f aca="false">IF(L366=0,0,IF($I366="L/km",MROUND(L366*$M366*IF($H366="Petrol",'Fuel &amp; Inputs'!$C$5,'Fuel &amp; Inputs'!$C$4),1),MROUND(L366*$M366*IF($H366="Petrol",'Fuel &amp; Inputs'!$C$5,'Fuel &amp; Inputs'!$C$4),10)))</f>
        <v>233</v>
      </c>
      <c r="Q366" s="23" t="s">
        <v>597</v>
      </c>
      <c r="R366" s="27" t="n">
        <v>1270</v>
      </c>
      <c r="S366" s="26" t="n">
        <f aca="false">MROUND(R366+'Fuel &amp; Inputs'!$C$13,50)</f>
        <v>2050</v>
      </c>
      <c r="T366" s="27" t="n">
        <v>2670</v>
      </c>
      <c r="U366" s="26" t="n">
        <f aca="false">MROUND(R366*'Fuel &amp; Inputs'!$C$19*'Fuel &amp; Inputs'!$C$21,100)</f>
        <v>4800</v>
      </c>
      <c r="V366" s="26" t="n">
        <f aca="false">MROUND(S366*'Fuel &amp; Inputs'!$C$19*'Fuel &amp; Inputs'!$C$21,100)</f>
        <v>7800</v>
      </c>
      <c r="W366" s="26" t="n">
        <f aca="false">MROUND(T366*'Fuel &amp; Inputs'!$C$19*'Fuel &amp; Inputs'!$C$21,100)</f>
        <v>10100</v>
      </c>
      <c r="X366" s="26" t="n">
        <f aca="false">MROUND(R366*'Fuel &amp; Inputs'!$C$20*'Fuel &amp; Inputs'!$C$22,500)</f>
        <v>129500</v>
      </c>
      <c r="Y366" s="26" t="n">
        <f aca="false">MROUND(S366*'Fuel &amp; Inputs'!$C$20*'Fuel &amp; Inputs'!$C$22,500)</f>
        <v>209000</v>
      </c>
      <c r="Z366" s="26" t="n">
        <f aca="false">MROUND(T366*'Fuel &amp; Inputs'!$C$20*'Fuel &amp; Inputs'!$C$22,500)</f>
        <v>272500</v>
      </c>
    </row>
    <row r="367" customFormat="false" ht="23.85" hidden="false" customHeight="false" outlineLevel="0" collapsed="false">
      <c r="A367" s="17" t="n">
        <v>343</v>
      </c>
      <c r="B367" s="32" t="s">
        <v>106</v>
      </c>
      <c r="C367" s="32" t="s">
        <v>249</v>
      </c>
      <c r="D367" s="32" t="s">
        <v>895</v>
      </c>
      <c r="E367" s="17" t="s">
        <v>166</v>
      </c>
      <c r="F367" s="17" t="s">
        <v>912</v>
      </c>
      <c r="G367" s="17" t="s">
        <v>913</v>
      </c>
      <c r="H367" s="17" t="s">
        <v>153</v>
      </c>
      <c r="I367" s="17" t="s">
        <v>596</v>
      </c>
      <c r="J367" s="37" t="n">
        <v>0.156</v>
      </c>
      <c r="K367" s="37" t="n">
        <v>0.2</v>
      </c>
      <c r="L367" s="37" t="n">
        <v>0.25</v>
      </c>
      <c r="M367" s="33" t="n">
        <v>1.098</v>
      </c>
      <c r="N367" s="20" t="n">
        <f aca="false">IF(J367=0,0,IF($I367="L/km",MROUND(J367*$M367*IF($H367="Petrol",'Fuel &amp; Inputs'!$C$5,'Fuel &amp; Inputs'!$C$4),1),MROUND(J367*$M367*IF($H367="Petrol",'Fuel &amp; Inputs'!$C$5,'Fuel &amp; Inputs'!$C$4),10)))</f>
        <v>65</v>
      </c>
      <c r="O367" s="20" t="n">
        <f aca="false">IF(K367=0,0,IF($I367="L/km",MROUND(K367*$M367*IF($H367="Petrol",'Fuel &amp; Inputs'!$C$5,'Fuel &amp; Inputs'!$C$4),1),MROUND(K367*$M367*IF($H367="Petrol",'Fuel &amp; Inputs'!$C$5,'Fuel &amp; Inputs'!$C$4),10)))</f>
        <v>84</v>
      </c>
      <c r="P367" s="20" t="n">
        <f aca="false">IF(L367=0,0,IF($I367="L/km",MROUND(L367*$M367*IF($H367="Petrol",'Fuel &amp; Inputs'!$C$5,'Fuel &amp; Inputs'!$C$4),1),MROUND(L367*$M367*IF($H367="Petrol",'Fuel &amp; Inputs'!$C$5,'Fuel &amp; Inputs'!$C$4),10)))</f>
        <v>105</v>
      </c>
      <c r="Q367" s="17" t="s">
        <v>597</v>
      </c>
      <c r="R367" s="21" t="n">
        <v>1270</v>
      </c>
      <c r="S367" s="20" t="n">
        <f aca="false">MROUND(R367+'Fuel &amp; Inputs'!$C$13,50)</f>
        <v>2050</v>
      </c>
      <c r="T367" s="21" t="n">
        <v>2670</v>
      </c>
      <c r="U367" s="20" t="n">
        <f aca="false">MROUND(R367*'Fuel &amp; Inputs'!$C$19*'Fuel &amp; Inputs'!$C$21,100)</f>
        <v>4800</v>
      </c>
      <c r="V367" s="20" t="n">
        <f aca="false">MROUND(S367*'Fuel &amp; Inputs'!$C$19*'Fuel &amp; Inputs'!$C$21,100)</f>
        <v>7800</v>
      </c>
      <c r="W367" s="20" t="n">
        <f aca="false">MROUND(T367*'Fuel &amp; Inputs'!$C$19*'Fuel &amp; Inputs'!$C$21,100)</f>
        <v>10100</v>
      </c>
      <c r="X367" s="20" t="n">
        <f aca="false">MROUND(R367*'Fuel &amp; Inputs'!$C$20*'Fuel &amp; Inputs'!$C$22,500)</f>
        <v>129500</v>
      </c>
      <c r="Y367" s="20" t="n">
        <f aca="false">MROUND(S367*'Fuel &amp; Inputs'!$C$20*'Fuel &amp; Inputs'!$C$22,500)</f>
        <v>209000</v>
      </c>
      <c r="Z367" s="20" t="n">
        <f aca="false">MROUND(T367*'Fuel &amp; Inputs'!$C$20*'Fuel &amp; Inputs'!$C$22,500)</f>
        <v>272500</v>
      </c>
    </row>
    <row r="368" customFormat="false" ht="23.85" hidden="false" customHeight="false" outlineLevel="0" collapsed="false">
      <c r="A368" s="23" t="n">
        <v>344</v>
      </c>
      <c r="B368" s="34" t="s">
        <v>106</v>
      </c>
      <c r="C368" s="34" t="s">
        <v>249</v>
      </c>
      <c r="D368" s="34" t="s">
        <v>895</v>
      </c>
      <c r="E368" s="23" t="s">
        <v>150</v>
      </c>
      <c r="F368" s="23" t="s">
        <v>914</v>
      </c>
      <c r="G368" s="23" t="s">
        <v>915</v>
      </c>
      <c r="H368" s="23" t="s">
        <v>153</v>
      </c>
      <c r="I368" s="23" t="s">
        <v>596</v>
      </c>
      <c r="J368" s="36" t="n">
        <v>0.156</v>
      </c>
      <c r="K368" s="36" t="n">
        <v>0.2</v>
      </c>
      <c r="L368" s="36" t="n">
        <v>0.25</v>
      </c>
      <c r="M368" s="35" t="n">
        <v>1.035</v>
      </c>
      <c r="N368" s="26" t="n">
        <f aca="false">IF(J368=0,0,IF($I368="L/km",MROUND(J368*$M368*IF($H368="Petrol",'Fuel &amp; Inputs'!$C$5,'Fuel &amp; Inputs'!$C$4),1),MROUND(J368*$M368*IF($H368="Petrol",'Fuel &amp; Inputs'!$C$5,'Fuel &amp; Inputs'!$C$4),10)))</f>
        <v>62</v>
      </c>
      <c r="O368" s="26" t="n">
        <f aca="false">IF(K368=0,0,IF($I368="L/km",MROUND(K368*$M368*IF($H368="Petrol",'Fuel &amp; Inputs'!$C$5,'Fuel &amp; Inputs'!$C$4),1),MROUND(K368*$M368*IF($H368="Petrol",'Fuel &amp; Inputs'!$C$5,'Fuel &amp; Inputs'!$C$4),10)))</f>
        <v>79</v>
      </c>
      <c r="P368" s="26" t="n">
        <f aca="false">IF(L368=0,0,IF($I368="L/km",MROUND(L368*$M368*IF($H368="Petrol",'Fuel &amp; Inputs'!$C$5,'Fuel &amp; Inputs'!$C$4),1),MROUND(L368*$M368*IF($H368="Petrol",'Fuel &amp; Inputs'!$C$5,'Fuel &amp; Inputs'!$C$4),10)))</f>
        <v>99</v>
      </c>
      <c r="Q368" s="23" t="s">
        <v>597</v>
      </c>
      <c r="R368" s="27" t="n">
        <v>1270</v>
      </c>
      <c r="S368" s="26" t="n">
        <f aca="false">MROUND(R368+'Fuel &amp; Inputs'!$C$13,50)</f>
        <v>2050</v>
      </c>
      <c r="T368" s="27" t="n">
        <v>2670</v>
      </c>
      <c r="U368" s="26" t="n">
        <f aca="false">MROUND(R368*'Fuel &amp; Inputs'!$C$19*'Fuel &amp; Inputs'!$C$21,100)</f>
        <v>4800</v>
      </c>
      <c r="V368" s="26" t="n">
        <f aca="false">MROUND(S368*'Fuel &amp; Inputs'!$C$19*'Fuel &amp; Inputs'!$C$21,100)</f>
        <v>7800</v>
      </c>
      <c r="W368" s="26" t="n">
        <f aca="false">MROUND(T368*'Fuel &amp; Inputs'!$C$19*'Fuel &amp; Inputs'!$C$21,100)</f>
        <v>10100</v>
      </c>
      <c r="X368" s="26" t="n">
        <f aca="false">MROUND(R368*'Fuel &amp; Inputs'!$C$20*'Fuel &amp; Inputs'!$C$22,500)</f>
        <v>129500</v>
      </c>
      <c r="Y368" s="26" t="n">
        <f aca="false">MROUND(S368*'Fuel &amp; Inputs'!$C$20*'Fuel &amp; Inputs'!$C$22,500)</f>
        <v>209000</v>
      </c>
      <c r="Z368" s="26" t="n">
        <f aca="false">MROUND(T368*'Fuel &amp; Inputs'!$C$20*'Fuel &amp; Inputs'!$C$22,500)</f>
        <v>272500</v>
      </c>
    </row>
    <row r="369" customFormat="false" ht="23.85" hidden="false" customHeight="false" outlineLevel="0" collapsed="false">
      <c r="A369" s="17" t="n">
        <v>345</v>
      </c>
      <c r="B369" s="32" t="s">
        <v>106</v>
      </c>
      <c r="C369" s="32" t="s">
        <v>249</v>
      </c>
      <c r="D369" s="32" t="s">
        <v>916</v>
      </c>
      <c r="E369" s="17" t="s">
        <v>166</v>
      </c>
      <c r="F369" s="17" t="s">
        <v>917</v>
      </c>
      <c r="G369" s="17" t="s">
        <v>918</v>
      </c>
      <c r="H369" s="17" t="s">
        <v>153</v>
      </c>
      <c r="I369" s="17" t="s">
        <v>596</v>
      </c>
      <c r="J369" s="37" t="n">
        <v>0.204</v>
      </c>
      <c r="K369" s="37" t="n">
        <v>0.263</v>
      </c>
      <c r="L369" s="37" t="n">
        <v>0.333</v>
      </c>
      <c r="M369" s="33" t="n">
        <v>1.098</v>
      </c>
      <c r="N369" s="20" t="n">
        <f aca="false">IF(J369=0,0,IF($I369="L/km",MROUND(J369*$M369*IF($H369="Petrol",'Fuel &amp; Inputs'!$C$5,'Fuel &amp; Inputs'!$C$4),1),MROUND(J369*$M369*IF($H369="Petrol",'Fuel &amp; Inputs'!$C$5,'Fuel &amp; Inputs'!$C$4),10)))</f>
        <v>86</v>
      </c>
      <c r="O369" s="20" t="n">
        <f aca="false">IF(K369=0,0,IF($I369="L/km",MROUND(K369*$M369*IF($H369="Petrol",'Fuel &amp; Inputs'!$C$5,'Fuel &amp; Inputs'!$C$4),1),MROUND(K369*$M369*IF($H369="Petrol",'Fuel &amp; Inputs'!$C$5,'Fuel &amp; Inputs'!$C$4),10)))</f>
        <v>110</v>
      </c>
      <c r="P369" s="20" t="n">
        <f aca="false">IF(L369=0,0,IF($I369="L/km",MROUND(L369*$M369*IF($H369="Petrol",'Fuel &amp; Inputs'!$C$5,'Fuel &amp; Inputs'!$C$4),1),MROUND(L369*$M369*IF($H369="Petrol",'Fuel &amp; Inputs'!$C$5,'Fuel &amp; Inputs'!$C$4),10)))</f>
        <v>140</v>
      </c>
      <c r="Q369" s="17" t="s">
        <v>597</v>
      </c>
      <c r="R369" s="21" t="n">
        <v>1270</v>
      </c>
      <c r="S369" s="20" t="n">
        <f aca="false">MROUND(R369+'Fuel &amp; Inputs'!$C$13,50)</f>
        <v>2050</v>
      </c>
      <c r="T369" s="21" t="n">
        <v>2670</v>
      </c>
      <c r="U369" s="20" t="n">
        <f aca="false">MROUND(R369*'Fuel &amp; Inputs'!$C$19*'Fuel &amp; Inputs'!$C$21,100)</f>
        <v>4800</v>
      </c>
      <c r="V369" s="20" t="n">
        <f aca="false">MROUND(S369*'Fuel &amp; Inputs'!$C$19*'Fuel &amp; Inputs'!$C$21,100)</f>
        <v>7800</v>
      </c>
      <c r="W369" s="20" t="n">
        <f aca="false">MROUND(T369*'Fuel &amp; Inputs'!$C$19*'Fuel &amp; Inputs'!$C$21,100)</f>
        <v>10100</v>
      </c>
      <c r="X369" s="20" t="n">
        <f aca="false">MROUND(R369*'Fuel &amp; Inputs'!$C$20*'Fuel &amp; Inputs'!$C$22,500)</f>
        <v>129500</v>
      </c>
      <c r="Y369" s="20" t="n">
        <f aca="false">MROUND(S369*'Fuel &amp; Inputs'!$C$20*'Fuel &amp; Inputs'!$C$22,500)</f>
        <v>209000</v>
      </c>
      <c r="Z369" s="20" t="n">
        <f aca="false">MROUND(T369*'Fuel &amp; Inputs'!$C$20*'Fuel &amp; Inputs'!$C$22,500)</f>
        <v>272500</v>
      </c>
    </row>
    <row r="370" customFormat="false" ht="23.85" hidden="false" customHeight="false" outlineLevel="0" collapsed="false">
      <c r="A370" s="23" t="n">
        <v>346</v>
      </c>
      <c r="B370" s="34" t="s">
        <v>106</v>
      </c>
      <c r="C370" s="34" t="s">
        <v>249</v>
      </c>
      <c r="D370" s="34" t="s">
        <v>916</v>
      </c>
      <c r="E370" s="23" t="s">
        <v>150</v>
      </c>
      <c r="F370" s="23" t="s">
        <v>919</v>
      </c>
      <c r="G370" s="23" t="s">
        <v>920</v>
      </c>
      <c r="H370" s="23" t="s">
        <v>153</v>
      </c>
      <c r="I370" s="23" t="s">
        <v>596</v>
      </c>
      <c r="J370" s="36" t="n">
        <v>0.204</v>
      </c>
      <c r="K370" s="36" t="n">
        <v>0.263</v>
      </c>
      <c r="L370" s="36" t="n">
        <v>0.333</v>
      </c>
      <c r="M370" s="35" t="n">
        <v>1.035</v>
      </c>
      <c r="N370" s="26" t="n">
        <f aca="false">IF(J370=0,0,IF($I370="L/km",MROUND(J370*$M370*IF($H370="Petrol",'Fuel &amp; Inputs'!$C$5,'Fuel &amp; Inputs'!$C$4),1),MROUND(J370*$M370*IF($H370="Petrol",'Fuel &amp; Inputs'!$C$5,'Fuel &amp; Inputs'!$C$4),10)))</f>
        <v>81</v>
      </c>
      <c r="O370" s="26" t="n">
        <f aca="false">IF(K370=0,0,IF($I370="L/km",MROUND(K370*$M370*IF($H370="Petrol",'Fuel &amp; Inputs'!$C$5,'Fuel &amp; Inputs'!$C$4),1),MROUND(K370*$M370*IF($H370="Petrol",'Fuel &amp; Inputs'!$C$5,'Fuel &amp; Inputs'!$C$4),10)))</f>
        <v>104</v>
      </c>
      <c r="P370" s="26" t="n">
        <f aca="false">IF(L370=0,0,IF($I370="L/km",MROUND(L370*$M370*IF($H370="Petrol",'Fuel &amp; Inputs'!$C$5,'Fuel &amp; Inputs'!$C$4),1),MROUND(L370*$M370*IF($H370="Petrol",'Fuel &amp; Inputs'!$C$5,'Fuel &amp; Inputs'!$C$4),10)))</f>
        <v>132</v>
      </c>
      <c r="Q370" s="23" t="s">
        <v>597</v>
      </c>
      <c r="R370" s="27" t="n">
        <v>1270</v>
      </c>
      <c r="S370" s="26" t="n">
        <f aca="false">MROUND(R370+'Fuel &amp; Inputs'!$C$13,50)</f>
        <v>2050</v>
      </c>
      <c r="T370" s="27" t="n">
        <v>2670</v>
      </c>
      <c r="U370" s="26" t="n">
        <f aca="false">MROUND(R370*'Fuel &amp; Inputs'!$C$19*'Fuel &amp; Inputs'!$C$21,100)</f>
        <v>4800</v>
      </c>
      <c r="V370" s="26" t="n">
        <f aca="false">MROUND(S370*'Fuel &amp; Inputs'!$C$19*'Fuel &amp; Inputs'!$C$21,100)</f>
        <v>7800</v>
      </c>
      <c r="W370" s="26" t="n">
        <f aca="false">MROUND(T370*'Fuel &amp; Inputs'!$C$19*'Fuel &amp; Inputs'!$C$21,100)</f>
        <v>10100</v>
      </c>
      <c r="X370" s="26" t="n">
        <f aca="false">MROUND(R370*'Fuel &amp; Inputs'!$C$20*'Fuel &amp; Inputs'!$C$22,500)</f>
        <v>129500</v>
      </c>
      <c r="Y370" s="26" t="n">
        <f aca="false">MROUND(S370*'Fuel &amp; Inputs'!$C$20*'Fuel &amp; Inputs'!$C$22,500)</f>
        <v>209000</v>
      </c>
      <c r="Z370" s="26" t="n">
        <f aca="false">MROUND(T370*'Fuel &amp; Inputs'!$C$20*'Fuel &amp; Inputs'!$C$22,500)</f>
        <v>272500</v>
      </c>
    </row>
    <row r="371" customFormat="false" ht="23.85" hidden="false" customHeight="false" outlineLevel="0" collapsed="false">
      <c r="A371" s="17" t="n">
        <v>347</v>
      </c>
      <c r="B371" s="32" t="s">
        <v>106</v>
      </c>
      <c r="C371" s="32" t="s">
        <v>249</v>
      </c>
      <c r="D371" s="32" t="s">
        <v>868</v>
      </c>
      <c r="E371" s="17" t="s">
        <v>166</v>
      </c>
      <c r="F371" s="17" t="s">
        <v>921</v>
      </c>
      <c r="G371" s="17" t="s">
        <v>922</v>
      </c>
      <c r="H371" s="17" t="s">
        <v>153</v>
      </c>
      <c r="I371" s="17" t="s">
        <v>596</v>
      </c>
      <c r="J371" s="37" t="n">
        <v>0.263</v>
      </c>
      <c r="K371" s="37" t="n">
        <v>0.333</v>
      </c>
      <c r="L371" s="37" t="n">
        <v>0.417</v>
      </c>
      <c r="M371" s="33" t="n">
        <v>1.098</v>
      </c>
      <c r="N371" s="20" t="n">
        <f aca="false">IF(J371=0,0,IF($I371="L/km",MROUND(J371*$M371*IF($H371="Petrol",'Fuel &amp; Inputs'!$C$5,'Fuel &amp; Inputs'!$C$4),1),MROUND(J371*$M371*IF($H371="Petrol",'Fuel &amp; Inputs'!$C$5,'Fuel &amp; Inputs'!$C$4),10)))</f>
        <v>110</v>
      </c>
      <c r="O371" s="20" t="n">
        <f aca="false">IF(K371=0,0,IF($I371="L/km",MROUND(K371*$M371*IF($H371="Petrol",'Fuel &amp; Inputs'!$C$5,'Fuel &amp; Inputs'!$C$4),1),MROUND(K371*$M371*IF($H371="Petrol",'Fuel &amp; Inputs'!$C$5,'Fuel &amp; Inputs'!$C$4),10)))</f>
        <v>140</v>
      </c>
      <c r="P371" s="20" t="n">
        <f aca="false">IF(L371=0,0,IF($I371="L/km",MROUND(L371*$M371*IF($H371="Petrol",'Fuel &amp; Inputs'!$C$5,'Fuel &amp; Inputs'!$C$4),1),MROUND(L371*$M371*IF($H371="Petrol",'Fuel &amp; Inputs'!$C$5,'Fuel &amp; Inputs'!$C$4),10)))</f>
        <v>175</v>
      </c>
      <c r="Q371" s="17" t="s">
        <v>597</v>
      </c>
      <c r="R371" s="21" t="n">
        <v>1270</v>
      </c>
      <c r="S371" s="20" t="n">
        <f aca="false">MROUND(R371+'Fuel &amp; Inputs'!$C$13,50)</f>
        <v>2050</v>
      </c>
      <c r="T371" s="21" t="n">
        <v>2670</v>
      </c>
      <c r="U371" s="20" t="n">
        <f aca="false">MROUND(R371*'Fuel &amp; Inputs'!$C$19*'Fuel &amp; Inputs'!$C$21,100)</f>
        <v>4800</v>
      </c>
      <c r="V371" s="20" t="n">
        <f aca="false">MROUND(S371*'Fuel &amp; Inputs'!$C$19*'Fuel &amp; Inputs'!$C$21,100)</f>
        <v>7800</v>
      </c>
      <c r="W371" s="20" t="n">
        <f aca="false">MROUND(T371*'Fuel &amp; Inputs'!$C$19*'Fuel &amp; Inputs'!$C$21,100)</f>
        <v>10100</v>
      </c>
      <c r="X371" s="20" t="n">
        <f aca="false">MROUND(R371*'Fuel &amp; Inputs'!$C$20*'Fuel &amp; Inputs'!$C$22,500)</f>
        <v>129500</v>
      </c>
      <c r="Y371" s="20" t="n">
        <f aca="false">MROUND(S371*'Fuel &amp; Inputs'!$C$20*'Fuel &amp; Inputs'!$C$22,500)</f>
        <v>209000</v>
      </c>
      <c r="Z371" s="20" t="n">
        <f aca="false">MROUND(T371*'Fuel &amp; Inputs'!$C$20*'Fuel &amp; Inputs'!$C$22,500)</f>
        <v>272500</v>
      </c>
    </row>
    <row r="372" customFormat="false" ht="23.85" hidden="false" customHeight="false" outlineLevel="0" collapsed="false">
      <c r="A372" s="23" t="n">
        <v>348</v>
      </c>
      <c r="B372" s="34" t="s">
        <v>106</v>
      </c>
      <c r="C372" s="34" t="s">
        <v>249</v>
      </c>
      <c r="D372" s="34" t="s">
        <v>868</v>
      </c>
      <c r="E372" s="23" t="s">
        <v>166</v>
      </c>
      <c r="F372" s="23" t="s">
        <v>223</v>
      </c>
      <c r="G372" s="23" t="s">
        <v>789</v>
      </c>
      <c r="H372" s="23" t="s">
        <v>153</v>
      </c>
      <c r="I372" s="23" t="s">
        <v>596</v>
      </c>
      <c r="J372" s="36" t="n">
        <v>0.263</v>
      </c>
      <c r="K372" s="36" t="n">
        <v>0.333</v>
      </c>
      <c r="L372" s="36" t="n">
        <v>0.417</v>
      </c>
      <c r="M372" s="35" t="n">
        <v>1.098</v>
      </c>
      <c r="N372" s="26" t="n">
        <f aca="false">IF(J372=0,0,IF($I372="L/km",MROUND(J372*$M372*IF($H372="Petrol",'Fuel &amp; Inputs'!$C$5,'Fuel &amp; Inputs'!$C$4),1),MROUND(J372*$M372*IF($H372="Petrol",'Fuel &amp; Inputs'!$C$5,'Fuel &amp; Inputs'!$C$4),10)))</f>
        <v>110</v>
      </c>
      <c r="O372" s="26" t="n">
        <f aca="false">IF(K372=0,0,IF($I372="L/km",MROUND(K372*$M372*IF($H372="Petrol",'Fuel &amp; Inputs'!$C$5,'Fuel &amp; Inputs'!$C$4),1),MROUND(K372*$M372*IF($H372="Petrol",'Fuel &amp; Inputs'!$C$5,'Fuel &amp; Inputs'!$C$4),10)))</f>
        <v>140</v>
      </c>
      <c r="P372" s="26" t="n">
        <f aca="false">IF(L372=0,0,IF($I372="L/km",MROUND(L372*$M372*IF($H372="Petrol",'Fuel &amp; Inputs'!$C$5,'Fuel &amp; Inputs'!$C$4),1),MROUND(L372*$M372*IF($H372="Petrol",'Fuel &amp; Inputs'!$C$5,'Fuel &amp; Inputs'!$C$4),10)))</f>
        <v>175</v>
      </c>
      <c r="Q372" s="23" t="s">
        <v>597</v>
      </c>
      <c r="R372" s="27" t="n">
        <v>1270</v>
      </c>
      <c r="S372" s="26" t="n">
        <f aca="false">MROUND(R372+'Fuel &amp; Inputs'!$C$13,50)</f>
        <v>2050</v>
      </c>
      <c r="T372" s="27" t="n">
        <v>2670</v>
      </c>
      <c r="U372" s="26" t="n">
        <f aca="false">MROUND(R372*'Fuel &amp; Inputs'!$C$19*'Fuel &amp; Inputs'!$C$21,100)</f>
        <v>4800</v>
      </c>
      <c r="V372" s="26" t="n">
        <f aca="false">MROUND(S372*'Fuel &amp; Inputs'!$C$19*'Fuel &amp; Inputs'!$C$21,100)</f>
        <v>7800</v>
      </c>
      <c r="W372" s="26" t="n">
        <f aca="false">MROUND(T372*'Fuel &amp; Inputs'!$C$19*'Fuel &amp; Inputs'!$C$21,100)</f>
        <v>10100</v>
      </c>
      <c r="X372" s="26" t="n">
        <f aca="false">MROUND(R372*'Fuel &amp; Inputs'!$C$20*'Fuel &amp; Inputs'!$C$22,500)</f>
        <v>129500</v>
      </c>
      <c r="Y372" s="26" t="n">
        <f aca="false">MROUND(S372*'Fuel &amp; Inputs'!$C$20*'Fuel &amp; Inputs'!$C$22,500)</f>
        <v>209000</v>
      </c>
      <c r="Z372" s="26" t="n">
        <f aca="false">MROUND(T372*'Fuel &amp; Inputs'!$C$20*'Fuel &amp; Inputs'!$C$22,500)</f>
        <v>272500</v>
      </c>
    </row>
    <row r="373" customFormat="false" ht="23.85" hidden="false" customHeight="false" outlineLevel="0" collapsed="false">
      <c r="A373" s="17" t="n">
        <v>349</v>
      </c>
      <c r="B373" s="32" t="s">
        <v>106</v>
      </c>
      <c r="C373" s="32" t="s">
        <v>592</v>
      </c>
      <c r="D373" s="32" t="s">
        <v>907</v>
      </c>
      <c r="E373" s="17" t="s">
        <v>603</v>
      </c>
      <c r="F373" s="17" t="s">
        <v>923</v>
      </c>
      <c r="G373" s="17" t="s">
        <v>924</v>
      </c>
      <c r="H373" s="17" t="s">
        <v>153</v>
      </c>
      <c r="I373" s="17" t="s">
        <v>596</v>
      </c>
      <c r="J373" s="37" t="n">
        <v>0.345</v>
      </c>
      <c r="K373" s="37" t="n">
        <v>0.435</v>
      </c>
      <c r="L373" s="37" t="n">
        <v>0.556</v>
      </c>
      <c r="M373" s="33" t="n">
        <v>1.105</v>
      </c>
      <c r="N373" s="20" t="n">
        <f aca="false">IF(J373=0,0,IF($I373="L/km",MROUND(J373*$M373*IF($H373="Petrol",'Fuel &amp; Inputs'!$C$5,'Fuel &amp; Inputs'!$C$4),1),MROUND(J373*$M373*IF($H373="Petrol",'Fuel &amp; Inputs'!$C$5,'Fuel &amp; Inputs'!$C$4),10)))</f>
        <v>146</v>
      </c>
      <c r="O373" s="20" t="n">
        <f aca="false">IF(K373=0,0,IF($I373="L/km",MROUND(K373*$M373*IF($H373="Petrol",'Fuel &amp; Inputs'!$C$5,'Fuel &amp; Inputs'!$C$4),1),MROUND(K373*$M373*IF($H373="Petrol",'Fuel &amp; Inputs'!$C$5,'Fuel &amp; Inputs'!$C$4),10)))</f>
        <v>184</v>
      </c>
      <c r="P373" s="20" t="n">
        <f aca="false">IF(L373=0,0,IF($I373="L/km",MROUND(L373*$M373*IF($H373="Petrol",'Fuel &amp; Inputs'!$C$5,'Fuel &amp; Inputs'!$C$4),1),MROUND(L373*$M373*IF($H373="Petrol",'Fuel &amp; Inputs'!$C$5,'Fuel &amp; Inputs'!$C$4),10)))</f>
        <v>235</v>
      </c>
      <c r="Q373" s="17" t="s">
        <v>597</v>
      </c>
      <c r="R373" s="21" t="n">
        <v>1270</v>
      </c>
      <c r="S373" s="20" t="n">
        <f aca="false">MROUND(R373+'Fuel &amp; Inputs'!$C$13,50)</f>
        <v>2050</v>
      </c>
      <c r="T373" s="21" t="n">
        <v>2670</v>
      </c>
      <c r="U373" s="20" t="n">
        <f aca="false">MROUND(R373*'Fuel &amp; Inputs'!$C$19*'Fuel &amp; Inputs'!$C$21,100)</f>
        <v>4800</v>
      </c>
      <c r="V373" s="20" t="n">
        <f aca="false">MROUND(S373*'Fuel &amp; Inputs'!$C$19*'Fuel &amp; Inputs'!$C$21,100)</f>
        <v>7800</v>
      </c>
      <c r="W373" s="20" t="n">
        <f aca="false">MROUND(T373*'Fuel &amp; Inputs'!$C$19*'Fuel &amp; Inputs'!$C$21,100)</f>
        <v>10100</v>
      </c>
      <c r="X373" s="20" t="n">
        <f aca="false">MROUND(R373*'Fuel &amp; Inputs'!$C$20*'Fuel &amp; Inputs'!$C$22,500)</f>
        <v>129500</v>
      </c>
      <c r="Y373" s="20" t="n">
        <f aca="false">MROUND(S373*'Fuel &amp; Inputs'!$C$20*'Fuel &amp; Inputs'!$C$22,500)</f>
        <v>209000</v>
      </c>
      <c r="Z373" s="20" t="n">
        <f aca="false">MROUND(T373*'Fuel &amp; Inputs'!$C$20*'Fuel &amp; Inputs'!$C$22,500)</f>
        <v>272500</v>
      </c>
    </row>
    <row r="374" customFormat="false" ht="23.85" hidden="false" customHeight="false" outlineLevel="0" collapsed="false">
      <c r="A374" s="23" t="n">
        <v>350</v>
      </c>
      <c r="B374" s="34" t="s">
        <v>106</v>
      </c>
      <c r="C374" s="34" t="s">
        <v>259</v>
      </c>
      <c r="D374" s="34" t="s">
        <v>925</v>
      </c>
      <c r="E374" s="23" t="s">
        <v>603</v>
      </c>
      <c r="F374" s="23" t="s">
        <v>926</v>
      </c>
      <c r="G374" s="23" t="s">
        <v>927</v>
      </c>
      <c r="H374" s="23" t="s">
        <v>153</v>
      </c>
      <c r="I374" s="23" t="s">
        <v>596</v>
      </c>
      <c r="J374" s="36" t="n">
        <v>0.263</v>
      </c>
      <c r="K374" s="36" t="n">
        <v>0.333</v>
      </c>
      <c r="L374" s="36" t="n">
        <v>0.417</v>
      </c>
      <c r="M374" s="35" t="n">
        <v>1.105</v>
      </c>
      <c r="N374" s="26" t="n">
        <f aca="false">IF(J374=0,0,IF($I374="L/km",MROUND(J374*$M374*IF($H374="Petrol",'Fuel &amp; Inputs'!$C$5,'Fuel &amp; Inputs'!$C$4),1),MROUND(J374*$M374*IF($H374="Petrol",'Fuel &amp; Inputs'!$C$5,'Fuel &amp; Inputs'!$C$4),10)))</f>
        <v>111</v>
      </c>
      <c r="O374" s="26" t="n">
        <f aca="false">IF(K374=0,0,IF($I374="L/km",MROUND(K374*$M374*IF($H374="Petrol",'Fuel &amp; Inputs'!$C$5,'Fuel &amp; Inputs'!$C$4),1),MROUND(K374*$M374*IF($H374="Petrol",'Fuel &amp; Inputs'!$C$5,'Fuel &amp; Inputs'!$C$4),10)))</f>
        <v>141</v>
      </c>
      <c r="P374" s="26" t="n">
        <f aca="false">IF(L374=0,0,IF($I374="L/km",MROUND(L374*$M374*IF($H374="Petrol",'Fuel &amp; Inputs'!$C$5,'Fuel &amp; Inputs'!$C$4),1),MROUND(L374*$M374*IF($H374="Petrol",'Fuel &amp; Inputs'!$C$5,'Fuel &amp; Inputs'!$C$4),10)))</f>
        <v>176</v>
      </c>
      <c r="Q374" s="23" t="s">
        <v>597</v>
      </c>
      <c r="R374" s="27" t="n">
        <v>1270</v>
      </c>
      <c r="S374" s="26" t="n">
        <f aca="false">MROUND(R374+'Fuel &amp; Inputs'!$C$13,50)</f>
        <v>2050</v>
      </c>
      <c r="T374" s="27" t="n">
        <v>2670</v>
      </c>
      <c r="U374" s="26" t="n">
        <f aca="false">MROUND(R374*'Fuel &amp; Inputs'!$C$19*'Fuel &amp; Inputs'!$C$21,100)</f>
        <v>4800</v>
      </c>
      <c r="V374" s="26" t="n">
        <f aca="false">MROUND(S374*'Fuel &amp; Inputs'!$C$19*'Fuel &amp; Inputs'!$C$21,100)</f>
        <v>7800</v>
      </c>
      <c r="W374" s="26" t="n">
        <f aca="false">MROUND(T374*'Fuel &amp; Inputs'!$C$19*'Fuel &amp; Inputs'!$C$21,100)</f>
        <v>10100</v>
      </c>
      <c r="X374" s="26" t="n">
        <f aca="false">MROUND(R374*'Fuel &amp; Inputs'!$C$20*'Fuel &amp; Inputs'!$C$22,500)</f>
        <v>129500</v>
      </c>
      <c r="Y374" s="26" t="n">
        <f aca="false">MROUND(S374*'Fuel &amp; Inputs'!$C$20*'Fuel &amp; Inputs'!$C$22,500)</f>
        <v>209000</v>
      </c>
      <c r="Z374" s="26" t="n">
        <f aca="false">MROUND(T374*'Fuel &amp; Inputs'!$C$20*'Fuel &amp; Inputs'!$C$22,500)</f>
        <v>272500</v>
      </c>
    </row>
    <row r="375" customFormat="false" ht="23.85" hidden="false" customHeight="false" outlineLevel="0" collapsed="false">
      <c r="A375" s="17" t="n">
        <v>351</v>
      </c>
      <c r="B375" s="32" t="s">
        <v>106</v>
      </c>
      <c r="C375" s="32" t="s">
        <v>259</v>
      </c>
      <c r="D375" s="32" t="s">
        <v>925</v>
      </c>
      <c r="E375" s="17" t="s">
        <v>603</v>
      </c>
      <c r="F375" s="17" t="s">
        <v>928</v>
      </c>
      <c r="G375" s="17" t="s">
        <v>929</v>
      </c>
      <c r="H375" s="17" t="s">
        <v>153</v>
      </c>
      <c r="I375" s="17" t="s">
        <v>596</v>
      </c>
      <c r="J375" s="37" t="n">
        <v>0.263</v>
      </c>
      <c r="K375" s="37" t="n">
        <v>0.333</v>
      </c>
      <c r="L375" s="37" t="n">
        <v>0.417</v>
      </c>
      <c r="M375" s="33" t="n">
        <v>1.105</v>
      </c>
      <c r="N375" s="20" t="n">
        <f aca="false">IF(J375=0,0,IF($I375="L/km",MROUND(J375*$M375*IF($H375="Petrol",'Fuel &amp; Inputs'!$C$5,'Fuel &amp; Inputs'!$C$4),1),MROUND(J375*$M375*IF($H375="Petrol",'Fuel &amp; Inputs'!$C$5,'Fuel &amp; Inputs'!$C$4),10)))</f>
        <v>111</v>
      </c>
      <c r="O375" s="20" t="n">
        <f aca="false">IF(K375=0,0,IF($I375="L/km",MROUND(K375*$M375*IF($H375="Petrol",'Fuel &amp; Inputs'!$C$5,'Fuel &amp; Inputs'!$C$4),1),MROUND(K375*$M375*IF($H375="Petrol",'Fuel &amp; Inputs'!$C$5,'Fuel &amp; Inputs'!$C$4),10)))</f>
        <v>141</v>
      </c>
      <c r="P375" s="20" t="n">
        <f aca="false">IF(L375=0,0,IF($I375="L/km",MROUND(L375*$M375*IF($H375="Petrol",'Fuel &amp; Inputs'!$C$5,'Fuel &amp; Inputs'!$C$4),1),MROUND(L375*$M375*IF($H375="Petrol",'Fuel &amp; Inputs'!$C$5,'Fuel &amp; Inputs'!$C$4),10)))</f>
        <v>176</v>
      </c>
      <c r="Q375" s="17" t="s">
        <v>597</v>
      </c>
      <c r="R375" s="21" t="n">
        <v>1270</v>
      </c>
      <c r="S375" s="20" t="n">
        <f aca="false">MROUND(R375+'Fuel &amp; Inputs'!$C$13,50)</f>
        <v>2050</v>
      </c>
      <c r="T375" s="21" t="n">
        <v>2670</v>
      </c>
      <c r="U375" s="20" t="n">
        <f aca="false">MROUND(R375*'Fuel &amp; Inputs'!$C$19*'Fuel &amp; Inputs'!$C$21,100)</f>
        <v>4800</v>
      </c>
      <c r="V375" s="20" t="n">
        <f aca="false">MROUND(S375*'Fuel &amp; Inputs'!$C$19*'Fuel &amp; Inputs'!$C$21,100)</f>
        <v>7800</v>
      </c>
      <c r="W375" s="20" t="n">
        <f aca="false">MROUND(T375*'Fuel &amp; Inputs'!$C$19*'Fuel &amp; Inputs'!$C$21,100)</f>
        <v>10100</v>
      </c>
      <c r="X375" s="20" t="n">
        <f aca="false">MROUND(R375*'Fuel &amp; Inputs'!$C$20*'Fuel &amp; Inputs'!$C$22,500)</f>
        <v>129500</v>
      </c>
      <c r="Y375" s="20" t="n">
        <f aca="false">MROUND(S375*'Fuel &amp; Inputs'!$C$20*'Fuel &amp; Inputs'!$C$22,500)</f>
        <v>209000</v>
      </c>
      <c r="Z375" s="20" t="n">
        <f aca="false">MROUND(T375*'Fuel &amp; Inputs'!$C$20*'Fuel &amp; Inputs'!$C$22,500)</f>
        <v>272500</v>
      </c>
    </row>
    <row r="376" customFormat="false" ht="23.85" hidden="false" customHeight="false" outlineLevel="0" collapsed="false">
      <c r="A376" s="23" t="n">
        <v>352</v>
      </c>
      <c r="B376" s="34" t="s">
        <v>106</v>
      </c>
      <c r="C376" s="34" t="s">
        <v>259</v>
      </c>
      <c r="D376" s="34" t="s">
        <v>925</v>
      </c>
      <c r="E376" s="23" t="s">
        <v>603</v>
      </c>
      <c r="F376" s="23" t="s">
        <v>930</v>
      </c>
      <c r="G376" s="23" t="s">
        <v>931</v>
      </c>
      <c r="H376" s="23" t="s">
        <v>153</v>
      </c>
      <c r="I376" s="23" t="s">
        <v>596</v>
      </c>
      <c r="J376" s="36" t="n">
        <v>0.263</v>
      </c>
      <c r="K376" s="36" t="n">
        <v>0.333</v>
      </c>
      <c r="L376" s="36" t="n">
        <v>0.417</v>
      </c>
      <c r="M376" s="35" t="n">
        <v>1.105</v>
      </c>
      <c r="N376" s="26" t="n">
        <f aca="false">IF(J376=0,0,IF($I376="L/km",MROUND(J376*$M376*IF($H376="Petrol",'Fuel &amp; Inputs'!$C$5,'Fuel &amp; Inputs'!$C$4),1),MROUND(J376*$M376*IF($H376="Petrol",'Fuel &amp; Inputs'!$C$5,'Fuel &amp; Inputs'!$C$4),10)))</f>
        <v>111</v>
      </c>
      <c r="O376" s="26" t="n">
        <f aca="false">IF(K376=0,0,IF($I376="L/km",MROUND(K376*$M376*IF($H376="Petrol",'Fuel &amp; Inputs'!$C$5,'Fuel &amp; Inputs'!$C$4),1),MROUND(K376*$M376*IF($H376="Petrol",'Fuel &amp; Inputs'!$C$5,'Fuel &amp; Inputs'!$C$4),10)))</f>
        <v>141</v>
      </c>
      <c r="P376" s="26" t="n">
        <f aca="false">IF(L376=0,0,IF($I376="L/km",MROUND(L376*$M376*IF($H376="Petrol",'Fuel &amp; Inputs'!$C$5,'Fuel &amp; Inputs'!$C$4),1),MROUND(L376*$M376*IF($H376="Petrol",'Fuel &amp; Inputs'!$C$5,'Fuel &amp; Inputs'!$C$4),10)))</f>
        <v>176</v>
      </c>
      <c r="Q376" s="23" t="s">
        <v>597</v>
      </c>
      <c r="R376" s="27" t="n">
        <v>1270</v>
      </c>
      <c r="S376" s="26" t="n">
        <f aca="false">MROUND(R376+'Fuel &amp; Inputs'!$C$13,50)</f>
        <v>2050</v>
      </c>
      <c r="T376" s="27" t="n">
        <v>2670</v>
      </c>
      <c r="U376" s="26" t="n">
        <f aca="false">MROUND(R376*'Fuel &amp; Inputs'!$C$19*'Fuel &amp; Inputs'!$C$21,100)</f>
        <v>4800</v>
      </c>
      <c r="V376" s="26" t="n">
        <f aca="false">MROUND(S376*'Fuel &amp; Inputs'!$C$19*'Fuel &amp; Inputs'!$C$21,100)</f>
        <v>7800</v>
      </c>
      <c r="W376" s="26" t="n">
        <f aca="false">MROUND(T376*'Fuel &amp; Inputs'!$C$19*'Fuel &amp; Inputs'!$C$21,100)</f>
        <v>10100</v>
      </c>
      <c r="X376" s="26" t="n">
        <f aca="false">MROUND(R376*'Fuel &amp; Inputs'!$C$20*'Fuel &amp; Inputs'!$C$22,500)</f>
        <v>129500</v>
      </c>
      <c r="Y376" s="26" t="n">
        <f aca="false">MROUND(S376*'Fuel &amp; Inputs'!$C$20*'Fuel &amp; Inputs'!$C$22,500)</f>
        <v>209000</v>
      </c>
      <c r="Z376" s="26" t="n">
        <f aca="false">MROUND(T376*'Fuel &amp; Inputs'!$C$20*'Fuel &amp; Inputs'!$C$22,500)</f>
        <v>272500</v>
      </c>
    </row>
    <row r="377" customFormat="false" ht="23.85" hidden="false" customHeight="false" outlineLevel="0" collapsed="false">
      <c r="A377" s="17" t="n">
        <v>353</v>
      </c>
      <c r="B377" s="32" t="s">
        <v>106</v>
      </c>
      <c r="C377" s="32" t="s">
        <v>259</v>
      </c>
      <c r="D377" s="32" t="s">
        <v>925</v>
      </c>
      <c r="E377" s="17" t="s">
        <v>603</v>
      </c>
      <c r="F377" s="17" t="s">
        <v>932</v>
      </c>
      <c r="G377" s="17" t="s">
        <v>933</v>
      </c>
      <c r="H377" s="17" t="s">
        <v>153</v>
      </c>
      <c r="I377" s="17" t="s">
        <v>596</v>
      </c>
      <c r="J377" s="37" t="n">
        <v>0.263</v>
      </c>
      <c r="K377" s="37" t="n">
        <v>0.333</v>
      </c>
      <c r="L377" s="37" t="n">
        <v>0.417</v>
      </c>
      <c r="M377" s="33" t="n">
        <v>1.105</v>
      </c>
      <c r="N377" s="20" t="n">
        <f aca="false">IF(J377=0,0,IF($I377="L/km",MROUND(J377*$M377*IF($H377="Petrol",'Fuel &amp; Inputs'!$C$5,'Fuel &amp; Inputs'!$C$4),1),MROUND(J377*$M377*IF($H377="Petrol",'Fuel &amp; Inputs'!$C$5,'Fuel &amp; Inputs'!$C$4),10)))</f>
        <v>111</v>
      </c>
      <c r="O377" s="20" t="n">
        <f aca="false">IF(K377=0,0,IF($I377="L/km",MROUND(K377*$M377*IF($H377="Petrol",'Fuel &amp; Inputs'!$C$5,'Fuel &amp; Inputs'!$C$4),1),MROUND(K377*$M377*IF($H377="Petrol",'Fuel &amp; Inputs'!$C$5,'Fuel &amp; Inputs'!$C$4),10)))</f>
        <v>141</v>
      </c>
      <c r="P377" s="20" t="n">
        <f aca="false">IF(L377=0,0,IF($I377="L/km",MROUND(L377*$M377*IF($H377="Petrol",'Fuel &amp; Inputs'!$C$5,'Fuel &amp; Inputs'!$C$4),1),MROUND(L377*$M377*IF($H377="Petrol",'Fuel &amp; Inputs'!$C$5,'Fuel &amp; Inputs'!$C$4),10)))</f>
        <v>176</v>
      </c>
      <c r="Q377" s="17" t="s">
        <v>597</v>
      </c>
      <c r="R377" s="21" t="n">
        <v>1270</v>
      </c>
      <c r="S377" s="20" t="n">
        <f aca="false">MROUND(R377+'Fuel &amp; Inputs'!$C$13,50)</f>
        <v>2050</v>
      </c>
      <c r="T377" s="21" t="n">
        <v>2670</v>
      </c>
      <c r="U377" s="20" t="n">
        <f aca="false">MROUND(R377*'Fuel &amp; Inputs'!$C$19*'Fuel &amp; Inputs'!$C$21,100)</f>
        <v>4800</v>
      </c>
      <c r="V377" s="20" t="n">
        <f aca="false">MROUND(S377*'Fuel &amp; Inputs'!$C$19*'Fuel &amp; Inputs'!$C$21,100)</f>
        <v>7800</v>
      </c>
      <c r="W377" s="20" t="n">
        <f aca="false">MROUND(T377*'Fuel &amp; Inputs'!$C$19*'Fuel &amp; Inputs'!$C$21,100)</f>
        <v>10100</v>
      </c>
      <c r="X377" s="20" t="n">
        <f aca="false">MROUND(R377*'Fuel &amp; Inputs'!$C$20*'Fuel &amp; Inputs'!$C$22,500)</f>
        <v>129500</v>
      </c>
      <c r="Y377" s="20" t="n">
        <f aca="false">MROUND(S377*'Fuel &amp; Inputs'!$C$20*'Fuel &amp; Inputs'!$C$22,500)</f>
        <v>209000</v>
      </c>
      <c r="Z377" s="20" t="n">
        <f aca="false">MROUND(T377*'Fuel &amp; Inputs'!$C$20*'Fuel &amp; Inputs'!$C$22,500)</f>
        <v>272500</v>
      </c>
    </row>
    <row r="378" customFormat="false" ht="23.85" hidden="false" customHeight="false" outlineLevel="0" collapsed="false">
      <c r="A378" s="23" t="n">
        <v>354</v>
      </c>
      <c r="B378" s="34" t="s">
        <v>106</v>
      </c>
      <c r="C378" s="34" t="s">
        <v>249</v>
      </c>
      <c r="D378" s="34" t="s">
        <v>868</v>
      </c>
      <c r="E378" s="23" t="s">
        <v>603</v>
      </c>
      <c r="F378" s="23" t="s">
        <v>934</v>
      </c>
      <c r="G378" s="23" t="s">
        <v>935</v>
      </c>
      <c r="H378" s="23" t="s">
        <v>153</v>
      </c>
      <c r="I378" s="23" t="s">
        <v>596</v>
      </c>
      <c r="J378" s="36" t="n">
        <v>0.263</v>
      </c>
      <c r="K378" s="36" t="n">
        <v>0.333</v>
      </c>
      <c r="L378" s="36" t="n">
        <v>0.417</v>
      </c>
      <c r="M378" s="35" t="n">
        <v>1.105</v>
      </c>
      <c r="N378" s="26" t="n">
        <f aca="false">IF(J378=0,0,IF($I378="L/km",MROUND(J378*$M378*IF($H378="Petrol",'Fuel &amp; Inputs'!$C$5,'Fuel &amp; Inputs'!$C$4),1),MROUND(J378*$M378*IF($H378="Petrol",'Fuel &amp; Inputs'!$C$5,'Fuel &amp; Inputs'!$C$4),10)))</f>
        <v>111</v>
      </c>
      <c r="O378" s="26" t="n">
        <f aca="false">IF(K378=0,0,IF($I378="L/km",MROUND(K378*$M378*IF($H378="Petrol",'Fuel &amp; Inputs'!$C$5,'Fuel &amp; Inputs'!$C$4),1),MROUND(K378*$M378*IF($H378="Petrol",'Fuel &amp; Inputs'!$C$5,'Fuel &amp; Inputs'!$C$4),10)))</f>
        <v>141</v>
      </c>
      <c r="P378" s="26" t="n">
        <f aca="false">IF(L378=0,0,IF($I378="L/km",MROUND(L378*$M378*IF($H378="Petrol",'Fuel &amp; Inputs'!$C$5,'Fuel &amp; Inputs'!$C$4),1),MROUND(L378*$M378*IF($H378="Petrol",'Fuel &amp; Inputs'!$C$5,'Fuel &amp; Inputs'!$C$4),10)))</f>
        <v>176</v>
      </c>
      <c r="Q378" s="23" t="s">
        <v>597</v>
      </c>
      <c r="R378" s="27" t="n">
        <v>1270</v>
      </c>
      <c r="S378" s="26" t="n">
        <f aca="false">MROUND(R378+'Fuel &amp; Inputs'!$C$13,50)</f>
        <v>2050</v>
      </c>
      <c r="T378" s="27" t="n">
        <v>2670</v>
      </c>
      <c r="U378" s="26" t="n">
        <f aca="false">MROUND(R378*'Fuel &amp; Inputs'!$C$19*'Fuel &amp; Inputs'!$C$21,100)</f>
        <v>4800</v>
      </c>
      <c r="V378" s="26" t="n">
        <f aca="false">MROUND(S378*'Fuel &amp; Inputs'!$C$19*'Fuel &amp; Inputs'!$C$21,100)</f>
        <v>7800</v>
      </c>
      <c r="W378" s="26" t="n">
        <f aca="false">MROUND(T378*'Fuel &amp; Inputs'!$C$19*'Fuel &amp; Inputs'!$C$21,100)</f>
        <v>10100</v>
      </c>
      <c r="X378" s="26" t="n">
        <f aca="false">MROUND(R378*'Fuel &amp; Inputs'!$C$20*'Fuel &amp; Inputs'!$C$22,500)</f>
        <v>129500</v>
      </c>
      <c r="Y378" s="26" t="n">
        <f aca="false">MROUND(S378*'Fuel &amp; Inputs'!$C$20*'Fuel &amp; Inputs'!$C$22,500)</f>
        <v>209000</v>
      </c>
      <c r="Z378" s="26" t="n">
        <f aca="false">MROUND(T378*'Fuel &amp; Inputs'!$C$20*'Fuel &amp; Inputs'!$C$22,500)</f>
        <v>272500</v>
      </c>
    </row>
    <row r="379" customFormat="false" ht="23.85" hidden="false" customHeight="false" outlineLevel="0" collapsed="false">
      <c r="A379" s="17" t="n">
        <v>355</v>
      </c>
      <c r="B379" s="32" t="s">
        <v>106</v>
      </c>
      <c r="C379" s="32" t="s">
        <v>249</v>
      </c>
      <c r="D379" s="32" t="s">
        <v>868</v>
      </c>
      <c r="E379" s="17" t="s">
        <v>603</v>
      </c>
      <c r="F379" s="17" t="s">
        <v>223</v>
      </c>
      <c r="G379" s="17" t="s">
        <v>779</v>
      </c>
      <c r="H379" s="17" t="s">
        <v>153</v>
      </c>
      <c r="I379" s="17" t="s">
        <v>596</v>
      </c>
      <c r="J379" s="37" t="n">
        <v>0.263</v>
      </c>
      <c r="K379" s="37" t="n">
        <v>0.333</v>
      </c>
      <c r="L379" s="37" t="n">
        <v>0.417</v>
      </c>
      <c r="M379" s="33" t="n">
        <v>1.105</v>
      </c>
      <c r="N379" s="20" t="n">
        <f aca="false">IF(J379=0,0,IF($I379="L/km",MROUND(J379*$M379*IF($H379="Petrol",'Fuel &amp; Inputs'!$C$5,'Fuel &amp; Inputs'!$C$4),1),MROUND(J379*$M379*IF($H379="Petrol",'Fuel &amp; Inputs'!$C$5,'Fuel &amp; Inputs'!$C$4),10)))</f>
        <v>111</v>
      </c>
      <c r="O379" s="20" t="n">
        <f aca="false">IF(K379=0,0,IF($I379="L/km",MROUND(K379*$M379*IF($H379="Petrol",'Fuel &amp; Inputs'!$C$5,'Fuel &amp; Inputs'!$C$4),1),MROUND(K379*$M379*IF($H379="Petrol",'Fuel &amp; Inputs'!$C$5,'Fuel &amp; Inputs'!$C$4),10)))</f>
        <v>141</v>
      </c>
      <c r="P379" s="20" t="n">
        <f aca="false">IF(L379=0,0,IF($I379="L/km",MROUND(L379*$M379*IF($H379="Petrol",'Fuel &amp; Inputs'!$C$5,'Fuel &amp; Inputs'!$C$4),1),MROUND(L379*$M379*IF($H379="Petrol",'Fuel &amp; Inputs'!$C$5,'Fuel &amp; Inputs'!$C$4),10)))</f>
        <v>176</v>
      </c>
      <c r="Q379" s="17" t="s">
        <v>597</v>
      </c>
      <c r="R379" s="21" t="n">
        <v>1270</v>
      </c>
      <c r="S379" s="20" t="n">
        <f aca="false">MROUND(R379+'Fuel &amp; Inputs'!$C$13,50)</f>
        <v>2050</v>
      </c>
      <c r="T379" s="21" t="n">
        <v>2670</v>
      </c>
      <c r="U379" s="20" t="n">
        <f aca="false">MROUND(R379*'Fuel &amp; Inputs'!$C$19*'Fuel &amp; Inputs'!$C$21,100)</f>
        <v>4800</v>
      </c>
      <c r="V379" s="20" t="n">
        <f aca="false">MROUND(S379*'Fuel &amp; Inputs'!$C$19*'Fuel &amp; Inputs'!$C$21,100)</f>
        <v>7800</v>
      </c>
      <c r="W379" s="20" t="n">
        <f aca="false">MROUND(T379*'Fuel &amp; Inputs'!$C$19*'Fuel &amp; Inputs'!$C$21,100)</f>
        <v>10100</v>
      </c>
      <c r="X379" s="20" t="n">
        <f aca="false">MROUND(R379*'Fuel &amp; Inputs'!$C$20*'Fuel &amp; Inputs'!$C$22,500)</f>
        <v>129500</v>
      </c>
      <c r="Y379" s="20" t="n">
        <f aca="false">MROUND(S379*'Fuel &amp; Inputs'!$C$20*'Fuel &amp; Inputs'!$C$22,500)</f>
        <v>209000</v>
      </c>
      <c r="Z379" s="20" t="n">
        <f aca="false">MROUND(T379*'Fuel &amp; Inputs'!$C$20*'Fuel &amp; Inputs'!$C$22,500)</f>
        <v>272500</v>
      </c>
    </row>
    <row r="380" customFormat="false" ht="23.85" hidden="false" customHeight="false" outlineLevel="0" collapsed="false">
      <c r="A380" s="23" t="n">
        <v>356</v>
      </c>
      <c r="B380" s="34" t="s">
        <v>106</v>
      </c>
      <c r="C380" s="34" t="s">
        <v>249</v>
      </c>
      <c r="D380" s="34" t="s">
        <v>868</v>
      </c>
      <c r="E380" s="23" t="s">
        <v>603</v>
      </c>
      <c r="F380" s="23" t="s">
        <v>223</v>
      </c>
      <c r="G380" s="23" t="s">
        <v>781</v>
      </c>
      <c r="H380" s="23" t="s">
        <v>153</v>
      </c>
      <c r="I380" s="23" t="s">
        <v>596</v>
      </c>
      <c r="J380" s="36" t="n">
        <v>0.263</v>
      </c>
      <c r="K380" s="36" t="n">
        <v>0.333</v>
      </c>
      <c r="L380" s="36" t="n">
        <v>0.417</v>
      </c>
      <c r="M380" s="35" t="n">
        <v>1.105</v>
      </c>
      <c r="N380" s="26" t="n">
        <f aca="false">IF(J380=0,0,IF($I380="L/km",MROUND(J380*$M380*IF($H380="Petrol",'Fuel &amp; Inputs'!$C$5,'Fuel &amp; Inputs'!$C$4),1),MROUND(J380*$M380*IF($H380="Petrol",'Fuel &amp; Inputs'!$C$5,'Fuel &amp; Inputs'!$C$4),10)))</f>
        <v>111</v>
      </c>
      <c r="O380" s="26" t="n">
        <f aca="false">IF(K380=0,0,IF($I380="L/km",MROUND(K380*$M380*IF($H380="Petrol",'Fuel &amp; Inputs'!$C$5,'Fuel &amp; Inputs'!$C$4),1),MROUND(K380*$M380*IF($H380="Petrol",'Fuel &amp; Inputs'!$C$5,'Fuel &amp; Inputs'!$C$4),10)))</f>
        <v>141</v>
      </c>
      <c r="P380" s="26" t="n">
        <f aca="false">IF(L380=0,0,IF($I380="L/km",MROUND(L380*$M380*IF($H380="Petrol",'Fuel &amp; Inputs'!$C$5,'Fuel &amp; Inputs'!$C$4),1),MROUND(L380*$M380*IF($H380="Petrol",'Fuel &amp; Inputs'!$C$5,'Fuel &amp; Inputs'!$C$4),10)))</f>
        <v>176</v>
      </c>
      <c r="Q380" s="23" t="s">
        <v>597</v>
      </c>
      <c r="R380" s="27" t="n">
        <v>1270</v>
      </c>
      <c r="S380" s="26" t="n">
        <f aca="false">MROUND(R380+'Fuel &amp; Inputs'!$C$13,50)</f>
        <v>2050</v>
      </c>
      <c r="T380" s="27" t="n">
        <v>2670</v>
      </c>
      <c r="U380" s="26" t="n">
        <f aca="false">MROUND(R380*'Fuel &amp; Inputs'!$C$19*'Fuel &amp; Inputs'!$C$21,100)</f>
        <v>4800</v>
      </c>
      <c r="V380" s="26" t="n">
        <f aca="false">MROUND(S380*'Fuel &amp; Inputs'!$C$19*'Fuel &amp; Inputs'!$C$21,100)</f>
        <v>7800</v>
      </c>
      <c r="W380" s="26" t="n">
        <f aca="false">MROUND(T380*'Fuel &amp; Inputs'!$C$19*'Fuel &amp; Inputs'!$C$21,100)</f>
        <v>10100</v>
      </c>
      <c r="X380" s="26" t="n">
        <f aca="false">MROUND(R380*'Fuel &amp; Inputs'!$C$20*'Fuel &amp; Inputs'!$C$22,500)</f>
        <v>129500</v>
      </c>
      <c r="Y380" s="26" t="n">
        <f aca="false">MROUND(S380*'Fuel &amp; Inputs'!$C$20*'Fuel &amp; Inputs'!$C$22,500)</f>
        <v>209000</v>
      </c>
      <c r="Z380" s="26" t="n">
        <f aca="false">MROUND(T380*'Fuel &amp; Inputs'!$C$20*'Fuel &amp; Inputs'!$C$22,500)</f>
        <v>272500</v>
      </c>
    </row>
    <row r="381" customFormat="false" ht="23.85" hidden="false" customHeight="false" outlineLevel="0" collapsed="false">
      <c r="A381" s="17" t="n">
        <v>357</v>
      </c>
      <c r="B381" s="32" t="s">
        <v>106</v>
      </c>
      <c r="C381" s="32" t="s">
        <v>249</v>
      </c>
      <c r="D381" s="32" t="s">
        <v>868</v>
      </c>
      <c r="E381" s="17" t="s">
        <v>603</v>
      </c>
      <c r="F381" s="17" t="s">
        <v>223</v>
      </c>
      <c r="G381" s="17" t="s">
        <v>870</v>
      </c>
      <c r="H381" s="17" t="s">
        <v>153</v>
      </c>
      <c r="I381" s="17" t="s">
        <v>596</v>
      </c>
      <c r="J381" s="37" t="n">
        <v>0.263</v>
      </c>
      <c r="K381" s="37" t="n">
        <v>0.333</v>
      </c>
      <c r="L381" s="37" t="n">
        <v>0.417</v>
      </c>
      <c r="M381" s="33" t="n">
        <v>1.105</v>
      </c>
      <c r="N381" s="20" t="n">
        <f aca="false">IF(J381=0,0,IF($I381="L/km",MROUND(J381*$M381*IF($H381="Petrol",'Fuel &amp; Inputs'!$C$5,'Fuel &amp; Inputs'!$C$4),1),MROUND(J381*$M381*IF($H381="Petrol",'Fuel &amp; Inputs'!$C$5,'Fuel &amp; Inputs'!$C$4),10)))</f>
        <v>111</v>
      </c>
      <c r="O381" s="20" t="n">
        <f aca="false">IF(K381=0,0,IF($I381="L/km",MROUND(K381*$M381*IF($H381="Petrol",'Fuel &amp; Inputs'!$C$5,'Fuel &amp; Inputs'!$C$4),1),MROUND(K381*$M381*IF($H381="Petrol",'Fuel &amp; Inputs'!$C$5,'Fuel &amp; Inputs'!$C$4),10)))</f>
        <v>141</v>
      </c>
      <c r="P381" s="20" t="n">
        <f aca="false">IF(L381=0,0,IF($I381="L/km",MROUND(L381*$M381*IF($H381="Petrol",'Fuel &amp; Inputs'!$C$5,'Fuel &amp; Inputs'!$C$4),1),MROUND(L381*$M381*IF($H381="Petrol",'Fuel &amp; Inputs'!$C$5,'Fuel &amp; Inputs'!$C$4),10)))</f>
        <v>176</v>
      </c>
      <c r="Q381" s="17" t="s">
        <v>597</v>
      </c>
      <c r="R381" s="21" t="n">
        <v>1270</v>
      </c>
      <c r="S381" s="20" t="n">
        <f aca="false">MROUND(R381+'Fuel &amp; Inputs'!$C$13,50)</f>
        <v>2050</v>
      </c>
      <c r="T381" s="21" t="n">
        <v>2670</v>
      </c>
      <c r="U381" s="20" t="n">
        <f aca="false">MROUND(R381*'Fuel &amp; Inputs'!$C$19*'Fuel &amp; Inputs'!$C$21,100)</f>
        <v>4800</v>
      </c>
      <c r="V381" s="20" t="n">
        <f aca="false">MROUND(S381*'Fuel &amp; Inputs'!$C$19*'Fuel &amp; Inputs'!$C$21,100)</f>
        <v>7800</v>
      </c>
      <c r="W381" s="20" t="n">
        <f aca="false">MROUND(T381*'Fuel &amp; Inputs'!$C$19*'Fuel &amp; Inputs'!$C$21,100)</f>
        <v>10100</v>
      </c>
      <c r="X381" s="20" t="n">
        <f aca="false">MROUND(R381*'Fuel &amp; Inputs'!$C$20*'Fuel &amp; Inputs'!$C$22,500)</f>
        <v>129500</v>
      </c>
      <c r="Y381" s="20" t="n">
        <f aca="false">MROUND(S381*'Fuel &amp; Inputs'!$C$20*'Fuel &amp; Inputs'!$C$22,500)</f>
        <v>209000</v>
      </c>
      <c r="Z381" s="20" t="n">
        <f aca="false">MROUND(T381*'Fuel &amp; Inputs'!$C$20*'Fuel &amp; Inputs'!$C$22,500)</f>
        <v>272500</v>
      </c>
    </row>
    <row r="382" customFormat="false" ht="23.85" hidden="false" customHeight="false" outlineLevel="0" collapsed="false">
      <c r="A382" s="23" t="n">
        <v>358</v>
      </c>
      <c r="B382" s="34" t="s">
        <v>106</v>
      </c>
      <c r="C382" s="34" t="s">
        <v>592</v>
      </c>
      <c r="D382" s="34" t="s">
        <v>936</v>
      </c>
      <c r="E382" s="23" t="s">
        <v>243</v>
      </c>
      <c r="F382" s="23" t="s">
        <v>937</v>
      </c>
      <c r="G382" s="23" t="s">
        <v>938</v>
      </c>
      <c r="H382" s="23" t="s">
        <v>153</v>
      </c>
      <c r="I382" s="23" t="s">
        <v>596</v>
      </c>
      <c r="J382" s="36" t="n">
        <v>0.345</v>
      </c>
      <c r="K382" s="36" t="n">
        <v>0.435</v>
      </c>
      <c r="L382" s="36" t="n">
        <v>0.556</v>
      </c>
      <c r="M382" s="35" t="n">
        <v>1.112</v>
      </c>
      <c r="N382" s="26" t="n">
        <f aca="false">IF(J382=0,0,IF($I382="L/km",MROUND(J382*$M382*IF($H382="Petrol",'Fuel &amp; Inputs'!$C$5,'Fuel &amp; Inputs'!$C$4),1),MROUND(J382*$M382*IF($H382="Petrol",'Fuel &amp; Inputs'!$C$5,'Fuel &amp; Inputs'!$C$4),10)))</f>
        <v>147</v>
      </c>
      <c r="O382" s="26" t="n">
        <f aca="false">IF(K382=0,0,IF($I382="L/km",MROUND(K382*$M382*IF($H382="Petrol",'Fuel &amp; Inputs'!$C$5,'Fuel &amp; Inputs'!$C$4),1),MROUND(K382*$M382*IF($H382="Petrol",'Fuel &amp; Inputs'!$C$5,'Fuel &amp; Inputs'!$C$4),10)))</f>
        <v>185</v>
      </c>
      <c r="P382" s="26" t="n">
        <f aca="false">IF(L382=0,0,IF($I382="L/km",MROUND(L382*$M382*IF($H382="Petrol",'Fuel &amp; Inputs'!$C$5,'Fuel &amp; Inputs'!$C$4),1),MROUND(L382*$M382*IF($H382="Petrol",'Fuel &amp; Inputs'!$C$5,'Fuel &amp; Inputs'!$C$4),10)))</f>
        <v>236</v>
      </c>
      <c r="Q382" s="23" t="s">
        <v>597</v>
      </c>
      <c r="R382" s="27" t="n">
        <v>1270</v>
      </c>
      <c r="S382" s="26" t="n">
        <f aca="false">MROUND(R382+'Fuel &amp; Inputs'!$C$13,50)</f>
        <v>2050</v>
      </c>
      <c r="T382" s="27" t="n">
        <v>2670</v>
      </c>
      <c r="U382" s="26" t="n">
        <f aca="false">MROUND(R382*'Fuel &amp; Inputs'!$C$19*'Fuel &amp; Inputs'!$C$21,100)</f>
        <v>4800</v>
      </c>
      <c r="V382" s="26" t="n">
        <f aca="false">MROUND(S382*'Fuel &amp; Inputs'!$C$19*'Fuel &amp; Inputs'!$C$21,100)</f>
        <v>7800</v>
      </c>
      <c r="W382" s="26" t="n">
        <f aca="false">MROUND(T382*'Fuel &amp; Inputs'!$C$19*'Fuel &amp; Inputs'!$C$21,100)</f>
        <v>10100</v>
      </c>
      <c r="X382" s="26" t="n">
        <f aca="false">MROUND(R382*'Fuel &amp; Inputs'!$C$20*'Fuel &amp; Inputs'!$C$22,500)</f>
        <v>129500</v>
      </c>
      <c r="Y382" s="26" t="n">
        <f aca="false">MROUND(S382*'Fuel &amp; Inputs'!$C$20*'Fuel &amp; Inputs'!$C$22,500)</f>
        <v>209000</v>
      </c>
      <c r="Z382" s="26" t="n">
        <f aca="false">MROUND(T382*'Fuel &amp; Inputs'!$C$20*'Fuel &amp; Inputs'!$C$22,500)</f>
        <v>272500</v>
      </c>
    </row>
    <row r="383" customFormat="false" ht="23.85" hidden="false" customHeight="false" outlineLevel="0" collapsed="false">
      <c r="A383" s="17" t="n">
        <v>359</v>
      </c>
      <c r="B383" s="32" t="s">
        <v>106</v>
      </c>
      <c r="C383" s="32" t="s">
        <v>592</v>
      </c>
      <c r="D383" s="32" t="s">
        <v>907</v>
      </c>
      <c r="E383" s="17" t="s">
        <v>243</v>
      </c>
      <c r="F383" s="17" t="s">
        <v>939</v>
      </c>
      <c r="G383" s="17" t="s">
        <v>940</v>
      </c>
      <c r="H383" s="17" t="s">
        <v>153</v>
      </c>
      <c r="I383" s="17" t="s">
        <v>596</v>
      </c>
      <c r="J383" s="37" t="n">
        <v>0.345</v>
      </c>
      <c r="K383" s="37" t="n">
        <v>0.435</v>
      </c>
      <c r="L383" s="37" t="n">
        <v>0.556</v>
      </c>
      <c r="M383" s="33" t="n">
        <v>1.112</v>
      </c>
      <c r="N383" s="20" t="n">
        <f aca="false">IF(J383=0,0,IF($I383="L/km",MROUND(J383*$M383*IF($H383="Petrol",'Fuel &amp; Inputs'!$C$5,'Fuel &amp; Inputs'!$C$4),1),MROUND(J383*$M383*IF($H383="Petrol",'Fuel &amp; Inputs'!$C$5,'Fuel &amp; Inputs'!$C$4),10)))</f>
        <v>147</v>
      </c>
      <c r="O383" s="20" t="n">
        <f aca="false">IF(K383=0,0,IF($I383="L/km",MROUND(K383*$M383*IF($H383="Petrol",'Fuel &amp; Inputs'!$C$5,'Fuel &amp; Inputs'!$C$4),1),MROUND(K383*$M383*IF($H383="Petrol",'Fuel &amp; Inputs'!$C$5,'Fuel &amp; Inputs'!$C$4),10)))</f>
        <v>185</v>
      </c>
      <c r="P383" s="20" t="n">
        <f aca="false">IF(L383=0,0,IF($I383="L/km",MROUND(L383*$M383*IF($H383="Petrol",'Fuel &amp; Inputs'!$C$5,'Fuel &amp; Inputs'!$C$4),1),MROUND(L383*$M383*IF($H383="Petrol",'Fuel &amp; Inputs'!$C$5,'Fuel &amp; Inputs'!$C$4),10)))</f>
        <v>236</v>
      </c>
      <c r="Q383" s="17" t="s">
        <v>597</v>
      </c>
      <c r="R383" s="21" t="n">
        <v>1270</v>
      </c>
      <c r="S383" s="20" t="n">
        <f aca="false">MROUND(R383+'Fuel &amp; Inputs'!$C$13,50)</f>
        <v>2050</v>
      </c>
      <c r="T383" s="21" t="n">
        <v>2670</v>
      </c>
      <c r="U383" s="20" t="n">
        <f aca="false">MROUND(R383*'Fuel &amp; Inputs'!$C$19*'Fuel &amp; Inputs'!$C$21,100)</f>
        <v>4800</v>
      </c>
      <c r="V383" s="20" t="n">
        <f aca="false">MROUND(S383*'Fuel &amp; Inputs'!$C$19*'Fuel &amp; Inputs'!$C$21,100)</f>
        <v>7800</v>
      </c>
      <c r="W383" s="20" t="n">
        <f aca="false">MROUND(T383*'Fuel &amp; Inputs'!$C$19*'Fuel &amp; Inputs'!$C$21,100)</f>
        <v>10100</v>
      </c>
      <c r="X383" s="20" t="n">
        <f aca="false">MROUND(R383*'Fuel &amp; Inputs'!$C$20*'Fuel &amp; Inputs'!$C$22,500)</f>
        <v>129500</v>
      </c>
      <c r="Y383" s="20" t="n">
        <f aca="false">MROUND(S383*'Fuel &amp; Inputs'!$C$20*'Fuel &amp; Inputs'!$C$22,500)</f>
        <v>209000</v>
      </c>
      <c r="Z383" s="20" t="n">
        <f aca="false">MROUND(T383*'Fuel &amp; Inputs'!$C$20*'Fuel &amp; Inputs'!$C$22,500)</f>
        <v>272500</v>
      </c>
    </row>
    <row r="384" customFormat="false" ht="23.85" hidden="false" customHeight="false" outlineLevel="0" collapsed="false">
      <c r="A384" s="23" t="n">
        <v>360</v>
      </c>
      <c r="B384" s="34" t="s">
        <v>106</v>
      </c>
      <c r="C384" s="34" t="s">
        <v>259</v>
      </c>
      <c r="D384" s="34" t="s">
        <v>941</v>
      </c>
      <c r="E384" s="23" t="s">
        <v>666</v>
      </c>
      <c r="F384" s="23" t="s">
        <v>942</v>
      </c>
      <c r="G384" s="23" t="s">
        <v>943</v>
      </c>
      <c r="H384" s="23" t="s">
        <v>153</v>
      </c>
      <c r="I384" s="23" t="s">
        <v>596</v>
      </c>
      <c r="J384" s="36" t="n">
        <v>0.27</v>
      </c>
      <c r="K384" s="36" t="n">
        <v>0.345</v>
      </c>
      <c r="L384" s="36" t="n">
        <v>0.435</v>
      </c>
      <c r="M384" s="35" t="n">
        <v>1.133</v>
      </c>
      <c r="N384" s="26" t="n">
        <f aca="false">IF(J384=0,0,IF($I384="L/km",MROUND(J384*$M384*IF($H384="Petrol",'Fuel &amp; Inputs'!$C$5,'Fuel &amp; Inputs'!$C$4),1),MROUND(J384*$M384*IF($H384="Petrol",'Fuel &amp; Inputs'!$C$5,'Fuel &amp; Inputs'!$C$4),10)))</f>
        <v>117</v>
      </c>
      <c r="O384" s="26" t="n">
        <f aca="false">IF(K384=0,0,IF($I384="L/km",MROUND(K384*$M384*IF($H384="Petrol",'Fuel &amp; Inputs'!$C$5,'Fuel &amp; Inputs'!$C$4),1),MROUND(K384*$M384*IF($H384="Petrol",'Fuel &amp; Inputs'!$C$5,'Fuel &amp; Inputs'!$C$4),10)))</f>
        <v>149</v>
      </c>
      <c r="P384" s="26" t="n">
        <f aca="false">IF(L384=0,0,IF($I384="L/km",MROUND(L384*$M384*IF($H384="Petrol",'Fuel &amp; Inputs'!$C$5,'Fuel &amp; Inputs'!$C$4),1),MROUND(L384*$M384*IF($H384="Petrol",'Fuel &amp; Inputs'!$C$5,'Fuel &amp; Inputs'!$C$4),10)))</f>
        <v>188</v>
      </c>
      <c r="Q384" s="23" t="s">
        <v>597</v>
      </c>
      <c r="R384" s="27" t="n">
        <v>1120</v>
      </c>
      <c r="S384" s="26" t="n">
        <f aca="false">MROUND(R384+'Fuel &amp; Inputs'!$C$13,50)</f>
        <v>1900</v>
      </c>
      <c r="T384" s="27" t="n">
        <v>2340</v>
      </c>
      <c r="U384" s="26" t="n">
        <f aca="false">MROUND(R384*'Fuel &amp; Inputs'!$C$19*'Fuel &amp; Inputs'!$C$21,100)</f>
        <v>4300</v>
      </c>
      <c r="V384" s="26" t="n">
        <f aca="false">MROUND(S384*'Fuel &amp; Inputs'!$C$19*'Fuel &amp; Inputs'!$C$21,100)</f>
        <v>7200</v>
      </c>
      <c r="W384" s="26" t="n">
        <f aca="false">MROUND(T384*'Fuel &amp; Inputs'!$C$19*'Fuel &amp; Inputs'!$C$21,100)</f>
        <v>8900</v>
      </c>
      <c r="X384" s="26" t="n">
        <f aca="false">MROUND(R384*'Fuel &amp; Inputs'!$C$20*'Fuel &amp; Inputs'!$C$22,500)</f>
        <v>114000</v>
      </c>
      <c r="Y384" s="26" t="n">
        <f aca="false">MROUND(S384*'Fuel &amp; Inputs'!$C$20*'Fuel &amp; Inputs'!$C$22,500)</f>
        <v>194000</v>
      </c>
      <c r="Z384" s="26" t="n">
        <f aca="false">MROUND(T384*'Fuel &amp; Inputs'!$C$20*'Fuel &amp; Inputs'!$C$22,500)</f>
        <v>238500</v>
      </c>
    </row>
    <row r="385" customFormat="false" ht="23.85" hidden="false" customHeight="false" outlineLevel="0" collapsed="false">
      <c r="A385" s="17" t="n">
        <v>361</v>
      </c>
      <c r="B385" s="32" t="s">
        <v>106</v>
      </c>
      <c r="C385" s="32" t="s">
        <v>592</v>
      </c>
      <c r="D385" s="32" t="s">
        <v>944</v>
      </c>
      <c r="E385" s="17" t="s">
        <v>204</v>
      </c>
      <c r="F385" s="17" t="s">
        <v>945</v>
      </c>
      <c r="G385" s="17" t="s">
        <v>946</v>
      </c>
      <c r="H385" s="17" t="s">
        <v>153</v>
      </c>
      <c r="I385" s="17" t="s">
        <v>596</v>
      </c>
      <c r="J385" s="37" t="n">
        <v>0.263</v>
      </c>
      <c r="K385" s="37" t="n">
        <v>0.333</v>
      </c>
      <c r="L385" s="37" t="n">
        <v>0.417</v>
      </c>
      <c r="M385" s="33" t="n">
        <v>1.14</v>
      </c>
      <c r="N385" s="20" t="n">
        <f aca="false">IF(J385=0,0,IF($I385="L/km",MROUND(J385*$M385*IF($H385="Petrol",'Fuel &amp; Inputs'!$C$5,'Fuel &amp; Inputs'!$C$4),1),MROUND(J385*$M385*IF($H385="Petrol",'Fuel &amp; Inputs'!$C$5,'Fuel &amp; Inputs'!$C$4),10)))</f>
        <v>115</v>
      </c>
      <c r="O385" s="20" t="n">
        <f aca="false">IF(K385=0,0,IF($I385="L/km",MROUND(K385*$M385*IF($H385="Petrol",'Fuel &amp; Inputs'!$C$5,'Fuel &amp; Inputs'!$C$4),1),MROUND(K385*$M385*IF($H385="Petrol",'Fuel &amp; Inputs'!$C$5,'Fuel &amp; Inputs'!$C$4),10)))</f>
        <v>145</v>
      </c>
      <c r="P385" s="20" t="n">
        <f aca="false">IF(L385=0,0,IF($I385="L/km",MROUND(L385*$M385*IF($H385="Petrol",'Fuel &amp; Inputs'!$C$5,'Fuel &amp; Inputs'!$C$4),1),MROUND(L385*$M385*IF($H385="Petrol",'Fuel &amp; Inputs'!$C$5,'Fuel &amp; Inputs'!$C$4),10)))</f>
        <v>182</v>
      </c>
      <c r="Q385" s="17" t="s">
        <v>597</v>
      </c>
      <c r="R385" s="21" t="n">
        <v>1120</v>
      </c>
      <c r="S385" s="20" t="n">
        <f aca="false">MROUND(R385+'Fuel &amp; Inputs'!$C$13,50)</f>
        <v>1900</v>
      </c>
      <c r="T385" s="21" t="n">
        <v>2340</v>
      </c>
      <c r="U385" s="20" t="n">
        <f aca="false">MROUND(R385*'Fuel &amp; Inputs'!$C$19*'Fuel &amp; Inputs'!$C$21,100)</f>
        <v>4300</v>
      </c>
      <c r="V385" s="20" t="n">
        <f aca="false">MROUND(S385*'Fuel &amp; Inputs'!$C$19*'Fuel &amp; Inputs'!$C$21,100)</f>
        <v>7200</v>
      </c>
      <c r="W385" s="20" t="n">
        <f aca="false">MROUND(T385*'Fuel &amp; Inputs'!$C$19*'Fuel &amp; Inputs'!$C$21,100)</f>
        <v>8900</v>
      </c>
      <c r="X385" s="20" t="n">
        <f aca="false">MROUND(R385*'Fuel &amp; Inputs'!$C$20*'Fuel &amp; Inputs'!$C$22,500)</f>
        <v>114000</v>
      </c>
      <c r="Y385" s="20" t="n">
        <f aca="false">MROUND(S385*'Fuel &amp; Inputs'!$C$20*'Fuel &amp; Inputs'!$C$22,500)</f>
        <v>194000</v>
      </c>
      <c r="Z385" s="20" t="n">
        <f aca="false">MROUND(T385*'Fuel &amp; Inputs'!$C$20*'Fuel &amp; Inputs'!$C$22,500)</f>
        <v>238500</v>
      </c>
    </row>
    <row r="386" customFormat="false" ht="23.85" hidden="false" customHeight="false" outlineLevel="0" collapsed="false">
      <c r="A386" s="23" t="n">
        <v>362</v>
      </c>
      <c r="B386" s="34" t="s">
        <v>106</v>
      </c>
      <c r="C386" s="34" t="s">
        <v>249</v>
      </c>
      <c r="D386" s="34" t="s">
        <v>900</v>
      </c>
      <c r="E386" s="23" t="s">
        <v>581</v>
      </c>
      <c r="F386" s="23" t="s">
        <v>947</v>
      </c>
      <c r="G386" s="23" t="s">
        <v>948</v>
      </c>
      <c r="H386" s="23" t="s">
        <v>153</v>
      </c>
      <c r="I386" s="23" t="s">
        <v>596</v>
      </c>
      <c r="J386" s="36" t="n">
        <v>0.263</v>
      </c>
      <c r="K386" s="36" t="n">
        <v>0.333</v>
      </c>
      <c r="L386" s="36" t="n">
        <v>0.417</v>
      </c>
      <c r="M386" s="35" t="n">
        <v>1.147</v>
      </c>
      <c r="N386" s="26" t="n">
        <f aca="false">IF(J386=0,0,IF($I386="L/km",MROUND(J386*$M386*IF($H386="Petrol",'Fuel &amp; Inputs'!$C$5,'Fuel &amp; Inputs'!$C$4),1),MROUND(J386*$M386*IF($H386="Petrol",'Fuel &amp; Inputs'!$C$5,'Fuel &amp; Inputs'!$C$4),10)))</f>
        <v>115</v>
      </c>
      <c r="O386" s="26" t="n">
        <f aca="false">IF(K386=0,0,IF($I386="L/km",MROUND(K386*$M386*IF($H386="Petrol",'Fuel &amp; Inputs'!$C$5,'Fuel &amp; Inputs'!$C$4),1),MROUND(K386*$M386*IF($H386="Petrol",'Fuel &amp; Inputs'!$C$5,'Fuel &amp; Inputs'!$C$4),10)))</f>
        <v>146</v>
      </c>
      <c r="P386" s="26" t="n">
        <f aca="false">IF(L386=0,0,IF($I386="L/km",MROUND(L386*$M386*IF($H386="Petrol",'Fuel &amp; Inputs'!$C$5,'Fuel &amp; Inputs'!$C$4),1),MROUND(L386*$M386*IF($H386="Petrol",'Fuel &amp; Inputs'!$C$5,'Fuel &amp; Inputs'!$C$4),10)))</f>
        <v>183</v>
      </c>
      <c r="Q386" s="23" t="s">
        <v>597</v>
      </c>
      <c r="R386" s="27" t="n">
        <v>1120</v>
      </c>
      <c r="S386" s="26" t="n">
        <f aca="false">MROUND(R386+'Fuel &amp; Inputs'!$C$13,50)</f>
        <v>1900</v>
      </c>
      <c r="T386" s="27" t="n">
        <v>2340</v>
      </c>
      <c r="U386" s="26" t="n">
        <f aca="false">MROUND(R386*'Fuel &amp; Inputs'!$C$19*'Fuel &amp; Inputs'!$C$21,100)</f>
        <v>4300</v>
      </c>
      <c r="V386" s="26" t="n">
        <f aca="false">MROUND(S386*'Fuel &amp; Inputs'!$C$19*'Fuel &amp; Inputs'!$C$21,100)</f>
        <v>7200</v>
      </c>
      <c r="W386" s="26" t="n">
        <f aca="false">MROUND(T386*'Fuel &amp; Inputs'!$C$19*'Fuel &amp; Inputs'!$C$21,100)</f>
        <v>8900</v>
      </c>
      <c r="X386" s="26" t="n">
        <f aca="false">MROUND(R386*'Fuel &amp; Inputs'!$C$20*'Fuel &amp; Inputs'!$C$22,500)</f>
        <v>114000</v>
      </c>
      <c r="Y386" s="26" t="n">
        <f aca="false">MROUND(S386*'Fuel &amp; Inputs'!$C$20*'Fuel &amp; Inputs'!$C$22,500)</f>
        <v>194000</v>
      </c>
      <c r="Z386" s="26" t="n">
        <f aca="false">MROUND(T386*'Fuel &amp; Inputs'!$C$20*'Fuel &amp; Inputs'!$C$22,500)</f>
        <v>238500</v>
      </c>
    </row>
    <row r="387" customFormat="false" ht="23.85" hidden="false" customHeight="false" outlineLevel="0" collapsed="false">
      <c r="A387" s="17" t="n">
        <v>363</v>
      </c>
      <c r="B387" s="32" t="s">
        <v>106</v>
      </c>
      <c r="C387" s="32" t="s">
        <v>592</v>
      </c>
      <c r="D387" s="32" t="s">
        <v>944</v>
      </c>
      <c r="E387" s="17" t="s">
        <v>277</v>
      </c>
      <c r="F387" s="17" t="s">
        <v>949</v>
      </c>
      <c r="G387" s="17" t="s">
        <v>950</v>
      </c>
      <c r="H387" s="17" t="s">
        <v>153</v>
      </c>
      <c r="I387" s="17" t="s">
        <v>596</v>
      </c>
      <c r="J387" s="37" t="n">
        <v>0.263</v>
      </c>
      <c r="K387" s="37" t="n">
        <v>0.333</v>
      </c>
      <c r="L387" s="37" t="n">
        <v>0.417</v>
      </c>
      <c r="M387" s="33" t="n">
        <v>1.161</v>
      </c>
      <c r="N387" s="20" t="n">
        <f aca="false">IF(J387=0,0,IF($I387="L/km",MROUND(J387*$M387*IF($H387="Petrol",'Fuel &amp; Inputs'!$C$5,'Fuel &amp; Inputs'!$C$4),1),MROUND(J387*$M387*IF($H387="Petrol",'Fuel &amp; Inputs'!$C$5,'Fuel &amp; Inputs'!$C$4),10)))</f>
        <v>117</v>
      </c>
      <c r="O387" s="20" t="n">
        <f aca="false">IF(K387=0,0,IF($I387="L/km",MROUND(K387*$M387*IF($H387="Petrol",'Fuel &amp; Inputs'!$C$5,'Fuel &amp; Inputs'!$C$4),1),MROUND(K387*$M387*IF($H387="Petrol",'Fuel &amp; Inputs'!$C$5,'Fuel &amp; Inputs'!$C$4),10)))</f>
        <v>148</v>
      </c>
      <c r="P387" s="20" t="n">
        <f aca="false">IF(L387=0,0,IF($I387="L/km",MROUND(L387*$M387*IF($H387="Petrol",'Fuel &amp; Inputs'!$C$5,'Fuel &amp; Inputs'!$C$4),1),MROUND(L387*$M387*IF($H387="Petrol",'Fuel &amp; Inputs'!$C$5,'Fuel &amp; Inputs'!$C$4),10)))</f>
        <v>185</v>
      </c>
      <c r="Q387" s="17" t="s">
        <v>597</v>
      </c>
      <c r="R387" s="21" t="n">
        <v>1010</v>
      </c>
      <c r="S387" s="20" t="n">
        <f aca="false">MROUND(R387+'Fuel &amp; Inputs'!$C$13,50)</f>
        <v>1800</v>
      </c>
      <c r="T387" s="21" t="n">
        <v>2110</v>
      </c>
      <c r="U387" s="20" t="n">
        <f aca="false">MROUND(R387*'Fuel &amp; Inputs'!$C$19*'Fuel &amp; Inputs'!$C$21,100)</f>
        <v>3800</v>
      </c>
      <c r="V387" s="20" t="n">
        <f aca="false">MROUND(S387*'Fuel &amp; Inputs'!$C$19*'Fuel &amp; Inputs'!$C$21,100)</f>
        <v>6800</v>
      </c>
      <c r="W387" s="20" t="n">
        <f aca="false">MROUND(T387*'Fuel &amp; Inputs'!$C$19*'Fuel &amp; Inputs'!$C$21,100)</f>
        <v>8000</v>
      </c>
      <c r="X387" s="20" t="n">
        <f aca="false">MROUND(R387*'Fuel &amp; Inputs'!$C$20*'Fuel &amp; Inputs'!$C$22,500)</f>
        <v>103000</v>
      </c>
      <c r="Y387" s="20" t="n">
        <f aca="false">MROUND(S387*'Fuel &amp; Inputs'!$C$20*'Fuel &amp; Inputs'!$C$22,500)</f>
        <v>183500</v>
      </c>
      <c r="Z387" s="20" t="n">
        <f aca="false">MROUND(T387*'Fuel &amp; Inputs'!$C$20*'Fuel &amp; Inputs'!$C$22,500)</f>
        <v>215000</v>
      </c>
    </row>
    <row r="388" customFormat="false" ht="23.85" hidden="false" customHeight="false" outlineLevel="0" collapsed="false">
      <c r="A388" s="23" t="n">
        <v>364</v>
      </c>
      <c r="B388" s="34" t="s">
        <v>106</v>
      </c>
      <c r="C388" s="34" t="s">
        <v>592</v>
      </c>
      <c r="D388" s="34" t="s">
        <v>944</v>
      </c>
      <c r="E388" s="23" t="s">
        <v>166</v>
      </c>
      <c r="F388" s="23" t="s">
        <v>951</v>
      </c>
      <c r="G388" s="23" t="s">
        <v>952</v>
      </c>
      <c r="H388" s="23" t="s">
        <v>153</v>
      </c>
      <c r="I388" s="23" t="s">
        <v>596</v>
      </c>
      <c r="J388" s="36" t="n">
        <v>0.263</v>
      </c>
      <c r="K388" s="36" t="n">
        <v>0.333</v>
      </c>
      <c r="L388" s="36" t="n">
        <v>0.417</v>
      </c>
      <c r="M388" s="35" t="n">
        <v>1.098</v>
      </c>
      <c r="N388" s="26" t="n">
        <f aca="false">IF(J388=0,0,IF($I388="L/km",MROUND(J388*$M388*IF($H388="Petrol",'Fuel &amp; Inputs'!$C$5,'Fuel &amp; Inputs'!$C$4),1),MROUND(J388*$M388*IF($H388="Petrol",'Fuel &amp; Inputs'!$C$5,'Fuel &amp; Inputs'!$C$4),10)))</f>
        <v>110</v>
      </c>
      <c r="O388" s="26" t="n">
        <f aca="false">IF(K388=0,0,IF($I388="L/km",MROUND(K388*$M388*IF($H388="Petrol",'Fuel &amp; Inputs'!$C$5,'Fuel &amp; Inputs'!$C$4),1),MROUND(K388*$M388*IF($H388="Petrol",'Fuel &amp; Inputs'!$C$5,'Fuel &amp; Inputs'!$C$4),10)))</f>
        <v>140</v>
      </c>
      <c r="P388" s="26" t="n">
        <f aca="false">IF(L388=0,0,IF($I388="L/km",MROUND(L388*$M388*IF($H388="Petrol",'Fuel &amp; Inputs'!$C$5,'Fuel &amp; Inputs'!$C$4),1),MROUND(L388*$M388*IF($H388="Petrol",'Fuel &amp; Inputs'!$C$5,'Fuel &amp; Inputs'!$C$4),10)))</f>
        <v>175</v>
      </c>
      <c r="Q388" s="23" t="s">
        <v>597</v>
      </c>
      <c r="R388" s="27" t="n">
        <v>1010</v>
      </c>
      <c r="S388" s="26" t="n">
        <f aca="false">MROUND(R388+'Fuel &amp; Inputs'!$C$13,50)</f>
        <v>1800</v>
      </c>
      <c r="T388" s="27" t="n">
        <v>2110</v>
      </c>
      <c r="U388" s="26" t="n">
        <f aca="false">MROUND(R388*'Fuel &amp; Inputs'!$C$19*'Fuel &amp; Inputs'!$C$21,100)</f>
        <v>3800</v>
      </c>
      <c r="V388" s="26" t="n">
        <f aca="false">MROUND(S388*'Fuel &amp; Inputs'!$C$19*'Fuel &amp; Inputs'!$C$21,100)</f>
        <v>6800</v>
      </c>
      <c r="W388" s="26" t="n">
        <f aca="false">MROUND(T388*'Fuel &amp; Inputs'!$C$19*'Fuel &amp; Inputs'!$C$21,100)</f>
        <v>8000</v>
      </c>
      <c r="X388" s="26" t="n">
        <f aca="false">MROUND(R388*'Fuel &amp; Inputs'!$C$20*'Fuel &amp; Inputs'!$C$22,500)</f>
        <v>103000</v>
      </c>
      <c r="Y388" s="26" t="n">
        <f aca="false">MROUND(S388*'Fuel &amp; Inputs'!$C$20*'Fuel &amp; Inputs'!$C$22,500)</f>
        <v>183500</v>
      </c>
      <c r="Z388" s="26" t="n">
        <f aca="false">MROUND(T388*'Fuel &amp; Inputs'!$C$20*'Fuel &amp; Inputs'!$C$22,500)</f>
        <v>215000</v>
      </c>
    </row>
    <row r="389" customFormat="false" ht="23.85" hidden="false" customHeight="false" outlineLevel="0" collapsed="false">
      <c r="A389" s="17" t="n">
        <v>365</v>
      </c>
      <c r="B389" s="32" t="s">
        <v>106</v>
      </c>
      <c r="C389" s="32" t="s">
        <v>592</v>
      </c>
      <c r="D389" s="32" t="s">
        <v>900</v>
      </c>
      <c r="E389" s="17" t="s">
        <v>277</v>
      </c>
      <c r="F389" s="17" t="s">
        <v>953</v>
      </c>
      <c r="G389" s="17" t="s">
        <v>954</v>
      </c>
      <c r="H389" s="17" t="s">
        <v>153</v>
      </c>
      <c r="I389" s="17" t="s">
        <v>596</v>
      </c>
      <c r="J389" s="37" t="n">
        <v>0.263</v>
      </c>
      <c r="K389" s="37" t="n">
        <v>0.333</v>
      </c>
      <c r="L389" s="37" t="n">
        <v>0.417</v>
      </c>
      <c r="M389" s="33" t="n">
        <v>1.161</v>
      </c>
      <c r="N389" s="20" t="n">
        <f aca="false">IF(J389=0,0,IF($I389="L/km",MROUND(J389*$M389*IF($H389="Petrol",'Fuel &amp; Inputs'!$C$5,'Fuel &amp; Inputs'!$C$4),1),MROUND(J389*$M389*IF($H389="Petrol",'Fuel &amp; Inputs'!$C$5,'Fuel &amp; Inputs'!$C$4),10)))</f>
        <v>117</v>
      </c>
      <c r="O389" s="20" t="n">
        <f aca="false">IF(K389=0,0,IF($I389="L/km",MROUND(K389*$M389*IF($H389="Petrol",'Fuel &amp; Inputs'!$C$5,'Fuel &amp; Inputs'!$C$4),1),MROUND(K389*$M389*IF($H389="Petrol",'Fuel &amp; Inputs'!$C$5,'Fuel &amp; Inputs'!$C$4),10)))</f>
        <v>148</v>
      </c>
      <c r="P389" s="20" t="n">
        <f aca="false">IF(L389=0,0,IF($I389="L/km",MROUND(L389*$M389*IF($H389="Petrol",'Fuel &amp; Inputs'!$C$5,'Fuel &amp; Inputs'!$C$4),1),MROUND(L389*$M389*IF($H389="Petrol",'Fuel &amp; Inputs'!$C$5,'Fuel &amp; Inputs'!$C$4),10)))</f>
        <v>185</v>
      </c>
      <c r="Q389" s="17" t="s">
        <v>597</v>
      </c>
      <c r="R389" s="21" t="n">
        <v>1010</v>
      </c>
      <c r="S389" s="20" t="n">
        <f aca="false">MROUND(R389+'Fuel &amp; Inputs'!$C$13,50)</f>
        <v>1800</v>
      </c>
      <c r="T389" s="21" t="n">
        <v>2110</v>
      </c>
      <c r="U389" s="20" t="n">
        <f aca="false">MROUND(R389*'Fuel &amp; Inputs'!$C$19*'Fuel &amp; Inputs'!$C$21,100)</f>
        <v>3800</v>
      </c>
      <c r="V389" s="20" t="n">
        <f aca="false">MROUND(S389*'Fuel &amp; Inputs'!$C$19*'Fuel &amp; Inputs'!$C$21,100)</f>
        <v>6800</v>
      </c>
      <c r="W389" s="20" t="n">
        <f aca="false">MROUND(T389*'Fuel &amp; Inputs'!$C$19*'Fuel &amp; Inputs'!$C$21,100)</f>
        <v>8000</v>
      </c>
      <c r="X389" s="20" t="n">
        <f aca="false">MROUND(R389*'Fuel &amp; Inputs'!$C$20*'Fuel &amp; Inputs'!$C$22,500)</f>
        <v>103000</v>
      </c>
      <c r="Y389" s="20" t="n">
        <f aca="false">MROUND(S389*'Fuel &amp; Inputs'!$C$20*'Fuel &amp; Inputs'!$C$22,500)</f>
        <v>183500</v>
      </c>
      <c r="Z389" s="20" t="n">
        <f aca="false">MROUND(T389*'Fuel &amp; Inputs'!$C$20*'Fuel &amp; Inputs'!$C$22,500)</f>
        <v>215000</v>
      </c>
    </row>
    <row r="390" customFormat="false" ht="15" hidden="false" customHeight="true" outlineLevel="0" collapsed="false">
      <c r="A390" s="31" t="s">
        <v>955</v>
      </c>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ustomFormat="false" ht="23.85" hidden="false" customHeight="false" outlineLevel="0" collapsed="false">
      <c r="A391" s="23" t="n">
        <v>366</v>
      </c>
      <c r="B391" s="34" t="s">
        <v>956</v>
      </c>
      <c r="C391" s="34" t="s">
        <v>957</v>
      </c>
      <c r="D391" s="34" t="s">
        <v>958</v>
      </c>
      <c r="E391" s="23" t="s">
        <v>251</v>
      </c>
      <c r="F391" s="23" t="s">
        <v>223</v>
      </c>
      <c r="G391" s="23" t="s">
        <v>959</v>
      </c>
      <c r="H391" s="23" t="s">
        <v>223</v>
      </c>
      <c r="I391" s="23" t="s">
        <v>223</v>
      </c>
      <c r="J391" s="25" t="n">
        <v>0</v>
      </c>
      <c r="K391" s="25" t="n">
        <v>0</v>
      </c>
      <c r="L391" s="25" t="n">
        <v>0</v>
      </c>
      <c r="M391" s="35" t="n">
        <v>1.063</v>
      </c>
      <c r="N391" s="26" t="n">
        <f aca="false">IF(J391=0,0,IF($I391="L/km",MROUND(J391*$M391*IF($H391="Petrol",'Fuel &amp; Inputs'!$C$5,'Fuel &amp; Inputs'!$C$4),1),MROUND(J391*$M391*IF($H391="Petrol",'Fuel &amp; Inputs'!$C$5,'Fuel &amp; Inputs'!$C$4),10)))</f>
        <v>0</v>
      </c>
      <c r="O391" s="26" t="n">
        <f aca="false">IF(K391=0,0,IF($I391="L/km",MROUND(K391*$M391*IF($H391="Petrol",'Fuel &amp; Inputs'!$C$5,'Fuel &amp; Inputs'!$C$4),1),MROUND(K391*$M391*IF($H391="Petrol",'Fuel &amp; Inputs'!$C$5,'Fuel &amp; Inputs'!$C$4),10)))</f>
        <v>0</v>
      </c>
      <c r="P391" s="26" t="n">
        <f aca="false">IF(L391=0,0,IF($I391="L/km",MROUND(L391*$M391*IF($H391="Petrol",'Fuel &amp; Inputs'!$C$5,'Fuel &amp; Inputs'!$C$4),1),MROUND(L391*$M391*IF($H391="Petrol",'Fuel &amp; Inputs'!$C$5,'Fuel &amp; Inputs'!$C$4),10)))</f>
        <v>0</v>
      </c>
      <c r="Q391" s="23" t="s">
        <v>223</v>
      </c>
      <c r="R391" s="27" t="n">
        <v>1150</v>
      </c>
      <c r="S391" s="26" t="n">
        <f aca="false">R391</f>
        <v>1150</v>
      </c>
      <c r="T391" s="27" t="n">
        <v>1200</v>
      </c>
      <c r="U391" s="26" t="n">
        <f aca="false">MROUND(R391*'Fuel &amp; Inputs'!$C$19*'Fuel &amp; Inputs'!$C$21,100)</f>
        <v>4400</v>
      </c>
      <c r="V391" s="26" t="n">
        <f aca="false">MROUND(S391*'Fuel &amp; Inputs'!$C$19*'Fuel &amp; Inputs'!$C$21,100)</f>
        <v>4400</v>
      </c>
      <c r="W391" s="26" t="n">
        <f aca="false">MROUND(T391*'Fuel &amp; Inputs'!$C$19*'Fuel &amp; Inputs'!$C$21,100)</f>
        <v>4600</v>
      </c>
      <c r="X391" s="26" t="n">
        <f aca="false">MROUND(R391*'Fuel &amp; Inputs'!$C$20*'Fuel &amp; Inputs'!$C$22,500)</f>
        <v>117500</v>
      </c>
      <c r="Y391" s="26" t="n">
        <f aca="false">MROUND(S391*'Fuel &amp; Inputs'!$C$20*'Fuel &amp; Inputs'!$C$22,500)</f>
        <v>117500</v>
      </c>
      <c r="Z391" s="26" t="n">
        <f aca="false">MROUND(T391*'Fuel &amp; Inputs'!$C$20*'Fuel &amp; Inputs'!$C$22,500)</f>
        <v>122500</v>
      </c>
    </row>
    <row r="392" customFormat="false" ht="15" hidden="false" customHeight="false" outlineLevel="0" collapsed="false">
      <c r="A392" s="17" t="n">
        <v>367</v>
      </c>
      <c r="B392" s="32" t="s">
        <v>956</v>
      </c>
      <c r="C392" s="32" t="s">
        <v>960</v>
      </c>
      <c r="D392" s="32" t="s">
        <v>958</v>
      </c>
      <c r="E392" s="17" t="s">
        <v>251</v>
      </c>
      <c r="F392" s="17" t="s">
        <v>223</v>
      </c>
      <c r="G392" s="17" t="s">
        <v>959</v>
      </c>
      <c r="H392" s="17" t="s">
        <v>223</v>
      </c>
      <c r="I392" s="17" t="s">
        <v>223</v>
      </c>
      <c r="J392" s="19" t="n">
        <v>0</v>
      </c>
      <c r="K392" s="19" t="n">
        <v>0</v>
      </c>
      <c r="L392" s="19" t="n">
        <v>0</v>
      </c>
      <c r="M392" s="33" t="n">
        <v>1.063</v>
      </c>
      <c r="N392" s="20" t="n">
        <f aca="false">IF(J392=0,0,IF($I392="L/km",MROUND(J392*$M392*IF($H392="Petrol",'Fuel &amp; Inputs'!$C$5,'Fuel &amp; Inputs'!$C$4),1),MROUND(J392*$M392*IF($H392="Petrol",'Fuel &amp; Inputs'!$C$5,'Fuel &amp; Inputs'!$C$4),10)))</f>
        <v>0</v>
      </c>
      <c r="O392" s="20" t="n">
        <f aca="false">IF(K392=0,0,IF($I392="L/km",MROUND(K392*$M392*IF($H392="Petrol",'Fuel &amp; Inputs'!$C$5,'Fuel &amp; Inputs'!$C$4),1),MROUND(K392*$M392*IF($H392="Petrol",'Fuel &amp; Inputs'!$C$5,'Fuel &amp; Inputs'!$C$4),10)))</f>
        <v>0</v>
      </c>
      <c r="P392" s="20" t="n">
        <f aca="false">IF(L392=0,0,IF($I392="L/km",MROUND(L392*$M392*IF($H392="Petrol",'Fuel &amp; Inputs'!$C$5,'Fuel &amp; Inputs'!$C$4),1),MROUND(L392*$M392*IF($H392="Petrol",'Fuel &amp; Inputs'!$C$5,'Fuel &amp; Inputs'!$C$4),10)))</f>
        <v>0</v>
      </c>
      <c r="Q392" s="17" t="s">
        <v>223</v>
      </c>
      <c r="R392" s="21" t="n">
        <v>1150</v>
      </c>
      <c r="S392" s="20" t="n">
        <f aca="false">R392</f>
        <v>1150</v>
      </c>
      <c r="T392" s="21" t="n">
        <v>1200</v>
      </c>
      <c r="U392" s="20" t="n">
        <f aca="false">MROUND(R392*'Fuel &amp; Inputs'!$C$19*'Fuel &amp; Inputs'!$C$21,100)</f>
        <v>4400</v>
      </c>
      <c r="V392" s="20" t="n">
        <f aca="false">MROUND(S392*'Fuel &amp; Inputs'!$C$19*'Fuel &amp; Inputs'!$C$21,100)</f>
        <v>4400</v>
      </c>
      <c r="W392" s="20" t="n">
        <f aca="false">MROUND(T392*'Fuel &amp; Inputs'!$C$19*'Fuel &amp; Inputs'!$C$21,100)</f>
        <v>4600</v>
      </c>
      <c r="X392" s="20" t="n">
        <f aca="false">MROUND(R392*'Fuel &amp; Inputs'!$C$20*'Fuel &amp; Inputs'!$C$22,500)</f>
        <v>117500</v>
      </c>
      <c r="Y392" s="20" t="n">
        <f aca="false">MROUND(S392*'Fuel &amp; Inputs'!$C$20*'Fuel &amp; Inputs'!$C$22,500)</f>
        <v>117500</v>
      </c>
      <c r="Z392" s="20" t="n">
        <f aca="false">MROUND(T392*'Fuel &amp; Inputs'!$C$20*'Fuel &amp; Inputs'!$C$22,500)</f>
        <v>122500</v>
      </c>
    </row>
    <row r="393" customFormat="false" ht="15" hidden="false" customHeight="false" outlineLevel="0" collapsed="false">
      <c r="A393" s="23" t="n">
        <v>368</v>
      </c>
      <c r="B393" s="34" t="s">
        <v>956</v>
      </c>
      <c r="C393" s="34" t="s">
        <v>960</v>
      </c>
      <c r="D393" s="34" t="s">
        <v>958</v>
      </c>
      <c r="E393" s="23" t="s">
        <v>251</v>
      </c>
      <c r="F393" s="23" t="s">
        <v>223</v>
      </c>
      <c r="G393" s="23" t="s">
        <v>959</v>
      </c>
      <c r="H393" s="23" t="s">
        <v>223</v>
      </c>
      <c r="I393" s="23" t="s">
        <v>223</v>
      </c>
      <c r="J393" s="25" t="n">
        <v>0</v>
      </c>
      <c r="K393" s="25" t="n">
        <v>0</v>
      </c>
      <c r="L393" s="25" t="n">
        <v>0</v>
      </c>
      <c r="M393" s="35" t="n">
        <v>1.063</v>
      </c>
      <c r="N393" s="26" t="n">
        <f aca="false">IF(J393=0,0,IF($I393="L/km",MROUND(J393*$M393*IF($H393="Petrol",'Fuel &amp; Inputs'!$C$5,'Fuel &amp; Inputs'!$C$4),1),MROUND(J393*$M393*IF($H393="Petrol",'Fuel &amp; Inputs'!$C$5,'Fuel &amp; Inputs'!$C$4),10)))</f>
        <v>0</v>
      </c>
      <c r="O393" s="26" t="n">
        <f aca="false">IF(K393=0,0,IF($I393="L/km",MROUND(K393*$M393*IF($H393="Petrol",'Fuel &amp; Inputs'!$C$5,'Fuel &amp; Inputs'!$C$4),1),MROUND(K393*$M393*IF($H393="Petrol",'Fuel &amp; Inputs'!$C$5,'Fuel &amp; Inputs'!$C$4),10)))</f>
        <v>0</v>
      </c>
      <c r="P393" s="26" t="n">
        <f aca="false">IF(L393=0,0,IF($I393="L/km",MROUND(L393*$M393*IF($H393="Petrol",'Fuel &amp; Inputs'!$C$5,'Fuel &amp; Inputs'!$C$4),1),MROUND(L393*$M393*IF($H393="Petrol",'Fuel &amp; Inputs'!$C$5,'Fuel &amp; Inputs'!$C$4),10)))</f>
        <v>0</v>
      </c>
      <c r="Q393" s="23" t="s">
        <v>223</v>
      </c>
      <c r="R393" s="27" t="n">
        <v>1150</v>
      </c>
      <c r="S393" s="26" t="n">
        <f aca="false">R393</f>
        <v>1150</v>
      </c>
      <c r="T393" s="27" t="n">
        <v>1200</v>
      </c>
      <c r="U393" s="26" t="n">
        <f aca="false">MROUND(R393*'Fuel &amp; Inputs'!$C$19*'Fuel &amp; Inputs'!$C$21,100)</f>
        <v>4400</v>
      </c>
      <c r="V393" s="26" t="n">
        <f aca="false">MROUND(S393*'Fuel &amp; Inputs'!$C$19*'Fuel &amp; Inputs'!$C$21,100)</f>
        <v>4400</v>
      </c>
      <c r="W393" s="26" t="n">
        <f aca="false">MROUND(T393*'Fuel &amp; Inputs'!$C$19*'Fuel &amp; Inputs'!$C$21,100)</f>
        <v>4600</v>
      </c>
      <c r="X393" s="26" t="n">
        <f aca="false">MROUND(R393*'Fuel &amp; Inputs'!$C$20*'Fuel &amp; Inputs'!$C$22,500)</f>
        <v>117500</v>
      </c>
      <c r="Y393" s="26" t="n">
        <f aca="false">MROUND(S393*'Fuel &amp; Inputs'!$C$20*'Fuel &amp; Inputs'!$C$22,500)</f>
        <v>117500</v>
      </c>
      <c r="Z393" s="26" t="n">
        <f aca="false">MROUND(T393*'Fuel &amp; Inputs'!$C$20*'Fuel &amp; Inputs'!$C$22,500)</f>
        <v>122500</v>
      </c>
    </row>
    <row r="394" customFormat="false" ht="15" hidden="false" customHeight="false" outlineLevel="0" collapsed="false">
      <c r="A394" s="17" t="n">
        <v>369</v>
      </c>
      <c r="B394" s="32" t="s">
        <v>956</v>
      </c>
      <c r="C394" s="32" t="s">
        <v>961</v>
      </c>
      <c r="D394" s="32" t="s">
        <v>958</v>
      </c>
      <c r="E394" s="17" t="s">
        <v>251</v>
      </c>
      <c r="F394" s="17" t="s">
        <v>223</v>
      </c>
      <c r="G394" s="17" t="s">
        <v>962</v>
      </c>
      <c r="H394" s="17" t="s">
        <v>223</v>
      </c>
      <c r="I394" s="17" t="s">
        <v>223</v>
      </c>
      <c r="J394" s="19" t="n">
        <v>0</v>
      </c>
      <c r="K394" s="19" t="n">
        <v>0</v>
      </c>
      <c r="L394" s="19" t="n">
        <v>0</v>
      </c>
      <c r="M394" s="33" t="n">
        <v>1.063</v>
      </c>
      <c r="N394" s="20" t="n">
        <f aca="false">IF(J394=0,0,IF($I394="L/km",MROUND(J394*$M394*IF($H394="Petrol",'Fuel &amp; Inputs'!$C$5,'Fuel &amp; Inputs'!$C$4),1),MROUND(J394*$M394*IF($H394="Petrol",'Fuel &amp; Inputs'!$C$5,'Fuel &amp; Inputs'!$C$4),10)))</f>
        <v>0</v>
      </c>
      <c r="O394" s="20" t="n">
        <f aca="false">IF(K394=0,0,IF($I394="L/km",MROUND(K394*$M394*IF($H394="Petrol",'Fuel &amp; Inputs'!$C$5,'Fuel &amp; Inputs'!$C$4),1),MROUND(K394*$M394*IF($H394="Petrol",'Fuel &amp; Inputs'!$C$5,'Fuel &amp; Inputs'!$C$4),10)))</f>
        <v>0</v>
      </c>
      <c r="P394" s="20" t="n">
        <f aca="false">IF(L394=0,0,IF($I394="L/km",MROUND(L394*$M394*IF($H394="Petrol",'Fuel &amp; Inputs'!$C$5,'Fuel &amp; Inputs'!$C$4),1),MROUND(L394*$M394*IF($H394="Petrol",'Fuel &amp; Inputs'!$C$5,'Fuel &amp; Inputs'!$C$4),10)))</f>
        <v>0</v>
      </c>
      <c r="Q394" s="17" t="s">
        <v>223</v>
      </c>
      <c r="R394" s="21" t="n">
        <v>1150</v>
      </c>
      <c r="S394" s="20" t="n">
        <f aca="false">R394</f>
        <v>1150</v>
      </c>
      <c r="T394" s="21" t="n">
        <v>1200</v>
      </c>
      <c r="U394" s="20" t="n">
        <f aca="false">MROUND(R394*'Fuel &amp; Inputs'!$C$19*'Fuel &amp; Inputs'!$C$21,100)</f>
        <v>4400</v>
      </c>
      <c r="V394" s="20" t="n">
        <f aca="false">MROUND(S394*'Fuel &amp; Inputs'!$C$19*'Fuel &amp; Inputs'!$C$21,100)</f>
        <v>4400</v>
      </c>
      <c r="W394" s="20" t="n">
        <f aca="false">MROUND(T394*'Fuel &amp; Inputs'!$C$19*'Fuel &amp; Inputs'!$C$21,100)</f>
        <v>4600</v>
      </c>
      <c r="X394" s="20" t="n">
        <f aca="false">MROUND(R394*'Fuel &amp; Inputs'!$C$20*'Fuel &amp; Inputs'!$C$22,500)</f>
        <v>117500</v>
      </c>
      <c r="Y394" s="20" t="n">
        <f aca="false">MROUND(S394*'Fuel &amp; Inputs'!$C$20*'Fuel &amp; Inputs'!$C$22,500)</f>
        <v>117500</v>
      </c>
      <c r="Z394" s="20" t="n">
        <f aca="false">MROUND(T394*'Fuel &amp; Inputs'!$C$20*'Fuel &amp; Inputs'!$C$22,500)</f>
        <v>122500</v>
      </c>
    </row>
    <row r="395" customFormat="false" ht="23.85" hidden="false" customHeight="false" outlineLevel="0" collapsed="false">
      <c r="A395" s="23" t="n">
        <v>370</v>
      </c>
      <c r="B395" s="34" t="s">
        <v>956</v>
      </c>
      <c r="C395" s="34" t="s">
        <v>957</v>
      </c>
      <c r="D395" s="34" t="s">
        <v>958</v>
      </c>
      <c r="E395" s="23" t="s">
        <v>204</v>
      </c>
      <c r="F395" s="23" t="s">
        <v>223</v>
      </c>
      <c r="G395" s="23" t="s">
        <v>963</v>
      </c>
      <c r="H395" s="23" t="s">
        <v>223</v>
      </c>
      <c r="I395" s="23" t="s">
        <v>223</v>
      </c>
      <c r="J395" s="25" t="n">
        <v>0</v>
      </c>
      <c r="K395" s="25" t="n">
        <v>0</v>
      </c>
      <c r="L395" s="25" t="n">
        <v>0</v>
      </c>
      <c r="M395" s="35" t="n">
        <v>1.14</v>
      </c>
      <c r="N395" s="26" t="n">
        <f aca="false">IF(J395=0,0,IF($I395="L/km",MROUND(J395*$M395*IF($H395="Petrol",'Fuel &amp; Inputs'!$C$5,'Fuel &amp; Inputs'!$C$4),1),MROUND(J395*$M395*IF($H395="Petrol",'Fuel &amp; Inputs'!$C$5,'Fuel &amp; Inputs'!$C$4),10)))</f>
        <v>0</v>
      </c>
      <c r="O395" s="26" t="n">
        <f aca="false">IF(K395=0,0,IF($I395="L/km",MROUND(K395*$M395*IF($H395="Petrol",'Fuel &amp; Inputs'!$C$5,'Fuel &amp; Inputs'!$C$4),1),MROUND(K395*$M395*IF($H395="Petrol",'Fuel &amp; Inputs'!$C$5,'Fuel &amp; Inputs'!$C$4),10)))</f>
        <v>0</v>
      </c>
      <c r="P395" s="26" t="n">
        <f aca="false">IF(L395=0,0,IF($I395="L/km",MROUND(L395*$M395*IF($H395="Petrol",'Fuel &amp; Inputs'!$C$5,'Fuel &amp; Inputs'!$C$4),1),MROUND(L395*$M395*IF($H395="Petrol",'Fuel &amp; Inputs'!$C$5,'Fuel &amp; Inputs'!$C$4),10)))</f>
        <v>0</v>
      </c>
      <c r="Q395" s="23" t="s">
        <v>223</v>
      </c>
      <c r="R395" s="27" t="n">
        <v>900</v>
      </c>
      <c r="S395" s="26" t="n">
        <f aca="false">R395</f>
        <v>900</v>
      </c>
      <c r="T395" s="27" t="n">
        <v>940</v>
      </c>
      <c r="U395" s="26" t="n">
        <f aca="false">MROUND(R395*'Fuel &amp; Inputs'!$C$19*'Fuel &amp; Inputs'!$C$21,100)</f>
        <v>3400</v>
      </c>
      <c r="V395" s="26" t="n">
        <f aca="false">MROUND(S395*'Fuel &amp; Inputs'!$C$19*'Fuel &amp; Inputs'!$C$21,100)</f>
        <v>3400</v>
      </c>
      <c r="W395" s="26" t="n">
        <f aca="false">MROUND(T395*'Fuel &amp; Inputs'!$C$19*'Fuel &amp; Inputs'!$C$21,100)</f>
        <v>3600</v>
      </c>
      <c r="X395" s="26" t="n">
        <f aca="false">MROUND(R395*'Fuel &amp; Inputs'!$C$20*'Fuel &amp; Inputs'!$C$22,500)</f>
        <v>92000</v>
      </c>
      <c r="Y395" s="26" t="n">
        <f aca="false">MROUND(S395*'Fuel &amp; Inputs'!$C$20*'Fuel &amp; Inputs'!$C$22,500)</f>
        <v>92000</v>
      </c>
      <c r="Z395" s="26" t="n">
        <f aca="false">MROUND(T395*'Fuel &amp; Inputs'!$C$20*'Fuel &amp; Inputs'!$C$22,500)</f>
        <v>96000</v>
      </c>
    </row>
    <row r="396" customFormat="false" ht="23.85" hidden="false" customHeight="false" outlineLevel="0" collapsed="false">
      <c r="A396" s="17" t="n">
        <v>371</v>
      </c>
      <c r="B396" s="32" t="s">
        <v>956</v>
      </c>
      <c r="C396" s="32" t="s">
        <v>957</v>
      </c>
      <c r="D396" s="32" t="s">
        <v>958</v>
      </c>
      <c r="E396" s="17" t="s">
        <v>204</v>
      </c>
      <c r="F396" s="17" t="s">
        <v>223</v>
      </c>
      <c r="G396" s="17" t="s">
        <v>963</v>
      </c>
      <c r="H396" s="17" t="s">
        <v>223</v>
      </c>
      <c r="I396" s="17" t="s">
        <v>223</v>
      </c>
      <c r="J396" s="19" t="n">
        <v>0</v>
      </c>
      <c r="K396" s="19" t="n">
        <v>0</v>
      </c>
      <c r="L396" s="19" t="n">
        <v>0</v>
      </c>
      <c r="M396" s="33" t="n">
        <v>1.14</v>
      </c>
      <c r="N396" s="20" t="n">
        <f aca="false">IF(J396=0,0,IF($I396="L/km",MROUND(J396*$M396*IF($H396="Petrol",'Fuel &amp; Inputs'!$C$5,'Fuel &amp; Inputs'!$C$4),1),MROUND(J396*$M396*IF($H396="Petrol",'Fuel &amp; Inputs'!$C$5,'Fuel &amp; Inputs'!$C$4),10)))</f>
        <v>0</v>
      </c>
      <c r="O396" s="20" t="n">
        <f aca="false">IF(K396=0,0,IF($I396="L/km",MROUND(K396*$M396*IF($H396="Petrol",'Fuel &amp; Inputs'!$C$5,'Fuel &amp; Inputs'!$C$4),1),MROUND(K396*$M396*IF($H396="Petrol",'Fuel &amp; Inputs'!$C$5,'Fuel &amp; Inputs'!$C$4),10)))</f>
        <v>0</v>
      </c>
      <c r="P396" s="20" t="n">
        <f aca="false">IF(L396=0,0,IF($I396="L/km",MROUND(L396*$M396*IF($H396="Petrol",'Fuel &amp; Inputs'!$C$5,'Fuel &amp; Inputs'!$C$4),1),MROUND(L396*$M396*IF($H396="Petrol",'Fuel &amp; Inputs'!$C$5,'Fuel &amp; Inputs'!$C$4),10)))</f>
        <v>0</v>
      </c>
      <c r="Q396" s="17" t="s">
        <v>223</v>
      </c>
      <c r="R396" s="21" t="n">
        <v>900</v>
      </c>
      <c r="S396" s="20" t="n">
        <f aca="false">R396</f>
        <v>900</v>
      </c>
      <c r="T396" s="21" t="n">
        <v>940</v>
      </c>
      <c r="U396" s="20" t="n">
        <f aca="false">MROUND(R396*'Fuel &amp; Inputs'!$C$19*'Fuel &amp; Inputs'!$C$21,100)</f>
        <v>3400</v>
      </c>
      <c r="V396" s="20" t="n">
        <f aca="false">MROUND(S396*'Fuel &amp; Inputs'!$C$19*'Fuel &amp; Inputs'!$C$21,100)</f>
        <v>3400</v>
      </c>
      <c r="W396" s="20" t="n">
        <f aca="false">MROUND(T396*'Fuel &amp; Inputs'!$C$19*'Fuel &amp; Inputs'!$C$21,100)</f>
        <v>3600</v>
      </c>
      <c r="X396" s="20" t="n">
        <f aca="false">MROUND(R396*'Fuel &amp; Inputs'!$C$20*'Fuel &amp; Inputs'!$C$22,500)</f>
        <v>92000</v>
      </c>
      <c r="Y396" s="20" t="n">
        <f aca="false">MROUND(S396*'Fuel &amp; Inputs'!$C$20*'Fuel &amp; Inputs'!$C$22,500)</f>
        <v>92000</v>
      </c>
      <c r="Z396" s="20" t="n">
        <f aca="false">MROUND(T396*'Fuel &amp; Inputs'!$C$20*'Fuel &amp; Inputs'!$C$22,500)</f>
        <v>96000</v>
      </c>
    </row>
    <row r="397" customFormat="false" ht="15" hidden="false" customHeight="true" outlineLevel="0" collapsed="false">
      <c r="A397" s="31" t="s">
        <v>964</v>
      </c>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ustomFormat="false" ht="15" hidden="false" customHeight="false" outlineLevel="0" collapsed="false">
      <c r="A398" s="23" t="n">
        <v>372</v>
      </c>
      <c r="B398" s="34" t="s">
        <v>965</v>
      </c>
      <c r="C398" s="34" t="s">
        <v>966</v>
      </c>
      <c r="D398" s="34" t="s">
        <v>967</v>
      </c>
      <c r="E398" s="23" t="s">
        <v>603</v>
      </c>
      <c r="F398" s="23" t="s">
        <v>223</v>
      </c>
      <c r="G398" s="23" t="s">
        <v>968</v>
      </c>
      <c r="H398" s="23" t="s">
        <v>223</v>
      </c>
      <c r="I398" s="23" t="s">
        <v>223</v>
      </c>
      <c r="J398" s="25" t="n">
        <v>0</v>
      </c>
      <c r="K398" s="25" t="n">
        <v>0</v>
      </c>
      <c r="L398" s="25" t="n">
        <v>0</v>
      </c>
      <c r="M398" s="35" t="n">
        <v>1.105</v>
      </c>
      <c r="N398" s="26" t="n">
        <f aca="false">IF(J398=0,0,IF($I398="L/km",MROUND(J398*$M398*IF($H398="Petrol",'Fuel &amp; Inputs'!$C$5,'Fuel &amp; Inputs'!$C$4),1),MROUND(J398*$M398*IF($H398="Petrol",'Fuel &amp; Inputs'!$C$5,'Fuel &amp; Inputs'!$C$4),10)))</f>
        <v>0</v>
      </c>
      <c r="O398" s="26" t="n">
        <f aca="false">IF(K398=0,0,IF($I398="L/km",MROUND(K398*$M398*IF($H398="Petrol",'Fuel &amp; Inputs'!$C$5,'Fuel &amp; Inputs'!$C$4),1),MROUND(K398*$M398*IF($H398="Petrol",'Fuel &amp; Inputs'!$C$5,'Fuel &amp; Inputs'!$C$4),10)))</f>
        <v>0</v>
      </c>
      <c r="P398" s="26" t="n">
        <f aca="false">IF(L398=0,0,IF($I398="L/km",MROUND(L398*$M398*IF($H398="Petrol",'Fuel &amp; Inputs'!$C$5,'Fuel &amp; Inputs'!$C$4),1),MROUND(L398*$M398*IF($H398="Petrol",'Fuel &amp; Inputs'!$C$5,'Fuel &amp; Inputs'!$C$4),10)))</f>
        <v>0</v>
      </c>
      <c r="Q398" s="23" t="s">
        <v>223</v>
      </c>
      <c r="R398" s="27" t="n">
        <v>1720</v>
      </c>
      <c r="S398" s="26" t="n">
        <f aca="false">R398</f>
        <v>1720</v>
      </c>
      <c r="T398" s="27" t="n">
        <v>1800</v>
      </c>
      <c r="U398" s="26" t="n">
        <f aca="false">MROUND(R398*'Fuel &amp; Inputs'!$C$19*'Fuel &amp; Inputs'!$C$21,100)</f>
        <v>6500</v>
      </c>
      <c r="V398" s="26" t="n">
        <f aca="false">MROUND(S398*'Fuel &amp; Inputs'!$C$19*'Fuel &amp; Inputs'!$C$21,100)</f>
        <v>6500</v>
      </c>
      <c r="W398" s="26" t="n">
        <f aca="false">MROUND(T398*'Fuel &amp; Inputs'!$C$19*'Fuel &amp; Inputs'!$C$21,100)</f>
        <v>6800</v>
      </c>
      <c r="X398" s="26" t="n">
        <f aca="false">MROUND(R398*'Fuel &amp; Inputs'!$C$20*'Fuel &amp; Inputs'!$C$22,500)</f>
        <v>175500</v>
      </c>
      <c r="Y398" s="26" t="n">
        <f aca="false">MROUND(S398*'Fuel &amp; Inputs'!$C$20*'Fuel &amp; Inputs'!$C$22,500)</f>
        <v>175500</v>
      </c>
      <c r="Z398" s="26" t="n">
        <f aca="false">MROUND(T398*'Fuel &amp; Inputs'!$C$20*'Fuel &amp; Inputs'!$C$22,500)</f>
        <v>183500</v>
      </c>
    </row>
    <row r="399" customFormat="false" ht="15" hidden="false" customHeight="false" outlineLevel="0" collapsed="false">
      <c r="A399" s="17" t="n">
        <v>373</v>
      </c>
      <c r="B399" s="32" t="s">
        <v>965</v>
      </c>
      <c r="C399" s="32" t="s">
        <v>966</v>
      </c>
      <c r="D399" s="32" t="s">
        <v>969</v>
      </c>
      <c r="E399" s="17" t="s">
        <v>277</v>
      </c>
      <c r="F399" s="17" t="s">
        <v>223</v>
      </c>
      <c r="G399" s="17" t="s">
        <v>970</v>
      </c>
      <c r="H399" s="17" t="s">
        <v>223</v>
      </c>
      <c r="I399" s="17" t="s">
        <v>223</v>
      </c>
      <c r="J399" s="19" t="n">
        <v>0</v>
      </c>
      <c r="K399" s="19" t="n">
        <v>0</v>
      </c>
      <c r="L399" s="19" t="n">
        <v>0</v>
      </c>
      <c r="M399" s="33" t="n">
        <v>1.161</v>
      </c>
      <c r="N399" s="20" t="n">
        <f aca="false">IF(J399=0,0,IF($I399="L/km",MROUND(J399*$M399*IF($H399="Petrol",'Fuel &amp; Inputs'!$C$5,'Fuel &amp; Inputs'!$C$4),1),MROUND(J399*$M399*IF($H399="Petrol",'Fuel &amp; Inputs'!$C$5,'Fuel &amp; Inputs'!$C$4),10)))</f>
        <v>0</v>
      </c>
      <c r="O399" s="20" t="n">
        <f aca="false">IF(K399=0,0,IF($I399="L/km",MROUND(K399*$M399*IF($H399="Petrol",'Fuel &amp; Inputs'!$C$5,'Fuel &amp; Inputs'!$C$4),1),MROUND(K399*$M399*IF($H399="Petrol",'Fuel &amp; Inputs'!$C$5,'Fuel &amp; Inputs'!$C$4),10)))</f>
        <v>0</v>
      </c>
      <c r="P399" s="20" t="n">
        <f aca="false">IF(L399=0,0,IF($I399="L/km",MROUND(L399*$M399*IF($H399="Petrol",'Fuel &amp; Inputs'!$C$5,'Fuel &amp; Inputs'!$C$4),1),MROUND(L399*$M399*IF($H399="Petrol",'Fuel &amp; Inputs'!$C$5,'Fuel &amp; Inputs'!$C$4),10)))</f>
        <v>0</v>
      </c>
      <c r="Q399" s="17" t="s">
        <v>223</v>
      </c>
      <c r="R399" s="21" t="n">
        <v>1370</v>
      </c>
      <c r="S399" s="20" t="n">
        <f aca="false">R399</f>
        <v>1370</v>
      </c>
      <c r="T399" s="21" t="n">
        <v>1430</v>
      </c>
      <c r="U399" s="20" t="n">
        <f aca="false">MROUND(R399*'Fuel &amp; Inputs'!$C$19*'Fuel &amp; Inputs'!$C$21,100)</f>
        <v>5200</v>
      </c>
      <c r="V399" s="20" t="n">
        <f aca="false">MROUND(S399*'Fuel &amp; Inputs'!$C$19*'Fuel &amp; Inputs'!$C$21,100)</f>
        <v>5200</v>
      </c>
      <c r="W399" s="20" t="n">
        <f aca="false">MROUND(T399*'Fuel &amp; Inputs'!$C$19*'Fuel &amp; Inputs'!$C$21,100)</f>
        <v>5400</v>
      </c>
      <c r="X399" s="20" t="n">
        <f aca="false">MROUND(R399*'Fuel &amp; Inputs'!$C$20*'Fuel &amp; Inputs'!$C$22,500)</f>
        <v>139500</v>
      </c>
      <c r="Y399" s="20" t="n">
        <f aca="false">MROUND(S399*'Fuel &amp; Inputs'!$C$20*'Fuel &amp; Inputs'!$C$22,500)</f>
        <v>139500</v>
      </c>
      <c r="Z399" s="20" t="n">
        <f aca="false">MROUND(T399*'Fuel &amp; Inputs'!$C$20*'Fuel &amp; Inputs'!$C$22,500)</f>
        <v>146000</v>
      </c>
    </row>
    <row r="400" customFormat="false" ht="15" hidden="false" customHeight="false" outlineLevel="0" collapsed="false">
      <c r="A400" s="23" t="n">
        <v>374</v>
      </c>
      <c r="B400" s="34" t="s">
        <v>965</v>
      </c>
      <c r="C400" s="34" t="s">
        <v>330</v>
      </c>
      <c r="D400" s="34" t="s">
        <v>223</v>
      </c>
      <c r="E400" s="23" t="s">
        <v>223</v>
      </c>
      <c r="F400" s="23" t="s">
        <v>223</v>
      </c>
      <c r="G400" s="23" t="s">
        <v>971</v>
      </c>
      <c r="H400" s="23" t="s">
        <v>223</v>
      </c>
      <c r="I400" s="23" t="s">
        <v>223</v>
      </c>
      <c r="J400" s="25" t="n">
        <v>0</v>
      </c>
      <c r="K400" s="25" t="n">
        <v>0</v>
      </c>
      <c r="L400" s="25" t="n">
        <v>0</v>
      </c>
      <c r="M400" s="35" t="n">
        <v>1</v>
      </c>
      <c r="N400" s="26" t="n">
        <f aca="false">IF(J400=0,0,IF($I400="L/km",MROUND(J400*$M400*IF($H400="Petrol",'Fuel &amp; Inputs'!$C$5,'Fuel &amp; Inputs'!$C$4),1),MROUND(J400*$M400*IF($H400="Petrol",'Fuel &amp; Inputs'!$C$5,'Fuel &amp; Inputs'!$C$4),10)))</f>
        <v>0</v>
      </c>
      <c r="O400" s="26" t="n">
        <f aca="false">IF(K400=0,0,IF($I400="L/km",MROUND(K400*$M400*IF($H400="Petrol",'Fuel &amp; Inputs'!$C$5,'Fuel &amp; Inputs'!$C$4),1),MROUND(K400*$M400*IF($H400="Petrol",'Fuel &amp; Inputs'!$C$5,'Fuel &amp; Inputs'!$C$4),10)))</f>
        <v>0</v>
      </c>
      <c r="P400" s="26" t="n">
        <f aca="false">IF(L400=0,0,IF($I400="L/km",MROUND(L400*$M400*IF($H400="Petrol",'Fuel &amp; Inputs'!$C$5,'Fuel &amp; Inputs'!$C$4),1),MROUND(L400*$M400*IF($H400="Petrol",'Fuel &amp; Inputs'!$C$5,'Fuel &amp; Inputs'!$C$4),10)))</f>
        <v>0</v>
      </c>
      <c r="Q400" s="23" t="s">
        <v>223</v>
      </c>
      <c r="R400" s="27" t="n">
        <v>1220</v>
      </c>
      <c r="S400" s="26" t="n">
        <f aca="false">R400</f>
        <v>1220</v>
      </c>
      <c r="T400" s="27" t="n">
        <v>1280</v>
      </c>
      <c r="U400" s="26" t="n">
        <f aca="false">MROUND(R400*'Fuel &amp; Inputs'!$C$19*'Fuel &amp; Inputs'!$C$21,100)</f>
        <v>4600</v>
      </c>
      <c r="V400" s="26" t="n">
        <f aca="false">MROUND(S400*'Fuel &amp; Inputs'!$C$19*'Fuel &amp; Inputs'!$C$21,100)</f>
        <v>4600</v>
      </c>
      <c r="W400" s="26" t="n">
        <f aca="false">MROUND(T400*'Fuel &amp; Inputs'!$C$19*'Fuel &amp; Inputs'!$C$21,100)</f>
        <v>4900</v>
      </c>
      <c r="X400" s="26" t="n">
        <f aca="false">MROUND(R400*'Fuel &amp; Inputs'!$C$20*'Fuel &amp; Inputs'!$C$22,500)</f>
        <v>124500</v>
      </c>
      <c r="Y400" s="26" t="n">
        <f aca="false">MROUND(S400*'Fuel &amp; Inputs'!$C$20*'Fuel &amp; Inputs'!$C$22,500)</f>
        <v>124500</v>
      </c>
      <c r="Z400" s="26" t="n">
        <f aca="false">MROUND(T400*'Fuel &amp; Inputs'!$C$20*'Fuel &amp; Inputs'!$C$22,500)</f>
        <v>130500</v>
      </c>
    </row>
    <row r="401" customFormat="false" ht="15" hidden="false" customHeight="true" outlineLevel="0" collapsed="false">
      <c r="A401" s="31" t="s">
        <v>972</v>
      </c>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ustomFormat="false" ht="15" hidden="false" customHeight="false" outlineLevel="0" collapsed="false">
      <c r="A402" s="17" t="n">
        <v>375</v>
      </c>
      <c r="B402" s="32" t="s">
        <v>112</v>
      </c>
      <c r="C402" s="32" t="s">
        <v>280</v>
      </c>
      <c r="D402" s="32" t="s">
        <v>223</v>
      </c>
      <c r="E402" s="17" t="s">
        <v>581</v>
      </c>
      <c r="F402" s="17" t="s">
        <v>973</v>
      </c>
      <c r="G402" s="17" t="s">
        <v>974</v>
      </c>
      <c r="H402" s="17" t="s">
        <v>153</v>
      </c>
      <c r="I402" s="17" t="s">
        <v>154</v>
      </c>
      <c r="J402" s="19" t="n">
        <v>5</v>
      </c>
      <c r="K402" s="19" t="n">
        <v>7</v>
      </c>
      <c r="L402" s="19" t="n">
        <v>9.5</v>
      </c>
      <c r="M402" s="33" t="n">
        <v>1.147</v>
      </c>
      <c r="N402" s="20" t="n">
        <f aca="false">IF(J402=0,0,IF($I402="L/km",MROUND(J402*$M402*IF($H402="Petrol",'Fuel &amp; Inputs'!$C$5,'Fuel &amp; Inputs'!$C$4),1),MROUND(J402*$M402*IF($H402="Petrol",'Fuel &amp; Inputs'!$C$5,'Fuel &amp; Inputs'!$C$4),10)))</f>
        <v>2190</v>
      </c>
      <c r="O402" s="20" t="n">
        <f aca="false">IF(K402=0,0,IF($I402="L/km",MROUND(K402*$M402*IF($H402="Petrol",'Fuel &amp; Inputs'!$C$5,'Fuel &amp; Inputs'!$C$4),1),MROUND(K402*$M402*IF($H402="Petrol",'Fuel &amp; Inputs'!$C$5,'Fuel &amp; Inputs'!$C$4),10)))</f>
        <v>3070</v>
      </c>
      <c r="P402" s="20" t="n">
        <f aca="false">IF(L402=0,0,IF($I402="L/km",MROUND(L402*$M402*IF($H402="Petrol",'Fuel &amp; Inputs'!$C$5,'Fuel &amp; Inputs'!$C$4),1),MROUND(L402*$M402*IF($H402="Petrol",'Fuel &amp; Inputs'!$C$5,'Fuel &amp; Inputs'!$C$4),10)))</f>
        <v>4160</v>
      </c>
      <c r="Q402" s="17" t="s">
        <v>155</v>
      </c>
      <c r="R402" s="21" t="n">
        <v>970</v>
      </c>
      <c r="S402" s="20" t="n">
        <f aca="false">MROUND(R402+'Fuel &amp; Inputs'!$C$13,50)</f>
        <v>1750</v>
      </c>
      <c r="T402" s="21" t="n">
        <v>1760</v>
      </c>
      <c r="U402" s="20" t="n">
        <f aca="false">MROUND(R402*'Fuel &amp; Inputs'!$C$19*'Fuel &amp; Inputs'!$C$21,100)</f>
        <v>3700</v>
      </c>
      <c r="V402" s="20" t="n">
        <f aca="false">MROUND(S402*'Fuel &amp; Inputs'!$C$19*'Fuel &amp; Inputs'!$C$21,100)</f>
        <v>6700</v>
      </c>
      <c r="W402" s="20" t="n">
        <f aca="false">MROUND(T402*'Fuel &amp; Inputs'!$C$19*'Fuel &amp; Inputs'!$C$21,100)</f>
        <v>6700</v>
      </c>
      <c r="X402" s="20" t="n">
        <f aca="false">MROUND(R402*'Fuel &amp; Inputs'!$C$20*'Fuel &amp; Inputs'!$C$22,500)</f>
        <v>99000</v>
      </c>
      <c r="Y402" s="20" t="n">
        <f aca="false">MROUND(S402*'Fuel &amp; Inputs'!$C$20*'Fuel &amp; Inputs'!$C$22,500)</f>
        <v>178500</v>
      </c>
      <c r="Z402" s="20" t="n">
        <f aca="false">MROUND(T402*'Fuel &amp; Inputs'!$C$20*'Fuel &amp; Inputs'!$C$22,500)</f>
        <v>179500</v>
      </c>
    </row>
    <row r="403" customFormat="false" ht="15" hidden="false" customHeight="false" outlineLevel="0" collapsed="false">
      <c r="A403" s="23" t="n">
        <v>376</v>
      </c>
      <c r="B403" s="34" t="s">
        <v>112</v>
      </c>
      <c r="C403" s="34" t="s">
        <v>249</v>
      </c>
      <c r="D403" s="34" t="s">
        <v>769</v>
      </c>
      <c r="E403" s="23" t="s">
        <v>581</v>
      </c>
      <c r="F403" s="23" t="s">
        <v>975</v>
      </c>
      <c r="G403" s="23" t="s">
        <v>976</v>
      </c>
      <c r="H403" s="23" t="s">
        <v>153</v>
      </c>
      <c r="I403" s="23" t="s">
        <v>154</v>
      </c>
      <c r="J403" s="25" t="n">
        <v>5</v>
      </c>
      <c r="K403" s="25" t="n">
        <v>7</v>
      </c>
      <c r="L403" s="25" t="n">
        <v>9.5</v>
      </c>
      <c r="M403" s="35" t="n">
        <v>1.147</v>
      </c>
      <c r="N403" s="26" t="n">
        <f aca="false">IF(J403=0,0,IF($I403="L/km",MROUND(J403*$M403*IF($H403="Petrol",'Fuel &amp; Inputs'!$C$5,'Fuel &amp; Inputs'!$C$4),1),MROUND(J403*$M403*IF($H403="Petrol",'Fuel &amp; Inputs'!$C$5,'Fuel &amp; Inputs'!$C$4),10)))</f>
        <v>2190</v>
      </c>
      <c r="O403" s="26" t="n">
        <f aca="false">IF(K403=0,0,IF($I403="L/km",MROUND(K403*$M403*IF($H403="Petrol",'Fuel &amp; Inputs'!$C$5,'Fuel &amp; Inputs'!$C$4),1),MROUND(K403*$M403*IF($H403="Petrol",'Fuel &amp; Inputs'!$C$5,'Fuel &amp; Inputs'!$C$4),10)))</f>
        <v>3070</v>
      </c>
      <c r="P403" s="26" t="n">
        <f aca="false">IF(L403=0,0,IF($I403="L/km",MROUND(L403*$M403*IF($H403="Petrol",'Fuel &amp; Inputs'!$C$5,'Fuel &amp; Inputs'!$C$4),1),MROUND(L403*$M403*IF($H403="Petrol",'Fuel &amp; Inputs'!$C$5,'Fuel &amp; Inputs'!$C$4),10)))</f>
        <v>4160</v>
      </c>
      <c r="Q403" s="23" t="s">
        <v>155</v>
      </c>
      <c r="R403" s="27" t="n">
        <v>970</v>
      </c>
      <c r="S403" s="26" t="n">
        <f aca="false">MROUND(R403+'Fuel &amp; Inputs'!$C$13,50)</f>
        <v>1750</v>
      </c>
      <c r="T403" s="27" t="n">
        <v>1760</v>
      </c>
      <c r="U403" s="26" t="n">
        <f aca="false">MROUND(R403*'Fuel &amp; Inputs'!$C$19*'Fuel &amp; Inputs'!$C$21,100)</f>
        <v>3700</v>
      </c>
      <c r="V403" s="26" t="n">
        <f aca="false">MROUND(S403*'Fuel &amp; Inputs'!$C$19*'Fuel &amp; Inputs'!$C$21,100)</f>
        <v>6700</v>
      </c>
      <c r="W403" s="26" t="n">
        <f aca="false">MROUND(T403*'Fuel &amp; Inputs'!$C$19*'Fuel &amp; Inputs'!$C$21,100)</f>
        <v>6700</v>
      </c>
      <c r="X403" s="26" t="n">
        <f aca="false">MROUND(R403*'Fuel &amp; Inputs'!$C$20*'Fuel &amp; Inputs'!$C$22,500)</f>
        <v>99000</v>
      </c>
      <c r="Y403" s="26" t="n">
        <f aca="false">MROUND(S403*'Fuel &amp; Inputs'!$C$20*'Fuel &amp; Inputs'!$C$22,500)</f>
        <v>178500</v>
      </c>
      <c r="Z403" s="26" t="n">
        <f aca="false">MROUND(T403*'Fuel &amp; Inputs'!$C$20*'Fuel &amp; Inputs'!$C$22,500)</f>
        <v>179500</v>
      </c>
    </row>
    <row r="404" customFormat="false" ht="15" hidden="false" customHeight="false" outlineLevel="0" collapsed="false">
      <c r="A404" s="17" t="n">
        <v>377</v>
      </c>
      <c r="B404" s="32" t="s">
        <v>112</v>
      </c>
      <c r="C404" s="32" t="s">
        <v>249</v>
      </c>
      <c r="D404" s="32" t="s">
        <v>223</v>
      </c>
      <c r="E404" s="17" t="s">
        <v>454</v>
      </c>
      <c r="F404" s="17" t="s">
        <v>977</v>
      </c>
      <c r="G404" s="17" t="s">
        <v>978</v>
      </c>
      <c r="H404" s="17" t="s">
        <v>153</v>
      </c>
      <c r="I404" s="17" t="s">
        <v>154</v>
      </c>
      <c r="J404" s="19" t="n">
        <v>5</v>
      </c>
      <c r="K404" s="19" t="n">
        <v>7</v>
      </c>
      <c r="L404" s="19" t="n">
        <v>9.5</v>
      </c>
      <c r="M404" s="33" t="n">
        <v>1.175</v>
      </c>
      <c r="N404" s="20" t="n">
        <f aca="false">IF(J404=0,0,IF($I404="L/km",MROUND(J404*$M404*IF($H404="Petrol",'Fuel &amp; Inputs'!$C$5,'Fuel &amp; Inputs'!$C$4),1),MROUND(J404*$M404*IF($H404="Petrol",'Fuel &amp; Inputs'!$C$5,'Fuel &amp; Inputs'!$C$4),10)))</f>
        <v>2240</v>
      </c>
      <c r="O404" s="20" t="n">
        <f aca="false">IF(K404=0,0,IF($I404="L/km",MROUND(K404*$M404*IF($H404="Petrol",'Fuel &amp; Inputs'!$C$5,'Fuel &amp; Inputs'!$C$4),1),MROUND(K404*$M404*IF($H404="Petrol",'Fuel &amp; Inputs'!$C$5,'Fuel &amp; Inputs'!$C$4),10)))</f>
        <v>3140</v>
      </c>
      <c r="P404" s="20" t="n">
        <f aca="false">IF(L404=0,0,IF($I404="L/km",MROUND(L404*$M404*IF($H404="Petrol",'Fuel &amp; Inputs'!$C$5,'Fuel &amp; Inputs'!$C$4),1),MROUND(L404*$M404*IF($H404="Petrol",'Fuel &amp; Inputs'!$C$5,'Fuel &amp; Inputs'!$C$4),10)))</f>
        <v>4260</v>
      </c>
      <c r="Q404" s="17" t="s">
        <v>155</v>
      </c>
      <c r="R404" s="21" t="n">
        <v>780</v>
      </c>
      <c r="S404" s="20" t="n">
        <f aca="false">MROUND(R404+'Fuel &amp; Inputs'!$C$13,50)</f>
        <v>1600</v>
      </c>
      <c r="T404" s="21" t="n">
        <v>1420</v>
      </c>
      <c r="U404" s="20" t="n">
        <f aca="false">MROUND(R404*'Fuel &amp; Inputs'!$C$19*'Fuel &amp; Inputs'!$C$21,100)</f>
        <v>3000</v>
      </c>
      <c r="V404" s="20" t="n">
        <f aca="false">MROUND(S404*'Fuel &amp; Inputs'!$C$19*'Fuel &amp; Inputs'!$C$21,100)</f>
        <v>6100</v>
      </c>
      <c r="W404" s="20" t="n">
        <f aca="false">MROUND(T404*'Fuel &amp; Inputs'!$C$19*'Fuel &amp; Inputs'!$C$21,100)</f>
        <v>5400</v>
      </c>
      <c r="X404" s="20" t="n">
        <f aca="false">MROUND(R404*'Fuel &amp; Inputs'!$C$20*'Fuel &amp; Inputs'!$C$22,500)</f>
        <v>79500</v>
      </c>
      <c r="Y404" s="20" t="n">
        <f aca="false">MROUND(S404*'Fuel &amp; Inputs'!$C$20*'Fuel &amp; Inputs'!$C$22,500)</f>
        <v>163000</v>
      </c>
      <c r="Z404" s="20" t="n">
        <f aca="false">MROUND(T404*'Fuel &amp; Inputs'!$C$20*'Fuel &amp; Inputs'!$C$22,500)</f>
        <v>145000</v>
      </c>
    </row>
    <row r="405" customFormat="false" ht="15" hidden="false" customHeight="false" outlineLevel="0" collapsed="false">
      <c r="A405" s="23" t="n">
        <v>378</v>
      </c>
      <c r="B405" s="34" t="s">
        <v>112</v>
      </c>
      <c r="C405" s="34" t="s">
        <v>280</v>
      </c>
      <c r="D405" s="34" t="s">
        <v>769</v>
      </c>
      <c r="E405" s="23" t="s">
        <v>454</v>
      </c>
      <c r="F405" s="23" t="s">
        <v>979</v>
      </c>
      <c r="G405" s="23" t="s">
        <v>980</v>
      </c>
      <c r="H405" s="23" t="s">
        <v>153</v>
      </c>
      <c r="I405" s="23" t="s">
        <v>154</v>
      </c>
      <c r="J405" s="25" t="n">
        <v>5</v>
      </c>
      <c r="K405" s="25" t="n">
        <v>7</v>
      </c>
      <c r="L405" s="25" t="n">
        <v>9.5</v>
      </c>
      <c r="M405" s="35" t="n">
        <v>1.175</v>
      </c>
      <c r="N405" s="26" t="n">
        <f aca="false">IF(J405=0,0,IF($I405="L/km",MROUND(J405*$M405*IF($H405="Petrol",'Fuel &amp; Inputs'!$C$5,'Fuel &amp; Inputs'!$C$4),1),MROUND(J405*$M405*IF($H405="Petrol",'Fuel &amp; Inputs'!$C$5,'Fuel &amp; Inputs'!$C$4),10)))</f>
        <v>2240</v>
      </c>
      <c r="O405" s="26" t="n">
        <f aca="false">IF(K405=0,0,IF($I405="L/km",MROUND(K405*$M405*IF($H405="Petrol",'Fuel &amp; Inputs'!$C$5,'Fuel &amp; Inputs'!$C$4),1),MROUND(K405*$M405*IF($H405="Petrol",'Fuel &amp; Inputs'!$C$5,'Fuel &amp; Inputs'!$C$4),10)))</f>
        <v>3140</v>
      </c>
      <c r="P405" s="26" t="n">
        <f aca="false">IF(L405=0,0,IF($I405="L/km",MROUND(L405*$M405*IF($H405="Petrol",'Fuel &amp; Inputs'!$C$5,'Fuel &amp; Inputs'!$C$4),1),MROUND(L405*$M405*IF($H405="Petrol",'Fuel &amp; Inputs'!$C$5,'Fuel &amp; Inputs'!$C$4),10)))</f>
        <v>4260</v>
      </c>
      <c r="Q405" s="23" t="s">
        <v>155</v>
      </c>
      <c r="R405" s="27" t="n">
        <v>780</v>
      </c>
      <c r="S405" s="26" t="n">
        <f aca="false">MROUND(R405+'Fuel &amp; Inputs'!$C$13,50)</f>
        <v>1600</v>
      </c>
      <c r="T405" s="27" t="n">
        <v>1420</v>
      </c>
      <c r="U405" s="26" t="n">
        <f aca="false">MROUND(R405*'Fuel &amp; Inputs'!$C$19*'Fuel &amp; Inputs'!$C$21,100)</f>
        <v>3000</v>
      </c>
      <c r="V405" s="26" t="n">
        <f aca="false">MROUND(S405*'Fuel &amp; Inputs'!$C$19*'Fuel &amp; Inputs'!$C$21,100)</f>
        <v>6100</v>
      </c>
      <c r="W405" s="26" t="n">
        <f aca="false">MROUND(T405*'Fuel &amp; Inputs'!$C$19*'Fuel &amp; Inputs'!$C$21,100)</f>
        <v>5400</v>
      </c>
      <c r="X405" s="26" t="n">
        <f aca="false">MROUND(R405*'Fuel &amp; Inputs'!$C$20*'Fuel &amp; Inputs'!$C$22,500)</f>
        <v>79500</v>
      </c>
      <c r="Y405" s="26" t="n">
        <f aca="false">MROUND(S405*'Fuel &amp; Inputs'!$C$20*'Fuel &amp; Inputs'!$C$22,500)</f>
        <v>163000</v>
      </c>
      <c r="Z405" s="26" t="n">
        <f aca="false">MROUND(T405*'Fuel &amp; Inputs'!$C$20*'Fuel &amp; Inputs'!$C$22,500)</f>
        <v>145000</v>
      </c>
    </row>
    <row r="406" customFormat="false" ht="15" hidden="false" customHeight="false" outlineLevel="0" collapsed="false">
      <c r="A406" s="17" t="n">
        <v>379</v>
      </c>
      <c r="B406" s="32" t="s">
        <v>112</v>
      </c>
      <c r="C406" s="32" t="s">
        <v>981</v>
      </c>
      <c r="D406" s="32" t="s">
        <v>384</v>
      </c>
      <c r="E406" s="17" t="s">
        <v>223</v>
      </c>
      <c r="F406" s="17" t="s">
        <v>982</v>
      </c>
      <c r="G406" s="17" t="s">
        <v>983</v>
      </c>
      <c r="H406" s="17" t="s">
        <v>153</v>
      </c>
      <c r="I406" s="17" t="s">
        <v>154</v>
      </c>
      <c r="J406" s="19" t="n">
        <v>5</v>
      </c>
      <c r="K406" s="19" t="n">
        <v>7</v>
      </c>
      <c r="L406" s="19" t="n">
        <v>9.5</v>
      </c>
      <c r="M406" s="33" t="n">
        <v>1</v>
      </c>
      <c r="N406" s="20" t="n">
        <f aca="false">IF(J406=0,0,IF($I406="L/km",MROUND(J406*$M406*IF($H406="Petrol",'Fuel &amp; Inputs'!$C$5,'Fuel &amp; Inputs'!$C$4),1),MROUND(J406*$M406*IF($H406="Petrol",'Fuel &amp; Inputs'!$C$5,'Fuel &amp; Inputs'!$C$4),10)))</f>
        <v>1910</v>
      </c>
      <c r="O406" s="20" t="n">
        <f aca="false">IF(K406=0,0,IF($I406="L/km",MROUND(K406*$M406*IF($H406="Petrol",'Fuel &amp; Inputs'!$C$5,'Fuel &amp; Inputs'!$C$4),1),MROUND(K406*$M406*IF($H406="Petrol",'Fuel &amp; Inputs'!$C$5,'Fuel &amp; Inputs'!$C$4),10)))</f>
        <v>2670</v>
      </c>
      <c r="P406" s="20" t="n">
        <f aca="false">IF(L406=0,0,IF($I406="L/km",MROUND(L406*$M406*IF($H406="Petrol",'Fuel &amp; Inputs'!$C$5,'Fuel &amp; Inputs'!$C$4),1),MROUND(L406*$M406*IF($H406="Petrol",'Fuel &amp; Inputs'!$C$5,'Fuel &amp; Inputs'!$C$4),10)))</f>
        <v>3630</v>
      </c>
      <c r="Q406" s="17" t="s">
        <v>155</v>
      </c>
      <c r="R406" s="21" t="n">
        <v>780</v>
      </c>
      <c r="S406" s="20" t="n">
        <f aca="false">MROUND(R406+'Fuel &amp; Inputs'!$C$13,50)</f>
        <v>1600</v>
      </c>
      <c r="T406" s="21" t="n">
        <v>1420</v>
      </c>
      <c r="U406" s="20" t="n">
        <f aca="false">MROUND(R406*'Fuel &amp; Inputs'!$C$19*'Fuel &amp; Inputs'!$C$21,100)</f>
        <v>3000</v>
      </c>
      <c r="V406" s="20" t="n">
        <f aca="false">MROUND(S406*'Fuel &amp; Inputs'!$C$19*'Fuel &amp; Inputs'!$C$21,100)</f>
        <v>6100</v>
      </c>
      <c r="W406" s="20" t="n">
        <f aca="false">MROUND(T406*'Fuel &amp; Inputs'!$C$19*'Fuel &amp; Inputs'!$C$21,100)</f>
        <v>5400</v>
      </c>
      <c r="X406" s="20" t="n">
        <f aca="false">MROUND(R406*'Fuel &amp; Inputs'!$C$20*'Fuel &amp; Inputs'!$C$22,500)</f>
        <v>79500</v>
      </c>
      <c r="Y406" s="20" t="n">
        <f aca="false">MROUND(S406*'Fuel &amp; Inputs'!$C$20*'Fuel &amp; Inputs'!$C$22,500)</f>
        <v>163000</v>
      </c>
      <c r="Z406" s="20" t="n">
        <f aca="false">MROUND(T406*'Fuel &amp; Inputs'!$C$20*'Fuel &amp; Inputs'!$C$22,500)</f>
        <v>145000</v>
      </c>
    </row>
    <row r="407" customFormat="false" ht="15" hidden="false" customHeight="false" outlineLevel="0" collapsed="false">
      <c r="A407" s="23" t="n">
        <v>380</v>
      </c>
      <c r="B407" s="34" t="s">
        <v>112</v>
      </c>
      <c r="C407" s="34" t="s">
        <v>249</v>
      </c>
      <c r="D407" s="34" t="s">
        <v>223</v>
      </c>
      <c r="E407" s="23" t="s">
        <v>223</v>
      </c>
      <c r="F407" s="23" t="s">
        <v>223</v>
      </c>
      <c r="G407" s="23" t="s">
        <v>223</v>
      </c>
      <c r="H407" s="23" t="s">
        <v>984</v>
      </c>
      <c r="I407" s="23" t="s">
        <v>596</v>
      </c>
      <c r="J407" s="36" t="n">
        <v>0.017</v>
      </c>
      <c r="K407" s="36" t="n">
        <v>0.022</v>
      </c>
      <c r="L407" s="36" t="n">
        <v>0.028</v>
      </c>
      <c r="M407" s="35" t="n">
        <v>1.063</v>
      </c>
      <c r="N407" s="26" t="n">
        <f aca="false">IF(J407=0,0,IF($I407="L/km",MROUND(J407*$M407*IF($H407="Petrol",'Fuel &amp; Inputs'!$C$5,'Fuel &amp; Inputs'!$C$4),1),MROUND(J407*$M407*IF($H407="Petrol",'Fuel &amp; Inputs'!$C$5,'Fuel &amp; Inputs'!$C$4),10)))</f>
        <v>7</v>
      </c>
      <c r="O407" s="26" t="n">
        <f aca="false">IF(K407=0,0,IF($I407="L/km",MROUND(K407*$M407*IF($H407="Petrol",'Fuel &amp; Inputs'!$C$5,'Fuel &amp; Inputs'!$C$4),1),MROUND(K407*$M407*IF($H407="Petrol",'Fuel &amp; Inputs'!$C$5,'Fuel &amp; Inputs'!$C$4),10)))</f>
        <v>10</v>
      </c>
      <c r="P407" s="26" t="n">
        <f aca="false">IF(L407=0,0,IF($I407="L/km",MROUND(L407*$M407*IF($H407="Petrol",'Fuel &amp; Inputs'!$C$5,'Fuel &amp; Inputs'!$C$4),1),MROUND(L407*$M407*IF($H407="Petrol",'Fuel &amp; Inputs'!$C$5,'Fuel &amp; Inputs'!$C$4),10)))</f>
        <v>12</v>
      </c>
      <c r="Q407" s="23" t="s">
        <v>597</v>
      </c>
      <c r="R407" s="27" t="n">
        <v>780</v>
      </c>
      <c r="S407" s="26" t="n">
        <f aca="false">MROUND(R407+'Fuel &amp; Inputs'!$C$13,50)</f>
        <v>1600</v>
      </c>
      <c r="T407" s="27" t="n">
        <v>1420</v>
      </c>
      <c r="U407" s="26" t="n">
        <f aca="false">MROUND(R407*'Fuel &amp; Inputs'!$C$19*'Fuel &amp; Inputs'!$C$21,100)</f>
        <v>3000</v>
      </c>
      <c r="V407" s="26" t="n">
        <f aca="false">MROUND(S407*'Fuel &amp; Inputs'!$C$19*'Fuel &amp; Inputs'!$C$21,100)</f>
        <v>6100</v>
      </c>
      <c r="W407" s="26" t="n">
        <f aca="false">MROUND(T407*'Fuel &amp; Inputs'!$C$19*'Fuel &amp; Inputs'!$C$21,100)</f>
        <v>5400</v>
      </c>
      <c r="X407" s="26" t="n">
        <f aca="false">MROUND(R407*'Fuel &amp; Inputs'!$C$20*'Fuel &amp; Inputs'!$C$22,500)</f>
        <v>79500</v>
      </c>
      <c r="Y407" s="26" t="n">
        <f aca="false">MROUND(S407*'Fuel &amp; Inputs'!$C$20*'Fuel &amp; Inputs'!$C$22,500)</f>
        <v>163000</v>
      </c>
      <c r="Z407" s="26" t="n">
        <f aca="false">MROUND(T407*'Fuel &amp; Inputs'!$C$20*'Fuel &amp; Inputs'!$C$22,500)</f>
        <v>145000</v>
      </c>
    </row>
    <row r="408" customFormat="false" ht="15" hidden="false" customHeight="true" outlineLevel="0" collapsed="false">
      <c r="A408" s="31" t="s">
        <v>985</v>
      </c>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ustomFormat="false" ht="15" hidden="false" customHeight="false" outlineLevel="0" collapsed="false">
      <c r="A409" s="17" t="n">
        <v>381</v>
      </c>
      <c r="B409" s="32" t="s">
        <v>986</v>
      </c>
      <c r="C409" s="32" t="s">
        <v>318</v>
      </c>
      <c r="D409" s="32" t="s">
        <v>987</v>
      </c>
      <c r="E409" s="17" t="s">
        <v>150</v>
      </c>
      <c r="F409" s="17" t="s">
        <v>988</v>
      </c>
      <c r="G409" s="17" t="s">
        <v>223</v>
      </c>
      <c r="H409" s="17" t="s">
        <v>153</v>
      </c>
      <c r="I409" s="17" t="s">
        <v>154</v>
      </c>
      <c r="J409" s="19" t="n">
        <v>11.5</v>
      </c>
      <c r="K409" s="19" t="n">
        <v>16</v>
      </c>
      <c r="L409" s="19" t="n">
        <v>21.6</v>
      </c>
      <c r="M409" s="33" t="n">
        <v>1.035</v>
      </c>
      <c r="N409" s="20" t="n">
        <f aca="false">IF(J409=0,0,IF($I409="L/km",MROUND(J409*$M409*IF($H409="Petrol",'Fuel &amp; Inputs'!$C$5,'Fuel &amp; Inputs'!$C$4),1),MROUND(J409*$M409*IF($H409="Petrol",'Fuel &amp; Inputs'!$C$5,'Fuel &amp; Inputs'!$C$4),10)))</f>
        <v>4550</v>
      </c>
      <c r="O409" s="20" t="n">
        <f aca="false">IF(K409=0,0,IF($I409="L/km",MROUND(K409*$M409*IF($H409="Petrol",'Fuel &amp; Inputs'!$C$5,'Fuel &amp; Inputs'!$C$4),1),MROUND(K409*$M409*IF($H409="Petrol",'Fuel &amp; Inputs'!$C$5,'Fuel &amp; Inputs'!$C$4),10)))</f>
        <v>6330</v>
      </c>
      <c r="P409" s="20" t="n">
        <f aca="false">IF(L409=0,0,IF($I409="L/km",MROUND(L409*$M409*IF($H409="Petrol",'Fuel &amp; Inputs'!$C$5,'Fuel &amp; Inputs'!$C$4),1),MROUND(L409*$M409*IF($H409="Petrol",'Fuel &amp; Inputs'!$C$5,'Fuel &amp; Inputs'!$C$4),10)))</f>
        <v>8540</v>
      </c>
      <c r="Q409" s="17" t="s">
        <v>155</v>
      </c>
      <c r="R409" s="21" t="n">
        <v>4730</v>
      </c>
      <c r="S409" s="20" t="n">
        <f aca="false">MROUND(R409+'Fuel &amp; Inputs'!$C$13,50)</f>
        <v>5550</v>
      </c>
      <c r="T409" s="21" t="n">
        <v>10510</v>
      </c>
      <c r="U409" s="20" t="n">
        <f aca="false">MROUND(R409*'Fuel &amp; Inputs'!$C$19*'Fuel &amp; Inputs'!$C$21,100)</f>
        <v>18000</v>
      </c>
      <c r="V409" s="20" t="n">
        <f aca="false">MROUND(S409*'Fuel &amp; Inputs'!$C$19*'Fuel &amp; Inputs'!$C$21,100)</f>
        <v>21100</v>
      </c>
      <c r="W409" s="20" t="n">
        <f aca="false">MROUND(T409*'Fuel &amp; Inputs'!$C$19*'Fuel &amp; Inputs'!$C$21,100)</f>
        <v>39900</v>
      </c>
      <c r="X409" s="20" t="n">
        <f aca="false">MROUND(R409*'Fuel &amp; Inputs'!$C$20*'Fuel &amp; Inputs'!$C$22,500)</f>
        <v>482500</v>
      </c>
      <c r="Y409" s="20" t="n">
        <f aca="false">MROUND(S409*'Fuel &amp; Inputs'!$C$20*'Fuel &amp; Inputs'!$C$22,500)</f>
        <v>566000</v>
      </c>
      <c r="Z409" s="20" t="n">
        <f aca="false">MROUND(T409*'Fuel &amp; Inputs'!$C$20*'Fuel &amp; Inputs'!$C$22,500)</f>
        <v>1072000</v>
      </c>
    </row>
    <row r="410" customFormat="false" ht="15" hidden="false" customHeight="false" outlineLevel="0" collapsed="false">
      <c r="A410" s="23" t="n">
        <v>382</v>
      </c>
      <c r="B410" s="34" t="s">
        <v>986</v>
      </c>
      <c r="C410" s="34" t="s">
        <v>318</v>
      </c>
      <c r="D410" s="34" t="s">
        <v>987</v>
      </c>
      <c r="E410" s="23" t="s">
        <v>150</v>
      </c>
      <c r="F410" s="23" t="s">
        <v>989</v>
      </c>
      <c r="G410" s="23" t="s">
        <v>223</v>
      </c>
      <c r="H410" s="23" t="s">
        <v>153</v>
      </c>
      <c r="I410" s="23" t="s">
        <v>154</v>
      </c>
      <c r="J410" s="25" t="n">
        <v>11.5</v>
      </c>
      <c r="K410" s="25" t="n">
        <v>16</v>
      </c>
      <c r="L410" s="25" t="n">
        <v>21.6</v>
      </c>
      <c r="M410" s="35" t="n">
        <v>1.035</v>
      </c>
      <c r="N410" s="26" t="n">
        <f aca="false">IF(J410=0,0,IF($I410="L/km",MROUND(J410*$M410*IF($H410="Petrol",'Fuel &amp; Inputs'!$C$5,'Fuel &amp; Inputs'!$C$4),1),MROUND(J410*$M410*IF($H410="Petrol",'Fuel &amp; Inputs'!$C$5,'Fuel &amp; Inputs'!$C$4),10)))</f>
        <v>4550</v>
      </c>
      <c r="O410" s="26" t="n">
        <f aca="false">IF(K410=0,0,IF($I410="L/km",MROUND(K410*$M410*IF($H410="Petrol",'Fuel &amp; Inputs'!$C$5,'Fuel &amp; Inputs'!$C$4),1),MROUND(K410*$M410*IF($H410="Petrol",'Fuel &amp; Inputs'!$C$5,'Fuel &amp; Inputs'!$C$4),10)))</f>
        <v>6330</v>
      </c>
      <c r="P410" s="26" t="n">
        <f aca="false">IF(L410=0,0,IF($I410="L/km",MROUND(L410*$M410*IF($H410="Petrol",'Fuel &amp; Inputs'!$C$5,'Fuel &amp; Inputs'!$C$4),1),MROUND(L410*$M410*IF($H410="Petrol",'Fuel &amp; Inputs'!$C$5,'Fuel &amp; Inputs'!$C$4),10)))</f>
        <v>8540</v>
      </c>
      <c r="Q410" s="23" t="s">
        <v>155</v>
      </c>
      <c r="R410" s="27" t="n">
        <v>4730</v>
      </c>
      <c r="S410" s="26" t="n">
        <f aca="false">MROUND(R410+'Fuel &amp; Inputs'!$C$13,50)</f>
        <v>5550</v>
      </c>
      <c r="T410" s="27" t="n">
        <v>10510</v>
      </c>
      <c r="U410" s="26" t="n">
        <f aca="false">MROUND(R410*'Fuel &amp; Inputs'!$C$19*'Fuel &amp; Inputs'!$C$21,100)</f>
        <v>18000</v>
      </c>
      <c r="V410" s="26" t="n">
        <f aca="false">MROUND(S410*'Fuel &amp; Inputs'!$C$19*'Fuel &amp; Inputs'!$C$21,100)</f>
        <v>21100</v>
      </c>
      <c r="W410" s="26" t="n">
        <f aca="false">MROUND(T410*'Fuel &amp; Inputs'!$C$19*'Fuel &amp; Inputs'!$C$21,100)</f>
        <v>39900</v>
      </c>
      <c r="X410" s="26" t="n">
        <f aca="false">MROUND(R410*'Fuel &amp; Inputs'!$C$20*'Fuel &amp; Inputs'!$C$22,500)</f>
        <v>482500</v>
      </c>
      <c r="Y410" s="26" t="n">
        <f aca="false">MROUND(S410*'Fuel &amp; Inputs'!$C$20*'Fuel &amp; Inputs'!$C$22,500)</f>
        <v>566000</v>
      </c>
      <c r="Z410" s="26" t="n">
        <f aca="false">MROUND(T410*'Fuel &amp; Inputs'!$C$20*'Fuel &amp; Inputs'!$C$22,500)</f>
        <v>1072000</v>
      </c>
    </row>
    <row r="411" customFormat="false" ht="15" hidden="false" customHeight="false" outlineLevel="0" collapsed="false">
      <c r="A411" s="17" t="n">
        <v>383</v>
      </c>
      <c r="B411" s="32" t="s">
        <v>986</v>
      </c>
      <c r="C411" s="32" t="s">
        <v>318</v>
      </c>
      <c r="D411" s="32" t="s">
        <v>987</v>
      </c>
      <c r="E411" s="17" t="s">
        <v>150</v>
      </c>
      <c r="F411" s="17" t="s">
        <v>990</v>
      </c>
      <c r="G411" s="17" t="s">
        <v>223</v>
      </c>
      <c r="H411" s="17" t="s">
        <v>153</v>
      </c>
      <c r="I411" s="17" t="s">
        <v>154</v>
      </c>
      <c r="J411" s="19" t="n">
        <v>11.5</v>
      </c>
      <c r="K411" s="19" t="n">
        <v>16</v>
      </c>
      <c r="L411" s="19" t="n">
        <v>21.6</v>
      </c>
      <c r="M411" s="33" t="n">
        <v>1.035</v>
      </c>
      <c r="N411" s="20" t="n">
        <f aca="false">IF(J411=0,0,IF($I411="L/km",MROUND(J411*$M411*IF($H411="Petrol",'Fuel &amp; Inputs'!$C$5,'Fuel &amp; Inputs'!$C$4),1),MROUND(J411*$M411*IF($H411="Petrol",'Fuel &amp; Inputs'!$C$5,'Fuel &amp; Inputs'!$C$4),10)))</f>
        <v>4550</v>
      </c>
      <c r="O411" s="20" t="n">
        <f aca="false">IF(K411=0,0,IF($I411="L/km",MROUND(K411*$M411*IF($H411="Petrol",'Fuel &amp; Inputs'!$C$5,'Fuel &amp; Inputs'!$C$4),1),MROUND(K411*$M411*IF($H411="Petrol",'Fuel &amp; Inputs'!$C$5,'Fuel &amp; Inputs'!$C$4),10)))</f>
        <v>6330</v>
      </c>
      <c r="P411" s="20" t="n">
        <f aca="false">IF(L411=0,0,IF($I411="L/km",MROUND(L411*$M411*IF($H411="Petrol",'Fuel &amp; Inputs'!$C$5,'Fuel &amp; Inputs'!$C$4),1),MROUND(L411*$M411*IF($H411="Petrol",'Fuel &amp; Inputs'!$C$5,'Fuel &amp; Inputs'!$C$4),10)))</f>
        <v>8540</v>
      </c>
      <c r="Q411" s="17" t="s">
        <v>155</v>
      </c>
      <c r="R411" s="21" t="n">
        <v>4730</v>
      </c>
      <c r="S411" s="20" t="n">
        <f aca="false">MROUND(R411+'Fuel &amp; Inputs'!$C$13,50)</f>
        <v>5550</v>
      </c>
      <c r="T411" s="21" t="n">
        <v>10510</v>
      </c>
      <c r="U411" s="20" t="n">
        <f aca="false">MROUND(R411*'Fuel &amp; Inputs'!$C$19*'Fuel &amp; Inputs'!$C$21,100)</f>
        <v>18000</v>
      </c>
      <c r="V411" s="20" t="n">
        <f aca="false">MROUND(S411*'Fuel &amp; Inputs'!$C$19*'Fuel &amp; Inputs'!$C$21,100)</f>
        <v>21100</v>
      </c>
      <c r="W411" s="20" t="n">
        <f aca="false">MROUND(T411*'Fuel &amp; Inputs'!$C$19*'Fuel &amp; Inputs'!$C$21,100)</f>
        <v>39900</v>
      </c>
      <c r="X411" s="20" t="n">
        <f aca="false">MROUND(R411*'Fuel &amp; Inputs'!$C$20*'Fuel &amp; Inputs'!$C$22,500)</f>
        <v>482500</v>
      </c>
      <c r="Y411" s="20" t="n">
        <f aca="false">MROUND(S411*'Fuel &amp; Inputs'!$C$20*'Fuel &amp; Inputs'!$C$22,500)</f>
        <v>566000</v>
      </c>
      <c r="Z411" s="20" t="n">
        <f aca="false">MROUND(T411*'Fuel &amp; Inputs'!$C$20*'Fuel &amp; Inputs'!$C$22,500)</f>
        <v>1072000</v>
      </c>
    </row>
    <row r="412" customFormat="false" ht="15" hidden="false" customHeight="false" outlineLevel="0" collapsed="false">
      <c r="A412" s="23" t="n">
        <v>384</v>
      </c>
      <c r="B412" s="34" t="s">
        <v>986</v>
      </c>
      <c r="C412" s="34" t="s">
        <v>318</v>
      </c>
      <c r="D412" s="34" t="s">
        <v>987</v>
      </c>
      <c r="E412" s="23" t="s">
        <v>150</v>
      </c>
      <c r="F412" s="23" t="s">
        <v>991</v>
      </c>
      <c r="G412" s="23" t="s">
        <v>223</v>
      </c>
      <c r="H412" s="23" t="s">
        <v>153</v>
      </c>
      <c r="I412" s="23" t="s">
        <v>154</v>
      </c>
      <c r="J412" s="25" t="n">
        <v>11.5</v>
      </c>
      <c r="K412" s="25" t="n">
        <v>16</v>
      </c>
      <c r="L412" s="25" t="n">
        <v>21.6</v>
      </c>
      <c r="M412" s="35" t="n">
        <v>1.035</v>
      </c>
      <c r="N412" s="26" t="n">
        <f aca="false">IF(J412=0,0,IF($I412="L/km",MROUND(J412*$M412*IF($H412="Petrol",'Fuel &amp; Inputs'!$C$5,'Fuel &amp; Inputs'!$C$4),1),MROUND(J412*$M412*IF($H412="Petrol",'Fuel &amp; Inputs'!$C$5,'Fuel &amp; Inputs'!$C$4),10)))</f>
        <v>4550</v>
      </c>
      <c r="O412" s="26" t="n">
        <f aca="false">IF(K412=0,0,IF($I412="L/km",MROUND(K412*$M412*IF($H412="Petrol",'Fuel &amp; Inputs'!$C$5,'Fuel &amp; Inputs'!$C$4),1),MROUND(K412*$M412*IF($H412="Petrol",'Fuel &amp; Inputs'!$C$5,'Fuel &amp; Inputs'!$C$4),10)))</f>
        <v>6330</v>
      </c>
      <c r="P412" s="26" t="n">
        <f aca="false">IF(L412=0,0,IF($I412="L/km",MROUND(L412*$M412*IF($H412="Petrol",'Fuel &amp; Inputs'!$C$5,'Fuel &amp; Inputs'!$C$4),1),MROUND(L412*$M412*IF($H412="Petrol",'Fuel &amp; Inputs'!$C$5,'Fuel &amp; Inputs'!$C$4),10)))</f>
        <v>8540</v>
      </c>
      <c r="Q412" s="23" t="s">
        <v>155</v>
      </c>
      <c r="R412" s="27" t="n">
        <v>4730</v>
      </c>
      <c r="S412" s="26" t="n">
        <f aca="false">MROUND(R412+'Fuel &amp; Inputs'!$C$13,50)</f>
        <v>5550</v>
      </c>
      <c r="T412" s="27" t="n">
        <v>10510</v>
      </c>
      <c r="U412" s="26" t="n">
        <f aca="false">MROUND(R412*'Fuel &amp; Inputs'!$C$19*'Fuel &amp; Inputs'!$C$21,100)</f>
        <v>18000</v>
      </c>
      <c r="V412" s="26" t="n">
        <f aca="false">MROUND(S412*'Fuel &amp; Inputs'!$C$19*'Fuel &amp; Inputs'!$C$21,100)</f>
        <v>21100</v>
      </c>
      <c r="W412" s="26" t="n">
        <f aca="false">MROUND(T412*'Fuel &amp; Inputs'!$C$19*'Fuel &amp; Inputs'!$C$21,100)</f>
        <v>39900</v>
      </c>
      <c r="X412" s="26" t="n">
        <f aca="false">MROUND(R412*'Fuel &amp; Inputs'!$C$20*'Fuel &amp; Inputs'!$C$22,500)</f>
        <v>482500</v>
      </c>
      <c r="Y412" s="26" t="n">
        <f aca="false">MROUND(S412*'Fuel &amp; Inputs'!$C$20*'Fuel &amp; Inputs'!$C$22,500)</f>
        <v>566000</v>
      </c>
      <c r="Z412" s="26" t="n">
        <f aca="false">MROUND(T412*'Fuel &amp; Inputs'!$C$20*'Fuel &amp; Inputs'!$C$22,500)</f>
        <v>1072000</v>
      </c>
    </row>
    <row r="413" customFormat="false" ht="15" hidden="false" customHeight="false" outlineLevel="0" collapsed="false">
      <c r="A413" s="17" t="n">
        <v>385</v>
      </c>
      <c r="B413" s="32" t="s">
        <v>986</v>
      </c>
      <c r="C413" s="32" t="s">
        <v>992</v>
      </c>
      <c r="D413" s="32" t="s">
        <v>993</v>
      </c>
      <c r="E413" s="17" t="s">
        <v>304</v>
      </c>
      <c r="F413" s="17" t="s">
        <v>994</v>
      </c>
      <c r="G413" s="17" t="s">
        <v>223</v>
      </c>
      <c r="H413" s="17" t="s">
        <v>153</v>
      </c>
      <c r="I413" s="17" t="s">
        <v>154</v>
      </c>
      <c r="J413" s="19" t="n">
        <v>2.9</v>
      </c>
      <c r="K413" s="19" t="n">
        <v>4</v>
      </c>
      <c r="L413" s="19" t="n">
        <v>5.4</v>
      </c>
      <c r="M413" s="33" t="n">
        <v>1.056</v>
      </c>
      <c r="N413" s="20" t="n">
        <f aca="false">IF(J413=0,0,IF($I413="L/km",MROUND(J413*$M413*IF($H413="Petrol",'Fuel &amp; Inputs'!$C$5,'Fuel &amp; Inputs'!$C$4),1),MROUND(J413*$M413*IF($H413="Petrol",'Fuel &amp; Inputs'!$C$5,'Fuel &amp; Inputs'!$C$4),10)))</f>
        <v>1170</v>
      </c>
      <c r="O413" s="20" t="n">
        <f aca="false">IF(K413=0,0,IF($I413="L/km",MROUND(K413*$M413*IF($H413="Petrol",'Fuel &amp; Inputs'!$C$5,'Fuel &amp; Inputs'!$C$4),1),MROUND(K413*$M413*IF($H413="Petrol",'Fuel &amp; Inputs'!$C$5,'Fuel &amp; Inputs'!$C$4),10)))</f>
        <v>1610</v>
      </c>
      <c r="P413" s="20" t="n">
        <f aca="false">IF(L413=0,0,IF($I413="L/km",MROUND(L413*$M413*IF($H413="Petrol",'Fuel &amp; Inputs'!$C$5,'Fuel &amp; Inputs'!$C$4),1),MROUND(L413*$M413*IF($H413="Petrol",'Fuel &amp; Inputs'!$C$5,'Fuel &amp; Inputs'!$C$4),10)))</f>
        <v>2180</v>
      </c>
      <c r="Q413" s="17" t="s">
        <v>155</v>
      </c>
      <c r="R413" s="21" t="n">
        <v>2570</v>
      </c>
      <c r="S413" s="20" t="n">
        <f aca="false">MROUND(R413+'Fuel &amp; Inputs'!$C$13,50)</f>
        <v>3350</v>
      </c>
      <c r="T413" s="21" t="n">
        <v>5710</v>
      </c>
      <c r="U413" s="20" t="n">
        <f aca="false">MROUND(R413*'Fuel &amp; Inputs'!$C$19*'Fuel &amp; Inputs'!$C$21,100)</f>
        <v>9800</v>
      </c>
      <c r="V413" s="20" t="n">
        <f aca="false">MROUND(S413*'Fuel &amp; Inputs'!$C$19*'Fuel &amp; Inputs'!$C$21,100)</f>
        <v>12700</v>
      </c>
      <c r="W413" s="20" t="n">
        <f aca="false">MROUND(T413*'Fuel &amp; Inputs'!$C$19*'Fuel &amp; Inputs'!$C$21,100)</f>
        <v>21700</v>
      </c>
      <c r="X413" s="20" t="n">
        <f aca="false">MROUND(R413*'Fuel &amp; Inputs'!$C$20*'Fuel &amp; Inputs'!$C$22,500)</f>
        <v>262000</v>
      </c>
      <c r="Y413" s="20" t="n">
        <f aca="false">MROUND(S413*'Fuel &amp; Inputs'!$C$20*'Fuel &amp; Inputs'!$C$22,500)</f>
        <v>341500</v>
      </c>
      <c r="Z413" s="20" t="n">
        <f aca="false">MROUND(T413*'Fuel &amp; Inputs'!$C$20*'Fuel &amp; Inputs'!$C$22,500)</f>
        <v>582500</v>
      </c>
    </row>
    <row r="414" customFormat="false" ht="15" hidden="false" customHeight="false" outlineLevel="0" collapsed="false">
      <c r="A414" s="23" t="n">
        <v>386</v>
      </c>
      <c r="B414" s="34" t="s">
        <v>986</v>
      </c>
      <c r="C414" s="34" t="s">
        <v>992</v>
      </c>
      <c r="D414" s="34" t="s">
        <v>995</v>
      </c>
      <c r="E414" s="23" t="s">
        <v>251</v>
      </c>
      <c r="F414" s="23" t="s">
        <v>996</v>
      </c>
      <c r="G414" s="23" t="s">
        <v>997</v>
      </c>
      <c r="H414" s="23" t="s">
        <v>153</v>
      </c>
      <c r="I414" s="23" t="s">
        <v>154</v>
      </c>
      <c r="J414" s="25" t="n">
        <v>11.5</v>
      </c>
      <c r="K414" s="25" t="n">
        <v>16</v>
      </c>
      <c r="L414" s="25" t="n">
        <v>21.6</v>
      </c>
      <c r="M414" s="35" t="n">
        <v>1.063</v>
      </c>
      <c r="N414" s="26" t="n">
        <f aca="false">IF(J414=0,0,IF($I414="L/km",MROUND(J414*$M414*IF($H414="Petrol",'Fuel &amp; Inputs'!$C$5,'Fuel &amp; Inputs'!$C$4),1),MROUND(J414*$M414*IF($H414="Petrol",'Fuel &amp; Inputs'!$C$5,'Fuel &amp; Inputs'!$C$4),10)))</f>
        <v>4670</v>
      </c>
      <c r="O414" s="26" t="n">
        <f aca="false">IF(K414=0,0,IF($I414="L/km",MROUND(K414*$M414*IF($H414="Petrol",'Fuel &amp; Inputs'!$C$5,'Fuel &amp; Inputs'!$C$4),1),MROUND(K414*$M414*IF($H414="Petrol",'Fuel &amp; Inputs'!$C$5,'Fuel &amp; Inputs'!$C$4),10)))</f>
        <v>6500</v>
      </c>
      <c r="P414" s="26" t="n">
        <f aca="false">IF(L414=0,0,IF($I414="L/km",MROUND(L414*$M414*IF($H414="Petrol",'Fuel &amp; Inputs'!$C$5,'Fuel &amp; Inputs'!$C$4),1),MROUND(L414*$M414*IF($H414="Petrol",'Fuel &amp; Inputs'!$C$5,'Fuel &amp; Inputs'!$C$4),10)))</f>
        <v>8770</v>
      </c>
      <c r="Q414" s="23" t="s">
        <v>155</v>
      </c>
      <c r="R414" s="27" t="n">
        <v>4550</v>
      </c>
      <c r="S414" s="26" t="n">
        <f aca="false">MROUND(R414+'Fuel &amp; Inputs'!$C$13,50)</f>
        <v>5350</v>
      </c>
      <c r="T414" s="27" t="n">
        <v>10100</v>
      </c>
      <c r="U414" s="26" t="n">
        <f aca="false">MROUND(R414*'Fuel &amp; Inputs'!$C$19*'Fuel &amp; Inputs'!$C$21,100)</f>
        <v>17300</v>
      </c>
      <c r="V414" s="26" t="n">
        <f aca="false">MROUND(S414*'Fuel &amp; Inputs'!$C$19*'Fuel &amp; Inputs'!$C$21,100)</f>
        <v>20300</v>
      </c>
      <c r="W414" s="26" t="n">
        <f aca="false">MROUND(T414*'Fuel &amp; Inputs'!$C$19*'Fuel &amp; Inputs'!$C$21,100)</f>
        <v>38400</v>
      </c>
      <c r="X414" s="26" t="n">
        <f aca="false">MROUND(R414*'Fuel &amp; Inputs'!$C$20*'Fuel &amp; Inputs'!$C$22,500)</f>
        <v>464000</v>
      </c>
      <c r="Y414" s="26" t="n">
        <f aca="false">MROUND(S414*'Fuel &amp; Inputs'!$C$20*'Fuel &amp; Inputs'!$C$22,500)</f>
        <v>545500</v>
      </c>
      <c r="Z414" s="26" t="n">
        <f aca="false">MROUND(T414*'Fuel &amp; Inputs'!$C$20*'Fuel &amp; Inputs'!$C$22,500)</f>
        <v>1030000</v>
      </c>
    </row>
    <row r="415" customFormat="false" ht="15" hidden="false" customHeight="false" outlineLevel="0" collapsed="false">
      <c r="A415" s="17" t="n">
        <v>387</v>
      </c>
      <c r="B415" s="32" t="s">
        <v>986</v>
      </c>
      <c r="C415" s="32" t="s">
        <v>992</v>
      </c>
      <c r="D415" s="32" t="s">
        <v>995</v>
      </c>
      <c r="E415" s="17" t="s">
        <v>251</v>
      </c>
      <c r="F415" s="17" t="s">
        <v>998</v>
      </c>
      <c r="G415" s="17" t="s">
        <v>997</v>
      </c>
      <c r="H415" s="17" t="s">
        <v>153</v>
      </c>
      <c r="I415" s="17" t="s">
        <v>154</v>
      </c>
      <c r="J415" s="19" t="n">
        <v>11.5</v>
      </c>
      <c r="K415" s="19" t="n">
        <v>16</v>
      </c>
      <c r="L415" s="19" t="n">
        <v>21.6</v>
      </c>
      <c r="M415" s="33" t="n">
        <v>1.063</v>
      </c>
      <c r="N415" s="20" t="n">
        <f aca="false">IF(J415=0,0,IF($I415="L/km",MROUND(J415*$M415*IF($H415="Petrol",'Fuel &amp; Inputs'!$C$5,'Fuel &amp; Inputs'!$C$4),1),MROUND(J415*$M415*IF($H415="Petrol",'Fuel &amp; Inputs'!$C$5,'Fuel &amp; Inputs'!$C$4),10)))</f>
        <v>4670</v>
      </c>
      <c r="O415" s="20" t="n">
        <f aca="false">IF(K415=0,0,IF($I415="L/km",MROUND(K415*$M415*IF($H415="Petrol",'Fuel &amp; Inputs'!$C$5,'Fuel &amp; Inputs'!$C$4),1),MROUND(K415*$M415*IF($H415="Petrol",'Fuel &amp; Inputs'!$C$5,'Fuel &amp; Inputs'!$C$4),10)))</f>
        <v>6500</v>
      </c>
      <c r="P415" s="20" t="n">
        <f aca="false">IF(L415=0,0,IF($I415="L/km",MROUND(L415*$M415*IF($H415="Petrol",'Fuel &amp; Inputs'!$C$5,'Fuel &amp; Inputs'!$C$4),1),MROUND(L415*$M415*IF($H415="Petrol",'Fuel &amp; Inputs'!$C$5,'Fuel &amp; Inputs'!$C$4),10)))</f>
        <v>8770</v>
      </c>
      <c r="Q415" s="17" t="s">
        <v>155</v>
      </c>
      <c r="R415" s="21" t="n">
        <v>4550</v>
      </c>
      <c r="S415" s="20" t="n">
        <f aca="false">MROUND(R415+'Fuel &amp; Inputs'!$C$13,50)</f>
        <v>5350</v>
      </c>
      <c r="T415" s="21" t="n">
        <v>10100</v>
      </c>
      <c r="U415" s="20" t="n">
        <f aca="false">MROUND(R415*'Fuel &amp; Inputs'!$C$19*'Fuel &amp; Inputs'!$C$21,100)</f>
        <v>17300</v>
      </c>
      <c r="V415" s="20" t="n">
        <f aca="false">MROUND(S415*'Fuel &amp; Inputs'!$C$19*'Fuel &amp; Inputs'!$C$21,100)</f>
        <v>20300</v>
      </c>
      <c r="W415" s="20" t="n">
        <f aca="false">MROUND(T415*'Fuel &amp; Inputs'!$C$19*'Fuel &amp; Inputs'!$C$21,100)</f>
        <v>38400</v>
      </c>
      <c r="X415" s="20" t="n">
        <f aca="false">MROUND(R415*'Fuel &amp; Inputs'!$C$20*'Fuel &amp; Inputs'!$C$22,500)</f>
        <v>464000</v>
      </c>
      <c r="Y415" s="20" t="n">
        <f aca="false">MROUND(S415*'Fuel &amp; Inputs'!$C$20*'Fuel &amp; Inputs'!$C$22,500)</f>
        <v>545500</v>
      </c>
      <c r="Z415" s="20" t="n">
        <f aca="false">MROUND(T415*'Fuel &amp; Inputs'!$C$20*'Fuel &amp; Inputs'!$C$22,500)</f>
        <v>1030000</v>
      </c>
    </row>
    <row r="416" customFormat="false" ht="15" hidden="false" customHeight="false" outlineLevel="0" collapsed="false">
      <c r="A416" s="23" t="n">
        <v>388</v>
      </c>
      <c r="B416" s="34" t="s">
        <v>986</v>
      </c>
      <c r="C416" s="34" t="s">
        <v>992</v>
      </c>
      <c r="D416" s="34" t="s">
        <v>995</v>
      </c>
      <c r="E416" s="23" t="s">
        <v>251</v>
      </c>
      <c r="F416" s="23" t="s">
        <v>999</v>
      </c>
      <c r="G416" s="23" t="s">
        <v>997</v>
      </c>
      <c r="H416" s="23" t="s">
        <v>153</v>
      </c>
      <c r="I416" s="23" t="s">
        <v>154</v>
      </c>
      <c r="J416" s="25" t="n">
        <v>11.5</v>
      </c>
      <c r="K416" s="25" t="n">
        <v>16</v>
      </c>
      <c r="L416" s="25" t="n">
        <v>21.6</v>
      </c>
      <c r="M416" s="35" t="n">
        <v>1.063</v>
      </c>
      <c r="N416" s="26" t="n">
        <f aca="false">IF(J416=0,0,IF($I416="L/km",MROUND(J416*$M416*IF($H416="Petrol",'Fuel &amp; Inputs'!$C$5,'Fuel &amp; Inputs'!$C$4),1),MROUND(J416*$M416*IF($H416="Petrol",'Fuel &amp; Inputs'!$C$5,'Fuel &amp; Inputs'!$C$4),10)))</f>
        <v>4670</v>
      </c>
      <c r="O416" s="26" t="n">
        <f aca="false">IF(K416=0,0,IF($I416="L/km",MROUND(K416*$M416*IF($H416="Petrol",'Fuel &amp; Inputs'!$C$5,'Fuel &amp; Inputs'!$C$4),1),MROUND(K416*$M416*IF($H416="Petrol",'Fuel &amp; Inputs'!$C$5,'Fuel &amp; Inputs'!$C$4),10)))</f>
        <v>6500</v>
      </c>
      <c r="P416" s="26" t="n">
        <f aca="false">IF(L416=0,0,IF($I416="L/km",MROUND(L416*$M416*IF($H416="Petrol",'Fuel &amp; Inputs'!$C$5,'Fuel &amp; Inputs'!$C$4),1),MROUND(L416*$M416*IF($H416="Petrol",'Fuel &amp; Inputs'!$C$5,'Fuel &amp; Inputs'!$C$4),10)))</f>
        <v>8770</v>
      </c>
      <c r="Q416" s="23" t="s">
        <v>155</v>
      </c>
      <c r="R416" s="27" t="n">
        <v>4550</v>
      </c>
      <c r="S416" s="26" t="n">
        <f aca="false">MROUND(R416+'Fuel &amp; Inputs'!$C$13,50)</f>
        <v>5350</v>
      </c>
      <c r="T416" s="27" t="n">
        <v>10100</v>
      </c>
      <c r="U416" s="26" t="n">
        <f aca="false">MROUND(R416*'Fuel &amp; Inputs'!$C$19*'Fuel &amp; Inputs'!$C$21,100)</f>
        <v>17300</v>
      </c>
      <c r="V416" s="26" t="n">
        <f aca="false">MROUND(S416*'Fuel &amp; Inputs'!$C$19*'Fuel &amp; Inputs'!$C$21,100)</f>
        <v>20300</v>
      </c>
      <c r="W416" s="26" t="n">
        <f aca="false">MROUND(T416*'Fuel &amp; Inputs'!$C$19*'Fuel &amp; Inputs'!$C$21,100)</f>
        <v>38400</v>
      </c>
      <c r="X416" s="26" t="n">
        <f aca="false">MROUND(R416*'Fuel &amp; Inputs'!$C$20*'Fuel &amp; Inputs'!$C$22,500)</f>
        <v>464000</v>
      </c>
      <c r="Y416" s="26" t="n">
        <f aca="false">MROUND(S416*'Fuel &amp; Inputs'!$C$20*'Fuel &amp; Inputs'!$C$22,500)</f>
        <v>545500</v>
      </c>
      <c r="Z416" s="26" t="n">
        <f aca="false">MROUND(T416*'Fuel &amp; Inputs'!$C$20*'Fuel &amp; Inputs'!$C$22,500)</f>
        <v>1030000</v>
      </c>
    </row>
    <row r="417" customFormat="false" ht="15" hidden="false" customHeight="false" outlineLevel="0" collapsed="false">
      <c r="A417" s="17" t="n">
        <v>389</v>
      </c>
      <c r="B417" s="32" t="s">
        <v>986</v>
      </c>
      <c r="C417" s="32" t="s">
        <v>992</v>
      </c>
      <c r="D417" s="32" t="s">
        <v>995</v>
      </c>
      <c r="E417" s="17" t="s">
        <v>251</v>
      </c>
      <c r="F417" s="17" t="s">
        <v>1000</v>
      </c>
      <c r="G417" s="17" t="s">
        <v>997</v>
      </c>
      <c r="H417" s="17" t="s">
        <v>153</v>
      </c>
      <c r="I417" s="17" t="s">
        <v>154</v>
      </c>
      <c r="J417" s="19" t="n">
        <v>11.5</v>
      </c>
      <c r="K417" s="19" t="n">
        <v>16</v>
      </c>
      <c r="L417" s="19" t="n">
        <v>21.6</v>
      </c>
      <c r="M417" s="33" t="n">
        <v>1.063</v>
      </c>
      <c r="N417" s="20" t="n">
        <f aca="false">IF(J417=0,0,IF($I417="L/km",MROUND(J417*$M417*IF($H417="Petrol",'Fuel &amp; Inputs'!$C$5,'Fuel &amp; Inputs'!$C$4),1),MROUND(J417*$M417*IF($H417="Petrol",'Fuel &amp; Inputs'!$C$5,'Fuel &amp; Inputs'!$C$4),10)))</f>
        <v>4670</v>
      </c>
      <c r="O417" s="20" t="n">
        <f aca="false">IF(K417=0,0,IF($I417="L/km",MROUND(K417*$M417*IF($H417="Petrol",'Fuel &amp; Inputs'!$C$5,'Fuel &amp; Inputs'!$C$4),1),MROUND(K417*$M417*IF($H417="Petrol",'Fuel &amp; Inputs'!$C$5,'Fuel &amp; Inputs'!$C$4),10)))</f>
        <v>6500</v>
      </c>
      <c r="P417" s="20" t="n">
        <f aca="false">IF(L417=0,0,IF($I417="L/km",MROUND(L417*$M417*IF($H417="Petrol",'Fuel &amp; Inputs'!$C$5,'Fuel &amp; Inputs'!$C$4),1),MROUND(L417*$M417*IF($H417="Petrol",'Fuel &amp; Inputs'!$C$5,'Fuel &amp; Inputs'!$C$4),10)))</f>
        <v>8770</v>
      </c>
      <c r="Q417" s="17" t="s">
        <v>155</v>
      </c>
      <c r="R417" s="21" t="n">
        <v>4550</v>
      </c>
      <c r="S417" s="20" t="n">
        <f aca="false">MROUND(R417+'Fuel &amp; Inputs'!$C$13,50)</f>
        <v>5350</v>
      </c>
      <c r="T417" s="21" t="n">
        <v>10100</v>
      </c>
      <c r="U417" s="20" t="n">
        <f aca="false">MROUND(R417*'Fuel &amp; Inputs'!$C$19*'Fuel &amp; Inputs'!$C$21,100)</f>
        <v>17300</v>
      </c>
      <c r="V417" s="20" t="n">
        <f aca="false">MROUND(S417*'Fuel &amp; Inputs'!$C$19*'Fuel &amp; Inputs'!$C$21,100)</f>
        <v>20300</v>
      </c>
      <c r="W417" s="20" t="n">
        <f aca="false">MROUND(T417*'Fuel &amp; Inputs'!$C$19*'Fuel &amp; Inputs'!$C$21,100)</f>
        <v>38400</v>
      </c>
      <c r="X417" s="20" t="n">
        <f aca="false">MROUND(R417*'Fuel &amp; Inputs'!$C$20*'Fuel &amp; Inputs'!$C$22,500)</f>
        <v>464000</v>
      </c>
      <c r="Y417" s="20" t="n">
        <f aca="false">MROUND(S417*'Fuel &amp; Inputs'!$C$20*'Fuel &amp; Inputs'!$C$22,500)</f>
        <v>545500</v>
      </c>
      <c r="Z417" s="20" t="n">
        <f aca="false">MROUND(T417*'Fuel &amp; Inputs'!$C$20*'Fuel &amp; Inputs'!$C$22,500)</f>
        <v>1030000</v>
      </c>
    </row>
    <row r="418" customFormat="false" ht="15" hidden="false" customHeight="false" outlineLevel="0" collapsed="false">
      <c r="A418" s="23" t="n">
        <v>390</v>
      </c>
      <c r="B418" s="34" t="s">
        <v>986</v>
      </c>
      <c r="C418" s="34" t="s">
        <v>992</v>
      </c>
      <c r="D418" s="34" t="s">
        <v>995</v>
      </c>
      <c r="E418" s="23" t="s">
        <v>251</v>
      </c>
      <c r="F418" s="23" t="s">
        <v>1001</v>
      </c>
      <c r="G418" s="23" t="s">
        <v>997</v>
      </c>
      <c r="H418" s="23" t="s">
        <v>153</v>
      </c>
      <c r="I418" s="23" t="s">
        <v>154</v>
      </c>
      <c r="J418" s="25" t="n">
        <v>11.5</v>
      </c>
      <c r="K418" s="25" t="n">
        <v>16</v>
      </c>
      <c r="L418" s="25" t="n">
        <v>21.6</v>
      </c>
      <c r="M418" s="35" t="n">
        <v>1.063</v>
      </c>
      <c r="N418" s="26" t="n">
        <f aca="false">IF(J418=0,0,IF($I418="L/km",MROUND(J418*$M418*IF($H418="Petrol",'Fuel &amp; Inputs'!$C$5,'Fuel &amp; Inputs'!$C$4),1),MROUND(J418*$M418*IF($H418="Petrol",'Fuel &amp; Inputs'!$C$5,'Fuel &amp; Inputs'!$C$4),10)))</f>
        <v>4670</v>
      </c>
      <c r="O418" s="26" t="n">
        <f aca="false">IF(K418=0,0,IF($I418="L/km",MROUND(K418*$M418*IF($H418="Petrol",'Fuel &amp; Inputs'!$C$5,'Fuel &amp; Inputs'!$C$4),1),MROUND(K418*$M418*IF($H418="Petrol",'Fuel &amp; Inputs'!$C$5,'Fuel &amp; Inputs'!$C$4),10)))</f>
        <v>6500</v>
      </c>
      <c r="P418" s="26" t="n">
        <f aca="false">IF(L418=0,0,IF($I418="L/km",MROUND(L418*$M418*IF($H418="Petrol",'Fuel &amp; Inputs'!$C$5,'Fuel &amp; Inputs'!$C$4),1),MROUND(L418*$M418*IF($H418="Petrol",'Fuel &amp; Inputs'!$C$5,'Fuel &amp; Inputs'!$C$4),10)))</f>
        <v>8770</v>
      </c>
      <c r="Q418" s="23" t="s">
        <v>155</v>
      </c>
      <c r="R418" s="27" t="n">
        <v>4550</v>
      </c>
      <c r="S418" s="26" t="n">
        <f aca="false">MROUND(R418+'Fuel &amp; Inputs'!$C$13,50)</f>
        <v>5350</v>
      </c>
      <c r="T418" s="27" t="n">
        <v>10100</v>
      </c>
      <c r="U418" s="26" t="n">
        <f aca="false">MROUND(R418*'Fuel &amp; Inputs'!$C$19*'Fuel &amp; Inputs'!$C$21,100)</f>
        <v>17300</v>
      </c>
      <c r="V418" s="26" t="n">
        <f aca="false">MROUND(S418*'Fuel &amp; Inputs'!$C$19*'Fuel &amp; Inputs'!$C$21,100)</f>
        <v>20300</v>
      </c>
      <c r="W418" s="26" t="n">
        <f aca="false">MROUND(T418*'Fuel &amp; Inputs'!$C$19*'Fuel &amp; Inputs'!$C$21,100)</f>
        <v>38400</v>
      </c>
      <c r="X418" s="26" t="n">
        <f aca="false">MROUND(R418*'Fuel &amp; Inputs'!$C$20*'Fuel &amp; Inputs'!$C$22,500)</f>
        <v>464000</v>
      </c>
      <c r="Y418" s="26" t="n">
        <f aca="false">MROUND(S418*'Fuel &amp; Inputs'!$C$20*'Fuel &amp; Inputs'!$C$22,500)</f>
        <v>545500</v>
      </c>
      <c r="Z418" s="26" t="n">
        <f aca="false">MROUND(T418*'Fuel &amp; Inputs'!$C$20*'Fuel &amp; Inputs'!$C$22,500)</f>
        <v>1030000</v>
      </c>
    </row>
    <row r="419" customFormat="false" ht="15" hidden="false" customHeight="false" outlineLevel="0" collapsed="false">
      <c r="A419" s="17" t="n">
        <v>391</v>
      </c>
      <c r="B419" s="32" t="s">
        <v>986</v>
      </c>
      <c r="C419" s="32" t="s">
        <v>992</v>
      </c>
      <c r="D419" s="32" t="s">
        <v>1002</v>
      </c>
      <c r="E419" s="17" t="s">
        <v>251</v>
      </c>
      <c r="F419" s="17" t="s">
        <v>1003</v>
      </c>
      <c r="G419" s="17" t="s">
        <v>223</v>
      </c>
      <c r="H419" s="17" t="s">
        <v>153</v>
      </c>
      <c r="I419" s="17" t="s">
        <v>154</v>
      </c>
      <c r="J419" s="19" t="n">
        <v>11.5</v>
      </c>
      <c r="K419" s="19" t="n">
        <v>16</v>
      </c>
      <c r="L419" s="19" t="n">
        <v>21.6</v>
      </c>
      <c r="M419" s="33" t="n">
        <v>1.063</v>
      </c>
      <c r="N419" s="20" t="n">
        <f aca="false">IF(J419=0,0,IF($I419="L/km",MROUND(J419*$M419*IF($H419="Petrol",'Fuel &amp; Inputs'!$C$5,'Fuel &amp; Inputs'!$C$4),1),MROUND(J419*$M419*IF($H419="Petrol",'Fuel &amp; Inputs'!$C$5,'Fuel &amp; Inputs'!$C$4),10)))</f>
        <v>4670</v>
      </c>
      <c r="O419" s="20" t="n">
        <f aca="false">IF(K419=0,0,IF($I419="L/km",MROUND(K419*$M419*IF($H419="Petrol",'Fuel &amp; Inputs'!$C$5,'Fuel &amp; Inputs'!$C$4),1),MROUND(K419*$M419*IF($H419="Petrol",'Fuel &amp; Inputs'!$C$5,'Fuel &amp; Inputs'!$C$4),10)))</f>
        <v>6500</v>
      </c>
      <c r="P419" s="20" t="n">
        <f aca="false">IF(L419=0,0,IF($I419="L/km",MROUND(L419*$M419*IF($H419="Petrol",'Fuel &amp; Inputs'!$C$5,'Fuel &amp; Inputs'!$C$4),1),MROUND(L419*$M419*IF($H419="Petrol",'Fuel &amp; Inputs'!$C$5,'Fuel &amp; Inputs'!$C$4),10)))</f>
        <v>8770</v>
      </c>
      <c r="Q419" s="17" t="s">
        <v>155</v>
      </c>
      <c r="R419" s="21" t="n">
        <v>4350</v>
      </c>
      <c r="S419" s="20" t="n">
        <f aca="false">MROUND(R419+'Fuel &amp; Inputs'!$C$13,50)</f>
        <v>5150</v>
      </c>
      <c r="T419" s="21" t="n">
        <v>9660</v>
      </c>
      <c r="U419" s="20" t="n">
        <f aca="false">MROUND(R419*'Fuel &amp; Inputs'!$C$19*'Fuel &amp; Inputs'!$C$21,100)</f>
        <v>16500</v>
      </c>
      <c r="V419" s="20" t="n">
        <f aca="false">MROUND(S419*'Fuel &amp; Inputs'!$C$19*'Fuel &amp; Inputs'!$C$21,100)</f>
        <v>19600</v>
      </c>
      <c r="W419" s="20" t="n">
        <f aca="false">MROUND(T419*'Fuel &amp; Inputs'!$C$19*'Fuel &amp; Inputs'!$C$21,100)</f>
        <v>36700</v>
      </c>
      <c r="X419" s="20" t="n">
        <f aca="false">MROUND(R419*'Fuel &amp; Inputs'!$C$20*'Fuel &amp; Inputs'!$C$22,500)</f>
        <v>443500</v>
      </c>
      <c r="Y419" s="20" t="n">
        <f aca="false">MROUND(S419*'Fuel &amp; Inputs'!$C$20*'Fuel &amp; Inputs'!$C$22,500)</f>
        <v>525500</v>
      </c>
      <c r="Z419" s="20" t="n">
        <f aca="false">MROUND(T419*'Fuel &amp; Inputs'!$C$20*'Fuel &amp; Inputs'!$C$22,500)</f>
        <v>985500</v>
      </c>
    </row>
    <row r="420" customFormat="false" ht="15" hidden="false" customHeight="false" outlineLevel="0" collapsed="false">
      <c r="A420" s="23" t="n">
        <v>392</v>
      </c>
      <c r="B420" s="34" t="s">
        <v>986</v>
      </c>
      <c r="C420" s="34" t="s">
        <v>992</v>
      </c>
      <c r="D420" s="34" t="s">
        <v>1002</v>
      </c>
      <c r="E420" s="23" t="s">
        <v>251</v>
      </c>
      <c r="F420" s="23" t="s">
        <v>1004</v>
      </c>
      <c r="G420" s="23" t="s">
        <v>223</v>
      </c>
      <c r="H420" s="23" t="s">
        <v>153</v>
      </c>
      <c r="I420" s="23" t="s">
        <v>154</v>
      </c>
      <c r="J420" s="25" t="n">
        <v>11.5</v>
      </c>
      <c r="K420" s="25" t="n">
        <v>16</v>
      </c>
      <c r="L420" s="25" t="n">
        <v>21.6</v>
      </c>
      <c r="M420" s="35" t="n">
        <v>1.063</v>
      </c>
      <c r="N420" s="26" t="n">
        <f aca="false">IF(J420=0,0,IF($I420="L/km",MROUND(J420*$M420*IF($H420="Petrol",'Fuel &amp; Inputs'!$C$5,'Fuel &amp; Inputs'!$C$4),1),MROUND(J420*$M420*IF($H420="Petrol",'Fuel &amp; Inputs'!$C$5,'Fuel &amp; Inputs'!$C$4),10)))</f>
        <v>4670</v>
      </c>
      <c r="O420" s="26" t="n">
        <f aca="false">IF(K420=0,0,IF($I420="L/km",MROUND(K420*$M420*IF($H420="Petrol",'Fuel &amp; Inputs'!$C$5,'Fuel &amp; Inputs'!$C$4),1),MROUND(K420*$M420*IF($H420="Petrol",'Fuel &amp; Inputs'!$C$5,'Fuel &amp; Inputs'!$C$4),10)))</f>
        <v>6500</v>
      </c>
      <c r="P420" s="26" t="n">
        <f aca="false">IF(L420=0,0,IF($I420="L/km",MROUND(L420*$M420*IF($H420="Petrol",'Fuel &amp; Inputs'!$C$5,'Fuel &amp; Inputs'!$C$4),1),MROUND(L420*$M420*IF($H420="Petrol",'Fuel &amp; Inputs'!$C$5,'Fuel &amp; Inputs'!$C$4),10)))</f>
        <v>8770</v>
      </c>
      <c r="Q420" s="23" t="s">
        <v>155</v>
      </c>
      <c r="R420" s="27" t="n">
        <v>4350</v>
      </c>
      <c r="S420" s="26" t="n">
        <f aca="false">MROUND(R420+'Fuel &amp; Inputs'!$C$13,50)</f>
        <v>5150</v>
      </c>
      <c r="T420" s="27" t="n">
        <v>9660</v>
      </c>
      <c r="U420" s="26" t="n">
        <f aca="false">MROUND(R420*'Fuel &amp; Inputs'!$C$19*'Fuel &amp; Inputs'!$C$21,100)</f>
        <v>16500</v>
      </c>
      <c r="V420" s="26" t="n">
        <f aca="false">MROUND(S420*'Fuel &amp; Inputs'!$C$19*'Fuel &amp; Inputs'!$C$21,100)</f>
        <v>19600</v>
      </c>
      <c r="W420" s="26" t="n">
        <f aca="false">MROUND(T420*'Fuel &amp; Inputs'!$C$19*'Fuel &amp; Inputs'!$C$21,100)</f>
        <v>36700</v>
      </c>
      <c r="X420" s="26" t="n">
        <f aca="false">MROUND(R420*'Fuel &amp; Inputs'!$C$20*'Fuel &amp; Inputs'!$C$22,500)</f>
        <v>443500</v>
      </c>
      <c r="Y420" s="26" t="n">
        <f aca="false">MROUND(S420*'Fuel &amp; Inputs'!$C$20*'Fuel &amp; Inputs'!$C$22,500)</f>
        <v>525500</v>
      </c>
      <c r="Z420" s="26" t="n">
        <f aca="false">MROUND(T420*'Fuel &amp; Inputs'!$C$20*'Fuel &amp; Inputs'!$C$22,500)</f>
        <v>985500</v>
      </c>
    </row>
    <row r="421" customFormat="false" ht="15" hidden="false" customHeight="false" outlineLevel="0" collapsed="false">
      <c r="A421" s="17" t="n">
        <v>393</v>
      </c>
      <c r="B421" s="32" t="s">
        <v>986</v>
      </c>
      <c r="C421" s="32" t="s">
        <v>1005</v>
      </c>
      <c r="D421" s="32" t="s">
        <v>1006</v>
      </c>
      <c r="E421" s="17" t="s">
        <v>171</v>
      </c>
      <c r="F421" s="17" t="s">
        <v>1007</v>
      </c>
      <c r="G421" s="17" t="s">
        <v>223</v>
      </c>
      <c r="H421" s="17" t="s">
        <v>153</v>
      </c>
      <c r="I421" s="17" t="s">
        <v>154</v>
      </c>
      <c r="J421" s="19" t="n">
        <v>11.5</v>
      </c>
      <c r="K421" s="19" t="n">
        <v>16</v>
      </c>
      <c r="L421" s="19" t="n">
        <v>21.6</v>
      </c>
      <c r="M421" s="33" t="n">
        <v>1.077</v>
      </c>
      <c r="N421" s="20" t="n">
        <f aca="false">IF(J421=0,0,IF($I421="L/km",MROUND(J421*$M421*IF($H421="Petrol",'Fuel &amp; Inputs'!$C$5,'Fuel &amp; Inputs'!$C$4),1),MROUND(J421*$M421*IF($H421="Petrol",'Fuel &amp; Inputs'!$C$5,'Fuel &amp; Inputs'!$C$4),10)))</f>
        <v>4730</v>
      </c>
      <c r="O421" s="20" t="n">
        <f aca="false">IF(K421=0,0,IF($I421="L/km",MROUND(K421*$M421*IF($H421="Petrol",'Fuel &amp; Inputs'!$C$5,'Fuel &amp; Inputs'!$C$4),1),MROUND(K421*$M421*IF($H421="Petrol",'Fuel &amp; Inputs'!$C$5,'Fuel &amp; Inputs'!$C$4),10)))</f>
        <v>6580</v>
      </c>
      <c r="P421" s="20" t="n">
        <f aca="false">IF(L421=0,0,IF($I421="L/km",MROUND(L421*$M421*IF($H421="Petrol",'Fuel &amp; Inputs'!$C$5,'Fuel &amp; Inputs'!$C$4),1),MROUND(L421*$M421*IF($H421="Petrol",'Fuel &amp; Inputs'!$C$5,'Fuel &amp; Inputs'!$C$4),10)))</f>
        <v>8890</v>
      </c>
      <c r="Q421" s="17" t="s">
        <v>155</v>
      </c>
      <c r="R421" s="21" t="n">
        <v>3960</v>
      </c>
      <c r="S421" s="20" t="n">
        <f aca="false">MROUND(R421+'Fuel &amp; Inputs'!$C$13,50)</f>
        <v>4750</v>
      </c>
      <c r="T421" s="21" t="n">
        <v>8790</v>
      </c>
      <c r="U421" s="20" t="n">
        <f aca="false">MROUND(R421*'Fuel &amp; Inputs'!$C$19*'Fuel &amp; Inputs'!$C$21,100)</f>
        <v>15000</v>
      </c>
      <c r="V421" s="20" t="n">
        <f aca="false">MROUND(S421*'Fuel &amp; Inputs'!$C$19*'Fuel &amp; Inputs'!$C$21,100)</f>
        <v>18100</v>
      </c>
      <c r="W421" s="20" t="n">
        <f aca="false">MROUND(T421*'Fuel &amp; Inputs'!$C$19*'Fuel &amp; Inputs'!$C$21,100)</f>
        <v>33400</v>
      </c>
      <c r="X421" s="20" t="n">
        <f aca="false">MROUND(R421*'Fuel &amp; Inputs'!$C$20*'Fuel &amp; Inputs'!$C$22,500)</f>
        <v>404000</v>
      </c>
      <c r="Y421" s="20" t="n">
        <f aca="false">MROUND(S421*'Fuel &amp; Inputs'!$C$20*'Fuel &amp; Inputs'!$C$22,500)</f>
        <v>484500</v>
      </c>
      <c r="Z421" s="20" t="n">
        <f aca="false">MROUND(T421*'Fuel &amp; Inputs'!$C$20*'Fuel &amp; Inputs'!$C$22,500)</f>
        <v>896500</v>
      </c>
    </row>
    <row r="422" customFormat="false" ht="15" hidden="false" customHeight="false" outlineLevel="0" collapsed="false">
      <c r="A422" s="23" t="n">
        <v>394</v>
      </c>
      <c r="B422" s="34" t="s">
        <v>986</v>
      </c>
      <c r="C422" s="34" t="s">
        <v>241</v>
      </c>
      <c r="D422" s="34" t="s">
        <v>1008</v>
      </c>
      <c r="E422" s="23" t="s">
        <v>228</v>
      </c>
      <c r="F422" s="23" t="s">
        <v>1009</v>
      </c>
      <c r="G422" s="23" t="s">
        <v>223</v>
      </c>
      <c r="H422" s="23" t="s">
        <v>153</v>
      </c>
      <c r="I422" s="23" t="s">
        <v>154</v>
      </c>
      <c r="J422" s="25" t="n">
        <v>2.9</v>
      </c>
      <c r="K422" s="25" t="n">
        <v>4</v>
      </c>
      <c r="L422" s="25" t="n">
        <v>5.4</v>
      </c>
      <c r="M422" s="35" t="n">
        <v>1.084</v>
      </c>
      <c r="N422" s="26" t="n">
        <f aca="false">IF(J422=0,0,IF($I422="L/km",MROUND(J422*$M422*IF($H422="Petrol",'Fuel &amp; Inputs'!$C$5,'Fuel &amp; Inputs'!$C$4),1),MROUND(J422*$M422*IF($H422="Petrol",'Fuel &amp; Inputs'!$C$5,'Fuel &amp; Inputs'!$C$4),10)))</f>
        <v>1200</v>
      </c>
      <c r="O422" s="26" t="n">
        <f aca="false">IF(K422=0,0,IF($I422="L/km",MROUND(K422*$M422*IF($H422="Petrol",'Fuel &amp; Inputs'!$C$5,'Fuel &amp; Inputs'!$C$4),1),MROUND(K422*$M422*IF($H422="Petrol",'Fuel &amp; Inputs'!$C$5,'Fuel &amp; Inputs'!$C$4),10)))</f>
        <v>1660</v>
      </c>
      <c r="P422" s="26" t="n">
        <f aca="false">IF(L422=0,0,IF($I422="L/km",MROUND(L422*$M422*IF($H422="Petrol",'Fuel &amp; Inputs'!$C$5,'Fuel &amp; Inputs'!$C$4),1),MROUND(L422*$M422*IF($H422="Petrol",'Fuel &amp; Inputs'!$C$5,'Fuel &amp; Inputs'!$C$4),10)))</f>
        <v>2240</v>
      </c>
      <c r="Q422" s="23" t="s">
        <v>155</v>
      </c>
      <c r="R422" s="27" t="n">
        <v>1940</v>
      </c>
      <c r="S422" s="26" t="n">
        <f aca="false">MROUND(R422+'Fuel &amp; Inputs'!$C$13,50)</f>
        <v>2750</v>
      </c>
      <c r="T422" s="27" t="n">
        <v>4310</v>
      </c>
      <c r="U422" s="26" t="n">
        <f aca="false">MROUND(R422*'Fuel &amp; Inputs'!$C$19*'Fuel &amp; Inputs'!$C$21,100)</f>
        <v>7400</v>
      </c>
      <c r="V422" s="26" t="n">
        <f aca="false">MROUND(S422*'Fuel &amp; Inputs'!$C$19*'Fuel &amp; Inputs'!$C$21,100)</f>
        <v>10500</v>
      </c>
      <c r="W422" s="26" t="n">
        <f aca="false">MROUND(T422*'Fuel &amp; Inputs'!$C$19*'Fuel &amp; Inputs'!$C$21,100)</f>
        <v>16400</v>
      </c>
      <c r="X422" s="26" t="n">
        <f aca="false">MROUND(R422*'Fuel &amp; Inputs'!$C$20*'Fuel &amp; Inputs'!$C$22,500)</f>
        <v>198000</v>
      </c>
      <c r="Y422" s="26" t="n">
        <f aca="false">MROUND(S422*'Fuel &amp; Inputs'!$C$20*'Fuel &amp; Inputs'!$C$22,500)</f>
        <v>280500</v>
      </c>
      <c r="Z422" s="26" t="n">
        <f aca="false">MROUND(T422*'Fuel &amp; Inputs'!$C$20*'Fuel &amp; Inputs'!$C$22,500)</f>
        <v>439500</v>
      </c>
    </row>
    <row r="423" customFormat="false" ht="15" hidden="false" customHeight="false" outlineLevel="0" collapsed="false">
      <c r="A423" s="17" t="n">
        <v>395</v>
      </c>
      <c r="B423" s="32" t="s">
        <v>986</v>
      </c>
      <c r="C423" s="32" t="s">
        <v>1010</v>
      </c>
      <c r="D423" s="32" t="s">
        <v>1011</v>
      </c>
      <c r="E423" s="17" t="s">
        <v>228</v>
      </c>
      <c r="F423" s="17" t="s">
        <v>1012</v>
      </c>
      <c r="G423" s="17" t="s">
        <v>223</v>
      </c>
      <c r="H423" s="17" t="s">
        <v>153</v>
      </c>
      <c r="I423" s="17" t="s">
        <v>154</v>
      </c>
      <c r="J423" s="19" t="n">
        <v>7.2</v>
      </c>
      <c r="K423" s="19" t="n">
        <v>10</v>
      </c>
      <c r="L423" s="19" t="n">
        <v>13.5</v>
      </c>
      <c r="M423" s="33" t="n">
        <v>1.084</v>
      </c>
      <c r="N423" s="20" t="n">
        <f aca="false">IF(J423=0,0,IF($I423="L/km",MROUND(J423*$M423*IF($H423="Petrol",'Fuel &amp; Inputs'!$C$5,'Fuel &amp; Inputs'!$C$4),1),MROUND(J423*$M423*IF($H423="Petrol",'Fuel &amp; Inputs'!$C$5,'Fuel &amp; Inputs'!$C$4),10)))</f>
        <v>2980</v>
      </c>
      <c r="O423" s="20" t="n">
        <f aca="false">IF(K423=0,0,IF($I423="L/km",MROUND(K423*$M423*IF($H423="Petrol",'Fuel &amp; Inputs'!$C$5,'Fuel &amp; Inputs'!$C$4),1),MROUND(K423*$M423*IF($H423="Petrol",'Fuel &amp; Inputs'!$C$5,'Fuel &amp; Inputs'!$C$4),10)))</f>
        <v>4140</v>
      </c>
      <c r="P423" s="20" t="n">
        <f aca="false">IF(L423=0,0,IF($I423="L/km",MROUND(L423*$M423*IF($H423="Petrol",'Fuel &amp; Inputs'!$C$5,'Fuel &amp; Inputs'!$C$4),1),MROUND(L423*$M423*IF($H423="Petrol",'Fuel &amp; Inputs'!$C$5,'Fuel &amp; Inputs'!$C$4),10)))</f>
        <v>5590</v>
      </c>
      <c r="Q423" s="17" t="s">
        <v>155</v>
      </c>
      <c r="R423" s="21" t="n">
        <v>3350</v>
      </c>
      <c r="S423" s="20" t="n">
        <f aca="false">MROUND(R423+'Fuel &amp; Inputs'!$C$13,50)</f>
        <v>4150</v>
      </c>
      <c r="T423" s="21" t="n">
        <v>7440</v>
      </c>
      <c r="U423" s="20" t="n">
        <f aca="false">MROUND(R423*'Fuel &amp; Inputs'!$C$19*'Fuel &amp; Inputs'!$C$21,100)</f>
        <v>12700</v>
      </c>
      <c r="V423" s="20" t="n">
        <f aca="false">MROUND(S423*'Fuel &amp; Inputs'!$C$19*'Fuel &amp; Inputs'!$C$21,100)</f>
        <v>15800</v>
      </c>
      <c r="W423" s="20" t="n">
        <f aca="false">MROUND(T423*'Fuel &amp; Inputs'!$C$19*'Fuel &amp; Inputs'!$C$21,100)</f>
        <v>28300</v>
      </c>
      <c r="X423" s="20" t="n">
        <f aca="false">MROUND(R423*'Fuel &amp; Inputs'!$C$20*'Fuel &amp; Inputs'!$C$22,500)</f>
        <v>341500</v>
      </c>
      <c r="Y423" s="20" t="n">
        <f aca="false">MROUND(S423*'Fuel &amp; Inputs'!$C$20*'Fuel &amp; Inputs'!$C$22,500)</f>
        <v>423500</v>
      </c>
      <c r="Z423" s="20" t="n">
        <f aca="false">MROUND(T423*'Fuel &amp; Inputs'!$C$20*'Fuel &amp; Inputs'!$C$22,500)</f>
        <v>759000</v>
      </c>
    </row>
    <row r="424" customFormat="false" ht="15" hidden="false" customHeight="false" outlineLevel="0" collapsed="false">
      <c r="A424" s="23" t="n">
        <v>396</v>
      </c>
      <c r="B424" s="34" t="s">
        <v>986</v>
      </c>
      <c r="C424" s="34" t="s">
        <v>1013</v>
      </c>
      <c r="D424" s="34" t="s">
        <v>1014</v>
      </c>
      <c r="E424" s="23" t="s">
        <v>228</v>
      </c>
      <c r="F424" s="23" t="s">
        <v>1015</v>
      </c>
      <c r="G424" s="23" t="s">
        <v>223</v>
      </c>
      <c r="H424" s="23" t="s">
        <v>153</v>
      </c>
      <c r="I424" s="23" t="s">
        <v>154</v>
      </c>
      <c r="J424" s="25" t="n">
        <v>4.7</v>
      </c>
      <c r="K424" s="25" t="n">
        <v>6.5</v>
      </c>
      <c r="L424" s="25" t="n">
        <v>8.8</v>
      </c>
      <c r="M424" s="35" t="n">
        <v>1.084</v>
      </c>
      <c r="N424" s="26" t="n">
        <f aca="false">IF(J424=0,0,IF($I424="L/km",MROUND(J424*$M424*IF($H424="Petrol",'Fuel &amp; Inputs'!$C$5,'Fuel &amp; Inputs'!$C$4),1),MROUND(J424*$M424*IF($H424="Petrol",'Fuel &amp; Inputs'!$C$5,'Fuel &amp; Inputs'!$C$4),10)))</f>
        <v>1950</v>
      </c>
      <c r="O424" s="26" t="n">
        <f aca="false">IF(K424=0,0,IF($I424="L/km",MROUND(K424*$M424*IF($H424="Petrol",'Fuel &amp; Inputs'!$C$5,'Fuel &amp; Inputs'!$C$4),1),MROUND(K424*$M424*IF($H424="Petrol",'Fuel &amp; Inputs'!$C$5,'Fuel &amp; Inputs'!$C$4),10)))</f>
        <v>2690</v>
      </c>
      <c r="P424" s="26" t="n">
        <f aca="false">IF(L424=0,0,IF($I424="L/km",MROUND(L424*$M424*IF($H424="Petrol",'Fuel &amp; Inputs'!$C$5,'Fuel &amp; Inputs'!$C$4),1),MROUND(L424*$M424*IF($H424="Petrol",'Fuel &amp; Inputs'!$C$5,'Fuel &amp; Inputs'!$C$4),10)))</f>
        <v>3640</v>
      </c>
      <c r="Q424" s="23" t="s">
        <v>155</v>
      </c>
      <c r="R424" s="27" t="n">
        <v>2470</v>
      </c>
      <c r="S424" s="26" t="n">
        <f aca="false">MROUND(R424+'Fuel &amp; Inputs'!$C$13,50)</f>
        <v>3250</v>
      </c>
      <c r="T424" s="27" t="n">
        <v>5480</v>
      </c>
      <c r="U424" s="26" t="n">
        <f aca="false">MROUND(R424*'Fuel &amp; Inputs'!$C$19*'Fuel &amp; Inputs'!$C$21,100)</f>
        <v>9400</v>
      </c>
      <c r="V424" s="26" t="n">
        <f aca="false">MROUND(S424*'Fuel &amp; Inputs'!$C$19*'Fuel &amp; Inputs'!$C$21,100)</f>
        <v>12400</v>
      </c>
      <c r="W424" s="26" t="n">
        <f aca="false">MROUND(T424*'Fuel &amp; Inputs'!$C$19*'Fuel &amp; Inputs'!$C$21,100)</f>
        <v>20800</v>
      </c>
      <c r="X424" s="26" t="n">
        <f aca="false">MROUND(R424*'Fuel &amp; Inputs'!$C$20*'Fuel &amp; Inputs'!$C$22,500)</f>
        <v>252000</v>
      </c>
      <c r="Y424" s="26" t="n">
        <f aca="false">MROUND(S424*'Fuel &amp; Inputs'!$C$20*'Fuel &amp; Inputs'!$C$22,500)</f>
        <v>331500</v>
      </c>
      <c r="Z424" s="26" t="n">
        <f aca="false">MROUND(T424*'Fuel &amp; Inputs'!$C$20*'Fuel &amp; Inputs'!$C$22,500)</f>
        <v>559000</v>
      </c>
    </row>
    <row r="425" customFormat="false" ht="15" hidden="false" customHeight="false" outlineLevel="0" collapsed="false">
      <c r="A425" s="17" t="n">
        <v>397</v>
      </c>
      <c r="B425" s="32" t="s">
        <v>986</v>
      </c>
      <c r="C425" s="32" t="s">
        <v>1005</v>
      </c>
      <c r="D425" s="32" t="s">
        <v>1016</v>
      </c>
      <c r="E425" s="17" t="s">
        <v>228</v>
      </c>
      <c r="F425" s="17" t="s">
        <v>1017</v>
      </c>
      <c r="G425" s="17" t="s">
        <v>223</v>
      </c>
      <c r="H425" s="17" t="s">
        <v>153</v>
      </c>
      <c r="I425" s="17" t="s">
        <v>154</v>
      </c>
      <c r="J425" s="19" t="n">
        <v>11.5</v>
      </c>
      <c r="K425" s="19" t="n">
        <v>16</v>
      </c>
      <c r="L425" s="19" t="n">
        <v>21.6</v>
      </c>
      <c r="M425" s="33" t="n">
        <v>1.084</v>
      </c>
      <c r="N425" s="20" t="n">
        <f aca="false">IF(J425=0,0,IF($I425="L/km",MROUND(J425*$M425*IF($H425="Petrol",'Fuel &amp; Inputs'!$C$5,'Fuel &amp; Inputs'!$C$4),1),MROUND(J425*$M425*IF($H425="Petrol",'Fuel &amp; Inputs'!$C$5,'Fuel &amp; Inputs'!$C$4),10)))</f>
        <v>4760</v>
      </c>
      <c r="O425" s="20" t="n">
        <f aca="false">IF(K425=0,0,IF($I425="L/km",MROUND(K425*$M425*IF($H425="Petrol",'Fuel &amp; Inputs'!$C$5,'Fuel &amp; Inputs'!$C$4),1),MROUND(K425*$M425*IF($H425="Petrol",'Fuel &amp; Inputs'!$C$5,'Fuel &amp; Inputs'!$C$4),10)))</f>
        <v>6630</v>
      </c>
      <c r="P425" s="20" t="n">
        <f aca="false">IF(L425=0,0,IF($I425="L/km",MROUND(L425*$M425*IF($H425="Petrol",'Fuel &amp; Inputs'!$C$5,'Fuel &amp; Inputs'!$C$4),1),MROUND(L425*$M425*IF($H425="Petrol",'Fuel &amp; Inputs'!$C$5,'Fuel &amp; Inputs'!$C$4),10)))</f>
        <v>8940</v>
      </c>
      <c r="Q425" s="17" t="s">
        <v>155</v>
      </c>
      <c r="R425" s="21" t="n">
        <v>3530</v>
      </c>
      <c r="S425" s="20" t="n">
        <f aca="false">MROUND(R425+'Fuel &amp; Inputs'!$C$13,50)</f>
        <v>4350</v>
      </c>
      <c r="T425" s="21" t="n">
        <v>7830</v>
      </c>
      <c r="U425" s="20" t="n">
        <f aca="false">MROUND(R425*'Fuel &amp; Inputs'!$C$19*'Fuel &amp; Inputs'!$C$21,100)</f>
        <v>13400</v>
      </c>
      <c r="V425" s="20" t="n">
        <f aca="false">MROUND(S425*'Fuel &amp; Inputs'!$C$19*'Fuel &amp; Inputs'!$C$21,100)</f>
        <v>16500</v>
      </c>
      <c r="W425" s="20" t="n">
        <f aca="false">MROUND(T425*'Fuel &amp; Inputs'!$C$19*'Fuel &amp; Inputs'!$C$21,100)</f>
        <v>29800</v>
      </c>
      <c r="X425" s="20" t="n">
        <f aca="false">MROUND(R425*'Fuel &amp; Inputs'!$C$20*'Fuel &amp; Inputs'!$C$22,500)</f>
        <v>360000</v>
      </c>
      <c r="Y425" s="20" t="n">
        <f aca="false">MROUND(S425*'Fuel &amp; Inputs'!$C$20*'Fuel &amp; Inputs'!$C$22,500)</f>
        <v>443500</v>
      </c>
      <c r="Z425" s="20" t="n">
        <f aca="false">MROUND(T425*'Fuel &amp; Inputs'!$C$20*'Fuel &amp; Inputs'!$C$22,500)</f>
        <v>798500</v>
      </c>
    </row>
    <row r="426" customFormat="false" ht="15" hidden="false" customHeight="false" outlineLevel="0" collapsed="false">
      <c r="A426" s="23" t="n">
        <v>398</v>
      </c>
      <c r="B426" s="34" t="s">
        <v>986</v>
      </c>
      <c r="C426" s="34" t="s">
        <v>224</v>
      </c>
      <c r="D426" s="34" t="s">
        <v>1018</v>
      </c>
      <c r="E426" s="23" t="s">
        <v>228</v>
      </c>
      <c r="F426" s="23" t="s">
        <v>1019</v>
      </c>
      <c r="G426" s="23" t="s">
        <v>223</v>
      </c>
      <c r="H426" s="23" t="s">
        <v>153</v>
      </c>
      <c r="I426" s="23" t="s">
        <v>154</v>
      </c>
      <c r="J426" s="25" t="n">
        <v>2.9</v>
      </c>
      <c r="K426" s="25" t="n">
        <v>4</v>
      </c>
      <c r="L426" s="25" t="n">
        <v>5.4</v>
      </c>
      <c r="M426" s="35" t="n">
        <v>1.084</v>
      </c>
      <c r="N426" s="26" t="n">
        <f aca="false">IF(J426=0,0,IF($I426="L/km",MROUND(J426*$M426*IF($H426="Petrol",'Fuel &amp; Inputs'!$C$5,'Fuel &amp; Inputs'!$C$4),1),MROUND(J426*$M426*IF($H426="Petrol",'Fuel &amp; Inputs'!$C$5,'Fuel &amp; Inputs'!$C$4),10)))</f>
        <v>1200</v>
      </c>
      <c r="O426" s="26" t="n">
        <f aca="false">IF(K426=0,0,IF($I426="L/km",MROUND(K426*$M426*IF($H426="Petrol",'Fuel &amp; Inputs'!$C$5,'Fuel &amp; Inputs'!$C$4),1),MROUND(K426*$M426*IF($H426="Petrol",'Fuel &amp; Inputs'!$C$5,'Fuel &amp; Inputs'!$C$4),10)))</f>
        <v>1660</v>
      </c>
      <c r="P426" s="26" t="n">
        <f aca="false">IF(L426=0,0,IF($I426="L/km",MROUND(L426*$M426*IF($H426="Petrol",'Fuel &amp; Inputs'!$C$5,'Fuel &amp; Inputs'!$C$4),1),MROUND(L426*$M426*IF($H426="Petrol",'Fuel &amp; Inputs'!$C$5,'Fuel &amp; Inputs'!$C$4),10)))</f>
        <v>2240</v>
      </c>
      <c r="Q426" s="23" t="s">
        <v>155</v>
      </c>
      <c r="R426" s="27" t="n">
        <v>1940</v>
      </c>
      <c r="S426" s="26" t="n">
        <f aca="false">MROUND(R426+'Fuel &amp; Inputs'!$C$13,50)</f>
        <v>2750</v>
      </c>
      <c r="T426" s="27" t="n">
        <v>4310</v>
      </c>
      <c r="U426" s="26" t="n">
        <f aca="false">MROUND(R426*'Fuel &amp; Inputs'!$C$19*'Fuel &amp; Inputs'!$C$21,100)</f>
        <v>7400</v>
      </c>
      <c r="V426" s="26" t="n">
        <f aca="false">MROUND(S426*'Fuel &amp; Inputs'!$C$19*'Fuel &amp; Inputs'!$C$21,100)</f>
        <v>10500</v>
      </c>
      <c r="W426" s="26" t="n">
        <f aca="false">MROUND(T426*'Fuel &amp; Inputs'!$C$19*'Fuel &amp; Inputs'!$C$21,100)</f>
        <v>16400</v>
      </c>
      <c r="X426" s="26" t="n">
        <f aca="false">MROUND(R426*'Fuel &amp; Inputs'!$C$20*'Fuel &amp; Inputs'!$C$22,500)</f>
        <v>198000</v>
      </c>
      <c r="Y426" s="26" t="n">
        <f aca="false">MROUND(S426*'Fuel &amp; Inputs'!$C$20*'Fuel &amp; Inputs'!$C$22,500)</f>
        <v>280500</v>
      </c>
      <c r="Z426" s="26" t="n">
        <f aca="false">MROUND(T426*'Fuel &amp; Inputs'!$C$20*'Fuel &amp; Inputs'!$C$22,500)</f>
        <v>439500</v>
      </c>
    </row>
    <row r="427" customFormat="false" ht="15" hidden="false" customHeight="false" outlineLevel="0" collapsed="false">
      <c r="A427" s="17" t="n">
        <v>399</v>
      </c>
      <c r="B427" s="32" t="s">
        <v>986</v>
      </c>
      <c r="C427" s="32" t="s">
        <v>241</v>
      </c>
      <c r="D427" s="32" t="s">
        <v>1020</v>
      </c>
      <c r="E427" s="17" t="s">
        <v>234</v>
      </c>
      <c r="F427" s="17" t="s">
        <v>1021</v>
      </c>
      <c r="G427" s="17" t="s">
        <v>223</v>
      </c>
      <c r="H427" s="17" t="s">
        <v>153</v>
      </c>
      <c r="I427" s="17" t="s">
        <v>154</v>
      </c>
      <c r="J427" s="19" t="n">
        <v>4.7</v>
      </c>
      <c r="K427" s="19" t="n">
        <v>6.5</v>
      </c>
      <c r="L427" s="19" t="n">
        <v>8.8</v>
      </c>
      <c r="M427" s="33" t="n">
        <v>1.091</v>
      </c>
      <c r="N427" s="20" t="n">
        <f aca="false">IF(J427=0,0,IF($I427="L/km",MROUND(J427*$M427*IF($H427="Petrol",'Fuel &amp; Inputs'!$C$5,'Fuel &amp; Inputs'!$C$4),1),MROUND(J427*$M427*IF($H427="Petrol",'Fuel &amp; Inputs'!$C$5,'Fuel &amp; Inputs'!$C$4),10)))</f>
        <v>1960</v>
      </c>
      <c r="O427" s="20" t="n">
        <f aca="false">IF(K427=0,0,IF($I427="L/km",MROUND(K427*$M427*IF($H427="Petrol",'Fuel &amp; Inputs'!$C$5,'Fuel &amp; Inputs'!$C$4),1),MROUND(K427*$M427*IF($H427="Petrol",'Fuel &amp; Inputs'!$C$5,'Fuel &amp; Inputs'!$C$4),10)))</f>
        <v>2710</v>
      </c>
      <c r="P427" s="20" t="n">
        <f aca="false">IF(L427=0,0,IF($I427="L/km",MROUND(L427*$M427*IF($H427="Petrol",'Fuel &amp; Inputs'!$C$5,'Fuel &amp; Inputs'!$C$4),1),MROUND(L427*$M427*IF($H427="Petrol",'Fuel &amp; Inputs'!$C$5,'Fuel &amp; Inputs'!$C$4),10)))</f>
        <v>3670</v>
      </c>
      <c r="Q427" s="17" t="s">
        <v>155</v>
      </c>
      <c r="R427" s="21" t="n">
        <v>3000</v>
      </c>
      <c r="S427" s="20" t="n">
        <f aca="false">MROUND(R427+'Fuel &amp; Inputs'!$C$13,50)</f>
        <v>3800</v>
      </c>
      <c r="T427" s="21" t="n">
        <v>6660</v>
      </c>
      <c r="U427" s="20" t="n">
        <f aca="false">MROUND(R427*'Fuel &amp; Inputs'!$C$19*'Fuel &amp; Inputs'!$C$21,100)</f>
        <v>11400</v>
      </c>
      <c r="V427" s="20" t="n">
        <f aca="false">MROUND(S427*'Fuel &amp; Inputs'!$C$19*'Fuel &amp; Inputs'!$C$21,100)</f>
        <v>14400</v>
      </c>
      <c r="W427" s="20" t="n">
        <f aca="false">MROUND(T427*'Fuel &amp; Inputs'!$C$19*'Fuel &amp; Inputs'!$C$21,100)</f>
        <v>25300</v>
      </c>
      <c r="X427" s="20" t="n">
        <f aca="false">MROUND(R427*'Fuel &amp; Inputs'!$C$20*'Fuel &amp; Inputs'!$C$22,500)</f>
        <v>306000</v>
      </c>
      <c r="Y427" s="20" t="n">
        <f aca="false">MROUND(S427*'Fuel &amp; Inputs'!$C$20*'Fuel &amp; Inputs'!$C$22,500)</f>
        <v>387500</v>
      </c>
      <c r="Z427" s="20" t="n">
        <f aca="false">MROUND(T427*'Fuel &amp; Inputs'!$C$20*'Fuel &amp; Inputs'!$C$22,500)</f>
        <v>679500</v>
      </c>
    </row>
    <row r="428" customFormat="false" ht="15" hidden="false" customHeight="false" outlineLevel="0" collapsed="false">
      <c r="A428" s="23" t="n">
        <v>400</v>
      </c>
      <c r="B428" s="34" t="s">
        <v>986</v>
      </c>
      <c r="C428" s="34" t="s">
        <v>1022</v>
      </c>
      <c r="D428" s="34" t="s">
        <v>1023</v>
      </c>
      <c r="E428" s="23" t="s">
        <v>234</v>
      </c>
      <c r="F428" s="23" t="s">
        <v>1024</v>
      </c>
      <c r="G428" s="23" t="s">
        <v>223</v>
      </c>
      <c r="H428" s="23" t="s">
        <v>153</v>
      </c>
      <c r="I428" s="23" t="s">
        <v>154</v>
      </c>
      <c r="J428" s="25" t="n">
        <v>2.9</v>
      </c>
      <c r="K428" s="25" t="n">
        <v>4</v>
      </c>
      <c r="L428" s="25" t="n">
        <v>5.4</v>
      </c>
      <c r="M428" s="35" t="n">
        <v>1.091</v>
      </c>
      <c r="N428" s="26" t="n">
        <f aca="false">IF(J428=0,0,IF($I428="L/km",MROUND(J428*$M428*IF($H428="Petrol",'Fuel &amp; Inputs'!$C$5,'Fuel &amp; Inputs'!$C$4),1),MROUND(J428*$M428*IF($H428="Petrol",'Fuel &amp; Inputs'!$C$5,'Fuel &amp; Inputs'!$C$4),10)))</f>
        <v>1210</v>
      </c>
      <c r="O428" s="26" t="n">
        <f aca="false">IF(K428=0,0,IF($I428="L/km",MROUND(K428*$M428*IF($H428="Petrol",'Fuel &amp; Inputs'!$C$5,'Fuel &amp; Inputs'!$C$4),1),MROUND(K428*$M428*IF($H428="Petrol",'Fuel &amp; Inputs'!$C$5,'Fuel &amp; Inputs'!$C$4),10)))</f>
        <v>1670</v>
      </c>
      <c r="P428" s="26" t="n">
        <f aca="false">IF(L428=0,0,IF($I428="L/km",MROUND(L428*$M428*IF($H428="Petrol",'Fuel &amp; Inputs'!$C$5,'Fuel &amp; Inputs'!$C$4),1),MROUND(L428*$M428*IF($H428="Petrol",'Fuel &amp; Inputs'!$C$5,'Fuel &amp; Inputs'!$C$4),10)))</f>
        <v>2250</v>
      </c>
      <c r="Q428" s="23" t="s">
        <v>155</v>
      </c>
      <c r="R428" s="27" t="n">
        <v>1940</v>
      </c>
      <c r="S428" s="26" t="n">
        <f aca="false">MROUND(R428+'Fuel &amp; Inputs'!$C$13,50)</f>
        <v>2750</v>
      </c>
      <c r="T428" s="27" t="n">
        <v>4310</v>
      </c>
      <c r="U428" s="26" t="n">
        <f aca="false">MROUND(R428*'Fuel &amp; Inputs'!$C$19*'Fuel &amp; Inputs'!$C$21,100)</f>
        <v>7400</v>
      </c>
      <c r="V428" s="26" t="n">
        <f aca="false">MROUND(S428*'Fuel &amp; Inputs'!$C$19*'Fuel &amp; Inputs'!$C$21,100)</f>
        <v>10500</v>
      </c>
      <c r="W428" s="26" t="n">
        <f aca="false">MROUND(T428*'Fuel &amp; Inputs'!$C$19*'Fuel &amp; Inputs'!$C$21,100)</f>
        <v>16400</v>
      </c>
      <c r="X428" s="26" t="n">
        <f aca="false">MROUND(R428*'Fuel &amp; Inputs'!$C$20*'Fuel &amp; Inputs'!$C$22,500)</f>
        <v>198000</v>
      </c>
      <c r="Y428" s="26" t="n">
        <f aca="false">MROUND(S428*'Fuel &amp; Inputs'!$C$20*'Fuel &amp; Inputs'!$C$22,500)</f>
        <v>280500</v>
      </c>
      <c r="Z428" s="26" t="n">
        <f aca="false">MROUND(T428*'Fuel &amp; Inputs'!$C$20*'Fuel &amp; Inputs'!$C$22,500)</f>
        <v>439500</v>
      </c>
    </row>
    <row r="429" customFormat="false" ht="15" hidden="false" customHeight="false" outlineLevel="0" collapsed="false">
      <c r="A429" s="17" t="n">
        <v>401</v>
      </c>
      <c r="B429" s="32" t="s">
        <v>986</v>
      </c>
      <c r="C429" s="32" t="s">
        <v>529</v>
      </c>
      <c r="D429" s="32" t="s">
        <v>1025</v>
      </c>
      <c r="E429" s="17" t="s">
        <v>234</v>
      </c>
      <c r="F429" s="17" t="s">
        <v>1026</v>
      </c>
      <c r="G429" s="17" t="s">
        <v>223</v>
      </c>
      <c r="H429" s="17" t="s">
        <v>153</v>
      </c>
      <c r="I429" s="17" t="s">
        <v>154</v>
      </c>
      <c r="J429" s="19" t="n">
        <v>11.5</v>
      </c>
      <c r="K429" s="19" t="n">
        <v>16</v>
      </c>
      <c r="L429" s="19" t="n">
        <v>21.6</v>
      </c>
      <c r="M429" s="33" t="n">
        <v>1.091</v>
      </c>
      <c r="N429" s="20" t="n">
        <f aca="false">IF(J429=0,0,IF($I429="L/km",MROUND(J429*$M429*IF($H429="Petrol",'Fuel &amp; Inputs'!$C$5,'Fuel &amp; Inputs'!$C$4),1),MROUND(J429*$M429*IF($H429="Petrol",'Fuel &amp; Inputs'!$C$5,'Fuel &amp; Inputs'!$C$4),10)))</f>
        <v>4790</v>
      </c>
      <c r="O429" s="20" t="n">
        <f aca="false">IF(K429=0,0,IF($I429="L/km",MROUND(K429*$M429*IF($H429="Petrol",'Fuel &amp; Inputs'!$C$5,'Fuel &amp; Inputs'!$C$4),1),MROUND(K429*$M429*IF($H429="Petrol",'Fuel &amp; Inputs'!$C$5,'Fuel &amp; Inputs'!$C$4),10)))</f>
        <v>6670</v>
      </c>
      <c r="P429" s="20" t="n">
        <f aca="false">IF(L429=0,0,IF($I429="L/km",MROUND(L429*$M429*IF($H429="Petrol",'Fuel &amp; Inputs'!$C$5,'Fuel &amp; Inputs'!$C$4),1),MROUND(L429*$M429*IF($H429="Petrol",'Fuel &amp; Inputs'!$C$5,'Fuel &amp; Inputs'!$C$4),10)))</f>
        <v>9000</v>
      </c>
      <c r="Q429" s="17" t="s">
        <v>155</v>
      </c>
      <c r="R429" s="21" t="n">
        <v>3700</v>
      </c>
      <c r="S429" s="20" t="n">
        <f aca="false">MROUND(R429+'Fuel &amp; Inputs'!$C$13,50)</f>
        <v>4500</v>
      </c>
      <c r="T429" s="21" t="n">
        <v>8220</v>
      </c>
      <c r="U429" s="20" t="n">
        <f aca="false">MROUND(R429*'Fuel &amp; Inputs'!$C$19*'Fuel &amp; Inputs'!$C$21,100)</f>
        <v>14100</v>
      </c>
      <c r="V429" s="20" t="n">
        <f aca="false">MROUND(S429*'Fuel &amp; Inputs'!$C$19*'Fuel &amp; Inputs'!$C$21,100)</f>
        <v>17100</v>
      </c>
      <c r="W429" s="20" t="n">
        <f aca="false">MROUND(T429*'Fuel &amp; Inputs'!$C$19*'Fuel &amp; Inputs'!$C$21,100)</f>
        <v>31200</v>
      </c>
      <c r="X429" s="20" t="n">
        <f aca="false">MROUND(R429*'Fuel &amp; Inputs'!$C$20*'Fuel &amp; Inputs'!$C$22,500)</f>
        <v>377500</v>
      </c>
      <c r="Y429" s="20" t="n">
        <f aca="false">MROUND(S429*'Fuel &amp; Inputs'!$C$20*'Fuel &amp; Inputs'!$C$22,500)</f>
        <v>459000</v>
      </c>
      <c r="Z429" s="20" t="n">
        <f aca="false">MROUND(T429*'Fuel &amp; Inputs'!$C$20*'Fuel &amp; Inputs'!$C$22,500)</f>
        <v>838500</v>
      </c>
    </row>
    <row r="430" customFormat="false" ht="15" hidden="false" customHeight="false" outlineLevel="0" collapsed="false">
      <c r="A430" s="23" t="n">
        <v>402</v>
      </c>
      <c r="B430" s="34" t="s">
        <v>986</v>
      </c>
      <c r="C430" s="34" t="s">
        <v>1005</v>
      </c>
      <c r="D430" s="34" t="s">
        <v>1027</v>
      </c>
      <c r="E430" s="23" t="s">
        <v>166</v>
      </c>
      <c r="F430" s="23" t="s">
        <v>1028</v>
      </c>
      <c r="G430" s="23" t="s">
        <v>223</v>
      </c>
      <c r="H430" s="23" t="s">
        <v>153</v>
      </c>
      <c r="I430" s="23" t="s">
        <v>154</v>
      </c>
      <c r="J430" s="25" t="n">
        <v>7.2</v>
      </c>
      <c r="K430" s="25" t="n">
        <v>10</v>
      </c>
      <c r="L430" s="25" t="n">
        <v>13.5</v>
      </c>
      <c r="M430" s="35" t="n">
        <v>1.098</v>
      </c>
      <c r="N430" s="26" t="n">
        <f aca="false">IF(J430=0,0,IF($I430="L/km",MROUND(J430*$M430*IF($H430="Petrol",'Fuel &amp; Inputs'!$C$5,'Fuel &amp; Inputs'!$C$4),1),MROUND(J430*$M430*IF($H430="Petrol",'Fuel &amp; Inputs'!$C$5,'Fuel &amp; Inputs'!$C$4),10)))</f>
        <v>3020</v>
      </c>
      <c r="O430" s="26" t="n">
        <f aca="false">IF(K430=0,0,IF($I430="L/km",MROUND(K430*$M430*IF($H430="Petrol",'Fuel &amp; Inputs'!$C$5,'Fuel &amp; Inputs'!$C$4),1),MROUND(K430*$M430*IF($H430="Petrol",'Fuel &amp; Inputs'!$C$5,'Fuel &amp; Inputs'!$C$4),10)))</f>
        <v>4190</v>
      </c>
      <c r="P430" s="26" t="n">
        <f aca="false">IF(L430=0,0,IF($I430="L/km",MROUND(L430*$M430*IF($H430="Petrol",'Fuel &amp; Inputs'!$C$5,'Fuel &amp; Inputs'!$C$4),1),MROUND(L430*$M430*IF($H430="Petrol",'Fuel &amp; Inputs'!$C$5,'Fuel &amp; Inputs'!$C$4),10)))</f>
        <v>5660</v>
      </c>
      <c r="Q430" s="23" t="s">
        <v>155</v>
      </c>
      <c r="R430" s="27" t="n">
        <v>3000</v>
      </c>
      <c r="S430" s="26" t="n">
        <f aca="false">MROUND(R430+'Fuel &amp; Inputs'!$C$13,50)</f>
        <v>3800</v>
      </c>
      <c r="T430" s="27" t="n">
        <v>6660</v>
      </c>
      <c r="U430" s="26" t="n">
        <f aca="false">MROUND(R430*'Fuel &amp; Inputs'!$C$19*'Fuel &amp; Inputs'!$C$21,100)</f>
        <v>11400</v>
      </c>
      <c r="V430" s="26" t="n">
        <f aca="false">MROUND(S430*'Fuel &amp; Inputs'!$C$19*'Fuel &amp; Inputs'!$C$21,100)</f>
        <v>14400</v>
      </c>
      <c r="W430" s="26" t="n">
        <f aca="false">MROUND(T430*'Fuel &amp; Inputs'!$C$19*'Fuel &amp; Inputs'!$C$21,100)</f>
        <v>25300</v>
      </c>
      <c r="X430" s="26" t="n">
        <f aca="false">MROUND(R430*'Fuel &amp; Inputs'!$C$20*'Fuel &amp; Inputs'!$C$22,500)</f>
        <v>306000</v>
      </c>
      <c r="Y430" s="26" t="n">
        <f aca="false">MROUND(S430*'Fuel &amp; Inputs'!$C$20*'Fuel &amp; Inputs'!$C$22,500)</f>
        <v>387500</v>
      </c>
      <c r="Z430" s="26" t="n">
        <f aca="false">MROUND(T430*'Fuel &amp; Inputs'!$C$20*'Fuel &amp; Inputs'!$C$22,500)</f>
        <v>679500</v>
      </c>
    </row>
    <row r="431" customFormat="false" ht="15" hidden="false" customHeight="false" outlineLevel="0" collapsed="false">
      <c r="A431" s="17" t="n">
        <v>403</v>
      </c>
      <c r="B431" s="32" t="s">
        <v>986</v>
      </c>
      <c r="C431" s="32" t="s">
        <v>224</v>
      </c>
      <c r="D431" s="32" t="s">
        <v>1029</v>
      </c>
      <c r="E431" s="17" t="s">
        <v>166</v>
      </c>
      <c r="F431" s="17" t="s">
        <v>1030</v>
      </c>
      <c r="G431" s="17" t="s">
        <v>223</v>
      </c>
      <c r="H431" s="17" t="s">
        <v>153</v>
      </c>
      <c r="I431" s="17" t="s">
        <v>154</v>
      </c>
      <c r="J431" s="19" t="n">
        <v>2.9</v>
      </c>
      <c r="K431" s="19" t="n">
        <v>4</v>
      </c>
      <c r="L431" s="19" t="n">
        <v>5.4</v>
      </c>
      <c r="M431" s="33" t="n">
        <v>1.098</v>
      </c>
      <c r="N431" s="20" t="n">
        <f aca="false">IF(J431=0,0,IF($I431="L/km",MROUND(J431*$M431*IF($H431="Petrol",'Fuel &amp; Inputs'!$C$5,'Fuel &amp; Inputs'!$C$4),1),MROUND(J431*$M431*IF($H431="Petrol",'Fuel &amp; Inputs'!$C$5,'Fuel &amp; Inputs'!$C$4),10)))</f>
        <v>1220</v>
      </c>
      <c r="O431" s="20" t="n">
        <f aca="false">IF(K431=0,0,IF($I431="L/km",MROUND(K431*$M431*IF($H431="Petrol",'Fuel &amp; Inputs'!$C$5,'Fuel &amp; Inputs'!$C$4),1),MROUND(K431*$M431*IF($H431="Petrol",'Fuel &amp; Inputs'!$C$5,'Fuel &amp; Inputs'!$C$4),10)))</f>
        <v>1680</v>
      </c>
      <c r="P431" s="20" t="n">
        <f aca="false">IF(L431=0,0,IF($I431="L/km",MROUND(L431*$M431*IF($H431="Petrol",'Fuel &amp; Inputs'!$C$5,'Fuel &amp; Inputs'!$C$4),1),MROUND(L431*$M431*IF($H431="Petrol",'Fuel &amp; Inputs'!$C$5,'Fuel &amp; Inputs'!$C$4),10)))</f>
        <v>2260</v>
      </c>
      <c r="Q431" s="17" t="s">
        <v>155</v>
      </c>
      <c r="R431" s="21" t="n">
        <v>1940</v>
      </c>
      <c r="S431" s="20" t="n">
        <f aca="false">MROUND(R431+'Fuel &amp; Inputs'!$C$13,50)</f>
        <v>2750</v>
      </c>
      <c r="T431" s="21" t="n">
        <v>4310</v>
      </c>
      <c r="U431" s="20" t="n">
        <f aca="false">MROUND(R431*'Fuel &amp; Inputs'!$C$19*'Fuel &amp; Inputs'!$C$21,100)</f>
        <v>7400</v>
      </c>
      <c r="V431" s="20" t="n">
        <f aca="false">MROUND(S431*'Fuel &amp; Inputs'!$C$19*'Fuel &amp; Inputs'!$C$21,100)</f>
        <v>10500</v>
      </c>
      <c r="W431" s="20" t="n">
        <f aca="false">MROUND(T431*'Fuel &amp; Inputs'!$C$19*'Fuel &amp; Inputs'!$C$21,100)</f>
        <v>16400</v>
      </c>
      <c r="X431" s="20" t="n">
        <f aca="false">MROUND(R431*'Fuel &amp; Inputs'!$C$20*'Fuel &amp; Inputs'!$C$22,500)</f>
        <v>198000</v>
      </c>
      <c r="Y431" s="20" t="n">
        <f aca="false">MROUND(S431*'Fuel &amp; Inputs'!$C$20*'Fuel &amp; Inputs'!$C$22,500)</f>
        <v>280500</v>
      </c>
      <c r="Z431" s="20" t="n">
        <f aca="false">MROUND(T431*'Fuel &amp; Inputs'!$C$20*'Fuel &amp; Inputs'!$C$22,500)</f>
        <v>439500</v>
      </c>
    </row>
    <row r="432" customFormat="false" ht="15" hidden="false" customHeight="false" outlineLevel="0" collapsed="false">
      <c r="A432" s="23" t="n">
        <v>404</v>
      </c>
      <c r="B432" s="34" t="s">
        <v>986</v>
      </c>
      <c r="C432" s="34" t="s">
        <v>224</v>
      </c>
      <c r="D432" s="34" t="s">
        <v>1031</v>
      </c>
      <c r="E432" s="23" t="s">
        <v>166</v>
      </c>
      <c r="F432" s="23" t="s">
        <v>1032</v>
      </c>
      <c r="G432" s="23" t="s">
        <v>223</v>
      </c>
      <c r="H432" s="23" t="s">
        <v>153</v>
      </c>
      <c r="I432" s="23" t="s">
        <v>154</v>
      </c>
      <c r="J432" s="25" t="n">
        <v>2.9</v>
      </c>
      <c r="K432" s="25" t="n">
        <v>4</v>
      </c>
      <c r="L432" s="25" t="n">
        <v>5.4</v>
      </c>
      <c r="M432" s="35" t="n">
        <v>1.098</v>
      </c>
      <c r="N432" s="26" t="n">
        <f aca="false">IF(J432=0,0,IF($I432="L/km",MROUND(J432*$M432*IF($H432="Petrol",'Fuel &amp; Inputs'!$C$5,'Fuel &amp; Inputs'!$C$4),1),MROUND(J432*$M432*IF($H432="Petrol",'Fuel &amp; Inputs'!$C$5,'Fuel &amp; Inputs'!$C$4),10)))</f>
        <v>1220</v>
      </c>
      <c r="O432" s="26" t="n">
        <f aca="false">IF(K432=0,0,IF($I432="L/km",MROUND(K432*$M432*IF($H432="Petrol",'Fuel &amp; Inputs'!$C$5,'Fuel &amp; Inputs'!$C$4),1),MROUND(K432*$M432*IF($H432="Petrol",'Fuel &amp; Inputs'!$C$5,'Fuel &amp; Inputs'!$C$4),10)))</f>
        <v>1680</v>
      </c>
      <c r="P432" s="26" t="n">
        <f aca="false">IF(L432=0,0,IF($I432="L/km",MROUND(L432*$M432*IF($H432="Petrol",'Fuel &amp; Inputs'!$C$5,'Fuel &amp; Inputs'!$C$4),1),MROUND(L432*$M432*IF($H432="Petrol",'Fuel &amp; Inputs'!$C$5,'Fuel &amp; Inputs'!$C$4),10)))</f>
        <v>2260</v>
      </c>
      <c r="Q432" s="23" t="s">
        <v>155</v>
      </c>
      <c r="R432" s="27" t="n">
        <v>2470</v>
      </c>
      <c r="S432" s="26" t="n">
        <f aca="false">MROUND(R432+'Fuel &amp; Inputs'!$C$13,50)</f>
        <v>3250</v>
      </c>
      <c r="T432" s="27" t="n">
        <v>5480</v>
      </c>
      <c r="U432" s="26" t="n">
        <f aca="false">MROUND(R432*'Fuel &amp; Inputs'!$C$19*'Fuel &amp; Inputs'!$C$21,100)</f>
        <v>9400</v>
      </c>
      <c r="V432" s="26" t="n">
        <f aca="false">MROUND(S432*'Fuel &amp; Inputs'!$C$19*'Fuel &amp; Inputs'!$C$21,100)</f>
        <v>12400</v>
      </c>
      <c r="W432" s="26" t="n">
        <f aca="false">MROUND(T432*'Fuel &amp; Inputs'!$C$19*'Fuel &amp; Inputs'!$C$21,100)</f>
        <v>20800</v>
      </c>
      <c r="X432" s="26" t="n">
        <f aca="false">MROUND(R432*'Fuel &amp; Inputs'!$C$20*'Fuel &amp; Inputs'!$C$22,500)</f>
        <v>252000</v>
      </c>
      <c r="Y432" s="26" t="n">
        <f aca="false">MROUND(S432*'Fuel &amp; Inputs'!$C$20*'Fuel &amp; Inputs'!$C$22,500)</f>
        <v>331500</v>
      </c>
      <c r="Z432" s="26" t="n">
        <f aca="false">MROUND(T432*'Fuel &amp; Inputs'!$C$20*'Fuel &amp; Inputs'!$C$22,500)</f>
        <v>559000</v>
      </c>
    </row>
    <row r="433" customFormat="false" ht="15" hidden="false" customHeight="false" outlineLevel="0" collapsed="false">
      <c r="A433" s="17" t="n">
        <v>405</v>
      </c>
      <c r="B433" s="32" t="s">
        <v>986</v>
      </c>
      <c r="C433" s="32" t="s">
        <v>224</v>
      </c>
      <c r="D433" s="32" t="s">
        <v>1033</v>
      </c>
      <c r="E433" s="17" t="s">
        <v>603</v>
      </c>
      <c r="F433" s="17" t="s">
        <v>1034</v>
      </c>
      <c r="G433" s="17" t="s">
        <v>223</v>
      </c>
      <c r="H433" s="17" t="s">
        <v>153</v>
      </c>
      <c r="I433" s="17" t="s">
        <v>154</v>
      </c>
      <c r="J433" s="19" t="n">
        <v>7.2</v>
      </c>
      <c r="K433" s="19" t="n">
        <v>10</v>
      </c>
      <c r="L433" s="19" t="n">
        <v>13.5</v>
      </c>
      <c r="M433" s="33" t="n">
        <v>1.105</v>
      </c>
      <c r="N433" s="20" t="n">
        <f aca="false">IF(J433=0,0,IF($I433="L/km",MROUND(J433*$M433*IF($H433="Petrol",'Fuel &amp; Inputs'!$C$5,'Fuel &amp; Inputs'!$C$4),1),MROUND(J433*$M433*IF($H433="Petrol",'Fuel &amp; Inputs'!$C$5,'Fuel &amp; Inputs'!$C$4),10)))</f>
        <v>3040</v>
      </c>
      <c r="O433" s="20" t="n">
        <f aca="false">IF(K433=0,0,IF($I433="L/km",MROUND(K433*$M433*IF($H433="Petrol",'Fuel &amp; Inputs'!$C$5,'Fuel &amp; Inputs'!$C$4),1),MROUND(K433*$M433*IF($H433="Petrol",'Fuel &amp; Inputs'!$C$5,'Fuel &amp; Inputs'!$C$4),10)))</f>
        <v>4220</v>
      </c>
      <c r="P433" s="20" t="n">
        <f aca="false">IF(L433=0,0,IF($I433="L/km",MROUND(L433*$M433*IF($H433="Petrol",'Fuel &amp; Inputs'!$C$5,'Fuel &amp; Inputs'!$C$4),1),MROUND(L433*$M433*IF($H433="Petrol",'Fuel &amp; Inputs'!$C$5,'Fuel &amp; Inputs'!$C$4),10)))</f>
        <v>5700</v>
      </c>
      <c r="Q433" s="17" t="s">
        <v>155</v>
      </c>
      <c r="R433" s="21" t="n">
        <v>3000</v>
      </c>
      <c r="S433" s="20" t="n">
        <f aca="false">MROUND(R433+'Fuel &amp; Inputs'!$C$13,50)</f>
        <v>3800</v>
      </c>
      <c r="T433" s="21" t="n">
        <v>6660</v>
      </c>
      <c r="U433" s="20" t="n">
        <f aca="false">MROUND(R433*'Fuel &amp; Inputs'!$C$19*'Fuel &amp; Inputs'!$C$21,100)</f>
        <v>11400</v>
      </c>
      <c r="V433" s="20" t="n">
        <f aca="false">MROUND(S433*'Fuel &amp; Inputs'!$C$19*'Fuel &amp; Inputs'!$C$21,100)</f>
        <v>14400</v>
      </c>
      <c r="W433" s="20" t="n">
        <f aca="false">MROUND(T433*'Fuel &amp; Inputs'!$C$19*'Fuel &amp; Inputs'!$C$21,100)</f>
        <v>25300</v>
      </c>
      <c r="X433" s="20" t="n">
        <f aca="false">MROUND(R433*'Fuel &amp; Inputs'!$C$20*'Fuel &amp; Inputs'!$C$22,500)</f>
        <v>306000</v>
      </c>
      <c r="Y433" s="20" t="n">
        <f aca="false">MROUND(S433*'Fuel &amp; Inputs'!$C$20*'Fuel &amp; Inputs'!$C$22,500)</f>
        <v>387500</v>
      </c>
      <c r="Z433" s="20" t="n">
        <f aca="false">MROUND(T433*'Fuel &amp; Inputs'!$C$20*'Fuel &amp; Inputs'!$C$22,500)</f>
        <v>679500</v>
      </c>
    </row>
    <row r="434" customFormat="false" ht="15" hidden="false" customHeight="false" outlineLevel="0" collapsed="false">
      <c r="A434" s="23" t="n">
        <v>406</v>
      </c>
      <c r="B434" s="34" t="s">
        <v>986</v>
      </c>
      <c r="C434" s="34" t="s">
        <v>1035</v>
      </c>
      <c r="D434" s="34" t="s">
        <v>1036</v>
      </c>
      <c r="E434" s="23" t="s">
        <v>243</v>
      </c>
      <c r="F434" s="23" t="s">
        <v>1037</v>
      </c>
      <c r="G434" s="23" t="s">
        <v>223</v>
      </c>
      <c r="H434" s="23" t="s">
        <v>153</v>
      </c>
      <c r="I434" s="23" t="s">
        <v>154</v>
      </c>
      <c r="J434" s="25" t="n">
        <v>7.2</v>
      </c>
      <c r="K434" s="25" t="n">
        <v>10</v>
      </c>
      <c r="L434" s="25" t="n">
        <v>13.5</v>
      </c>
      <c r="M434" s="35" t="n">
        <v>1.112</v>
      </c>
      <c r="N434" s="26" t="n">
        <f aca="false">IF(J434=0,0,IF($I434="L/km",MROUND(J434*$M434*IF($H434="Petrol",'Fuel &amp; Inputs'!$C$5,'Fuel &amp; Inputs'!$C$4),1),MROUND(J434*$M434*IF($H434="Petrol",'Fuel &amp; Inputs'!$C$5,'Fuel &amp; Inputs'!$C$4),10)))</f>
        <v>3060</v>
      </c>
      <c r="O434" s="26" t="n">
        <f aca="false">IF(K434=0,0,IF($I434="L/km",MROUND(K434*$M434*IF($H434="Petrol",'Fuel &amp; Inputs'!$C$5,'Fuel &amp; Inputs'!$C$4),1),MROUND(K434*$M434*IF($H434="Petrol",'Fuel &amp; Inputs'!$C$5,'Fuel &amp; Inputs'!$C$4),10)))</f>
        <v>4250</v>
      </c>
      <c r="P434" s="26" t="n">
        <f aca="false">IF(L434=0,0,IF($I434="L/km",MROUND(L434*$M434*IF($H434="Petrol",'Fuel &amp; Inputs'!$C$5,'Fuel &amp; Inputs'!$C$4),1),MROUND(L434*$M434*IF($H434="Petrol",'Fuel &amp; Inputs'!$C$5,'Fuel &amp; Inputs'!$C$4),10)))</f>
        <v>5730</v>
      </c>
      <c r="Q434" s="23" t="s">
        <v>155</v>
      </c>
      <c r="R434" s="27" t="n">
        <v>3530</v>
      </c>
      <c r="S434" s="26" t="n">
        <f aca="false">MROUND(R434+'Fuel &amp; Inputs'!$C$13,50)</f>
        <v>4350</v>
      </c>
      <c r="T434" s="27" t="n">
        <v>7830</v>
      </c>
      <c r="U434" s="26" t="n">
        <f aca="false">MROUND(R434*'Fuel &amp; Inputs'!$C$19*'Fuel &amp; Inputs'!$C$21,100)</f>
        <v>13400</v>
      </c>
      <c r="V434" s="26" t="n">
        <f aca="false">MROUND(S434*'Fuel &amp; Inputs'!$C$19*'Fuel &amp; Inputs'!$C$21,100)</f>
        <v>16500</v>
      </c>
      <c r="W434" s="26" t="n">
        <f aca="false">MROUND(T434*'Fuel &amp; Inputs'!$C$19*'Fuel &amp; Inputs'!$C$21,100)</f>
        <v>29800</v>
      </c>
      <c r="X434" s="26" t="n">
        <f aca="false">MROUND(R434*'Fuel &amp; Inputs'!$C$20*'Fuel &amp; Inputs'!$C$22,500)</f>
        <v>360000</v>
      </c>
      <c r="Y434" s="26" t="n">
        <f aca="false">MROUND(S434*'Fuel &amp; Inputs'!$C$20*'Fuel &amp; Inputs'!$C$22,500)</f>
        <v>443500</v>
      </c>
      <c r="Z434" s="26" t="n">
        <f aca="false">MROUND(T434*'Fuel &amp; Inputs'!$C$20*'Fuel &amp; Inputs'!$C$22,500)</f>
        <v>798500</v>
      </c>
    </row>
    <row r="435" customFormat="false" ht="15" hidden="false" customHeight="false" outlineLevel="0" collapsed="false">
      <c r="A435" s="17" t="n">
        <v>407</v>
      </c>
      <c r="B435" s="32" t="s">
        <v>986</v>
      </c>
      <c r="C435" s="32" t="s">
        <v>224</v>
      </c>
      <c r="D435" s="32" t="s">
        <v>1033</v>
      </c>
      <c r="E435" s="17" t="s">
        <v>243</v>
      </c>
      <c r="F435" s="17" t="s">
        <v>1038</v>
      </c>
      <c r="G435" s="17" t="s">
        <v>223</v>
      </c>
      <c r="H435" s="17" t="s">
        <v>153</v>
      </c>
      <c r="I435" s="17" t="s">
        <v>154</v>
      </c>
      <c r="J435" s="19" t="n">
        <v>7.2</v>
      </c>
      <c r="K435" s="19" t="n">
        <v>10</v>
      </c>
      <c r="L435" s="19" t="n">
        <v>13.5</v>
      </c>
      <c r="M435" s="33" t="n">
        <v>1.112</v>
      </c>
      <c r="N435" s="20" t="n">
        <f aca="false">IF(J435=0,0,IF($I435="L/km",MROUND(J435*$M435*IF($H435="Petrol",'Fuel &amp; Inputs'!$C$5,'Fuel &amp; Inputs'!$C$4),1),MROUND(J435*$M435*IF($H435="Petrol",'Fuel &amp; Inputs'!$C$5,'Fuel &amp; Inputs'!$C$4),10)))</f>
        <v>3060</v>
      </c>
      <c r="O435" s="20" t="n">
        <f aca="false">IF(K435=0,0,IF($I435="L/km",MROUND(K435*$M435*IF($H435="Petrol",'Fuel &amp; Inputs'!$C$5,'Fuel &amp; Inputs'!$C$4),1),MROUND(K435*$M435*IF($H435="Petrol",'Fuel &amp; Inputs'!$C$5,'Fuel &amp; Inputs'!$C$4),10)))</f>
        <v>4250</v>
      </c>
      <c r="P435" s="20" t="n">
        <f aca="false">IF(L435=0,0,IF($I435="L/km",MROUND(L435*$M435*IF($H435="Petrol",'Fuel &amp; Inputs'!$C$5,'Fuel &amp; Inputs'!$C$4),1),MROUND(L435*$M435*IF($H435="Petrol",'Fuel &amp; Inputs'!$C$5,'Fuel &amp; Inputs'!$C$4),10)))</f>
        <v>5730</v>
      </c>
      <c r="Q435" s="17" t="s">
        <v>155</v>
      </c>
      <c r="R435" s="21" t="n">
        <v>3000</v>
      </c>
      <c r="S435" s="20" t="n">
        <f aca="false">MROUND(R435+'Fuel &amp; Inputs'!$C$13,50)</f>
        <v>3800</v>
      </c>
      <c r="T435" s="21" t="n">
        <v>6660</v>
      </c>
      <c r="U435" s="20" t="n">
        <f aca="false">MROUND(R435*'Fuel &amp; Inputs'!$C$19*'Fuel &amp; Inputs'!$C$21,100)</f>
        <v>11400</v>
      </c>
      <c r="V435" s="20" t="n">
        <f aca="false">MROUND(S435*'Fuel &amp; Inputs'!$C$19*'Fuel &amp; Inputs'!$C$21,100)</f>
        <v>14400</v>
      </c>
      <c r="W435" s="20" t="n">
        <f aca="false">MROUND(T435*'Fuel &amp; Inputs'!$C$19*'Fuel &amp; Inputs'!$C$21,100)</f>
        <v>25300</v>
      </c>
      <c r="X435" s="20" t="n">
        <f aca="false">MROUND(R435*'Fuel &amp; Inputs'!$C$20*'Fuel &amp; Inputs'!$C$22,500)</f>
        <v>306000</v>
      </c>
      <c r="Y435" s="20" t="n">
        <f aca="false">MROUND(S435*'Fuel &amp; Inputs'!$C$20*'Fuel &amp; Inputs'!$C$22,500)</f>
        <v>387500</v>
      </c>
      <c r="Z435" s="20" t="n">
        <f aca="false">MROUND(T435*'Fuel &amp; Inputs'!$C$20*'Fuel &amp; Inputs'!$C$22,500)</f>
        <v>679500</v>
      </c>
    </row>
    <row r="436" customFormat="false" ht="15" hidden="false" customHeight="false" outlineLevel="0" collapsed="false">
      <c r="A436" s="23" t="n">
        <v>408</v>
      </c>
      <c r="B436" s="34" t="s">
        <v>986</v>
      </c>
      <c r="C436" s="34" t="s">
        <v>1022</v>
      </c>
      <c r="D436" s="34" t="s">
        <v>1039</v>
      </c>
      <c r="E436" s="23" t="s">
        <v>243</v>
      </c>
      <c r="F436" s="23" t="s">
        <v>1040</v>
      </c>
      <c r="G436" s="23" t="s">
        <v>223</v>
      </c>
      <c r="H436" s="23" t="s">
        <v>153</v>
      </c>
      <c r="I436" s="23" t="s">
        <v>154</v>
      </c>
      <c r="J436" s="25" t="n">
        <v>2.9</v>
      </c>
      <c r="K436" s="25" t="n">
        <v>4</v>
      </c>
      <c r="L436" s="25" t="n">
        <v>5.4</v>
      </c>
      <c r="M436" s="35" t="n">
        <v>1.112</v>
      </c>
      <c r="N436" s="26" t="n">
        <f aca="false">IF(J436=0,0,IF($I436="L/km",MROUND(J436*$M436*IF($H436="Petrol",'Fuel &amp; Inputs'!$C$5,'Fuel &amp; Inputs'!$C$4),1),MROUND(J436*$M436*IF($H436="Petrol",'Fuel &amp; Inputs'!$C$5,'Fuel &amp; Inputs'!$C$4),10)))</f>
        <v>1230</v>
      </c>
      <c r="O436" s="26" t="n">
        <f aca="false">IF(K436=0,0,IF($I436="L/km",MROUND(K436*$M436*IF($H436="Petrol",'Fuel &amp; Inputs'!$C$5,'Fuel &amp; Inputs'!$C$4),1),MROUND(K436*$M436*IF($H436="Petrol",'Fuel &amp; Inputs'!$C$5,'Fuel &amp; Inputs'!$C$4),10)))</f>
        <v>1700</v>
      </c>
      <c r="P436" s="26" t="n">
        <f aca="false">IF(L436=0,0,IF($I436="L/km",MROUND(L436*$M436*IF($H436="Petrol",'Fuel &amp; Inputs'!$C$5,'Fuel &amp; Inputs'!$C$4),1),MROUND(L436*$M436*IF($H436="Petrol",'Fuel &amp; Inputs'!$C$5,'Fuel &amp; Inputs'!$C$4),10)))</f>
        <v>2290</v>
      </c>
      <c r="Q436" s="23" t="s">
        <v>155</v>
      </c>
      <c r="R436" s="27" t="n">
        <v>1940</v>
      </c>
      <c r="S436" s="26" t="n">
        <f aca="false">MROUND(R436+'Fuel &amp; Inputs'!$C$13,50)</f>
        <v>2750</v>
      </c>
      <c r="T436" s="27" t="n">
        <v>4310</v>
      </c>
      <c r="U436" s="26" t="n">
        <f aca="false">MROUND(R436*'Fuel &amp; Inputs'!$C$19*'Fuel &amp; Inputs'!$C$21,100)</f>
        <v>7400</v>
      </c>
      <c r="V436" s="26" t="n">
        <f aca="false">MROUND(S436*'Fuel &amp; Inputs'!$C$19*'Fuel &amp; Inputs'!$C$21,100)</f>
        <v>10500</v>
      </c>
      <c r="W436" s="26" t="n">
        <f aca="false">MROUND(T436*'Fuel &amp; Inputs'!$C$19*'Fuel &amp; Inputs'!$C$21,100)</f>
        <v>16400</v>
      </c>
      <c r="X436" s="26" t="n">
        <f aca="false">MROUND(R436*'Fuel &amp; Inputs'!$C$20*'Fuel &amp; Inputs'!$C$22,500)</f>
        <v>198000</v>
      </c>
      <c r="Y436" s="26" t="n">
        <f aca="false">MROUND(S436*'Fuel &amp; Inputs'!$C$20*'Fuel &amp; Inputs'!$C$22,500)</f>
        <v>280500</v>
      </c>
      <c r="Z436" s="26" t="n">
        <f aca="false">MROUND(T436*'Fuel &amp; Inputs'!$C$20*'Fuel &amp; Inputs'!$C$22,500)</f>
        <v>439500</v>
      </c>
    </row>
    <row r="437" customFormat="false" ht="15" hidden="false" customHeight="false" outlineLevel="0" collapsed="false">
      <c r="A437" s="17" t="n">
        <v>409</v>
      </c>
      <c r="B437" s="32" t="s">
        <v>986</v>
      </c>
      <c r="C437" s="32" t="s">
        <v>224</v>
      </c>
      <c r="D437" s="32" t="s">
        <v>1041</v>
      </c>
      <c r="E437" s="17" t="s">
        <v>246</v>
      </c>
      <c r="F437" s="17" t="s">
        <v>1042</v>
      </c>
      <c r="G437" s="17" t="s">
        <v>223</v>
      </c>
      <c r="H437" s="17" t="s">
        <v>153</v>
      </c>
      <c r="I437" s="17" t="s">
        <v>154</v>
      </c>
      <c r="J437" s="19" t="n">
        <v>2.9</v>
      </c>
      <c r="K437" s="19" t="n">
        <v>4</v>
      </c>
      <c r="L437" s="19" t="n">
        <v>5.4</v>
      </c>
      <c r="M437" s="33" t="n">
        <v>1.119</v>
      </c>
      <c r="N437" s="20" t="n">
        <f aca="false">IF(J437=0,0,IF($I437="L/km",MROUND(J437*$M437*IF($H437="Petrol",'Fuel &amp; Inputs'!$C$5,'Fuel &amp; Inputs'!$C$4),1),MROUND(J437*$M437*IF($H437="Petrol",'Fuel &amp; Inputs'!$C$5,'Fuel &amp; Inputs'!$C$4),10)))</f>
        <v>1240</v>
      </c>
      <c r="O437" s="20" t="n">
        <f aca="false">IF(K437=0,0,IF($I437="L/km",MROUND(K437*$M437*IF($H437="Petrol",'Fuel &amp; Inputs'!$C$5,'Fuel &amp; Inputs'!$C$4),1),MROUND(K437*$M437*IF($H437="Petrol",'Fuel &amp; Inputs'!$C$5,'Fuel &amp; Inputs'!$C$4),10)))</f>
        <v>1710</v>
      </c>
      <c r="P437" s="20" t="n">
        <f aca="false">IF(L437=0,0,IF($I437="L/km",MROUND(L437*$M437*IF($H437="Petrol",'Fuel &amp; Inputs'!$C$5,'Fuel &amp; Inputs'!$C$4),1),MROUND(L437*$M437*IF($H437="Petrol",'Fuel &amp; Inputs'!$C$5,'Fuel &amp; Inputs'!$C$4),10)))</f>
        <v>2310</v>
      </c>
      <c r="Q437" s="17" t="s">
        <v>155</v>
      </c>
      <c r="R437" s="21" t="n">
        <v>2170</v>
      </c>
      <c r="S437" s="20" t="n">
        <f aca="false">MROUND(R437+'Fuel &amp; Inputs'!$C$13,50)</f>
        <v>2950</v>
      </c>
      <c r="T437" s="21" t="n">
        <v>4810</v>
      </c>
      <c r="U437" s="20" t="n">
        <f aca="false">MROUND(R437*'Fuel &amp; Inputs'!$C$19*'Fuel &amp; Inputs'!$C$21,100)</f>
        <v>8200</v>
      </c>
      <c r="V437" s="20" t="n">
        <f aca="false">MROUND(S437*'Fuel &amp; Inputs'!$C$19*'Fuel &amp; Inputs'!$C$21,100)</f>
        <v>11200</v>
      </c>
      <c r="W437" s="20" t="n">
        <f aca="false">MROUND(T437*'Fuel &amp; Inputs'!$C$19*'Fuel &amp; Inputs'!$C$21,100)</f>
        <v>18300</v>
      </c>
      <c r="X437" s="20" t="n">
        <f aca="false">MROUND(R437*'Fuel &amp; Inputs'!$C$20*'Fuel &amp; Inputs'!$C$22,500)</f>
        <v>221500</v>
      </c>
      <c r="Y437" s="20" t="n">
        <f aca="false">MROUND(S437*'Fuel &amp; Inputs'!$C$20*'Fuel &amp; Inputs'!$C$22,500)</f>
        <v>301000</v>
      </c>
      <c r="Z437" s="20" t="n">
        <f aca="false">MROUND(T437*'Fuel &amp; Inputs'!$C$20*'Fuel &amp; Inputs'!$C$22,500)</f>
        <v>490500</v>
      </c>
    </row>
    <row r="438" customFormat="false" ht="15" hidden="false" customHeight="false" outlineLevel="0" collapsed="false">
      <c r="A438" s="23" t="n">
        <v>410</v>
      </c>
      <c r="B438" s="34" t="s">
        <v>986</v>
      </c>
      <c r="C438" s="34" t="s">
        <v>224</v>
      </c>
      <c r="D438" s="34" t="s">
        <v>1043</v>
      </c>
      <c r="E438" s="23" t="s">
        <v>246</v>
      </c>
      <c r="F438" s="23" t="s">
        <v>1044</v>
      </c>
      <c r="G438" s="23" t="s">
        <v>223</v>
      </c>
      <c r="H438" s="23" t="s">
        <v>153</v>
      </c>
      <c r="I438" s="23" t="s">
        <v>154</v>
      </c>
      <c r="J438" s="25" t="n">
        <v>2.9</v>
      </c>
      <c r="K438" s="25" t="n">
        <v>4</v>
      </c>
      <c r="L438" s="25" t="n">
        <v>5.4</v>
      </c>
      <c r="M438" s="35" t="n">
        <v>1.119</v>
      </c>
      <c r="N438" s="26" t="n">
        <f aca="false">IF(J438=0,0,IF($I438="L/km",MROUND(J438*$M438*IF($H438="Petrol",'Fuel &amp; Inputs'!$C$5,'Fuel &amp; Inputs'!$C$4),1),MROUND(J438*$M438*IF($H438="Petrol",'Fuel &amp; Inputs'!$C$5,'Fuel &amp; Inputs'!$C$4),10)))</f>
        <v>1240</v>
      </c>
      <c r="O438" s="26" t="n">
        <f aca="false">IF(K438=0,0,IF($I438="L/km",MROUND(K438*$M438*IF($H438="Petrol",'Fuel &amp; Inputs'!$C$5,'Fuel &amp; Inputs'!$C$4),1),MROUND(K438*$M438*IF($H438="Petrol",'Fuel &amp; Inputs'!$C$5,'Fuel &amp; Inputs'!$C$4),10)))</f>
        <v>1710</v>
      </c>
      <c r="P438" s="26" t="n">
        <f aca="false">IF(L438=0,0,IF($I438="L/km",MROUND(L438*$M438*IF($H438="Petrol",'Fuel &amp; Inputs'!$C$5,'Fuel &amp; Inputs'!$C$4),1),MROUND(L438*$M438*IF($H438="Petrol",'Fuel &amp; Inputs'!$C$5,'Fuel &amp; Inputs'!$C$4),10)))</f>
        <v>2310</v>
      </c>
      <c r="Q438" s="23" t="s">
        <v>155</v>
      </c>
      <c r="R438" s="27" t="n">
        <v>1700</v>
      </c>
      <c r="S438" s="26" t="n">
        <f aca="false">MROUND(R438+'Fuel &amp; Inputs'!$C$13,50)</f>
        <v>2500</v>
      </c>
      <c r="T438" s="27" t="n">
        <v>3780</v>
      </c>
      <c r="U438" s="26" t="n">
        <f aca="false">MROUND(R438*'Fuel &amp; Inputs'!$C$19*'Fuel &amp; Inputs'!$C$21,100)</f>
        <v>6500</v>
      </c>
      <c r="V438" s="26" t="n">
        <f aca="false">MROUND(S438*'Fuel &amp; Inputs'!$C$19*'Fuel &amp; Inputs'!$C$21,100)</f>
        <v>9500</v>
      </c>
      <c r="W438" s="26" t="n">
        <f aca="false">MROUND(T438*'Fuel &amp; Inputs'!$C$19*'Fuel &amp; Inputs'!$C$21,100)</f>
        <v>14400</v>
      </c>
      <c r="X438" s="26" t="n">
        <f aca="false">MROUND(R438*'Fuel &amp; Inputs'!$C$20*'Fuel &amp; Inputs'!$C$22,500)</f>
        <v>173500</v>
      </c>
      <c r="Y438" s="26" t="n">
        <f aca="false">MROUND(S438*'Fuel &amp; Inputs'!$C$20*'Fuel &amp; Inputs'!$C$22,500)</f>
        <v>255000</v>
      </c>
      <c r="Z438" s="26" t="n">
        <f aca="false">MROUND(T438*'Fuel &amp; Inputs'!$C$20*'Fuel &amp; Inputs'!$C$22,500)</f>
        <v>385500</v>
      </c>
    </row>
    <row r="439" customFormat="false" ht="15" hidden="false" customHeight="false" outlineLevel="0" collapsed="false">
      <c r="A439" s="17" t="n">
        <v>411</v>
      </c>
      <c r="B439" s="32" t="s">
        <v>986</v>
      </c>
      <c r="C439" s="32" t="s">
        <v>224</v>
      </c>
      <c r="D439" s="32" t="s">
        <v>1045</v>
      </c>
      <c r="E439" s="17" t="s">
        <v>246</v>
      </c>
      <c r="F439" s="17" t="s">
        <v>1046</v>
      </c>
      <c r="G439" s="17" t="s">
        <v>223</v>
      </c>
      <c r="H439" s="17" t="s">
        <v>153</v>
      </c>
      <c r="I439" s="17" t="s">
        <v>154</v>
      </c>
      <c r="J439" s="19" t="n">
        <v>2.9</v>
      </c>
      <c r="K439" s="19" t="n">
        <v>4</v>
      </c>
      <c r="L439" s="19" t="n">
        <v>5.4</v>
      </c>
      <c r="M439" s="33" t="n">
        <v>1.119</v>
      </c>
      <c r="N439" s="20" t="n">
        <f aca="false">IF(J439=0,0,IF($I439="L/km",MROUND(J439*$M439*IF($H439="Petrol",'Fuel &amp; Inputs'!$C$5,'Fuel &amp; Inputs'!$C$4),1),MROUND(J439*$M439*IF($H439="Petrol",'Fuel &amp; Inputs'!$C$5,'Fuel &amp; Inputs'!$C$4),10)))</f>
        <v>1240</v>
      </c>
      <c r="O439" s="20" t="n">
        <f aca="false">IF(K439=0,0,IF($I439="L/km",MROUND(K439*$M439*IF($H439="Petrol",'Fuel &amp; Inputs'!$C$5,'Fuel &amp; Inputs'!$C$4),1),MROUND(K439*$M439*IF($H439="Petrol",'Fuel &amp; Inputs'!$C$5,'Fuel &amp; Inputs'!$C$4),10)))</f>
        <v>1710</v>
      </c>
      <c r="P439" s="20" t="n">
        <f aca="false">IF(L439=0,0,IF($I439="L/km",MROUND(L439*$M439*IF($H439="Petrol",'Fuel &amp; Inputs'!$C$5,'Fuel &amp; Inputs'!$C$4),1),MROUND(L439*$M439*IF($H439="Petrol",'Fuel &amp; Inputs'!$C$5,'Fuel &amp; Inputs'!$C$4),10)))</f>
        <v>2310</v>
      </c>
      <c r="Q439" s="17" t="s">
        <v>155</v>
      </c>
      <c r="R439" s="21" t="n">
        <v>1700</v>
      </c>
      <c r="S439" s="20" t="n">
        <f aca="false">MROUND(R439+'Fuel &amp; Inputs'!$C$13,50)</f>
        <v>2500</v>
      </c>
      <c r="T439" s="21" t="n">
        <v>3780</v>
      </c>
      <c r="U439" s="20" t="n">
        <f aca="false">MROUND(R439*'Fuel &amp; Inputs'!$C$19*'Fuel &amp; Inputs'!$C$21,100)</f>
        <v>6500</v>
      </c>
      <c r="V439" s="20" t="n">
        <f aca="false">MROUND(S439*'Fuel &amp; Inputs'!$C$19*'Fuel &amp; Inputs'!$C$21,100)</f>
        <v>9500</v>
      </c>
      <c r="W439" s="20" t="n">
        <f aca="false">MROUND(T439*'Fuel &amp; Inputs'!$C$19*'Fuel &amp; Inputs'!$C$21,100)</f>
        <v>14400</v>
      </c>
      <c r="X439" s="20" t="n">
        <f aca="false">MROUND(R439*'Fuel &amp; Inputs'!$C$20*'Fuel &amp; Inputs'!$C$22,500)</f>
        <v>173500</v>
      </c>
      <c r="Y439" s="20" t="n">
        <f aca="false">MROUND(S439*'Fuel &amp; Inputs'!$C$20*'Fuel &amp; Inputs'!$C$22,500)</f>
        <v>255000</v>
      </c>
      <c r="Z439" s="20" t="n">
        <f aca="false">MROUND(T439*'Fuel &amp; Inputs'!$C$20*'Fuel &amp; Inputs'!$C$22,500)</f>
        <v>385500</v>
      </c>
    </row>
    <row r="440" customFormat="false" ht="15" hidden="false" customHeight="false" outlineLevel="0" collapsed="false">
      <c r="A440" s="23" t="n">
        <v>412</v>
      </c>
      <c r="B440" s="34" t="s">
        <v>986</v>
      </c>
      <c r="C440" s="34" t="s">
        <v>224</v>
      </c>
      <c r="D440" s="34" t="s">
        <v>1047</v>
      </c>
      <c r="E440" s="23" t="s">
        <v>246</v>
      </c>
      <c r="F440" s="23" t="s">
        <v>1048</v>
      </c>
      <c r="G440" s="23" t="s">
        <v>223</v>
      </c>
      <c r="H440" s="23" t="s">
        <v>153</v>
      </c>
      <c r="I440" s="23" t="s">
        <v>154</v>
      </c>
      <c r="J440" s="25" t="n">
        <v>7.2</v>
      </c>
      <c r="K440" s="25" t="n">
        <v>10</v>
      </c>
      <c r="L440" s="25" t="n">
        <v>13.5</v>
      </c>
      <c r="M440" s="35" t="n">
        <v>1.119</v>
      </c>
      <c r="N440" s="26" t="n">
        <f aca="false">IF(J440=0,0,IF($I440="L/km",MROUND(J440*$M440*IF($H440="Petrol",'Fuel &amp; Inputs'!$C$5,'Fuel &amp; Inputs'!$C$4),1),MROUND(J440*$M440*IF($H440="Petrol",'Fuel &amp; Inputs'!$C$5,'Fuel &amp; Inputs'!$C$4),10)))</f>
        <v>3080</v>
      </c>
      <c r="O440" s="26" t="n">
        <f aca="false">IF(K440=0,0,IF($I440="L/km",MROUND(K440*$M440*IF($H440="Petrol",'Fuel &amp; Inputs'!$C$5,'Fuel &amp; Inputs'!$C$4),1),MROUND(K440*$M440*IF($H440="Petrol",'Fuel &amp; Inputs'!$C$5,'Fuel &amp; Inputs'!$C$4),10)))</f>
        <v>4270</v>
      </c>
      <c r="P440" s="26" t="n">
        <f aca="false">IF(L440=0,0,IF($I440="L/km",MROUND(L440*$M440*IF($H440="Petrol",'Fuel &amp; Inputs'!$C$5,'Fuel &amp; Inputs'!$C$4),1),MROUND(L440*$M440*IF($H440="Petrol",'Fuel &amp; Inputs'!$C$5,'Fuel &amp; Inputs'!$C$4),10)))</f>
        <v>5770</v>
      </c>
      <c r="Q440" s="23" t="s">
        <v>155</v>
      </c>
      <c r="R440" s="27" t="n">
        <v>3100</v>
      </c>
      <c r="S440" s="26" t="n">
        <f aca="false">MROUND(R440+'Fuel &amp; Inputs'!$C$13,50)</f>
        <v>3900</v>
      </c>
      <c r="T440" s="27" t="n">
        <v>6880</v>
      </c>
      <c r="U440" s="26" t="n">
        <f aca="false">MROUND(R440*'Fuel &amp; Inputs'!$C$19*'Fuel &amp; Inputs'!$C$21,100)</f>
        <v>11800</v>
      </c>
      <c r="V440" s="26" t="n">
        <f aca="false">MROUND(S440*'Fuel &amp; Inputs'!$C$19*'Fuel &amp; Inputs'!$C$21,100)</f>
        <v>14800</v>
      </c>
      <c r="W440" s="26" t="n">
        <f aca="false">MROUND(T440*'Fuel &amp; Inputs'!$C$19*'Fuel &amp; Inputs'!$C$21,100)</f>
        <v>26100</v>
      </c>
      <c r="X440" s="26" t="n">
        <f aca="false">MROUND(R440*'Fuel &amp; Inputs'!$C$20*'Fuel &amp; Inputs'!$C$22,500)</f>
        <v>316000</v>
      </c>
      <c r="Y440" s="26" t="n">
        <f aca="false">MROUND(S440*'Fuel &amp; Inputs'!$C$20*'Fuel &amp; Inputs'!$C$22,500)</f>
        <v>398000</v>
      </c>
      <c r="Z440" s="26" t="n">
        <f aca="false">MROUND(T440*'Fuel &amp; Inputs'!$C$20*'Fuel &amp; Inputs'!$C$22,500)</f>
        <v>702000</v>
      </c>
    </row>
    <row r="441" customFormat="false" ht="15" hidden="false" customHeight="false" outlineLevel="0" collapsed="false">
      <c r="A441" s="17" t="n">
        <v>413</v>
      </c>
      <c r="B441" s="32" t="s">
        <v>986</v>
      </c>
      <c r="C441" s="32" t="s">
        <v>224</v>
      </c>
      <c r="D441" s="32" t="s">
        <v>1049</v>
      </c>
      <c r="E441" s="17" t="s">
        <v>246</v>
      </c>
      <c r="F441" s="17" t="s">
        <v>1050</v>
      </c>
      <c r="G441" s="17" t="s">
        <v>223</v>
      </c>
      <c r="H441" s="17" t="s">
        <v>153</v>
      </c>
      <c r="I441" s="17" t="s">
        <v>154</v>
      </c>
      <c r="J441" s="19" t="n">
        <v>2.9</v>
      </c>
      <c r="K441" s="19" t="n">
        <v>4</v>
      </c>
      <c r="L441" s="19" t="n">
        <v>5.4</v>
      </c>
      <c r="M441" s="33" t="n">
        <v>1.119</v>
      </c>
      <c r="N441" s="20" t="n">
        <f aca="false">IF(J441=0,0,IF($I441="L/km",MROUND(J441*$M441*IF($H441="Petrol",'Fuel &amp; Inputs'!$C$5,'Fuel &amp; Inputs'!$C$4),1),MROUND(J441*$M441*IF($H441="Petrol",'Fuel &amp; Inputs'!$C$5,'Fuel &amp; Inputs'!$C$4),10)))</f>
        <v>1240</v>
      </c>
      <c r="O441" s="20" t="n">
        <f aca="false">IF(K441=0,0,IF($I441="L/km",MROUND(K441*$M441*IF($H441="Petrol",'Fuel &amp; Inputs'!$C$5,'Fuel &amp; Inputs'!$C$4),1),MROUND(K441*$M441*IF($H441="Petrol",'Fuel &amp; Inputs'!$C$5,'Fuel &amp; Inputs'!$C$4),10)))</f>
        <v>1710</v>
      </c>
      <c r="P441" s="20" t="n">
        <f aca="false">IF(L441=0,0,IF($I441="L/km",MROUND(L441*$M441*IF($H441="Petrol",'Fuel &amp; Inputs'!$C$5,'Fuel &amp; Inputs'!$C$4),1),MROUND(L441*$M441*IF($H441="Petrol",'Fuel &amp; Inputs'!$C$5,'Fuel &amp; Inputs'!$C$4),10)))</f>
        <v>2310</v>
      </c>
      <c r="Q441" s="17" t="s">
        <v>155</v>
      </c>
      <c r="R441" s="21" t="n">
        <v>1700</v>
      </c>
      <c r="S441" s="20" t="n">
        <f aca="false">MROUND(R441+'Fuel &amp; Inputs'!$C$13,50)</f>
        <v>2500</v>
      </c>
      <c r="T441" s="21" t="n">
        <v>3780</v>
      </c>
      <c r="U441" s="20" t="n">
        <f aca="false">MROUND(R441*'Fuel &amp; Inputs'!$C$19*'Fuel &amp; Inputs'!$C$21,100)</f>
        <v>6500</v>
      </c>
      <c r="V441" s="20" t="n">
        <f aca="false">MROUND(S441*'Fuel &amp; Inputs'!$C$19*'Fuel &amp; Inputs'!$C$21,100)</f>
        <v>9500</v>
      </c>
      <c r="W441" s="20" t="n">
        <f aca="false">MROUND(T441*'Fuel &amp; Inputs'!$C$19*'Fuel &amp; Inputs'!$C$21,100)</f>
        <v>14400</v>
      </c>
      <c r="X441" s="20" t="n">
        <f aca="false">MROUND(R441*'Fuel &amp; Inputs'!$C$20*'Fuel &amp; Inputs'!$C$22,500)</f>
        <v>173500</v>
      </c>
      <c r="Y441" s="20" t="n">
        <f aca="false">MROUND(S441*'Fuel &amp; Inputs'!$C$20*'Fuel &amp; Inputs'!$C$22,500)</f>
        <v>255000</v>
      </c>
      <c r="Z441" s="20" t="n">
        <f aca="false">MROUND(T441*'Fuel &amp; Inputs'!$C$20*'Fuel &amp; Inputs'!$C$22,500)</f>
        <v>385500</v>
      </c>
    </row>
    <row r="442" customFormat="false" ht="15" hidden="false" customHeight="false" outlineLevel="0" collapsed="false">
      <c r="A442" s="23" t="n">
        <v>414</v>
      </c>
      <c r="B442" s="34" t="s">
        <v>986</v>
      </c>
      <c r="C442" s="34" t="s">
        <v>330</v>
      </c>
      <c r="D442" s="34" t="s">
        <v>223</v>
      </c>
      <c r="E442" s="23" t="s">
        <v>223</v>
      </c>
      <c r="F442" s="23" t="s">
        <v>1051</v>
      </c>
      <c r="G442" s="23" t="s">
        <v>223</v>
      </c>
      <c r="H442" s="23" t="s">
        <v>153</v>
      </c>
      <c r="I442" s="23" t="s">
        <v>154</v>
      </c>
      <c r="J442" s="25" t="n">
        <v>11.5</v>
      </c>
      <c r="K442" s="25" t="n">
        <v>16</v>
      </c>
      <c r="L442" s="25" t="n">
        <v>21.6</v>
      </c>
      <c r="M442" s="35" t="n">
        <v>1</v>
      </c>
      <c r="N442" s="26" t="n">
        <f aca="false">IF(J442=0,0,IF($I442="L/km",MROUND(J442*$M442*IF($H442="Petrol",'Fuel &amp; Inputs'!$C$5,'Fuel &amp; Inputs'!$C$4),1),MROUND(J442*$M442*IF($H442="Petrol",'Fuel &amp; Inputs'!$C$5,'Fuel &amp; Inputs'!$C$4),10)))</f>
        <v>4390</v>
      </c>
      <c r="O442" s="26" t="n">
        <f aca="false">IF(K442=0,0,IF($I442="L/km",MROUND(K442*$M442*IF($H442="Petrol",'Fuel &amp; Inputs'!$C$5,'Fuel &amp; Inputs'!$C$4),1),MROUND(K442*$M442*IF($H442="Petrol",'Fuel &amp; Inputs'!$C$5,'Fuel &amp; Inputs'!$C$4),10)))</f>
        <v>6110</v>
      </c>
      <c r="P442" s="26" t="n">
        <f aca="false">IF(L442=0,0,IF($I442="L/km",MROUND(L442*$M442*IF($H442="Petrol",'Fuel &amp; Inputs'!$C$5,'Fuel &amp; Inputs'!$C$4),1),MROUND(L442*$M442*IF($H442="Petrol",'Fuel &amp; Inputs'!$C$5,'Fuel &amp; Inputs'!$C$4),10)))</f>
        <v>8250</v>
      </c>
      <c r="Q442" s="23" t="s">
        <v>155</v>
      </c>
      <c r="R442" s="27" t="n">
        <v>2490</v>
      </c>
      <c r="S442" s="26" t="n">
        <f aca="false">MROUND(R442+'Fuel &amp; Inputs'!$C$13,50)</f>
        <v>3300</v>
      </c>
      <c r="T442" s="27" t="n">
        <v>5540</v>
      </c>
      <c r="U442" s="26" t="n">
        <f aca="false">MROUND(R442*'Fuel &amp; Inputs'!$C$19*'Fuel &amp; Inputs'!$C$21,100)</f>
        <v>9500</v>
      </c>
      <c r="V442" s="26" t="n">
        <f aca="false">MROUND(S442*'Fuel &amp; Inputs'!$C$19*'Fuel &amp; Inputs'!$C$21,100)</f>
        <v>12500</v>
      </c>
      <c r="W442" s="26" t="n">
        <f aca="false">MROUND(T442*'Fuel &amp; Inputs'!$C$19*'Fuel &amp; Inputs'!$C$21,100)</f>
        <v>21100</v>
      </c>
      <c r="X442" s="26" t="n">
        <f aca="false">MROUND(R442*'Fuel &amp; Inputs'!$C$20*'Fuel &amp; Inputs'!$C$22,500)</f>
        <v>254000</v>
      </c>
      <c r="Y442" s="26" t="n">
        <f aca="false">MROUND(S442*'Fuel &amp; Inputs'!$C$20*'Fuel &amp; Inputs'!$C$22,500)</f>
        <v>336500</v>
      </c>
      <c r="Z442" s="26" t="n">
        <f aca="false">MROUND(T442*'Fuel &amp; Inputs'!$C$20*'Fuel &amp; Inputs'!$C$22,500)</f>
        <v>565000</v>
      </c>
    </row>
    <row r="443" customFormat="false" ht="15" hidden="false" customHeight="false" outlineLevel="0" collapsed="false">
      <c r="A443" s="17" t="n">
        <v>415</v>
      </c>
      <c r="B443" s="32" t="s">
        <v>986</v>
      </c>
      <c r="C443" s="32" t="s">
        <v>992</v>
      </c>
      <c r="D443" s="32" t="s">
        <v>1052</v>
      </c>
      <c r="E443" s="17" t="s">
        <v>223</v>
      </c>
      <c r="F443" s="17" t="s">
        <v>1053</v>
      </c>
      <c r="G443" s="17" t="s">
        <v>223</v>
      </c>
      <c r="H443" s="17" t="s">
        <v>153</v>
      </c>
      <c r="I443" s="17" t="s">
        <v>154</v>
      </c>
      <c r="J443" s="19" t="n">
        <v>15.8</v>
      </c>
      <c r="K443" s="19" t="n">
        <v>22</v>
      </c>
      <c r="L443" s="19" t="n">
        <v>29.7</v>
      </c>
      <c r="M443" s="33" t="n">
        <v>1</v>
      </c>
      <c r="N443" s="20" t="n">
        <f aca="false">IF(J443=0,0,IF($I443="L/km",MROUND(J443*$M443*IF($H443="Petrol",'Fuel &amp; Inputs'!$C$5,'Fuel &amp; Inputs'!$C$4),1),MROUND(J443*$M443*IF($H443="Petrol",'Fuel &amp; Inputs'!$C$5,'Fuel &amp; Inputs'!$C$4),10)))</f>
        <v>6040</v>
      </c>
      <c r="O443" s="20" t="n">
        <f aca="false">IF(K443=0,0,IF($I443="L/km",MROUND(K443*$M443*IF($H443="Petrol",'Fuel &amp; Inputs'!$C$5,'Fuel &amp; Inputs'!$C$4),1),MROUND(K443*$M443*IF($H443="Petrol",'Fuel &amp; Inputs'!$C$5,'Fuel &amp; Inputs'!$C$4),10)))</f>
        <v>8400</v>
      </c>
      <c r="P443" s="20" t="n">
        <f aca="false">IF(L443=0,0,IF($I443="L/km",MROUND(L443*$M443*IF($H443="Petrol",'Fuel &amp; Inputs'!$C$5,'Fuel &amp; Inputs'!$C$4),1),MROUND(L443*$M443*IF($H443="Petrol",'Fuel &amp; Inputs'!$C$5,'Fuel &amp; Inputs'!$C$4),10)))</f>
        <v>11350</v>
      </c>
      <c r="Q443" s="17" t="s">
        <v>155</v>
      </c>
      <c r="R443" s="21" t="n">
        <v>3240</v>
      </c>
      <c r="S443" s="20" t="n">
        <f aca="false">MROUND(R443+'Fuel &amp; Inputs'!$C$13,50)</f>
        <v>4050</v>
      </c>
      <c r="T443" s="21" t="n">
        <v>7200</v>
      </c>
      <c r="U443" s="20" t="n">
        <f aca="false">MROUND(R443*'Fuel &amp; Inputs'!$C$19*'Fuel &amp; Inputs'!$C$21,100)</f>
        <v>12300</v>
      </c>
      <c r="V443" s="20" t="n">
        <f aca="false">MROUND(S443*'Fuel &amp; Inputs'!$C$19*'Fuel &amp; Inputs'!$C$21,100)</f>
        <v>15400</v>
      </c>
      <c r="W443" s="20" t="n">
        <f aca="false">MROUND(T443*'Fuel &amp; Inputs'!$C$19*'Fuel &amp; Inputs'!$C$21,100)</f>
        <v>27400</v>
      </c>
      <c r="X443" s="20" t="n">
        <f aca="false">MROUND(R443*'Fuel &amp; Inputs'!$C$20*'Fuel &amp; Inputs'!$C$22,500)</f>
        <v>330500</v>
      </c>
      <c r="Y443" s="20" t="n">
        <f aca="false">MROUND(S443*'Fuel &amp; Inputs'!$C$20*'Fuel &amp; Inputs'!$C$22,500)</f>
        <v>413000</v>
      </c>
      <c r="Z443" s="20" t="n">
        <f aca="false">MROUND(T443*'Fuel &amp; Inputs'!$C$20*'Fuel &amp; Inputs'!$C$22,500)</f>
        <v>734500</v>
      </c>
    </row>
    <row r="444" customFormat="false" ht="15" hidden="false" customHeight="false" outlineLevel="0" collapsed="false">
      <c r="A444" s="23" t="n">
        <v>416</v>
      </c>
      <c r="B444" s="34" t="s">
        <v>986</v>
      </c>
      <c r="C444" s="34" t="s">
        <v>992</v>
      </c>
      <c r="D444" s="34" t="s">
        <v>993</v>
      </c>
      <c r="E444" s="23" t="s">
        <v>223</v>
      </c>
      <c r="F444" s="23" t="s">
        <v>1054</v>
      </c>
      <c r="G444" s="23" t="s">
        <v>223</v>
      </c>
      <c r="H444" s="23" t="s">
        <v>153</v>
      </c>
      <c r="I444" s="23" t="s">
        <v>154</v>
      </c>
      <c r="J444" s="25" t="n">
        <v>2.9</v>
      </c>
      <c r="K444" s="25" t="n">
        <v>4</v>
      </c>
      <c r="L444" s="25" t="n">
        <v>5.4</v>
      </c>
      <c r="M444" s="35" t="n">
        <v>1</v>
      </c>
      <c r="N444" s="26" t="n">
        <f aca="false">IF(J444=0,0,IF($I444="L/km",MROUND(J444*$M444*IF($H444="Petrol",'Fuel &amp; Inputs'!$C$5,'Fuel &amp; Inputs'!$C$4),1),MROUND(J444*$M444*IF($H444="Petrol",'Fuel &amp; Inputs'!$C$5,'Fuel &amp; Inputs'!$C$4),10)))</f>
        <v>1110</v>
      </c>
      <c r="O444" s="26" t="n">
        <f aca="false">IF(K444=0,0,IF($I444="L/km",MROUND(K444*$M444*IF($H444="Petrol",'Fuel &amp; Inputs'!$C$5,'Fuel &amp; Inputs'!$C$4),1),MROUND(K444*$M444*IF($H444="Petrol",'Fuel &amp; Inputs'!$C$5,'Fuel &amp; Inputs'!$C$4),10)))</f>
        <v>1530</v>
      </c>
      <c r="P444" s="26" t="n">
        <f aca="false">IF(L444=0,0,IF($I444="L/km",MROUND(L444*$M444*IF($H444="Petrol",'Fuel &amp; Inputs'!$C$5,'Fuel &amp; Inputs'!$C$4),1),MROUND(L444*$M444*IF($H444="Petrol",'Fuel &amp; Inputs'!$C$5,'Fuel &amp; Inputs'!$C$4),10)))</f>
        <v>2060</v>
      </c>
      <c r="Q444" s="23" t="s">
        <v>155</v>
      </c>
      <c r="R444" s="27" t="n">
        <v>1620</v>
      </c>
      <c r="S444" s="26" t="n">
        <f aca="false">MROUND(R444+'Fuel &amp; Inputs'!$C$13,50)</f>
        <v>2400</v>
      </c>
      <c r="T444" s="27" t="n">
        <v>3600</v>
      </c>
      <c r="U444" s="26" t="n">
        <f aca="false">MROUND(R444*'Fuel &amp; Inputs'!$C$19*'Fuel &amp; Inputs'!$C$21,100)</f>
        <v>6200</v>
      </c>
      <c r="V444" s="26" t="n">
        <f aca="false">MROUND(S444*'Fuel &amp; Inputs'!$C$19*'Fuel &amp; Inputs'!$C$21,100)</f>
        <v>9100</v>
      </c>
      <c r="W444" s="26" t="n">
        <f aca="false">MROUND(T444*'Fuel &amp; Inputs'!$C$19*'Fuel &amp; Inputs'!$C$21,100)</f>
        <v>13700</v>
      </c>
      <c r="X444" s="26" t="n">
        <f aca="false">MROUND(R444*'Fuel &amp; Inputs'!$C$20*'Fuel &amp; Inputs'!$C$22,500)</f>
        <v>165000</v>
      </c>
      <c r="Y444" s="26" t="n">
        <f aca="false">MROUND(S444*'Fuel &amp; Inputs'!$C$20*'Fuel &amp; Inputs'!$C$22,500)</f>
        <v>245000</v>
      </c>
      <c r="Z444" s="26" t="n">
        <f aca="false">MROUND(T444*'Fuel &amp; Inputs'!$C$20*'Fuel &amp; Inputs'!$C$22,500)</f>
        <v>367000</v>
      </c>
    </row>
    <row r="445" customFormat="false" ht="15" hidden="false" customHeight="false" outlineLevel="0" collapsed="false">
      <c r="A445" s="17" t="n">
        <v>417</v>
      </c>
      <c r="B445" s="32" t="s">
        <v>986</v>
      </c>
      <c r="C445" s="32" t="s">
        <v>992</v>
      </c>
      <c r="D445" s="32" t="s">
        <v>1055</v>
      </c>
      <c r="E445" s="17" t="s">
        <v>223</v>
      </c>
      <c r="F445" s="17" t="s">
        <v>1056</v>
      </c>
      <c r="G445" s="17" t="s">
        <v>223</v>
      </c>
      <c r="H445" s="17" t="s">
        <v>153</v>
      </c>
      <c r="I445" s="17" t="s">
        <v>154</v>
      </c>
      <c r="J445" s="19" t="n">
        <v>11.5</v>
      </c>
      <c r="K445" s="19" t="n">
        <v>16</v>
      </c>
      <c r="L445" s="19" t="n">
        <v>21.6</v>
      </c>
      <c r="M445" s="33" t="n">
        <v>1</v>
      </c>
      <c r="N445" s="20" t="n">
        <f aca="false">IF(J445=0,0,IF($I445="L/km",MROUND(J445*$M445*IF($H445="Petrol",'Fuel &amp; Inputs'!$C$5,'Fuel &amp; Inputs'!$C$4),1),MROUND(J445*$M445*IF($H445="Petrol",'Fuel &amp; Inputs'!$C$5,'Fuel &amp; Inputs'!$C$4),10)))</f>
        <v>4390</v>
      </c>
      <c r="O445" s="20" t="n">
        <f aca="false">IF(K445=0,0,IF($I445="L/km",MROUND(K445*$M445*IF($H445="Petrol",'Fuel &amp; Inputs'!$C$5,'Fuel &amp; Inputs'!$C$4),1),MROUND(K445*$M445*IF($H445="Petrol",'Fuel &amp; Inputs'!$C$5,'Fuel &amp; Inputs'!$C$4),10)))</f>
        <v>6110</v>
      </c>
      <c r="P445" s="20" t="n">
        <f aca="false">IF(L445=0,0,IF($I445="L/km",MROUND(L445*$M445*IF($H445="Petrol",'Fuel &amp; Inputs'!$C$5,'Fuel &amp; Inputs'!$C$4),1),MROUND(L445*$M445*IF($H445="Petrol",'Fuel &amp; Inputs'!$C$5,'Fuel &amp; Inputs'!$C$4),10)))</f>
        <v>8250</v>
      </c>
      <c r="Q445" s="17" t="s">
        <v>155</v>
      </c>
      <c r="R445" s="21" t="n">
        <v>2740</v>
      </c>
      <c r="S445" s="20" t="n">
        <f aca="false">MROUND(R445+'Fuel &amp; Inputs'!$C$13,50)</f>
        <v>3550</v>
      </c>
      <c r="T445" s="21" t="n">
        <v>6090</v>
      </c>
      <c r="U445" s="20" t="n">
        <f aca="false">MROUND(R445*'Fuel &amp; Inputs'!$C$19*'Fuel &amp; Inputs'!$C$21,100)</f>
        <v>10400</v>
      </c>
      <c r="V445" s="20" t="n">
        <f aca="false">MROUND(S445*'Fuel &amp; Inputs'!$C$19*'Fuel &amp; Inputs'!$C$21,100)</f>
        <v>13500</v>
      </c>
      <c r="W445" s="20" t="n">
        <f aca="false">MROUND(T445*'Fuel &amp; Inputs'!$C$19*'Fuel &amp; Inputs'!$C$21,100)</f>
        <v>23100</v>
      </c>
      <c r="X445" s="20" t="n">
        <f aca="false">MROUND(R445*'Fuel &amp; Inputs'!$C$20*'Fuel &amp; Inputs'!$C$22,500)</f>
        <v>279500</v>
      </c>
      <c r="Y445" s="20" t="n">
        <f aca="false">MROUND(S445*'Fuel &amp; Inputs'!$C$20*'Fuel &amp; Inputs'!$C$22,500)</f>
        <v>362000</v>
      </c>
      <c r="Z445" s="20" t="n">
        <f aca="false">MROUND(T445*'Fuel &amp; Inputs'!$C$20*'Fuel &amp; Inputs'!$C$22,500)</f>
        <v>621000</v>
      </c>
    </row>
    <row r="446" customFormat="false" ht="15" hidden="false" customHeight="false" outlineLevel="0" collapsed="false">
      <c r="A446" s="23" t="n">
        <v>418</v>
      </c>
      <c r="B446" s="34" t="s">
        <v>986</v>
      </c>
      <c r="C446" s="34" t="s">
        <v>992</v>
      </c>
      <c r="D446" s="34" t="s">
        <v>1057</v>
      </c>
      <c r="E446" s="23" t="s">
        <v>223</v>
      </c>
      <c r="F446" s="23" t="s">
        <v>1058</v>
      </c>
      <c r="G446" s="23" t="s">
        <v>223</v>
      </c>
      <c r="H446" s="23" t="s">
        <v>153</v>
      </c>
      <c r="I446" s="23" t="s">
        <v>154</v>
      </c>
      <c r="J446" s="25" t="n">
        <v>15.8</v>
      </c>
      <c r="K446" s="25" t="n">
        <v>22</v>
      </c>
      <c r="L446" s="25" t="n">
        <v>29.7</v>
      </c>
      <c r="M446" s="35" t="n">
        <v>1</v>
      </c>
      <c r="N446" s="26" t="n">
        <f aca="false">IF(J446=0,0,IF($I446="L/km",MROUND(J446*$M446*IF($H446="Petrol",'Fuel &amp; Inputs'!$C$5,'Fuel &amp; Inputs'!$C$4),1),MROUND(J446*$M446*IF($H446="Petrol",'Fuel &amp; Inputs'!$C$5,'Fuel &amp; Inputs'!$C$4),10)))</f>
        <v>6040</v>
      </c>
      <c r="O446" s="26" t="n">
        <f aca="false">IF(K446=0,0,IF($I446="L/km",MROUND(K446*$M446*IF($H446="Petrol",'Fuel &amp; Inputs'!$C$5,'Fuel &amp; Inputs'!$C$4),1),MROUND(K446*$M446*IF($H446="Petrol",'Fuel &amp; Inputs'!$C$5,'Fuel &amp; Inputs'!$C$4),10)))</f>
        <v>8400</v>
      </c>
      <c r="P446" s="26" t="n">
        <f aca="false">IF(L446=0,0,IF($I446="L/km",MROUND(L446*$M446*IF($H446="Petrol",'Fuel &amp; Inputs'!$C$5,'Fuel &amp; Inputs'!$C$4),1),MROUND(L446*$M446*IF($H446="Petrol",'Fuel &amp; Inputs'!$C$5,'Fuel &amp; Inputs'!$C$4),10)))</f>
        <v>11350</v>
      </c>
      <c r="Q446" s="23" t="s">
        <v>155</v>
      </c>
      <c r="R446" s="27" t="n">
        <v>3240</v>
      </c>
      <c r="S446" s="26" t="n">
        <f aca="false">MROUND(R446+'Fuel &amp; Inputs'!$C$13,50)</f>
        <v>4050</v>
      </c>
      <c r="T446" s="27" t="n">
        <v>7200</v>
      </c>
      <c r="U446" s="26" t="n">
        <f aca="false">MROUND(R446*'Fuel &amp; Inputs'!$C$19*'Fuel &amp; Inputs'!$C$21,100)</f>
        <v>12300</v>
      </c>
      <c r="V446" s="26" t="n">
        <f aca="false">MROUND(S446*'Fuel &amp; Inputs'!$C$19*'Fuel &amp; Inputs'!$C$21,100)</f>
        <v>15400</v>
      </c>
      <c r="W446" s="26" t="n">
        <f aca="false">MROUND(T446*'Fuel &amp; Inputs'!$C$19*'Fuel &amp; Inputs'!$C$21,100)</f>
        <v>27400</v>
      </c>
      <c r="X446" s="26" t="n">
        <f aca="false">MROUND(R446*'Fuel &amp; Inputs'!$C$20*'Fuel &amp; Inputs'!$C$22,500)</f>
        <v>330500</v>
      </c>
      <c r="Y446" s="26" t="n">
        <f aca="false">MROUND(S446*'Fuel &amp; Inputs'!$C$20*'Fuel &amp; Inputs'!$C$22,500)</f>
        <v>413000</v>
      </c>
      <c r="Z446" s="26" t="n">
        <f aca="false">MROUND(T446*'Fuel &amp; Inputs'!$C$20*'Fuel &amp; Inputs'!$C$22,500)</f>
        <v>734500</v>
      </c>
    </row>
    <row r="447" customFormat="false" ht="15" hidden="false" customHeight="false" outlineLevel="0" collapsed="false">
      <c r="A447" s="17" t="n">
        <v>419</v>
      </c>
      <c r="B447" s="32" t="s">
        <v>986</v>
      </c>
      <c r="C447" s="32" t="s">
        <v>992</v>
      </c>
      <c r="D447" s="32" t="s">
        <v>1059</v>
      </c>
      <c r="E447" s="17" t="s">
        <v>223</v>
      </c>
      <c r="F447" s="17" t="s">
        <v>1060</v>
      </c>
      <c r="G447" s="17" t="s">
        <v>223</v>
      </c>
      <c r="H447" s="17" t="s">
        <v>153</v>
      </c>
      <c r="I447" s="17" t="s">
        <v>154</v>
      </c>
      <c r="J447" s="19" t="n">
        <v>11.5</v>
      </c>
      <c r="K447" s="19" t="n">
        <v>16</v>
      </c>
      <c r="L447" s="19" t="n">
        <v>21.6</v>
      </c>
      <c r="M447" s="33" t="n">
        <v>1</v>
      </c>
      <c r="N447" s="20" t="n">
        <f aca="false">IF(J447=0,0,IF($I447="L/km",MROUND(J447*$M447*IF($H447="Petrol",'Fuel &amp; Inputs'!$C$5,'Fuel &amp; Inputs'!$C$4),1),MROUND(J447*$M447*IF($H447="Petrol",'Fuel &amp; Inputs'!$C$5,'Fuel &amp; Inputs'!$C$4),10)))</f>
        <v>4390</v>
      </c>
      <c r="O447" s="20" t="n">
        <f aca="false">IF(K447=0,0,IF($I447="L/km",MROUND(K447*$M447*IF($H447="Petrol",'Fuel &amp; Inputs'!$C$5,'Fuel &amp; Inputs'!$C$4),1),MROUND(K447*$M447*IF($H447="Petrol",'Fuel &amp; Inputs'!$C$5,'Fuel &amp; Inputs'!$C$4),10)))</f>
        <v>6110</v>
      </c>
      <c r="P447" s="20" t="n">
        <f aca="false">IF(L447=0,0,IF($I447="L/km",MROUND(L447*$M447*IF($H447="Petrol",'Fuel &amp; Inputs'!$C$5,'Fuel &amp; Inputs'!$C$4),1),MROUND(L447*$M447*IF($H447="Petrol",'Fuel &amp; Inputs'!$C$5,'Fuel &amp; Inputs'!$C$4),10)))</f>
        <v>8250</v>
      </c>
      <c r="Q447" s="17" t="s">
        <v>155</v>
      </c>
      <c r="R447" s="21" t="n">
        <v>2740</v>
      </c>
      <c r="S447" s="20" t="n">
        <f aca="false">MROUND(R447+'Fuel &amp; Inputs'!$C$13,50)</f>
        <v>3550</v>
      </c>
      <c r="T447" s="21" t="n">
        <v>6090</v>
      </c>
      <c r="U447" s="20" t="n">
        <f aca="false">MROUND(R447*'Fuel &amp; Inputs'!$C$19*'Fuel &amp; Inputs'!$C$21,100)</f>
        <v>10400</v>
      </c>
      <c r="V447" s="20" t="n">
        <f aca="false">MROUND(S447*'Fuel &amp; Inputs'!$C$19*'Fuel &amp; Inputs'!$C$21,100)</f>
        <v>13500</v>
      </c>
      <c r="W447" s="20" t="n">
        <f aca="false">MROUND(T447*'Fuel &amp; Inputs'!$C$19*'Fuel &amp; Inputs'!$C$21,100)</f>
        <v>23100</v>
      </c>
      <c r="X447" s="20" t="n">
        <f aca="false">MROUND(R447*'Fuel &amp; Inputs'!$C$20*'Fuel &amp; Inputs'!$C$22,500)</f>
        <v>279500</v>
      </c>
      <c r="Y447" s="20" t="n">
        <f aca="false">MROUND(S447*'Fuel &amp; Inputs'!$C$20*'Fuel &amp; Inputs'!$C$22,500)</f>
        <v>362000</v>
      </c>
      <c r="Z447" s="20" t="n">
        <f aca="false">MROUND(T447*'Fuel &amp; Inputs'!$C$20*'Fuel &amp; Inputs'!$C$22,500)</f>
        <v>621000</v>
      </c>
    </row>
    <row r="448" customFormat="false" ht="15" hidden="false" customHeight="false" outlineLevel="0" collapsed="false">
      <c r="A448" s="23" t="n">
        <v>420</v>
      </c>
      <c r="B448" s="34" t="s">
        <v>986</v>
      </c>
      <c r="C448" s="34" t="s">
        <v>571</v>
      </c>
      <c r="D448" s="34" t="s">
        <v>1061</v>
      </c>
      <c r="E448" s="23" t="s">
        <v>223</v>
      </c>
      <c r="F448" s="23" t="s">
        <v>1062</v>
      </c>
      <c r="G448" s="23" t="s">
        <v>223</v>
      </c>
      <c r="H448" s="23" t="s">
        <v>153</v>
      </c>
      <c r="I448" s="23" t="s">
        <v>154</v>
      </c>
      <c r="J448" s="25" t="n">
        <v>7.2</v>
      </c>
      <c r="K448" s="25" t="n">
        <v>10</v>
      </c>
      <c r="L448" s="25" t="n">
        <v>13.5</v>
      </c>
      <c r="M448" s="35" t="n">
        <v>1</v>
      </c>
      <c r="N448" s="26" t="n">
        <f aca="false">IF(J448=0,0,IF($I448="L/km",MROUND(J448*$M448*IF($H448="Petrol",'Fuel &amp; Inputs'!$C$5,'Fuel &amp; Inputs'!$C$4),1),MROUND(J448*$M448*IF($H448="Petrol",'Fuel &amp; Inputs'!$C$5,'Fuel &amp; Inputs'!$C$4),10)))</f>
        <v>2750</v>
      </c>
      <c r="O448" s="26" t="n">
        <f aca="false">IF(K448=0,0,IF($I448="L/km",MROUND(K448*$M448*IF($H448="Petrol",'Fuel &amp; Inputs'!$C$5,'Fuel &amp; Inputs'!$C$4),1),MROUND(K448*$M448*IF($H448="Petrol",'Fuel &amp; Inputs'!$C$5,'Fuel &amp; Inputs'!$C$4),10)))</f>
        <v>3820</v>
      </c>
      <c r="P448" s="26" t="n">
        <f aca="false">IF(L448=0,0,IF($I448="L/km",MROUND(L448*$M448*IF($H448="Petrol",'Fuel &amp; Inputs'!$C$5,'Fuel &amp; Inputs'!$C$4),1),MROUND(L448*$M448*IF($H448="Petrol",'Fuel &amp; Inputs'!$C$5,'Fuel &amp; Inputs'!$C$4),10)))</f>
        <v>5160</v>
      </c>
      <c r="Q448" s="23" t="s">
        <v>155</v>
      </c>
      <c r="R448" s="27" t="n">
        <v>2120</v>
      </c>
      <c r="S448" s="26" t="n">
        <f aca="false">MROUND(R448+'Fuel &amp; Inputs'!$C$13,50)</f>
        <v>2900</v>
      </c>
      <c r="T448" s="27" t="n">
        <v>4710</v>
      </c>
      <c r="U448" s="26" t="n">
        <f aca="false">MROUND(R448*'Fuel &amp; Inputs'!$C$19*'Fuel &amp; Inputs'!$C$21,100)</f>
        <v>8100</v>
      </c>
      <c r="V448" s="26" t="n">
        <f aca="false">MROUND(S448*'Fuel &amp; Inputs'!$C$19*'Fuel &amp; Inputs'!$C$21,100)</f>
        <v>11000</v>
      </c>
      <c r="W448" s="26" t="n">
        <f aca="false">MROUND(T448*'Fuel &amp; Inputs'!$C$19*'Fuel &amp; Inputs'!$C$21,100)</f>
        <v>17900</v>
      </c>
      <c r="X448" s="26" t="n">
        <f aca="false">MROUND(R448*'Fuel &amp; Inputs'!$C$20*'Fuel &amp; Inputs'!$C$22,500)</f>
        <v>216000</v>
      </c>
      <c r="Y448" s="26" t="n">
        <f aca="false">MROUND(S448*'Fuel &amp; Inputs'!$C$20*'Fuel &amp; Inputs'!$C$22,500)</f>
        <v>296000</v>
      </c>
      <c r="Z448" s="26" t="n">
        <f aca="false">MROUND(T448*'Fuel &amp; Inputs'!$C$20*'Fuel &amp; Inputs'!$C$22,500)</f>
        <v>480500</v>
      </c>
    </row>
    <row r="449" customFormat="false" ht="15" hidden="false" customHeight="false" outlineLevel="0" collapsed="false">
      <c r="A449" s="17" t="n">
        <v>421</v>
      </c>
      <c r="B449" s="32" t="s">
        <v>986</v>
      </c>
      <c r="C449" s="32" t="s">
        <v>230</v>
      </c>
      <c r="D449" s="32" t="s">
        <v>1063</v>
      </c>
      <c r="E449" s="17" t="s">
        <v>223</v>
      </c>
      <c r="F449" s="17" t="s">
        <v>1064</v>
      </c>
      <c r="G449" s="17" t="s">
        <v>223</v>
      </c>
      <c r="H449" s="17" t="s">
        <v>153</v>
      </c>
      <c r="I449" s="17" t="s">
        <v>154</v>
      </c>
      <c r="J449" s="19" t="n">
        <v>11.5</v>
      </c>
      <c r="K449" s="19" t="n">
        <v>16</v>
      </c>
      <c r="L449" s="19" t="n">
        <v>21.6</v>
      </c>
      <c r="M449" s="33" t="n">
        <v>1</v>
      </c>
      <c r="N449" s="20" t="n">
        <f aca="false">IF(J449=0,0,IF($I449="L/km",MROUND(J449*$M449*IF($H449="Petrol",'Fuel &amp; Inputs'!$C$5,'Fuel &amp; Inputs'!$C$4),1),MROUND(J449*$M449*IF($H449="Petrol",'Fuel &amp; Inputs'!$C$5,'Fuel &amp; Inputs'!$C$4),10)))</f>
        <v>4390</v>
      </c>
      <c r="O449" s="20" t="n">
        <f aca="false">IF(K449=0,0,IF($I449="L/km",MROUND(K449*$M449*IF($H449="Petrol",'Fuel &amp; Inputs'!$C$5,'Fuel &amp; Inputs'!$C$4),1),MROUND(K449*$M449*IF($H449="Petrol",'Fuel &amp; Inputs'!$C$5,'Fuel &amp; Inputs'!$C$4),10)))</f>
        <v>6110</v>
      </c>
      <c r="P449" s="20" t="n">
        <f aca="false">IF(L449=0,0,IF($I449="L/km",MROUND(L449*$M449*IF($H449="Petrol",'Fuel &amp; Inputs'!$C$5,'Fuel &amp; Inputs'!$C$4),1),MROUND(L449*$M449*IF($H449="Petrol",'Fuel &amp; Inputs'!$C$5,'Fuel &amp; Inputs'!$C$4),10)))</f>
        <v>8250</v>
      </c>
      <c r="Q449" s="17" t="s">
        <v>155</v>
      </c>
      <c r="R449" s="21" t="n">
        <v>2620</v>
      </c>
      <c r="S449" s="20" t="n">
        <f aca="false">MROUND(R449+'Fuel &amp; Inputs'!$C$13,50)</f>
        <v>3400</v>
      </c>
      <c r="T449" s="21" t="n">
        <v>5820</v>
      </c>
      <c r="U449" s="20" t="n">
        <f aca="false">MROUND(R449*'Fuel &amp; Inputs'!$C$19*'Fuel &amp; Inputs'!$C$21,100)</f>
        <v>10000</v>
      </c>
      <c r="V449" s="20" t="n">
        <f aca="false">MROUND(S449*'Fuel &amp; Inputs'!$C$19*'Fuel &amp; Inputs'!$C$21,100)</f>
        <v>12900</v>
      </c>
      <c r="W449" s="20" t="n">
        <f aca="false">MROUND(T449*'Fuel &amp; Inputs'!$C$19*'Fuel &amp; Inputs'!$C$21,100)</f>
        <v>22100</v>
      </c>
      <c r="X449" s="20" t="n">
        <f aca="false">MROUND(R449*'Fuel &amp; Inputs'!$C$20*'Fuel &amp; Inputs'!$C$22,500)</f>
        <v>267000</v>
      </c>
      <c r="Y449" s="20" t="n">
        <f aca="false">MROUND(S449*'Fuel &amp; Inputs'!$C$20*'Fuel &amp; Inputs'!$C$22,500)</f>
        <v>347000</v>
      </c>
      <c r="Z449" s="20" t="n">
        <f aca="false">MROUND(T449*'Fuel &amp; Inputs'!$C$20*'Fuel &amp; Inputs'!$C$22,500)</f>
        <v>593500</v>
      </c>
    </row>
    <row r="450" customFormat="false" ht="15" hidden="false" customHeight="true" outlineLevel="0" collapsed="false">
      <c r="A450" s="31" t="s">
        <v>1065</v>
      </c>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ustomFormat="false" ht="15" hidden="false" customHeight="false" outlineLevel="0" collapsed="false">
      <c r="A451" s="23" t="n">
        <v>422</v>
      </c>
      <c r="B451" s="34" t="s">
        <v>116</v>
      </c>
      <c r="C451" s="34" t="s">
        <v>249</v>
      </c>
      <c r="D451" s="34" t="s">
        <v>1066</v>
      </c>
      <c r="E451" s="23" t="s">
        <v>304</v>
      </c>
      <c r="F451" s="23" t="s">
        <v>1067</v>
      </c>
      <c r="G451" s="23" t="s">
        <v>1068</v>
      </c>
      <c r="H451" s="23" t="s">
        <v>153</v>
      </c>
      <c r="I451" s="23" t="s">
        <v>154</v>
      </c>
      <c r="J451" s="25" t="n">
        <v>5.8</v>
      </c>
      <c r="K451" s="25" t="n">
        <v>8</v>
      </c>
      <c r="L451" s="25" t="n">
        <v>10.8</v>
      </c>
      <c r="M451" s="35" t="n">
        <v>1.056</v>
      </c>
      <c r="N451" s="26" t="n">
        <f aca="false">IF(J451=0,0,IF($I451="L/km",MROUND(J451*$M451*IF($H451="Petrol",'Fuel &amp; Inputs'!$C$5,'Fuel &amp; Inputs'!$C$4),1),MROUND(J451*$M451*IF($H451="Petrol",'Fuel &amp; Inputs'!$C$5,'Fuel &amp; Inputs'!$C$4),10)))</f>
        <v>2340</v>
      </c>
      <c r="O451" s="26" t="n">
        <f aca="false">IF(K451=0,0,IF($I451="L/km",MROUND(K451*$M451*IF($H451="Petrol",'Fuel &amp; Inputs'!$C$5,'Fuel &amp; Inputs'!$C$4),1),MROUND(K451*$M451*IF($H451="Petrol",'Fuel &amp; Inputs'!$C$5,'Fuel &amp; Inputs'!$C$4),10)))</f>
        <v>3230</v>
      </c>
      <c r="P451" s="26" t="n">
        <f aca="false">IF(L451=0,0,IF($I451="L/km",MROUND(L451*$M451*IF($H451="Petrol",'Fuel &amp; Inputs'!$C$5,'Fuel &amp; Inputs'!$C$4),1),MROUND(L451*$M451*IF($H451="Petrol",'Fuel &amp; Inputs'!$C$5,'Fuel &amp; Inputs'!$C$4),10)))</f>
        <v>4360</v>
      </c>
      <c r="Q451" s="23" t="s">
        <v>155</v>
      </c>
      <c r="R451" s="27" t="n">
        <v>1380</v>
      </c>
      <c r="S451" s="26" t="n">
        <f aca="false">MROUND(R451+'Fuel &amp; Inputs'!$C$13,50)</f>
        <v>2200</v>
      </c>
      <c r="T451" s="27" t="n">
        <v>2710</v>
      </c>
      <c r="U451" s="26" t="n">
        <f aca="false">MROUND(R451*'Fuel &amp; Inputs'!$C$19*'Fuel &amp; Inputs'!$C$21,100)</f>
        <v>5200</v>
      </c>
      <c r="V451" s="26" t="n">
        <f aca="false">MROUND(S451*'Fuel &amp; Inputs'!$C$19*'Fuel &amp; Inputs'!$C$21,100)</f>
        <v>8400</v>
      </c>
      <c r="W451" s="26" t="n">
        <f aca="false">MROUND(T451*'Fuel &amp; Inputs'!$C$19*'Fuel &amp; Inputs'!$C$21,100)</f>
        <v>10300</v>
      </c>
      <c r="X451" s="26" t="n">
        <f aca="false">MROUND(R451*'Fuel &amp; Inputs'!$C$20*'Fuel &amp; Inputs'!$C$22,500)</f>
        <v>141000</v>
      </c>
      <c r="Y451" s="26" t="n">
        <f aca="false">MROUND(S451*'Fuel &amp; Inputs'!$C$20*'Fuel &amp; Inputs'!$C$22,500)</f>
        <v>224500</v>
      </c>
      <c r="Z451" s="26" t="n">
        <f aca="false">MROUND(T451*'Fuel &amp; Inputs'!$C$20*'Fuel &amp; Inputs'!$C$22,500)</f>
        <v>276500</v>
      </c>
    </row>
    <row r="452" customFormat="false" ht="15" hidden="false" customHeight="false" outlineLevel="0" collapsed="false">
      <c r="A452" s="17" t="n">
        <v>423</v>
      </c>
      <c r="B452" s="32" t="s">
        <v>116</v>
      </c>
      <c r="C452" s="32" t="s">
        <v>259</v>
      </c>
      <c r="D452" s="32" t="s">
        <v>925</v>
      </c>
      <c r="E452" s="17" t="s">
        <v>603</v>
      </c>
      <c r="F452" s="17" t="s">
        <v>1069</v>
      </c>
      <c r="G452" s="17" t="s">
        <v>1070</v>
      </c>
      <c r="H452" s="17" t="s">
        <v>153</v>
      </c>
      <c r="I452" s="17" t="s">
        <v>154</v>
      </c>
      <c r="J452" s="19" t="n">
        <v>5.8</v>
      </c>
      <c r="K452" s="19" t="n">
        <v>8</v>
      </c>
      <c r="L452" s="19" t="n">
        <v>10.8</v>
      </c>
      <c r="M452" s="33" t="n">
        <v>1.105</v>
      </c>
      <c r="N452" s="20" t="n">
        <f aca="false">IF(J452=0,0,IF($I452="L/km",MROUND(J452*$M452*IF($H452="Petrol",'Fuel &amp; Inputs'!$C$5,'Fuel &amp; Inputs'!$C$4),1),MROUND(J452*$M452*IF($H452="Petrol",'Fuel &amp; Inputs'!$C$5,'Fuel &amp; Inputs'!$C$4),10)))</f>
        <v>2450</v>
      </c>
      <c r="O452" s="20" t="n">
        <f aca="false">IF(K452=0,0,IF($I452="L/km",MROUND(K452*$M452*IF($H452="Petrol",'Fuel &amp; Inputs'!$C$5,'Fuel &amp; Inputs'!$C$4),1),MROUND(K452*$M452*IF($H452="Petrol",'Fuel &amp; Inputs'!$C$5,'Fuel &amp; Inputs'!$C$4),10)))</f>
        <v>3380</v>
      </c>
      <c r="P452" s="20" t="n">
        <f aca="false">IF(L452=0,0,IF($I452="L/km",MROUND(L452*$M452*IF($H452="Petrol",'Fuel &amp; Inputs'!$C$5,'Fuel &amp; Inputs'!$C$4),1),MROUND(L452*$M452*IF($H452="Petrol",'Fuel &amp; Inputs'!$C$5,'Fuel &amp; Inputs'!$C$4),10)))</f>
        <v>4560</v>
      </c>
      <c r="Q452" s="17" t="s">
        <v>155</v>
      </c>
      <c r="R452" s="21" t="n">
        <v>1230</v>
      </c>
      <c r="S452" s="20" t="n">
        <f aca="false">MROUND(R452+'Fuel &amp; Inputs'!$C$13,50)</f>
        <v>2050</v>
      </c>
      <c r="T452" s="21" t="n">
        <v>2420</v>
      </c>
      <c r="U452" s="20" t="n">
        <f aca="false">MROUND(R452*'Fuel &amp; Inputs'!$C$19*'Fuel &amp; Inputs'!$C$21,100)</f>
        <v>4700</v>
      </c>
      <c r="V452" s="20" t="n">
        <f aca="false">MROUND(S452*'Fuel &amp; Inputs'!$C$19*'Fuel &amp; Inputs'!$C$21,100)</f>
        <v>7800</v>
      </c>
      <c r="W452" s="20" t="n">
        <f aca="false">MROUND(T452*'Fuel &amp; Inputs'!$C$19*'Fuel &amp; Inputs'!$C$21,100)</f>
        <v>9200</v>
      </c>
      <c r="X452" s="20" t="n">
        <f aca="false">MROUND(R452*'Fuel &amp; Inputs'!$C$20*'Fuel &amp; Inputs'!$C$22,500)</f>
        <v>125500</v>
      </c>
      <c r="Y452" s="20" t="n">
        <f aca="false">MROUND(S452*'Fuel &amp; Inputs'!$C$20*'Fuel &amp; Inputs'!$C$22,500)</f>
        <v>209000</v>
      </c>
      <c r="Z452" s="20" t="n">
        <f aca="false">MROUND(T452*'Fuel &amp; Inputs'!$C$20*'Fuel &amp; Inputs'!$C$22,500)</f>
        <v>247000</v>
      </c>
    </row>
    <row r="453" customFormat="false" ht="23.85" hidden="false" customHeight="false" outlineLevel="0" collapsed="false">
      <c r="A453" s="23" t="n">
        <v>424</v>
      </c>
      <c r="B453" s="34" t="s">
        <v>116</v>
      </c>
      <c r="C453" s="34" t="s">
        <v>271</v>
      </c>
      <c r="D453" s="34" t="s">
        <v>944</v>
      </c>
      <c r="E453" s="23" t="s">
        <v>581</v>
      </c>
      <c r="F453" s="23" t="s">
        <v>1071</v>
      </c>
      <c r="G453" s="23" t="s">
        <v>948</v>
      </c>
      <c r="H453" s="23" t="s">
        <v>153</v>
      </c>
      <c r="I453" s="23" t="s">
        <v>154</v>
      </c>
      <c r="J453" s="25" t="n">
        <v>5.8</v>
      </c>
      <c r="K453" s="25" t="n">
        <v>8</v>
      </c>
      <c r="L453" s="25" t="n">
        <v>10.8</v>
      </c>
      <c r="M453" s="35" t="n">
        <v>1.147</v>
      </c>
      <c r="N453" s="26" t="n">
        <f aca="false">IF(J453=0,0,IF($I453="L/km",MROUND(J453*$M453*IF($H453="Petrol",'Fuel &amp; Inputs'!$C$5,'Fuel &amp; Inputs'!$C$4),1),MROUND(J453*$M453*IF($H453="Petrol",'Fuel &amp; Inputs'!$C$5,'Fuel &amp; Inputs'!$C$4),10)))</f>
        <v>2540</v>
      </c>
      <c r="O453" s="26" t="n">
        <f aca="false">IF(K453=0,0,IF($I453="L/km",MROUND(K453*$M453*IF($H453="Petrol",'Fuel &amp; Inputs'!$C$5,'Fuel &amp; Inputs'!$C$4),1),MROUND(K453*$M453*IF($H453="Petrol",'Fuel &amp; Inputs'!$C$5,'Fuel &amp; Inputs'!$C$4),10)))</f>
        <v>3510</v>
      </c>
      <c r="P453" s="26" t="n">
        <f aca="false">IF(L453=0,0,IF($I453="L/km",MROUND(L453*$M453*IF($H453="Petrol",'Fuel &amp; Inputs'!$C$5,'Fuel &amp; Inputs'!$C$4),1),MROUND(L453*$M453*IF($H453="Petrol",'Fuel &amp; Inputs'!$C$5,'Fuel &amp; Inputs'!$C$4),10)))</f>
        <v>4730</v>
      </c>
      <c r="Q453" s="23" t="s">
        <v>155</v>
      </c>
      <c r="R453" s="27" t="n">
        <v>1080</v>
      </c>
      <c r="S453" s="26" t="n">
        <f aca="false">MROUND(R453+'Fuel &amp; Inputs'!$C$13,50)</f>
        <v>1900</v>
      </c>
      <c r="T453" s="27" t="n">
        <v>2120</v>
      </c>
      <c r="U453" s="26" t="n">
        <f aca="false">MROUND(R453*'Fuel &amp; Inputs'!$C$19*'Fuel &amp; Inputs'!$C$21,100)</f>
        <v>4100</v>
      </c>
      <c r="V453" s="26" t="n">
        <f aca="false">MROUND(S453*'Fuel &amp; Inputs'!$C$19*'Fuel &amp; Inputs'!$C$21,100)</f>
        <v>7200</v>
      </c>
      <c r="W453" s="26" t="n">
        <f aca="false">MROUND(T453*'Fuel &amp; Inputs'!$C$19*'Fuel &amp; Inputs'!$C$21,100)</f>
        <v>8100</v>
      </c>
      <c r="X453" s="26" t="n">
        <f aca="false">MROUND(R453*'Fuel &amp; Inputs'!$C$20*'Fuel &amp; Inputs'!$C$22,500)</f>
        <v>110000</v>
      </c>
      <c r="Y453" s="26" t="n">
        <f aca="false">MROUND(S453*'Fuel &amp; Inputs'!$C$20*'Fuel &amp; Inputs'!$C$22,500)</f>
        <v>194000</v>
      </c>
      <c r="Z453" s="26" t="n">
        <f aca="false">MROUND(T453*'Fuel &amp; Inputs'!$C$20*'Fuel &amp; Inputs'!$C$22,500)</f>
        <v>216000</v>
      </c>
    </row>
    <row r="454" customFormat="false" ht="23.85" hidden="false" customHeight="false" outlineLevel="0" collapsed="false">
      <c r="A454" s="17" t="n">
        <v>425</v>
      </c>
      <c r="B454" s="32" t="s">
        <v>116</v>
      </c>
      <c r="C454" s="32" t="s">
        <v>271</v>
      </c>
      <c r="D454" s="32" t="s">
        <v>944</v>
      </c>
      <c r="E454" s="17" t="s">
        <v>277</v>
      </c>
      <c r="F454" s="17" t="s">
        <v>1072</v>
      </c>
      <c r="G454" s="17" t="s">
        <v>954</v>
      </c>
      <c r="H454" s="17" t="s">
        <v>153</v>
      </c>
      <c r="I454" s="17" t="s">
        <v>154</v>
      </c>
      <c r="J454" s="19" t="n">
        <v>5.8</v>
      </c>
      <c r="K454" s="19" t="n">
        <v>8</v>
      </c>
      <c r="L454" s="19" t="n">
        <v>10.8</v>
      </c>
      <c r="M454" s="33" t="n">
        <v>1.161</v>
      </c>
      <c r="N454" s="20" t="n">
        <f aca="false">IF(J454=0,0,IF($I454="L/km",MROUND(J454*$M454*IF($H454="Petrol",'Fuel &amp; Inputs'!$C$5,'Fuel &amp; Inputs'!$C$4),1),MROUND(J454*$M454*IF($H454="Petrol",'Fuel &amp; Inputs'!$C$5,'Fuel &amp; Inputs'!$C$4),10)))</f>
        <v>2570</v>
      </c>
      <c r="O454" s="20" t="n">
        <f aca="false">IF(K454=0,0,IF($I454="L/km",MROUND(K454*$M454*IF($H454="Petrol",'Fuel &amp; Inputs'!$C$5,'Fuel &amp; Inputs'!$C$4),1),MROUND(K454*$M454*IF($H454="Petrol",'Fuel &amp; Inputs'!$C$5,'Fuel &amp; Inputs'!$C$4),10)))</f>
        <v>3550</v>
      </c>
      <c r="P454" s="20" t="n">
        <f aca="false">IF(L454=0,0,IF($I454="L/km",MROUND(L454*$M454*IF($H454="Petrol",'Fuel &amp; Inputs'!$C$5,'Fuel &amp; Inputs'!$C$4),1),MROUND(L454*$M454*IF($H454="Petrol",'Fuel &amp; Inputs'!$C$5,'Fuel &amp; Inputs'!$C$4),10)))</f>
        <v>4790</v>
      </c>
      <c r="Q454" s="17" t="s">
        <v>155</v>
      </c>
      <c r="R454" s="21" t="n">
        <v>980</v>
      </c>
      <c r="S454" s="20" t="n">
        <f aca="false">MROUND(R454+'Fuel &amp; Inputs'!$C$13,50)</f>
        <v>1800</v>
      </c>
      <c r="T454" s="21" t="n">
        <v>1920</v>
      </c>
      <c r="U454" s="20" t="n">
        <f aca="false">MROUND(R454*'Fuel &amp; Inputs'!$C$19*'Fuel &amp; Inputs'!$C$21,100)</f>
        <v>3700</v>
      </c>
      <c r="V454" s="20" t="n">
        <f aca="false">MROUND(S454*'Fuel &amp; Inputs'!$C$19*'Fuel &amp; Inputs'!$C$21,100)</f>
        <v>6800</v>
      </c>
      <c r="W454" s="20" t="n">
        <f aca="false">MROUND(T454*'Fuel &amp; Inputs'!$C$19*'Fuel &amp; Inputs'!$C$21,100)</f>
        <v>7300</v>
      </c>
      <c r="X454" s="20" t="n">
        <f aca="false">MROUND(R454*'Fuel &amp; Inputs'!$C$20*'Fuel &amp; Inputs'!$C$22,500)</f>
        <v>100000</v>
      </c>
      <c r="Y454" s="20" t="n">
        <f aca="false">MROUND(S454*'Fuel &amp; Inputs'!$C$20*'Fuel &amp; Inputs'!$C$22,500)</f>
        <v>183500</v>
      </c>
      <c r="Z454" s="20" t="n">
        <f aca="false">MROUND(T454*'Fuel &amp; Inputs'!$C$20*'Fuel &amp; Inputs'!$C$22,500)</f>
        <v>196000</v>
      </c>
    </row>
    <row r="455" customFormat="false" ht="23.85" hidden="false" customHeight="false" outlineLevel="0" collapsed="false">
      <c r="A455" s="23" t="n">
        <v>426</v>
      </c>
      <c r="B455" s="34" t="s">
        <v>116</v>
      </c>
      <c r="C455" s="34" t="s">
        <v>271</v>
      </c>
      <c r="D455" s="34" t="s">
        <v>1073</v>
      </c>
      <c r="E455" s="23" t="s">
        <v>282</v>
      </c>
      <c r="F455" s="23" t="s">
        <v>1074</v>
      </c>
      <c r="G455" s="23" t="s">
        <v>1075</v>
      </c>
      <c r="H455" s="23" t="s">
        <v>153</v>
      </c>
      <c r="I455" s="23" t="s">
        <v>154</v>
      </c>
      <c r="J455" s="25" t="n">
        <v>5.8</v>
      </c>
      <c r="K455" s="25" t="n">
        <v>8</v>
      </c>
      <c r="L455" s="25" t="n">
        <v>10.8</v>
      </c>
      <c r="M455" s="35" t="n">
        <v>1.175</v>
      </c>
      <c r="N455" s="26" t="n">
        <f aca="false">IF(J455=0,0,IF($I455="L/km",MROUND(J455*$M455*IF($H455="Petrol",'Fuel &amp; Inputs'!$C$5,'Fuel &amp; Inputs'!$C$4),1),MROUND(J455*$M455*IF($H455="Petrol",'Fuel &amp; Inputs'!$C$5,'Fuel &amp; Inputs'!$C$4),10)))</f>
        <v>2600</v>
      </c>
      <c r="O455" s="26" t="n">
        <f aca="false">IF(K455=0,0,IF($I455="L/km",MROUND(K455*$M455*IF($H455="Petrol",'Fuel &amp; Inputs'!$C$5,'Fuel &amp; Inputs'!$C$4),1),MROUND(K455*$M455*IF($H455="Petrol",'Fuel &amp; Inputs'!$C$5,'Fuel &amp; Inputs'!$C$4),10)))</f>
        <v>3590</v>
      </c>
      <c r="P455" s="26" t="n">
        <f aca="false">IF(L455=0,0,IF($I455="L/km",MROUND(L455*$M455*IF($H455="Petrol",'Fuel &amp; Inputs'!$C$5,'Fuel &amp; Inputs'!$C$4),1),MROUND(L455*$M455*IF($H455="Petrol",'Fuel &amp; Inputs'!$C$5,'Fuel &amp; Inputs'!$C$4),10)))</f>
        <v>4850</v>
      </c>
      <c r="Q455" s="23" t="s">
        <v>155</v>
      </c>
      <c r="R455" s="27" t="n">
        <v>980</v>
      </c>
      <c r="S455" s="26" t="n">
        <f aca="false">MROUND(R455+'Fuel &amp; Inputs'!$C$13,50)</f>
        <v>1800</v>
      </c>
      <c r="T455" s="27" t="n">
        <v>1920</v>
      </c>
      <c r="U455" s="26" t="n">
        <f aca="false">MROUND(R455*'Fuel &amp; Inputs'!$C$19*'Fuel &amp; Inputs'!$C$21,100)</f>
        <v>3700</v>
      </c>
      <c r="V455" s="26" t="n">
        <f aca="false">MROUND(S455*'Fuel &amp; Inputs'!$C$19*'Fuel &amp; Inputs'!$C$21,100)</f>
        <v>6800</v>
      </c>
      <c r="W455" s="26" t="n">
        <f aca="false">MROUND(T455*'Fuel &amp; Inputs'!$C$19*'Fuel &amp; Inputs'!$C$21,100)</f>
        <v>7300</v>
      </c>
      <c r="X455" s="26" t="n">
        <f aca="false">MROUND(R455*'Fuel &amp; Inputs'!$C$20*'Fuel &amp; Inputs'!$C$22,500)</f>
        <v>100000</v>
      </c>
      <c r="Y455" s="26" t="n">
        <f aca="false">MROUND(S455*'Fuel &amp; Inputs'!$C$20*'Fuel &amp; Inputs'!$C$22,500)</f>
        <v>183500</v>
      </c>
      <c r="Z455" s="26" t="n">
        <f aca="false">MROUND(T455*'Fuel &amp; Inputs'!$C$20*'Fuel &amp; Inputs'!$C$22,500)</f>
        <v>196000</v>
      </c>
    </row>
    <row r="456" customFormat="false" ht="15" hidden="false" customHeight="false" outlineLevel="0" collapsed="false">
      <c r="A456" s="17" t="n">
        <v>427</v>
      </c>
      <c r="B456" s="32" t="s">
        <v>116</v>
      </c>
      <c r="C456" s="32" t="s">
        <v>249</v>
      </c>
      <c r="D456" s="32" t="s">
        <v>1076</v>
      </c>
      <c r="E456" s="17" t="s">
        <v>685</v>
      </c>
      <c r="F456" s="17" t="s">
        <v>1077</v>
      </c>
      <c r="G456" s="17" t="s">
        <v>1078</v>
      </c>
      <c r="H456" s="17" t="s">
        <v>153</v>
      </c>
      <c r="I456" s="17" t="s">
        <v>154</v>
      </c>
      <c r="J456" s="19" t="n">
        <v>5.8</v>
      </c>
      <c r="K456" s="19" t="n">
        <v>8</v>
      </c>
      <c r="L456" s="19" t="n">
        <v>10.8</v>
      </c>
      <c r="M456" s="33" t="n">
        <v>1.175</v>
      </c>
      <c r="N456" s="20" t="n">
        <f aca="false">IF(J456=0,0,IF($I456="L/km",MROUND(J456*$M456*IF($H456="Petrol",'Fuel &amp; Inputs'!$C$5,'Fuel &amp; Inputs'!$C$4),1),MROUND(J456*$M456*IF($H456="Petrol",'Fuel &amp; Inputs'!$C$5,'Fuel &amp; Inputs'!$C$4),10)))</f>
        <v>2600</v>
      </c>
      <c r="O456" s="20" t="n">
        <f aca="false">IF(K456=0,0,IF($I456="L/km",MROUND(K456*$M456*IF($H456="Petrol",'Fuel &amp; Inputs'!$C$5,'Fuel &amp; Inputs'!$C$4),1),MROUND(K456*$M456*IF($H456="Petrol",'Fuel &amp; Inputs'!$C$5,'Fuel &amp; Inputs'!$C$4),10)))</f>
        <v>3590</v>
      </c>
      <c r="P456" s="20" t="n">
        <f aca="false">IF(L456=0,0,IF($I456="L/km",MROUND(L456*$M456*IF($H456="Petrol",'Fuel &amp; Inputs'!$C$5,'Fuel &amp; Inputs'!$C$4),1),MROUND(L456*$M456*IF($H456="Petrol",'Fuel &amp; Inputs'!$C$5,'Fuel &amp; Inputs'!$C$4),10)))</f>
        <v>4850</v>
      </c>
      <c r="Q456" s="17" t="s">
        <v>155</v>
      </c>
      <c r="R456" s="21" t="n">
        <v>870</v>
      </c>
      <c r="S456" s="20" t="n">
        <f aca="false">MROUND(R456+'Fuel &amp; Inputs'!$C$13,50)</f>
        <v>1650</v>
      </c>
      <c r="T456" s="21" t="n">
        <v>1710</v>
      </c>
      <c r="U456" s="20" t="n">
        <f aca="false">MROUND(R456*'Fuel &amp; Inputs'!$C$19*'Fuel &amp; Inputs'!$C$21,100)</f>
        <v>3300</v>
      </c>
      <c r="V456" s="20" t="n">
        <f aca="false">MROUND(S456*'Fuel &amp; Inputs'!$C$19*'Fuel &amp; Inputs'!$C$21,100)</f>
        <v>6300</v>
      </c>
      <c r="W456" s="20" t="n">
        <f aca="false">MROUND(T456*'Fuel &amp; Inputs'!$C$19*'Fuel &amp; Inputs'!$C$21,100)</f>
        <v>6500</v>
      </c>
      <c r="X456" s="20" t="n">
        <f aca="false">MROUND(R456*'Fuel &amp; Inputs'!$C$20*'Fuel &amp; Inputs'!$C$22,500)</f>
        <v>88500</v>
      </c>
      <c r="Y456" s="20" t="n">
        <f aca="false">MROUND(S456*'Fuel &amp; Inputs'!$C$20*'Fuel &amp; Inputs'!$C$22,500)</f>
        <v>168500</v>
      </c>
      <c r="Z456" s="20" t="n">
        <f aca="false">MROUND(T456*'Fuel &amp; Inputs'!$C$20*'Fuel &amp; Inputs'!$C$22,500)</f>
        <v>174500</v>
      </c>
    </row>
    <row r="457" customFormat="false" ht="15" hidden="false" customHeight="false" outlineLevel="0" collapsed="false">
      <c r="A457" s="23" t="n">
        <v>428</v>
      </c>
      <c r="B457" s="34" t="s">
        <v>116</v>
      </c>
      <c r="C457" s="34" t="s">
        <v>249</v>
      </c>
      <c r="D457" s="34" t="s">
        <v>1079</v>
      </c>
      <c r="E457" s="23" t="s">
        <v>298</v>
      </c>
      <c r="F457" s="23" t="s">
        <v>1080</v>
      </c>
      <c r="G457" s="23" t="s">
        <v>1081</v>
      </c>
      <c r="H457" s="23" t="s">
        <v>153</v>
      </c>
      <c r="I457" s="23" t="s">
        <v>154</v>
      </c>
      <c r="J457" s="25" t="n">
        <v>5.8</v>
      </c>
      <c r="K457" s="25" t="n">
        <v>8</v>
      </c>
      <c r="L457" s="25" t="n">
        <v>10.8</v>
      </c>
      <c r="M457" s="35" t="n">
        <v>1.175</v>
      </c>
      <c r="N457" s="26" t="n">
        <f aca="false">IF(J457=0,0,IF($I457="L/km",MROUND(J457*$M457*IF($H457="Petrol",'Fuel &amp; Inputs'!$C$5,'Fuel &amp; Inputs'!$C$4),1),MROUND(J457*$M457*IF($H457="Petrol",'Fuel &amp; Inputs'!$C$5,'Fuel &amp; Inputs'!$C$4),10)))</f>
        <v>2600</v>
      </c>
      <c r="O457" s="26" t="n">
        <f aca="false">IF(K457=0,0,IF($I457="L/km",MROUND(K457*$M457*IF($H457="Petrol",'Fuel &amp; Inputs'!$C$5,'Fuel &amp; Inputs'!$C$4),1),MROUND(K457*$M457*IF($H457="Petrol",'Fuel &amp; Inputs'!$C$5,'Fuel &amp; Inputs'!$C$4),10)))</f>
        <v>3590</v>
      </c>
      <c r="P457" s="26" t="n">
        <f aca="false">IF(L457=0,0,IF($I457="L/km",MROUND(L457*$M457*IF($H457="Petrol",'Fuel &amp; Inputs'!$C$5,'Fuel &amp; Inputs'!$C$4),1),MROUND(L457*$M457*IF($H457="Petrol",'Fuel &amp; Inputs'!$C$5,'Fuel &amp; Inputs'!$C$4),10)))</f>
        <v>4850</v>
      </c>
      <c r="Q457" s="23" t="s">
        <v>155</v>
      </c>
      <c r="R457" s="27" t="n">
        <v>870</v>
      </c>
      <c r="S457" s="26" t="n">
        <f aca="false">MROUND(R457+'Fuel &amp; Inputs'!$C$13,50)</f>
        <v>1650</v>
      </c>
      <c r="T457" s="27" t="n">
        <v>1710</v>
      </c>
      <c r="U457" s="26" t="n">
        <f aca="false">MROUND(R457*'Fuel &amp; Inputs'!$C$19*'Fuel &amp; Inputs'!$C$21,100)</f>
        <v>3300</v>
      </c>
      <c r="V457" s="26" t="n">
        <f aca="false">MROUND(S457*'Fuel &amp; Inputs'!$C$19*'Fuel &amp; Inputs'!$C$21,100)</f>
        <v>6300</v>
      </c>
      <c r="W457" s="26" t="n">
        <f aca="false">MROUND(T457*'Fuel &amp; Inputs'!$C$19*'Fuel &amp; Inputs'!$C$21,100)</f>
        <v>6500</v>
      </c>
      <c r="X457" s="26" t="n">
        <f aca="false">MROUND(R457*'Fuel &amp; Inputs'!$C$20*'Fuel &amp; Inputs'!$C$22,500)</f>
        <v>88500</v>
      </c>
      <c r="Y457" s="26" t="n">
        <f aca="false">MROUND(S457*'Fuel &amp; Inputs'!$C$20*'Fuel &amp; Inputs'!$C$22,500)</f>
        <v>168500</v>
      </c>
      <c r="Z457" s="26" t="n">
        <f aca="false">MROUND(T457*'Fuel &amp; Inputs'!$C$20*'Fuel &amp; Inputs'!$C$22,500)</f>
        <v>174500</v>
      </c>
    </row>
    <row r="458" customFormat="false" ht="15" hidden="false" customHeight="false" outlineLevel="0" collapsed="false">
      <c r="A458" s="17" t="n">
        <v>429</v>
      </c>
      <c r="B458" s="32" t="s">
        <v>116</v>
      </c>
      <c r="C458" s="32" t="s">
        <v>330</v>
      </c>
      <c r="D458" s="32" t="s">
        <v>223</v>
      </c>
      <c r="E458" s="17" t="s">
        <v>223</v>
      </c>
      <c r="F458" s="17" t="s">
        <v>1082</v>
      </c>
      <c r="G458" s="17" t="s">
        <v>223</v>
      </c>
      <c r="H458" s="17" t="s">
        <v>153</v>
      </c>
      <c r="I458" s="17" t="s">
        <v>154</v>
      </c>
      <c r="J458" s="19" t="n">
        <v>5.8</v>
      </c>
      <c r="K458" s="19" t="n">
        <v>8</v>
      </c>
      <c r="L458" s="19" t="n">
        <v>10.8</v>
      </c>
      <c r="M458" s="33" t="n">
        <v>1</v>
      </c>
      <c r="N458" s="20" t="n">
        <f aca="false">IF(J458=0,0,IF($I458="L/km",MROUND(J458*$M458*IF($H458="Petrol",'Fuel &amp; Inputs'!$C$5,'Fuel &amp; Inputs'!$C$4),1),MROUND(J458*$M458*IF($H458="Petrol",'Fuel &amp; Inputs'!$C$5,'Fuel &amp; Inputs'!$C$4),10)))</f>
        <v>2220</v>
      </c>
      <c r="O458" s="20" t="n">
        <f aca="false">IF(K458=0,0,IF($I458="L/km",MROUND(K458*$M458*IF($H458="Petrol",'Fuel &amp; Inputs'!$C$5,'Fuel &amp; Inputs'!$C$4),1),MROUND(K458*$M458*IF($H458="Petrol",'Fuel &amp; Inputs'!$C$5,'Fuel &amp; Inputs'!$C$4),10)))</f>
        <v>3060</v>
      </c>
      <c r="P458" s="20" t="n">
        <f aca="false">IF(L458=0,0,IF($I458="L/km",MROUND(L458*$M458*IF($H458="Petrol",'Fuel &amp; Inputs'!$C$5,'Fuel &amp; Inputs'!$C$4),1),MROUND(L458*$M458*IF($H458="Petrol",'Fuel &amp; Inputs'!$C$5,'Fuel &amp; Inputs'!$C$4),10)))</f>
        <v>4130</v>
      </c>
      <c r="Q458" s="17" t="s">
        <v>155</v>
      </c>
      <c r="R458" s="21" t="n">
        <v>870</v>
      </c>
      <c r="S458" s="20" t="n">
        <f aca="false">MROUND(R458+'Fuel &amp; Inputs'!$C$13,50)</f>
        <v>1650</v>
      </c>
      <c r="T458" s="21" t="n">
        <v>1710</v>
      </c>
      <c r="U458" s="20" t="n">
        <f aca="false">MROUND(R458*'Fuel &amp; Inputs'!$C$19*'Fuel &amp; Inputs'!$C$21,100)</f>
        <v>3300</v>
      </c>
      <c r="V458" s="20" t="n">
        <f aca="false">MROUND(S458*'Fuel &amp; Inputs'!$C$19*'Fuel &amp; Inputs'!$C$21,100)</f>
        <v>6300</v>
      </c>
      <c r="W458" s="20" t="n">
        <f aca="false">MROUND(T458*'Fuel &amp; Inputs'!$C$19*'Fuel &amp; Inputs'!$C$21,100)</f>
        <v>6500</v>
      </c>
      <c r="X458" s="20" t="n">
        <f aca="false">MROUND(R458*'Fuel &amp; Inputs'!$C$20*'Fuel &amp; Inputs'!$C$22,500)</f>
        <v>88500</v>
      </c>
      <c r="Y458" s="20" t="n">
        <f aca="false">MROUND(S458*'Fuel &amp; Inputs'!$C$20*'Fuel &amp; Inputs'!$C$22,500)</f>
        <v>168500</v>
      </c>
      <c r="Z458" s="20" t="n">
        <f aca="false">MROUND(T458*'Fuel &amp; Inputs'!$C$20*'Fuel &amp; Inputs'!$C$22,500)</f>
        <v>174500</v>
      </c>
    </row>
    <row r="459" customFormat="false" ht="15" hidden="false" customHeight="false" outlineLevel="0" collapsed="false">
      <c r="A459" s="23" t="n">
        <v>430</v>
      </c>
      <c r="B459" s="34" t="s">
        <v>116</v>
      </c>
      <c r="C459" s="34" t="s">
        <v>330</v>
      </c>
      <c r="D459" s="34" t="s">
        <v>223</v>
      </c>
      <c r="E459" s="23" t="s">
        <v>223</v>
      </c>
      <c r="F459" s="23" t="s">
        <v>1083</v>
      </c>
      <c r="G459" s="23" t="s">
        <v>1084</v>
      </c>
      <c r="H459" s="23" t="s">
        <v>153</v>
      </c>
      <c r="I459" s="23" t="s">
        <v>154</v>
      </c>
      <c r="J459" s="25" t="n">
        <v>5.8</v>
      </c>
      <c r="K459" s="25" t="n">
        <v>8</v>
      </c>
      <c r="L459" s="25" t="n">
        <v>10.8</v>
      </c>
      <c r="M459" s="35" t="n">
        <v>1</v>
      </c>
      <c r="N459" s="26" t="n">
        <f aca="false">IF(J459=0,0,IF($I459="L/km",MROUND(J459*$M459*IF($H459="Petrol",'Fuel &amp; Inputs'!$C$5,'Fuel &amp; Inputs'!$C$4),1),MROUND(J459*$M459*IF($H459="Petrol",'Fuel &amp; Inputs'!$C$5,'Fuel &amp; Inputs'!$C$4),10)))</f>
        <v>2220</v>
      </c>
      <c r="O459" s="26" t="n">
        <f aca="false">IF(K459=0,0,IF($I459="L/km",MROUND(K459*$M459*IF($H459="Petrol",'Fuel &amp; Inputs'!$C$5,'Fuel &amp; Inputs'!$C$4),1),MROUND(K459*$M459*IF($H459="Petrol",'Fuel &amp; Inputs'!$C$5,'Fuel &amp; Inputs'!$C$4),10)))</f>
        <v>3060</v>
      </c>
      <c r="P459" s="26" t="n">
        <f aca="false">IF(L459=0,0,IF($I459="L/km",MROUND(L459*$M459*IF($H459="Petrol",'Fuel &amp; Inputs'!$C$5,'Fuel &amp; Inputs'!$C$4),1),MROUND(L459*$M459*IF($H459="Petrol",'Fuel &amp; Inputs'!$C$5,'Fuel &amp; Inputs'!$C$4),10)))</f>
        <v>4130</v>
      </c>
      <c r="Q459" s="23" t="s">
        <v>155</v>
      </c>
      <c r="R459" s="27" t="n">
        <v>870</v>
      </c>
      <c r="S459" s="26" t="n">
        <f aca="false">MROUND(R459+'Fuel &amp; Inputs'!$C$13,50)</f>
        <v>1650</v>
      </c>
      <c r="T459" s="27" t="n">
        <v>1710</v>
      </c>
      <c r="U459" s="26" t="n">
        <f aca="false">MROUND(R459*'Fuel &amp; Inputs'!$C$19*'Fuel &amp; Inputs'!$C$21,100)</f>
        <v>3300</v>
      </c>
      <c r="V459" s="26" t="n">
        <f aca="false">MROUND(S459*'Fuel &amp; Inputs'!$C$19*'Fuel &amp; Inputs'!$C$21,100)</f>
        <v>6300</v>
      </c>
      <c r="W459" s="26" t="n">
        <f aca="false">MROUND(T459*'Fuel &amp; Inputs'!$C$19*'Fuel &amp; Inputs'!$C$21,100)</f>
        <v>6500</v>
      </c>
      <c r="X459" s="26" t="n">
        <f aca="false">MROUND(R459*'Fuel &amp; Inputs'!$C$20*'Fuel &amp; Inputs'!$C$22,500)</f>
        <v>88500</v>
      </c>
      <c r="Y459" s="26" t="n">
        <f aca="false">MROUND(S459*'Fuel &amp; Inputs'!$C$20*'Fuel &amp; Inputs'!$C$22,500)</f>
        <v>168500</v>
      </c>
      <c r="Z459" s="26" t="n">
        <f aca="false">MROUND(T459*'Fuel &amp; Inputs'!$C$20*'Fuel &amp; Inputs'!$C$22,500)</f>
        <v>174500</v>
      </c>
    </row>
    <row r="460" customFormat="false" ht="15" hidden="false" customHeight="false" outlineLevel="0" collapsed="false">
      <c r="A460" s="17" t="n">
        <v>431</v>
      </c>
      <c r="B460" s="32" t="s">
        <v>116</v>
      </c>
      <c r="C460" s="32" t="s">
        <v>330</v>
      </c>
      <c r="D460" s="32" t="s">
        <v>223</v>
      </c>
      <c r="E460" s="17" t="s">
        <v>223</v>
      </c>
      <c r="F460" s="17" t="s">
        <v>1085</v>
      </c>
      <c r="G460" s="17" t="s">
        <v>1086</v>
      </c>
      <c r="H460" s="17" t="s">
        <v>153</v>
      </c>
      <c r="I460" s="17" t="s">
        <v>154</v>
      </c>
      <c r="J460" s="19" t="n">
        <v>5.8</v>
      </c>
      <c r="K460" s="19" t="n">
        <v>8</v>
      </c>
      <c r="L460" s="19" t="n">
        <v>10.8</v>
      </c>
      <c r="M460" s="33" t="n">
        <v>1</v>
      </c>
      <c r="N460" s="20" t="n">
        <f aca="false">IF(J460=0,0,IF($I460="L/km",MROUND(J460*$M460*IF($H460="Petrol",'Fuel &amp; Inputs'!$C$5,'Fuel &amp; Inputs'!$C$4),1),MROUND(J460*$M460*IF($H460="Petrol",'Fuel &amp; Inputs'!$C$5,'Fuel &amp; Inputs'!$C$4),10)))</f>
        <v>2220</v>
      </c>
      <c r="O460" s="20" t="n">
        <f aca="false">IF(K460=0,0,IF($I460="L/km",MROUND(K460*$M460*IF($H460="Petrol",'Fuel &amp; Inputs'!$C$5,'Fuel &amp; Inputs'!$C$4),1),MROUND(K460*$M460*IF($H460="Petrol",'Fuel &amp; Inputs'!$C$5,'Fuel &amp; Inputs'!$C$4),10)))</f>
        <v>3060</v>
      </c>
      <c r="P460" s="20" t="n">
        <f aca="false">IF(L460=0,0,IF($I460="L/km",MROUND(L460*$M460*IF($H460="Petrol",'Fuel &amp; Inputs'!$C$5,'Fuel &amp; Inputs'!$C$4),1),MROUND(L460*$M460*IF($H460="Petrol",'Fuel &amp; Inputs'!$C$5,'Fuel &amp; Inputs'!$C$4),10)))</f>
        <v>4130</v>
      </c>
      <c r="Q460" s="17" t="s">
        <v>155</v>
      </c>
      <c r="R460" s="21" t="n">
        <v>870</v>
      </c>
      <c r="S460" s="20" t="n">
        <f aca="false">MROUND(R460+'Fuel &amp; Inputs'!$C$13,50)</f>
        <v>1650</v>
      </c>
      <c r="T460" s="21" t="n">
        <v>1710</v>
      </c>
      <c r="U460" s="20" t="n">
        <f aca="false">MROUND(R460*'Fuel &amp; Inputs'!$C$19*'Fuel &amp; Inputs'!$C$21,100)</f>
        <v>3300</v>
      </c>
      <c r="V460" s="20" t="n">
        <f aca="false">MROUND(S460*'Fuel &amp; Inputs'!$C$19*'Fuel &amp; Inputs'!$C$21,100)</f>
        <v>6300</v>
      </c>
      <c r="W460" s="20" t="n">
        <f aca="false">MROUND(T460*'Fuel &amp; Inputs'!$C$19*'Fuel &amp; Inputs'!$C$21,100)</f>
        <v>6500</v>
      </c>
      <c r="X460" s="20" t="n">
        <f aca="false">MROUND(R460*'Fuel &amp; Inputs'!$C$20*'Fuel &amp; Inputs'!$C$22,500)</f>
        <v>88500</v>
      </c>
      <c r="Y460" s="20" t="n">
        <f aca="false">MROUND(S460*'Fuel &amp; Inputs'!$C$20*'Fuel &amp; Inputs'!$C$22,500)</f>
        <v>168500</v>
      </c>
      <c r="Z460" s="20" t="n">
        <f aca="false">MROUND(T460*'Fuel &amp; Inputs'!$C$20*'Fuel &amp; Inputs'!$C$22,500)</f>
        <v>174500</v>
      </c>
    </row>
    <row r="461" customFormat="false" ht="15" hidden="false" customHeight="false" outlineLevel="0" collapsed="false">
      <c r="A461" s="23" t="n">
        <v>432</v>
      </c>
      <c r="B461" s="34" t="s">
        <v>116</v>
      </c>
      <c r="C461" s="34" t="s">
        <v>330</v>
      </c>
      <c r="D461" s="34" t="s">
        <v>223</v>
      </c>
      <c r="E461" s="23" t="s">
        <v>223</v>
      </c>
      <c r="F461" s="23" t="s">
        <v>1087</v>
      </c>
      <c r="G461" s="23" t="s">
        <v>1088</v>
      </c>
      <c r="H461" s="23" t="s">
        <v>153</v>
      </c>
      <c r="I461" s="23" t="s">
        <v>154</v>
      </c>
      <c r="J461" s="25" t="n">
        <v>5.8</v>
      </c>
      <c r="K461" s="25" t="n">
        <v>8</v>
      </c>
      <c r="L461" s="25" t="n">
        <v>10.8</v>
      </c>
      <c r="M461" s="35" t="n">
        <v>1</v>
      </c>
      <c r="N461" s="26" t="n">
        <f aca="false">IF(J461=0,0,IF($I461="L/km",MROUND(J461*$M461*IF($H461="Petrol",'Fuel &amp; Inputs'!$C$5,'Fuel &amp; Inputs'!$C$4),1),MROUND(J461*$M461*IF($H461="Petrol",'Fuel &amp; Inputs'!$C$5,'Fuel &amp; Inputs'!$C$4),10)))</f>
        <v>2220</v>
      </c>
      <c r="O461" s="26" t="n">
        <f aca="false">IF(K461=0,0,IF($I461="L/km",MROUND(K461*$M461*IF($H461="Petrol",'Fuel &amp; Inputs'!$C$5,'Fuel &amp; Inputs'!$C$4),1),MROUND(K461*$M461*IF($H461="Petrol",'Fuel &amp; Inputs'!$C$5,'Fuel &amp; Inputs'!$C$4),10)))</f>
        <v>3060</v>
      </c>
      <c r="P461" s="26" t="n">
        <f aca="false">IF(L461=0,0,IF($I461="L/km",MROUND(L461*$M461*IF($H461="Petrol",'Fuel &amp; Inputs'!$C$5,'Fuel &amp; Inputs'!$C$4),1),MROUND(L461*$M461*IF($H461="Petrol",'Fuel &amp; Inputs'!$C$5,'Fuel &amp; Inputs'!$C$4),10)))</f>
        <v>4130</v>
      </c>
      <c r="Q461" s="23" t="s">
        <v>155</v>
      </c>
      <c r="R461" s="27" t="n">
        <v>870</v>
      </c>
      <c r="S461" s="26" t="n">
        <f aca="false">MROUND(R461+'Fuel &amp; Inputs'!$C$13,50)</f>
        <v>1650</v>
      </c>
      <c r="T461" s="27" t="n">
        <v>1710</v>
      </c>
      <c r="U461" s="26" t="n">
        <f aca="false">MROUND(R461*'Fuel &amp; Inputs'!$C$19*'Fuel &amp; Inputs'!$C$21,100)</f>
        <v>3300</v>
      </c>
      <c r="V461" s="26" t="n">
        <f aca="false">MROUND(S461*'Fuel &amp; Inputs'!$C$19*'Fuel &amp; Inputs'!$C$21,100)</f>
        <v>6300</v>
      </c>
      <c r="W461" s="26" t="n">
        <f aca="false">MROUND(T461*'Fuel &amp; Inputs'!$C$19*'Fuel &amp; Inputs'!$C$21,100)</f>
        <v>6500</v>
      </c>
      <c r="X461" s="26" t="n">
        <f aca="false">MROUND(R461*'Fuel &amp; Inputs'!$C$20*'Fuel &amp; Inputs'!$C$22,500)</f>
        <v>88500</v>
      </c>
      <c r="Y461" s="26" t="n">
        <f aca="false">MROUND(S461*'Fuel &amp; Inputs'!$C$20*'Fuel &amp; Inputs'!$C$22,500)</f>
        <v>168500</v>
      </c>
      <c r="Z461" s="26" t="n">
        <f aca="false">MROUND(T461*'Fuel &amp; Inputs'!$C$20*'Fuel &amp; Inputs'!$C$22,500)</f>
        <v>174500</v>
      </c>
    </row>
    <row r="462" customFormat="false" ht="15" hidden="false" customHeight="false" outlineLevel="0" collapsed="false">
      <c r="A462" s="17" t="n">
        <v>433</v>
      </c>
      <c r="B462" s="32" t="s">
        <v>116</v>
      </c>
      <c r="C462" s="32" t="s">
        <v>330</v>
      </c>
      <c r="D462" s="32" t="s">
        <v>223</v>
      </c>
      <c r="E462" s="17" t="s">
        <v>223</v>
      </c>
      <c r="F462" s="17" t="s">
        <v>1089</v>
      </c>
      <c r="G462" s="17" t="s">
        <v>1090</v>
      </c>
      <c r="H462" s="17" t="s">
        <v>153</v>
      </c>
      <c r="I462" s="17" t="s">
        <v>154</v>
      </c>
      <c r="J462" s="19" t="n">
        <v>5.8</v>
      </c>
      <c r="K462" s="19" t="n">
        <v>8</v>
      </c>
      <c r="L462" s="19" t="n">
        <v>10.8</v>
      </c>
      <c r="M462" s="33" t="n">
        <v>1</v>
      </c>
      <c r="N462" s="20" t="n">
        <f aca="false">IF(J462=0,0,IF($I462="L/km",MROUND(J462*$M462*IF($H462="Petrol",'Fuel &amp; Inputs'!$C$5,'Fuel &amp; Inputs'!$C$4),1),MROUND(J462*$M462*IF($H462="Petrol",'Fuel &amp; Inputs'!$C$5,'Fuel &amp; Inputs'!$C$4),10)))</f>
        <v>2220</v>
      </c>
      <c r="O462" s="20" t="n">
        <f aca="false">IF(K462=0,0,IF($I462="L/km",MROUND(K462*$M462*IF($H462="Petrol",'Fuel &amp; Inputs'!$C$5,'Fuel &amp; Inputs'!$C$4),1),MROUND(K462*$M462*IF($H462="Petrol",'Fuel &amp; Inputs'!$C$5,'Fuel &amp; Inputs'!$C$4),10)))</f>
        <v>3060</v>
      </c>
      <c r="P462" s="20" t="n">
        <f aca="false">IF(L462=0,0,IF($I462="L/km",MROUND(L462*$M462*IF($H462="Petrol",'Fuel &amp; Inputs'!$C$5,'Fuel &amp; Inputs'!$C$4),1),MROUND(L462*$M462*IF($H462="Petrol",'Fuel &amp; Inputs'!$C$5,'Fuel &amp; Inputs'!$C$4),10)))</f>
        <v>4130</v>
      </c>
      <c r="Q462" s="17" t="s">
        <v>155</v>
      </c>
      <c r="R462" s="21" t="n">
        <v>870</v>
      </c>
      <c r="S462" s="20" t="n">
        <f aca="false">MROUND(R462+'Fuel &amp; Inputs'!$C$13,50)</f>
        <v>1650</v>
      </c>
      <c r="T462" s="21" t="n">
        <v>1710</v>
      </c>
      <c r="U462" s="20" t="n">
        <f aca="false">MROUND(R462*'Fuel &amp; Inputs'!$C$19*'Fuel &amp; Inputs'!$C$21,100)</f>
        <v>3300</v>
      </c>
      <c r="V462" s="20" t="n">
        <f aca="false">MROUND(S462*'Fuel &amp; Inputs'!$C$19*'Fuel &amp; Inputs'!$C$21,100)</f>
        <v>6300</v>
      </c>
      <c r="W462" s="20" t="n">
        <f aca="false">MROUND(T462*'Fuel &amp; Inputs'!$C$19*'Fuel &amp; Inputs'!$C$21,100)</f>
        <v>6500</v>
      </c>
      <c r="X462" s="20" t="n">
        <f aca="false">MROUND(R462*'Fuel &amp; Inputs'!$C$20*'Fuel &amp; Inputs'!$C$22,500)</f>
        <v>88500</v>
      </c>
      <c r="Y462" s="20" t="n">
        <f aca="false">MROUND(S462*'Fuel &amp; Inputs'!$C$20*'Fuel &amp; Inputs'!$C$22,500)</f>
        <v>168500</v>
      </c>
      <c r="Z462" s="20" t="n">
        <f aca="false">MROUND(T462*'Fuel &amp; Inputs'!$C$20*'Fuel &amp; Inputs'!$C$22,500)</f>
        <v>174500</v>
      </c>
    </row>
    <row r="463" customFormat="false" ht="15" hidden="false" customHeight="false" outlineLevel="0" collapsed="false">
      <c r="A463" s="23" t="n">
        <v>434</v>
      </c>
      <c r="B463" s="34" t="s">
        <v>116</v>
      </c>
      <c r="C463" s="34" t="s">
        <v>330</v>
      </c>
      <c r="D463" s="34" t="s">
        <v>223</v>
      </c>
      <c r="E463" s="23" t="s">
        <v>223</v>
      </c>
      <c r="F463" s="23" t="s">
        <v>1091</v>
      </c>
      <c r="G463" s="23" t="s">
        <v>1092</v>
      </c>
      <c r="H463" s="23" t="s">
        <v>153</v>
      </c>
      <c r="I463" s="23" t="s">
        <v>154</v>
      </c>
      <c r="J463" s="25" t="n">
        <v>5.8</v>
      </c>
      <c r="K463" s="25" t="n">
        <v>8</v>
      </c>
      <c r="L463" s="25" t="n">
        <v>10.8</v>
      </c>
      <c r="M463" s="35" t="n">
        <v>1</v>
      </c>
      <c r="N463" s="26" t="n">
        <f aca="false">IF(J463=0,0,IF($I463="L/km",MROUND(J463*$M463*IF($H463="Petrol",'Fuel &amp; Inputs'!$C$5,'Fuel &amp; Inputs'!$C$4),1),MROUND(J463*$M463*IF($H463="Petrol",'Fuel &amp; Inputs'!$C$5,'Fuel &amp; Inputs'!$C$4),10)))</f>
        <v>2220</v>
      </c>
      <c r="O463" s="26" t="n">
        <f aca="false">IF(K463=0,0,IF($I463="L/km",MROUND(K463*$M463*IF($H463="Petrol",'Fuel &amp; Inputs'!$C$5,'Fuel &amp; Inputs'!$C$4),1),MROUND(K463*$M463*IF($H463="Petrol",'Fuel &amp; Inputs'!$C$5,'Fuel &amp; Inputs'!$C$4),10)))</f>
        <v>3060</v>
      </c>
      <c r="P463" s="26" t="n">
        <f aca="false">IF(L463=0,0,IF($I463="L/km",MROUND(L463*$M463*IF($H463="Petrol",'Fuel &amp; Inputs'!$C$5,'Fuel &amp; Inputs'!$C$4),1),MROUND(L463*$M463*IF($H463="Petrol",'Fuel &amp; Inputs'!$C$5,'Fuel &amp; Inputs'!$C$4),10)))</f>
        <v>4130</v>
      </c>
      <c r="Q463" s="23" t="s">
        <v>155</v>
      </c>
      <c r="R463" s="27" t="n">
        <v>870</v>
      </c>
      <c r="S463" s="26" t="n">
        <f aca="false">MROUND(R463+'Fuel &amp; Inputs'!$C$13,50)</f>
        <v>1650</v>
      </c>
      <c r="T463" s="27" t="n">
        <v>1710</v>
      </c>
      <c r="U463" s="26" t="n">
        <f aca="false">MROUND(R463*'Fuel &amp; Inputs'!$C$19*'Fuel &amp; Inputs'!$C$21,100)</f>
        <v>3300</v>
      </c>
      <c r="V463" s="26" t="n">
        <f aca="false">MROUND(S463*'Fuel &amp; Inputs'!$C$19*'Fuel &amp; Inputs'!$C$21,100)</f>
        <v>6300</v>
      </c>
      <c r="W463" s="26" t="n">
        <f aca="false">MROUND(T463*'Fuel &amp; Inputs'!$C$19*'Fuel &amp; Inputs'!$C$21,100)</f>
        <v>6500</v>
      </c>
      <c r="X463" s="26" t="n">
        <f aca="false">MROUND(R463*'Fuel &amp; Inputs'!$C$20*'Fuel &amp; Inputs'!$C$22,500)</f>
        <v>88500</v>
      </c>
      <c r="Y463" s="26" t="n">
        <f aca="false">MROUND(S463*'Fuel &amp; Inputs'!$C$20*'Fuel &amp; Inputs'!$C$22,500)</f>
        <v>168500</v>
      </c>
      <c r="Z463" s="26" t="n">
        <f aca="false">MROUND(T463*'Fuel &amp; Inputs'!$C$20*'Fuel &amp; Inputs'!$C$22,500)</f>
        <v>174500</v>
      </c>
    </row>
    <row r="464" customFormat="false" ht="15" hidden="false" customHeight="false" outlineLevel="0" collapsed="false">
      <c r="A464" s="17" t="n">
        <v>435</v>
      </c>
      <c r="B464" s="32" t="s">
        <v>116</v>
      </c>
      <c r="C464" s="32" t="s">
        <v>330</v>
      </c>
      <c r="D464" s="32" t="s">
        <v>223</v>
      </c>
      <c r="E464" s="17" t="s">
        <v>223</v>
      </c>
      <c r="F464" s="17" t="s">
        <v>1093</v>
      </c>
      <c r="G464" s="17" t="s">
        <v>223</v>
      </c>
      <c r="H464" s="17" t="s">
        <v>153</v>
      </c>
      <c r="I464" s="17" t="s">
        <v>154</v>
      </c>
      <c r="J464" s="19" t="n">
        <v>5.8</v>
      </c>
      <c r="K464" s="19" t="n">
        <v>8</v>
      </c>
      <c r="L464" s="19" t="n">
        <v>10.8</v>
      </c>
      <c r="M464" s="33" t="n">
        <v>1</v>
      </c>
      <c r="N464" s="20" t="n">
        <f aca="false">IF(J464=0,0,IF($I464="L/km",MROUND(J464*$M464*IF($H464="Petrol",'Fuel &amp; Inputs'!$C$5,'Fuel &amp; Inputs'!$C$4),1),MROUND(J464*$M464*IF($H464="Petrol",'Fuel &amp; Inputs'!$C$5,'Fuel &amp; Inputs'!$C$4),10)))</f>
        <v>2220</v>
      </c>
      <c r="O464" s="20" t="n">
        <f aca="false">IF(K464=0,0,IF($I464="L/km",MROUND(K464*$M464*IF($H464="Petrol",'Fuel &amp; Inputs'!$C$5,'Fuel &amp; Inputs'!$C$4),1),MROUND(K464*$M464*IF($H464="Petrol",'Fuel &amp; Inputs'!$C$5,'Fuel &amp; Inputs'!$C$4),10)))</f>
        <v>3060</v>
      </c>
      <c r="P464" s="20" t="n">
        <f aca="false">IF(L464=0,0,IF($I464="L/km",MROUND(L464*$M464*IF($H464="Petrol",'Fuel &amp; Inputs'!$C$5,'Fuel &amp; Inputs'!$C$4),1),MROUND(L464*$M464*IF($H464="Petrol",'Fuel &amp; Inputs'!$C$5,'Fuel &amp; Inputs'!$C$4),10)))</f>
        <v>4130</v>
      </c>
      <c r="Q464" s="17" t="s">
        <v>155</v>
      </c>
      <c r="R464" s="21" t="n">
        <v>870</v>
      </c>
      <c r="S464" s="20" t="n">
        <f aca="false">MROUND(R464+'Fuel &amp; Inputs'!$C$13,50)</f>
        <v>1650</v>
      </c>
      <c r="T464" s="21" t="n">
        <v>1710</v>
      </c>
      <c r="U464" s="20" t="n">
        <f aca="false">MROUND(R464*'Fuel &amp; Inputs'!$C$19*'Fuel &amp; Inputs'!$C$21,100)</f>
        <v>3300</v>
      </c>
      <c r="V464" s="20" t="n">
        <f aca="false">MROUND(S464*'Fuel &amp; Inputs'!$C$19*'Fuel &amp; Inputs'!$C$21,100)</f>
        <v>6300</v>
      </c>
      <c r="W464" s="20" t="n">
        <f aca="false">MROUND(T464*'Fuel &amp; Inputs'!$C$19*'Fuel &amp; Inputs'!$C$21,100)</f>
        <v>6500</v>
      </c>
      <c r="X464" s="20" t="n">
        <f aca="false">MROUND(R464*'Fuel &amp; Inputs'!$C$20*'Fuel &amp; Inputs'!$C$22,500)</f>
        <v>88500</v>
      </c>
      <c r="Y464" s="20" t="n">
        <f aca="false">MROUND(S464*'Fuel &amp; Inputs'!$C$20*'Fuel &amp; Inputs'!$C$22,500)</f>
        <v>168500</v>
      </c>
      <c r="Z464" s="20" t="n">
        <f aca="false">MROUND(T464*'Fuel &amp; Inputs'!$C$20*'Fuel &amp; Inputs'!$C$22,500)</f>
        <v>174500</v>
      </c>
    </row>
    <row r="465" customFormat="false" ht="15" hidden="false" customHeight="false" outlineLevel="0" collapsed="false">
      <c r="A465" s="23" t="n">
        <v>436</v>
      </c>
      <c r="B465" s="34" t="s">
        <v>116</v>
      </c>
      <c r="C465" s="34" t="s">
        <v>330</v>
      </c>
      <c r="D465" s="34" t="s">
        <v>223</v>
      </c>
      <c r="E465" s="23" t="s">
        <v>223</v>
      </c>
      <c r="F465" s="23" t="s">
        <v>1094</v>
      </c>
      <c r="G465" s="23" t="s">
        <v>223</v>
      </c>
      <c r="H465" s="23" t="s">
        <v>153</v>
      </c>
      <c r="I465" s="23" t="s">
        <v>154</v>
      </c>
      <c r="J465" s="25" t="n">
        <v>5.8</v>
      </c>
      <c r="K465" s="25" t="n">
        <v>8</v>
      </c>
      <c r="L465" s="25" t="n">
        <v>10.8</v>
      </c>
      <c r="M465" s="35" t="n">
        <v>1</v>
      </c>
      <c r="N465" s="26" t="n">
        <f aca="false">IF(J465=0,0,IF($I465="L/km",MROUND(J465*$M465*IF($H465="Petrol",'Fuel &amp; Inputs'!$C$5,'Fuel &amp; Inputs'!$C$4),1),MROUND(J465*$M465*IF($H465="Petrol",'Fuel &amp; Inputs'!$C$5,'Fuel &amp; Inputs'!$C$4),10)))</f>
        <v>2220</v>
      </c>
      <c r="O465" s="26" t="n">
        <f aca="false">IF(K465=0,0,IF($I465="L/km",MROUND(K465*$M465*IF($H465="Petrol",'Fuel &amp; Inputs'!$C$5,'Fuel &amp; Inputs'!$C$4),1),MROUND(K465*$M465*IF($H465="Petrol",'Fuel &amp; Inputs'!$C$5,'Fuel &amp; Inputs'!$C$4),10)))</f>
        <v>3060</v>
      </c>
      <c r="P465" s="26" t="n">
        <f aca="false">IF(L465=0,0,IF($I465="L/km",MROUND(L465*$M465*IF($H465="Petrol",'Fuel &amp; Inputs'!$C$5,'Fuel &amp; Inputs'!$C$4),1),MROUND(L465*$M465*IF($H465="Petrol",'Fuel &amp; Inputs'!$C$5,'Fuel &amp; Inputs'!$C$4),10)))</f>
        <v>4130</v>
      </c>
      <c r="Q465" s="23" t="s">
        <v>155</v>
      </c>
      <c r="R465" s="27" t="n">
        <v>870</v>
      </c>
      <c r="S465" s="26" t="n">
        <f aca="false">MROUND(R465+'Fuel &amp; Inputs'!$C$13,50)</f>
        <v>1650</v>
      </c>
      <c r="T465" s="27" t="n">
        <v>1710</v>
      </c>
      <c r="U465" s="26" t="n">
        <f aca="false">MROUND(R465*'Fuel &amp; Inputs'!$C$19*'Fuel &amp; Inputs'!$C$21,100)</f>
        <v>3300</v>
      </c>
      <c r="V465" s="26" t="n">
        <f aca="false">MROUND(S465*'Fuel &amp; Inputs'!$C$19*'Fuel &amp; Inputs'!$C$21,100)</f>
        <v>6300</v>
      </c>
      <c r="W465" s="26" t="n">
        <f aca="false">MROUND(T465*'Fuel &amp; Inputs'!$C$19*'Fuel &amp; Inputs'!$C$21,100)</f>
        <v>6500</v>
      </c>
      <c r="X465" s="26" t="n">
        <f aca="false">MROUND(R465*'Fuel &amp; Inputs'!$C$20*'Fuel &amp; Inputs'!$C$22,500)</f>
        <v>88500</v>
      </c>
      <c r="Y465" s="26" t="n">
        <f aca="false">MROUND(S465*'Fuel &amp; Inputs'!$C$20*'Fuel &amp; Inputs'!$C$22,500)</f>
        <v>168500</v>
      </c>
      <c r="Z465" s="26" t="n">
        <f aca="false">MROUND(T465*'Fuel &amp; Inputs'!$C$20*'Fuel &amp; Inputs'!$C$22,500)</f>
        <v>174500</v>
      </c>
    </row>
    <row r="466" customFormat="false" ht="15" hidden="false" customHeight="false" outlineLevel="0" collapsed="false">
      <c r="A466" s="17" t="n">
        <v>437</v>
      </c>
      <c r="B466" s="32" t="s">
        <v>116</v>
      </c>
      <c r="C466" s="32" t="s">
        <v>330</v>
      </c>
      <c r="D466" s="32" t="s">
        <v>223</v>
      </c>
      <c r="E466" s="17" t="s">
        <v>223</v>
      </c>
      <c r="F466" s="17" t="s">
        <v>1095</v>
      </c>
      <c r="G466" s="17" t="s">
        <v>959</v>
      </c>
      <c r="H466" s="17" t="s">
        <v>153</v>
      </c>
      <c r="I466" s="17" t="s">
        <v>154</v>
      </c>
      <c r="J466" s="19" t="n">
        <v>5.8</v>
      </c>
      <c r="K466" s="19" t="n">
        <v>8</v>
      </c>
      <c r="L466" s="19" t="n">
        <v>10.8</v>
      </c>
      <c r="M466" s="33" t="n">
        <v>1</v>
      </c>
      <c r="N466" s="20" t="n">
        <f aca="false">IF(J466=0,0,IF($I466="L/km",MROUND(J466*$M466*IF($H466="Petrol",'Fuel &amp; Inputs'!$C$5,'Fuel &amp; Inputs'!$C$4),1),MROUND(J466*$M466*IF($H466="Petrol",'Fuel &amp; Inputs'!$C$5,'Fuel &amp; Inputs'!$C$4),10)))</f>
        <v>2220</v>
      </c>
      <c r="O466" s="20" t="n">
        <f aca="false">IF(K466=0,0,IF($I466="L/km",MROUND(K466*$M466*IF($H466="Petrol",'Fuel &amp; Inputs'!$C$5,'Fuel &amp; Inputs'!$C$4),1),MROUND(K466*$M466*IF($H466="Petrol",'Fuel &amp; Inputs'!$C$5,'Fuel &amp; Inputs'!$C$4),10)))</f>
        <v>3060</v>
      </c>
      <c r="P466" s="20" t="n">
        <f aca="false">IF(L466=0,0,IF($I466="L/km",MROUND(L466*$M466*IF($H466="Petrol",'Fuel &amp; Inputs'!$C$5,'Fuel &amp; Inputs'!$C$4),1),MROUND(L466*$M466*IF($H466="Petrol",'Fuel &amp; Inputs'!$C$5,'Fuel &amp; Inputs'!$C$4),10)))</f>
        <v>4130</v>
      </c>
      <c r="Q466" s="17" t="s">
        <v>155</v>
      </c>
      <c r="R466" s="21" t="n">
        <v>870</v>
      </c>
      <c r="S466" s="20" t="n">
        <f aca="false">MROUND(R466+'Fuel &amp; Inputs'!$C$13,50)</f>
        <v>1650</v>
      </c>
      <c r="T466" s="21" t="n">
        <v>1710</v>
      </c>
      <c r="U466" s="20" t="n">
        <f aca="false">MROUND(R466*'Fuel &amp; Inputs'!$C$19*'Fuel &amp; Inputs'!$C$21,100)</f>
        <v>3300</v>
      </c>
      <c r="V466" s="20" t="n">
        <f aca="false">MROUND(S466*'Fuel &amp; Inputs'!$C$19*'Fuel &amp; Inputs'!$C$21,100)</f>
        <v>6300</v>
      </c>
      <c r="W466" s="20" t="n">
        <f aca="false">MROUND(T466*'Fuel &amp; Inputs'!$C$19*'Fuel &amp; Inputs'!$C$21,100)</f>
        <v>6500</v>
      </c>
      <c r="X466" s="20" t="n">
        <f aca="false">MROUND(R466*'Fuel &amp; Inputs'!$C$20*'Fuel &amp; Inputs'!$C$22,500)</f>
        <v>88500</v>
      </c>
      <c r="Y466" s="20" t="n">
        <f aca="false">MROUND(S466*'Fuel &amp; Inputs'!$C$20*'Fuel &amp; Inputs'!$C$22,500)</f>
        <v>168500</v>
      </c>
      <c r="Z466" s="20" t="n">
        <f aca="false">MROUND(T466*'Fuel &amp; Inputs'!$C$20*'Fuel &amp; Inputs'!$C$22,500)</f>
        <v>174500</v>
      </c>
    </row>
    <row r="467" customFormat="false" ht="15" hidden="false" customHeight="false" outlineLevel="0" collapsed="false">
      <c r="A467" s="23" t="n">
        <v>438</v>
      </c>
      <c r="B467" s="34" t="s">
        <v>116</v>
      </c>
      <c r="C467" s="34" t="s">
        <v>330</v>
      </c>
      <c r="D467" s="34" t="s">
        <v>223</v>
      </c>
      <c r="E467" s="23" t="s">
        <v>223</v>
      </c>
      <c r="F467" s="23" t="s">
        <v>1096</v>
      </c>
      <c r="G467" s="23" t="s">
        <v>223</v>
      </c>
      <c r="H467" s="23" t="s">
        <v>153</v>
      </c>
      <c r="I467" s="23" t="s">
        <v>154</v>
      </c>
      <c r="J467" s="25" t="n">
        <v>5.8</v>
      </c>
      <c r="K467" s="25" t="n">
        <v>8</v>
      </c>
      <c r="L467" s="25" t="n">
        <v>10.8</v>
      </c>
      <c r="M467" s="35" t="n">
        <v>1</v>
      </c>
      <c r="N467" s="26" t="n">
        <f aca="false">IF(J467=0,0,IF($I467="L/km",MROUND(J467*$M467*IF($H467="Petrol",'Fuel &amp; Inputs'!$C$5,'Fuel &amp; Inputs'!$C$4),1),MROUND(J467*$M467*IF($H467="Petrol",'Fuel &amp; Inputs'!$C$5,'Fuel &amp; Inputs'!$C$4),10)))</f>
        <v>2220</v>
      </c>
      <c r="O467" s="26" t="n">
        <f aca="false">IF(K467=0,0,IF($I467="L/km",MROUND(K467*$M467*IF($H467="Petrol",'Fuel &amp; Inputs'!$C$5,'Fuel &amp; Inputs'!$C$4),1),MROUND(K467*$M467*IF($H467="Petrol",'Fuel &amp; Inputs'!$C$5,'Fuel &amp; Inputs'!$C$4),10)))</f>
        <v>3060</v>
      </c>
      <c r="P467" s="26" t="n">
        <f aca="false">IF(L467=0,0,IF($I467="L/km",MROUND(L467*$M467*IF($H467="Petrol",'Fuel &amp; Inputs'!$C$5,'Fuel &amp; Inputs'!$C$4),1),MROUND(L467*$M467*IF($H467="Petrol",'Fuel &amp; Inputs'!$C$5,'Fuel &amp; Inputs'!$C$4),10)))</f>
        <v>4130</v>
      </c>
      <c r="Q467" s="23" t="s">
        <v>155</v>
      </c>
      <c r="R467" s="27" t="n">
        <v>870</v>
      </c>
      <c r="S467" s="26" t="n">
        <f aca="false">MROUND(R467+'Fuel &amp; Inputs'!$C$13,50)</f>
        <v>1650</v>
      </c>
      <c r="T467" s="27" t="n">
        <v>1710</v>
      </c>
      <c r="U467" s="26" t="n">
        <f aca="false">MROUND(R467*'Fuel &amp; Inputs'!$C$19*'Fuel &amp; Inputs'!$C$21,100)</f>
        <v>3300</v>
      </c>
      <c r="V467" s="26" t="n">
        <f aca="false">MROUND(S467*'Fuel &amp; Inputs'!$C$19*'Fuel &amp; Inputs'!$C$21,100)</f>
        <v>6300</v>
      </c>
      <c r="W467" s="26" t="n">
        <f aca="false">MROUND(T467*'Fuel &amp; Inputs'!$C$19*'Fuel &amp; Inputs'!$C$21,100)</f>
        <v>6500</v>
      </c>
      <c r="X467" s="26" t="n">
        <f aca="false">MROUND(R467*'Fuel &amp; Inputs'!$C$20*'Fuel &amp; Inputs'!$C$22,500)</f>
        <v>88500</v>
      </c>
      <c r="Y467" s="26" t="n">
        <f aca="false">MROUND(S467*'Fuel &amp; Inputs'!$C$20*'Fuel &amp; Inputs'!$C$22,500)</f>
        <v>168500</v>
      </c>
      <c r="Z467" s="26" t="n">
        <f aca="false">MROUND(T467*'Fuel &amp; Inputs'!$C$20*'Fuel &amp; Inputs'!$C$22,500)</f>
        <v>174500</v>
      </c>
    </row>
    <row r="468" customFormat="false" ht="15" hidden="false" customHeight="false" outlineLevel="0" collapsed="false">
      <c r="A468" s="17" t="n">
        <v>439</v>
      </c>
      <c r="B468" s="32" t="s">
        <v>116</v>
      </c>
      <c r="C468" s="32" t="s">
        <v>330</v>
      </c>
      <c r="D468" s="32" t="s">
        <v>223</v>
      </c>
      <c r="E468" s="17" t="s">
        <v>223</v>
      </c>
      <c r="F468" s="17" t="s">
        <v>1097</v>
      </c>
      <c r="G468" s="17" t="s">
        <v>223</v>
      </c>
      <c r="H468" s="17" t="s">
        <v>153</v>
      </c>
      <c r="I468" s="17" t="s">
        <v>154</v>
      </c>
      <c r="J468" s="19" t="n">
        <v>5.8</v>
      </c>
      <c r="K468" s="19" t="n">
        <v>8</v>
      </c>
      <c r="L468" s="19" t="n">
        <v>10.8</v>
      </c>
      <c r="M468" s="33" t="n">
        <v>1</v>
      </c>
      <c r="N468" s="20" t="n">
        <f aca="false">IF(J468=0,0,IF($I468="L/km",MROUND(J468*$M468*IF($H468="Petrol",'Fuel &amp; Inputs'!$C$5,'Fuel &amp; Inputs'!$C$4),1),MROUND(J468*$M468*IF($H468="Petrol",'Fuel &amp; Inputs'!$C$5,'Fuel &amp; Inputs'!$C$4),10)))</f>
        <v>2220</v>
      </c>
      <c r="O468" s="20" t="n">
        <f aca="false">IF(K468=0,0,IF($I468="L/km",MROUND(K468*$M468*IF($H468="Petrol",'Fuel &amp; Inputs'!$C$5,'Fuel &amp; Inputs'!$C$4),1),MROUND(K468*$M468*IF($H468="Petrol",'Fuel &amp; Inputs'!$C$5,'Fuel &amp; Inputs'!$C$4),10)))</f>
        <v>3060</v>
      </c>
      <c r="P468" s="20" t="n">
        <f aca="false">IF(L468=0,0,IF($I468="L/km",MROUND(L468*$M468*IF($H468="Petrol",'Fuel &amp; Inputs'!$C$5,'Fuel &amp; Inputs'!$C$4),1),MROUND(L468*$M468*IF($H468="Petrol",'Fuel &amp; Inputs'!$C$5,'Fuel &amp; Inputs'!$C$4),10)))</f>
        <v>4130</v>
      </c>
      <c r="Q468" s="17" t="s">
        <v>155</v>
      </c>
      <c r="R468" s="21" t="n">
        <v>870</v>
      </c>
      <c r="S468" s="20" t="n">
        <f aca="false">MROUND(R468+'Fuel &amp; Inputs'!$C$13,50)</f>
        <v>1650</v>
      </c>
      <c r="T468" s="21" t="n">
        <v>1710</v>
      </c>
      <c r="U468" s="20" t="n">
        <f aca="false">MROUND(R468*'Fuel &amp; Inputs'!$C$19*'Fuel &amp; Inputs'!$C$21,100)</f>
        <v>3300</v>
      </c>
      <c r="V468" s="20" t="n">
        <f aca="false">MROUND(S468*'Fuel &amp; Inputs'!$C$19*'Fuel &amp; Inputs'!$C$21,100)</f>
        <v>6300</v>
      </c>
      <c r="W468" s="20" t="n">
        <f aca="false">MROUND(T468*'Fuel &amp; Inputs'!$C$19*'Fuel &amp; Inputs'!$C$21,100)</f>
        <v>6500</v>
      </c>
      <c r="X468" s="20" t="n">
        <f aca="false">MROUND(R468*'Fuel &amp; Inputs'!$C$20*'Fuel &amp; Inputs'!$C$22,500)</f>
        <v>88500</v>
      </c>
      <c r="Y468" s="20" t="n">
        <f aca="false">MROUND(S468*'Fuel &amp; Inputs'!$C$20*'Fuel &amp; Inputs'!$C$22,500)</f>
        <v>168500</v>
      </c>
      <c r="Z468" s="20" t="n">
        <f aca="false">MROUND(T468*'Fuel &amp; Inputs'!$C$20*'Fuel &amp; Inputs'!$C$22,500)</f>
        <v>174500</v>
      </c>
    </row>
    <row r="469" customFormat="false" ht="15" hidden="false" customHeight="false" outlineLevel="0" collapsed="false">
      <c r="A469" s="23" t="n">
        <v>440</v>
      </c>
      <c r="B469" s="34" t="s">
        <v>116</v>
      </c>
      <c r="C469" s="34" t="s">
        <v>330</v>
      </c>
      <c r="D469" s="34" t="s">
        <v>223</v>
      </c>
      <c r="E469" s="23" t="s">
        <v>223</v>
      </c>
      <c r="F469" s="23" t="s">
        <v>1098</v>
      </c>
      <c r="G469" s="23" t="s">
        <v>223</v>
      </c>
      <c r="H469" s="23" t="s">
        <v>153</v>
      </c>
      <c r="I469" s="23" t="s">
        <v>154</v>
      </c>
      <c r="J469" s="25" t="n">
        <v>5.8</v>
      </c>
      <c r="K469" s="25" t="n">
        <v>8</v>
      </c>
      <c r="L469" s="25" t="n">
        <v>10.8</v>
      </c>
      <c r="M469" s="35" t="n">
        <v>1</v>
      </c>
      <c r="N469" s="26" t="n">
        <f aca="false">IF(J469=0,0,IF($I469="L/km",MROUND(J469*$M469*IF($H469="Petrol",'Fuel &amp; Inputs'!$C$5,'Fuel &amp; Inputs'!$C$4),1),MROUND(J469*$M469*IF($H469="Petrol",'Fuel &amp; Inputs'!$C$5,'Fuel &amp; Inputs'!$C$4),10)))</f>
        <v>2220</v>
      </c>
      <c r="O469" s="26" t="n">
        <f aca="false">IF(K469=0,0,IF($I469="L/km",MROUND(K469*$M469*IF($H469="Petrol",'Fuel &amp; Inputs'!$C$5,'Fuel &amp; Inputs'!$C$4),1),MROUND(K469*$M469*IF($H469="Petrol",'Fuel &amp; Inputs'!$C$5,'Fuel &amp; Inputs'!$C$4),10)))</f>
        <v>3060</v>
      </c>
      <c r="P469" s="26" t="n">
        <f aca="false">IF(L469=0,0,IF($I469="L/km",MROUND(L469*$M469*IF($H469="Petrol",'Fuel &amp; Inputs'!$C$5,'Fuel &amp; Inputs'!$C$4),1),MROUND(L469*$M469*IF($H469="Petrol",'Fuel &amp; Inputs'!$C$5,'Fuel &amp; Inputs'!$C$4),10)))</f>
        <v>4130</v>
      </c>
      <c r="Q469" s="23" t="s">
        <v>155</v>
      </c>
      <c r="R469" s="27" t="n">
        <v>870</v>
      </c>
      <c r="S469" s="26" t="n">
        <f aca="false">MROUND(R469+'Fuel &amp; Inputs'!$C$13,50)</f>
        <v>1650</v>
      </c>
      <c r="T469" s="27" t="n">
        <v>1710</v>
      </c>
      <c r="U469" s="26" t="n">
        <f aca="false">MROUND(R469*'Fuel &amp; Inputs'!$C$19*'Fuel &amp; Inputs'!$C$21,100)</f>
        <v>3300</v>
      </c>
      <c r="V469" s="26" t="n">
        <f aca="false">MROUND(S469*'Fuel &amp; Inputs'!$C$19*'Fuel &amp; Inputs'!$C$21,100)</f>
        <v>6300</v>
      </c>
      <c r="W469" s="26" t="n">
        <f aca="false">MROUND(T469*'Fuel &amp; Inputs'!$C$19*'Fuel &amp; Inputs'!$C$21,100)</f>
        <v>6500</v>
      </c>
      <c r="X469" s="26" t="n">
        <f aca="false">MROUND(R469*'Fuel &amp; Inputs'!$C$20*'Fuel &amp; Inputs'!$C$22,500)</f>
        <v>88500</v>
      </c>
      <c r="Y469" s="26" t="n">
        <f aca="false">MROUND(S469*'Fuel &amp; Inputs'!$C$20*'Fuel &amp; Inputs'!$C$22,500)</f>
        <v>168500</v>
      </c>
      <c r="Z469" s="26" t="n">
        <f aca="false">MROUND(T469*'Fuel &amp; Inputs'!$C$20*'Fuel &amp; Inputs'!$C$22,500)</f>
        <v>174500</v>
      </c>
    </row>
    <row r="470" customFormat="false" ht="15" hidden="false" customHeight="true" outlineLevel="0" collapsed="false">
      <c r="A470" s="31" t="s">
        <v>1099</v>
      </c>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ustomFormat="false" ht="15" hidden="false" customHeight="false" outlineLevel="0" collapsed="false">
      <c r="A471" s="17" t="n">
        <v>441</v>
      </c>
      <c r="B471" s="32" t="s">
        <v>118</v>
      </c>
      <c r="C471" s="32" t="s">
        <v>649</v>
      </c>
      <c r="D471" s="32" t="s">
        <v>1100</v>
      </c>
      <c r="E471" s="17" t="s">
        <v>166</v>
      </c>
      <c r="F471" s="17" t="s">
        <v>1101</v>
      </c>
      <c r="G471" s="17" t="s">
        <v>1102</v>
      </c>
      <c r="H471" s="17" t="s">
        <v>153</v>
      </c>
      <c r="I471" s="17" t="s">
        <v>154</v>
      </c>
      <c r="J471" s="19" t="n">
        <v>4.3</v>
      </c>
      <c r="K471" s="19" t="n">
        <v>6</v>
      </c>
      <c r="L471" s="19" t="n">
        <v>8.1</v>
      </c>
      <c r="M471" s="33" t="n">
        <v>1.098</v>
      </c>
      <c r="N471" s="20" t="n">
        <f aca="false">IF(J471=0,0,IF($I471="L/km",MROUND(J471*$M471*IF($H471="Petrol",'Fuel &amp; Inputs'!$C$5,'Fuel &amp; Inputs'!$C$4),1),MROUND(J471*$M471*IF($H471="Petrol",'Fuel &amp; Inputs'!$C$5,'Fuel &amp; Inputs'!$C$4),10)))</f>
        <v>1800</v>
      </c>
      <c r="O471" s="20" t="n">
        <f aca="false">IF(K471=0,0,IF($I471="L/km",MROUND(K471*$M471*IF($H471="Petrol",'Fuel &amp; Inputs'!$C$5,'Fuel &amp; Inputs'!$C$4),1),MROUND(K471*$M471*IF($H471="Petrol",'Fuel &amp; Inputs'!$C$5,'Fuel &amp; Inputs'!$C$4),10)))</f>
        <v>2520</v>
      </c>
      <c r="P471" s="20" t="n">
        <f aca="false">IF(L471=0,0,IF($I471="L/km",MROUND(L471*$M471*IF($H471="Petrol",'Fuel &amp; Inputs'!$C$5,'Fuel &amp; Inputs'!$C$4),1),MROUND(L471*$M471*IF($H471="Petrol",'Fuel &amp; Inputs'!$C$5,'Fuel &amp; Inputs'!$C$4),10)))</f>
        <v>3400</v>
      </c>
      <c r="Q471" s="17" t="s">
        <v>155</v>
      </c>
      <c r="R471" s="21" t="n">
        <v>940</v>
      </c>
      <c r="S471" s="20" t="n">
        <f aca="false">MROUND(R471+'Fuel &amp; Inputs'!$C$13,50)</f>
        <v>1750</v>
      </c>
      <c r="T471" s="21" t="n">
        <v>1720</v>
      </c>
      <c r="U471" s="20" t="n">
        <f aca="false">MROUND(R471*'Fuel &amp; Inputs'!$C$19*'Fuel &amp; Inputs'!$C$21,100)</f>
        <v>3600</v>
      </c>
      <c r="V471" s="20" t="n">
        <f aca="false">MROUND(S471*'Fuel &amp; Inputs'!$C$19*'Fuel &amp; Inputs'!$C$21,100)</f>
        <v>6700</v>
      </c>
      <c r="W471" s="20" t="n">
        <f aca="false">MROUND(T471*'Fuel &amp; Inputs'!$C$19*'Fuel &amp; Inputs'!$C$21,100)</f>
        <v>6500</v>
      </c>
      <c r="X471" s="20" t="n">
        <f aca="false">MROUND(R471*'Fuel &amp; Inputs'!$C$20*'Fuel &amp; Inputs'!$C$22,500)</f>
        <v>96000</v>
      </c>
      <c r="Y471" s="20" t="n">
        <f aca="false">MROUND(S471*'Fuel &amp; Inputs'!$C$20*'Fuel &amp; Inputs'!$C$22,500)</f>
        <v>178500</v>
      </c>
      <c r="Z471" s="20" t="n">
        <f aca="false">MROUND(T471*'Fuel &amp; Inputs'!$C$20*'Fuel &amp; Inputs'!$C$22,500)</f>
        <v>175500</v>
      </c>
    </row>
    <row r="472" customFormat="false" ht="15" hidden="false" customHeight="false" outlineLevel="0" collapsed="false">
      <c r="A472" s="23" t="n">
        <v>442</v>
      </c>
      <c r="B472" s="34" t="s">
        <v>118</v>
      </c>
      <c r="C472" s="34" t="s">
        <v>649</v>
      </c>
      <c r="D472" s="34" t="s">
        <v>1100</v>
      </c>
      <c r="E472" s="23" t="s">
        <v>166</v>
      </c>
      <c r="F472" s="23" t="s">
        <v>1103</v>
      </c>
      <c r="G472" s="23" t="s">
        <v>1104</v>
      </c>
      <c r="H472" s="23" t="s">
        <v>153</v>
      </c>
      <c r="I472" s="23" t="s">
        <v>154</v>
      </c>
      <c r="J472" s="25" t="n">
        <v>4.3</v>
      </c>
      <c r="K472" s="25" t="n">
        <v>6</v>
      </c>
      <c r="L472" s="25" t="n">
        <v>8.1</v>
      </c>
      <c r="M472" s="35" t="n">
        <v>1.098</v>
      </c>
      <c r="N472" s="26" t="n">
        <f aca="false">IF(J472=0,0,IF($I472="L/km",MROUND(J472*$M472*IF($H472="Petrol",'Fuel &amp; Inputs'!$C$5,'Fuel &amp; Inputs'!$C$4),1),MROUND(J472*$M472*IF($H472="Petrol",'Fuel &amp; Inputs'!$C$5,'Fuel &amp; Inputs'!$C$4),10)))</f>
        <v>1800</v>
      </c>
      <c r="O472" s="26" t="n">
        <f aca="false">IF(K472=0,0,IF($I472="L/km",MROUND(K472*$M472*IF($H472="Petrol",'Fuel &amp; Inputs'!$C$5,'Fuel &amp; Inputs'!$C$4),1),MROUND(K472*$M472*IF($H472="Petrol",'Fuel &amp; Inputs'!$C$5,'Fuel &amp; Inputs'!$C$4),10)))</f>
        <v>2520</v>
      </c>
      <c r="P472" s="26" t="n">
        <f aca="false">IF(L472=0,0,IF($I472="L/km",MROUND(L472*$M472*IF($H472="Petrol",'Fuel &amp; Inputs'!$C$5,'Fuel &amp; Inputs'!$C$4),1),MROUND(L472*$M472*IF($H472="Petrol",'Fuel &amp; Inputs'!$C$5,'Fuel &amp; Inputs'!$C$4),10)))</f>
        <v>3400</v>
      </c>
      <c r="Q472" s="23" t="s">
        <v>155</v>
      </c>
      <c r="R472" s="27" t="n">
        <v>940</v>
      </c>
      <c r="S472" s="26" t="n">
        <f aca="false">MROUND(R472+'Fuel &amp; Inputs'!$C$13,50)</f>
        <v>1750</v>
      </c>
      <c r="T472" s="27" t="n">
        <v>1720</v>
      </c>
      <c r="U472" s="26" t="n">
        <f aca="false">MROUND(R472*'Fuel &amp; Inputs'!$C$19*'Fuel &amp; Inputs'!$C$21,100)</f>
        <v>3600</v>
      </c>
      <c r="V472" s="26" t="n">
        <f aca="false">MROUND(S472*'Fuel &amp; Inputs'!$C$19*'Fuel &amp; Inputs'!$C$21,100)</f>
        <v>6700</v>
      </c>
      <c r="W472" s="26" t="n">
        <f aca="false">MROUND(T472*'Fuel &amp; Inputs'!$C$19*'Fuel &amp; Inputs'!$C$21,100)</f>
        <v>6500</v>
      </c>
      <c r="X472" s="26" t="n">
        <f aca="false">MROUND(R472*'Fuel &amp; Inputs'!$C$20*'Fuel &amp; Inputs'!$C$22,500)</f>
        <v>96000</v>
      </c>
      <c r="Y472" s="26" t="n">
        <f aca="false">MROUND(S472*'Fuel &amp; Inputs'!$C$20*'Fuel &amp; Inputs'!$C$22,500)</f>
        <v>178500</v>
      </c>
      <c r="Z472" s="26" t="n">
        <f aca="false">MROUND(T472*'Fuel &amp; Inputs'!$C$20*'Fuel &amp; Inputs'!$C$22,500)</f>
        <v>175500</v>
      </c>
    </row>
    <row r="473" customFormat="false" ht="15" hidden="false" customHeight="false" outlineLevel="0" collapsed="false">
      <c r="A473" s="17" t="n">
        <v>443</v>
      </c>
      <c r="B473" s="32" t="s">
        <v>118</v>
      </c>
      <c r="C473" s="32" t="s">
        <v>649</v>
      </c>
      <c r="D473" s="32" t="s">
        <v>1105</v>
      </c>
      <c r="E473" s="17" t="s">
        <v>166</v>
      </c>
      <c r="F473" s="17" t="s">
        <v>1106</v>
      </c>
      <c r="G473" s="17" t="s">
        <v>1107</v>
      </c>
      <c r="H473" s="17" t="s">
        <v>153</v>
      </c>
      <c r="I473" s="17" t="s">
        <v>154</v>
      </c>
      <c r="J473" s="19" t="n">
        <v>4.3</v>
      </c>
      <c r="K473" s="19" t="n">
        <v>6</v>
      </c>
      <c r="L473" s="19" t="n">
        <v>8.1</v>
      </c>
      <c r="M473" s="33" t="n">
        <v>1.098</v>
      </c>
      <c r="N473" s="20" t="n">
        <f aca="false">IF(J473=0,0,IF($I473="L/km",MROUND(J473*$M473*IF($H473="Petrol",'Fuel &amp; Inputs'!$C$5,'Fuel &amp; Inputs'!$C$4),1),MROUND(J473*$M473*IF($H473="Petrol",'Fuel &amp; Inputs'!$C$5,'Fuel &amp; Inputs'!$C$4),10)))</f>
        <v>1800</v>
      </c>
      <c r="O473" s="20" t="n">
        <f aca="false">IF(K473=0,0,IF($I473="L/km",MROUND(K473*$M473*IF($H473="Petrol",'Fuel &amp; Inputs'!$C$5,'Fuel &amp; Inputs'!$C$4),1),MROUND(K473*$M473*IF($H473="Petrol",'Fuel &amp; Inputs'!$C$5,'Fuel &amp; Inputs'!$C$4),10)))</f>
        <v>2520</v>
      </c>
      <c r="P473" s="20" t="n">
        <f aca="false">IF(L473=0,0,IF($I473="L/km",MROUND(L473*$M473*IF($H473="Petrol",'Fuel &amp; Inputs'!$C$5,'Fuel &amp; Inputs'!$C$4),1),MROUND(L473*$M473*IF($H473="Petrol",'Fuel &amp; Inputs'!$C$5,'Fuel &amp; Inputs'!$C$4),10)))</f>
        <v>3400</v>
      </c>
      <c r="Q473" s="17" t="s">
        <v>155</v>
      </c>
      <c r="R473" s="21" t="n">
        <v>940</v>
      </c>
      <c r="S473" s="20" t="n">
        <f aca="false">MROUND(R473+'Fuel &amp; Inputs'!$C$13,50)</f>
        <v>1750</v>
      </c>
      <c r="T473" s="21" t="n">
        <v>1720</v>
      </c>
      <c r="U473" s="20" t="n">
        <f aca="false">MROUND(R473*'Fuel &amp; Inputs'!$C$19*'Fuel &amp; Inputs'!$C$21,100)</f>
        <v>3600</v>
      </c>
      <c r="V473" s="20" t="n">
        <f aca="false">MROUND(S473*'Fuel &amp; Inputs'!$C$19*'Fuel &amp; Inputs'!$C$21,100)</f>
        <v>6700</v>
      </c>
      <c r="W473" s="20" t="n">
        <f aca="false">MROUND(T473*'Fuel &amp; Inputs'!$C$19*'Fuel &amp; Inputs'!$C$21,100)</f>
        <v>6500</v>
      </c>
      <c r="X473" s="20" t="n">
        <f aca="false">MROUND(R473*'Fuel &amp; Inputs'!$C$20*'Fuel &amp; Inputs'!$C$22,500)</f>
        <v>96000</v>
      </c>
      <c r="Y473" s="20" t="n">
        <f aca="false">MROUND(S473*'Fuel &amp; Inputs'!$C$20*'Fuel &amp; Inputs'!$C$22,500)</f>
        <v>178500</v>
      </c>
      <c r="Z473" s="20" t="n">
        <f aca="false">MROUND(T473*'Fuel &amp; Inputs'!$C$20*'Fuel &amp; Inputs'!$C$22,500)</f>
        <v>175500</v>
      </c>
    </row>
    <row r="474" customFormat="false" ht="15" hidden="false" customHeight="false" outlineLevel="0" collapsed="false">
      <c r="A474" s="23" t="n">
        <v>444</v>
      </c>
      <c r="B474" s="34" t="s">
        <v>118</v>
      </c>
      <c r="C474" s="34" t="s">
        <v>1108</v>
      </c>
      <c r="D474" s="34" t="s">
        <v>1109</v>
      </c>
      <c r="E474" s="23" t="s">
        <v>166</v>
      </c>
      <c r="F474" s="23" t="s">
        <v>1110</v>
      </c>
      <c r="G474" s="23" t="s">
        <v>1111</v>
      </c>
      <c r="H474" s="23" t="s">
        <v>153</v>
      </c>
      <c r="I474" s="23" t="s">
        <v>154</v>
      </c>
      <c r="J474" s="25" t="n">
        <v>4.3</v>
      </c>
      <c r="K474" s="25" t="n">
        <v>6</v>
      </c>
      <c r="L474" s="25" t="n">
        <v>8.1</v>
      </c>
      <c r="M474" s="35" t="n">
        <v>1.098</v>
      </c>
      <c r="N474" s="26" t="n">
        <f aca="false">IF(J474=0,0,IF($I474="L/km",MROUND(J474*$M474*IF($H474="Petrol",'Fuel &amp; Inputs'!$C$5,'Fuel &amp; Inputs'!$C$4),1),MROUND(J474*$M474*IF($H474="Petrol",'Fuel &amp; Inputs'!$C$5,'Fuel &amp; Inputs'!$C$4),10)))</f>
        <v>1800</v>
      </c>
      <c r="O474" s="26" t="n">
        <f aca="false">IF(K474=0,0,IF($I474="L/km",MROUND(K474*$M474*IF($H474="Petrol",'Fuel &amp; Inputs'!$C$5,'Fuel &amp; Inputs'!$C$4),1),MROUND(K474*$M474*IF($H474="Petrol",'Fuel &amp; Inputs'!$C$5,'Fuel &amp; Inputs'!$C$4),10)))</f>
        <v>2520</v>
      </c>
      <c r="P474" s="26" t="n">
        <f aca="false">IF(L474=0,0,IF($I474="L/km",MROUND(L474*$M474*IF($H474="Petrol",'Fuel &amp; Inputs'!$C$5,'Fuel &amp; Inputs'!$C$4),1),MROUND(L474*$M474*IF($H474="Petrol",'Fuel &amp; Inputs'!$C$5,'Fuel &amp; Inputs'!$C$4),10)))</f>
        <v>3400</v>
      </c>
      <c r="Q474" s="23" t="s">
        <v>155</v>
      </c>
      <c r="R474" s="27" t="n">
        <v>940</v>
      </c>
      <c r="S474" s="26" t="n">
        <f aca="false">MROUND(R474+'Fuel &amp; Inputs'!$C$13,50)</f>
        <v>1750</v>
      </c>
      <c r="T474" s="27" t="n">
        <v>1720</v>
      </c>
      <c r="U474" s="26" t="n">
        <f aca="false">MROUND(R474*'Fuel &amp; Inputs'!$C$19*'Fuel &amp; Inputs'!$C$21,100)</f>
        <v>3600</v>
      </c>
      <c r="V474" s="26" t="n">
        <f aca="false">MROUND(S474*'Fuel &amp; Inputs'!$C$19*'Fuel &amp; Inputs'!$C$21,100)</f>
        <v>6700</v>
      </c>
      <c r="W474" s="26" t="n">
        <f aca="false">MROUND(T474*'Fuel &amp; Inputs'!$C$19*'Fuel &amp; Inputs'!$C$21,100)</f>
        <v>6500</v>
      </c>
      <c r="X474" s="26" t="n">
        <f aca="false">MROUND(R474*'Fuel &amp; Inputs'!$C$20*'Fuel &amp; Inputs'!$C$22,500)</f>
        <v>96000</v>
      </c>
      <c r="Y474" s="26" t="n">
        <f aca="false">MROUND(S474*'Fuel &amp; Inputs'!$C$20*'Fuel &amp; Inputs'!$C$22,500)</f>
        <v>178500</v>
      </c>
      <c r="Z474" s="26" t="n">
        <f aca="false">MROUND(T474*'Fuel &amp; Inputs'!$C$20*'Fuel &amp; Inputs'!$C$22,500)</f>
        <v>175500</v>
      </c>
    </row>
    <row r="475" customFormat="false" ht="23.85" hidden="false" customHeight="false" outlineLevel="0" collapsed="false">
      <c r="A475" s="17" t="n">
        <v>445</v>
      </c>
      <c r="B475" s="32" t="s">
        <v>118</v>
      </c>
      <c r="C475" s="32" t="s">
        <v>1112</v>
      </c>
      <c r="D475" s="32" t="s">
        <v>1113</v>
      </c>
      <c r="E475" s="17" t="s">
        <v>475</v>
      </c>
      <c r="F475" s="17" t="s">
        <v>1114</v>
      </c>
      <c r="G475" s="17" t="s">
        <v>1115</v>
      </c>
      <c r="H475" s="17" t="s">
        <v>153</v>
      </c>
      <c r="I475" s="17" t="s">
        <v>154</v>
      </c>
      <c r="J475" s="19" t="n">
        <v>4.3</v>
      </c>
      <c r="K475" s="19" t="n">
        <v>6</v>
      </c>
      <c r="L475" s="19" t="n">
        <v>8.1</v>
      </c>
      <c r="M475" s="33" t="n">
        <v>1.126</v>
      </c>
      <c r="N475" s="20" t="n">
        <f aca="false">IF(J475=0,0,IF($I475="L/km",MROUND(J475*$M475*IF($H475="Petrol",'Fuel &amp; Inputs'!$C$5,'Fuel &amp; Inputs'!$C$4),1),MROUND(J475*$M475*IF($H475="Petrol",'Fuel &amp; Inputs'!$C$5,'Fuel &amp; Inputs'!$C$4),10)))</f>
        <v>1850</v>
      </c>
      <c r="O475" s="20" t="n">
        <f aca="false">IF(K475=0,0,IF($I475="L/km",MROUND(K475*$M475*IF($H475="Petrol",'Fuel &amp; Inputs'!$C$5,'Fuel &amp; Inputs'!$C$4),1),MROUND(K475*$M475*IF($H475="Petrol",'Fuel &amp; Inputs'!$C$5,'Fuel &amp; Inputs'!$C$4),10)))</f>
        <v>2580</v>
      </c>
      <c r="P475" s="20" t="n">
        <f aca="false">IF(L475=0,0,IF($I475="L/km",MROUND(L475*$M475*IF($H475="Petrol",'Fuel &amp; Inputs'!$C$5,'Fuel &amp; Inputs'!$C$4),1),MROUND(L475*$M475*IF($H475="Petrol",'Fuel &amp; Inputs'!$C$5,'Fuel &amp; Inputs'!$C$4),10)))</f>
        <v>3480</v>
      </c>
      <c r="Q475" s="17" t="s">
        <v>155</v>
      </c>
      <c r="R475" s="21" t="n">
        <v>830</v>
      </c>
      <c r="S475" s="20" t="n">
        <f aca="false">MROUND(R475+'Fuel &amp; Inputs'!$C$13,50)</f>
        <v>1650</v>
      </c>
      <c r="T475" s="21" t="n">
        <v>1510</v>
      </c>
      <c r="U475" s="20" t="n">
        <f aca="false">MROUND(R475*'Fuel &amp; Inputs'!$C$19*'Fuel &amp; Inputs'!$C$21,100)</f>
        <v>3200</v>
      </c>
      <c r="V475" s="20" t="n">
        <f aca="false">MROUND(S475*'Fuel &amp; Inputs'!$C$19*'Fuel &amp; Inputs'!$C$21,100)</f>
        <v>6300</v>
      </c>
      <c r="W475" s="20" t="n">
        <f aca="false">MROUND(T475*'Fuel &amp; Inputs'!$C$19*'Fuel &amp; Inputs'!$C$21,100)</f>
        <v>5700</v>
      </c>
      <c r="X475" s="20" t="n">
        <f aca="false">MROUND(R475*'Fuel &amp; Inputs'!$C$20*'Fuel &amp; Inputs'!$C$22,500)</f>
        <v>84500</v>
      </c>
      <c r="Y475" s="20" t="n">
        <f aca="false">MROUND(S475*'Fuel &amp; Inputs'!$C$20*'Fuel &amp; Inputs'!$C$22,500)</f>
        <v>168500</v>
      </c>
      <c r="Z475" s="20" t="n">
        <f aca="false">MROUND(T475*'Fuel &amp; Inputs'!$C$20*'Fuel &amp; Inputs'!$C$22,500)</f>
        <v>154000</v>
      </c>
    </row>
    <row r="476" customFormat="false" ht="15" hidden="false" customHeight="false" outlineLevel="0" collapsed="false">
      <c r="A476" s="23" t="n">
        <v>446</v>
      </c>
      <c r="B476" s="34" t="s">
        <v>118</v>
      </c>
      <c r="C476" s="34" t="s">
        <v>1108</v>
      </c>
      <c r="D476" s="34" t="s">
        <v>1109</v>
      </c>
      <c r="E476" s="23" t="s">
        <v>581</v>
      </c>
      <c r="F476" s="23" t="s">
        <v>1116</v>
      </c>
      <c r="G476" s="23" t="s">
        <v>1117</v>
      </c>
      <c r="H476" s="23" t="s">
        <v>153</v>
      </c>
      <c r="I476" s="23" t="s">
        <v>154</v>
      </c>
      <c r="J476" s="25" t="n">
        <v>4.3</v>
      </c>
      <c r="K476" s="25" t="n">
        <v>6</v>
      </c>
      <c r="L476" s="25" t="n">
        <v>8.1</v>
      </c>
      <c r="M476" s="35" t="n">
        <v>1.147</v>
      </c>
      <c r="N476" s="26" t="n">
        <f aca="false">IF(J476=0,0,IF($I476="L/km",MROUND(J476*$M476*IF($H476="Petrol",'Fuel &amp; Inputs'!$C$5,'Fuel &amp; Inputs'!$C$4),1),MROUND(J476*$M476*IF($H476="Petrol",'Fuel &amp; Inputs'!$C$5,'Fuel &amp; Inputs'!$C$4),10)))</f>
        <v>1880</v>
      </c>
      <c r="O476" s="26" t="n">
        <f aca="false">IF(K476=0,0,IF($I476="L/km",MROUND(K476*$M476*IF($H476="Petrol",'Fuel &amp; Inputs'!$C$5,'Fuel &amp; Inputs'!$C$4),1),MROUND(K476*$M476*IF($H476="Petrol",'Fuel &amp; Inputs'!$C$5,'Fuel &amp; Inputs'!$C$4),10)))</f>
        <v>2630</v>
      </c>
      <c r="P476" s="26" t="n">
        <f aca="false">IF(L476=0,0,IF($I476="L/km",MROUND(L476*$M476*IF($H476="Petrol",'Fuel &amp; Inputs'!$C$5,'Fuel &amp; Inputs'!$C$4),1),MROUND(L476*$M476*IF($H476="Petrol",'Fuel &amp; Inputs'!$C$5,'Fuel &amp; Inputs'!$C$4),10)))</f>
        <v>3550</v>
      </c>
      <c r="Q476" s="23" t="s">
        <v>155</v>
      </c>
      <c r="R476" s="27" t="n">
        <v>830</v>
      </c>
      <c r="S476" s="26" t="n">
        <f aca="false">MROUND(R476+'Fuel &amp; Inputs'!$C$13,50)</f>
        <v>1650</v>
      </c>
      <c r="T476" s="27" t="n">
        <v>1510</v>
      </c>
      <c r="U476" s="26" t="n">
        <f aca="false">MROUND(R476*'Fuel &amp; Inputs'!$C$19*'Fuel &amp; Inputs'!$C$21,100)</f>
        <v>3200</v>
      </c>
      <c r="V476" s="26" t="n">
        <f aca="false">MROUND(S476*'Fuel &amp; Inputs'!$C$19*'Fuel &amp; Inputs'!$C$21,100)</f>
        <v>6300</v>
      </c>
      <c r="W476" s="26" t="n">
        <f aca="false">MROUND(T476*'Fuel &amp; Inputs'!$C$19*'Fuel &amp; Inputs'!$C$21,100)</f>
        <v>5700</v>
      </c>
      <c r="X476" s="26" t="n">
        <f aca="false">MROUND(R476*'Fuel &amp; Inputs'!$C$20*'Fuel &amp; Inputs'!$C$22,500)</f>
        <v>84500</v>
      </c>
      <c r="Y476" s="26" t="n">
        <f aca="false">MROUND(S476*'Fuel &amp; Inputs'!$C$20*'Fuel &amp; Inputs'!$C$22,500)</f>
        <v>168500</v>
      </c>
      <c r="Z476" s="26" t="n">
        <f aca="false">MROUND(T476*'Fuel &amp; Inputs'!$C$20*'Fuel &amp; Inputs'!$C$22,500)</f>
        <v>154000</v>
      </c>
    </row>
    <row r="477" customFormat="false" ht="15" hidden="false" customHeight="false" outlineLevel="0" collapsed="false">
      <c r="A477" s="17" t="n">
        <v>447</v>
      </c>
      <c r="B477" s="32" t="s">
        <v>118</v>
      </c>
      <c r="C477" s="32" t="s">
        <v>1108</v>
      </c>
      <c r="D477" s="32" t="s">
        <v>1109</v>
      </c>
      <c r="E477" s="17" t="s">
        <v>581</v>
      </c>
      <c r="F477" s="17" t="s">
        <v>1118</v>
      </c>
      <c r="G477" s="17" t="s">
        <v>1119</v>
      </c>
      <c r="H477" s="17" t="s">
        <v>153</v>
      </c>
      <c r="I477" s="17" t="s">
        <v>154</v>
      </c>
      <c r="J477" s="19" t="n">
        <v>4.3</v>
      </c>
      <c r="K477" s="19" t="n">
        <v>6</v>
      </c>
      <c r="L477" s="19" t="n">
        <v>8.1</v>
      </c>
      <c r="M477" s="33" t="n">
        <v>1.147</v>
      </c>
      <c r="N477" s="20" t="n">
        <f aca="false">IF(J477=0,0,IF($I477="L/km",MROUND(J477*$M477*IF($H477="Petrol",'Fuel &amp; Inputs'!$C$5,'Fuel &amp; Inputs'!$C$4),1),MROUND(J477*$M477*IF($H477="Petrol",'Fuel &amp; Inputs'!$C$5,'Fuel &amp; Inputs'!$C$4),10)))</f>
        <v>1880</v>
      </c>
      <c r="O477" s="20" t="n">
        <f aca="false">IF(K477=0,0,IF($I477="L/km",MROUND(K477*$M477*IF($H477="Petrol",'Fuel &amp; Inputs'!$C$5,'Fuel &amp; Inputs'!$C$4),1),MROUND(K477*$M477*IF($H477="Petrol",'Fuel &amp; Inputs'!$C$5,'Fuel &amp; Inputs'!$C$4),10)))</f>
        <v>2630</v>
      </c>
      <c r="P477" s="20" t="n">
        <f aca="false">IF(L477=0,0,IF($I477="L/km",MROUND(L477*$M477*IF($H477="Petrol",'Fuel &amp; Inputs'!$C$5,'Fuel &amp; Inputs'!$C$4),1),MROUND(L477*$M477*IF($H477="Petrol",'Fuel &amp; Inputs'!$C$5,'Fuel &amp; Inputs'!$C$4),10)))</f>
        <v>3550</v>
      </c>
      <c r="Q477" s="17" t="s">
        <v>155</v>
      </c>
      <c r="R477" s="21" t="n">
        <v>830</v>
      </c>
      <c r="S477" s="20" t="n">
        <f aca="false">MROUND(R477+'Fuel &amp; Inputs'!$C$13,50)</f>
        <v>1650</v>
      </c>
      <c r="T477" s="21" t="n">
        <v>1510</v>
      </c>
      <c r="U477" s="20" t="n">
        <f aca="false">MROUND(R477*'Fuel &amp; Inputs'!$C$19*'Fuel &amp; Inputs'!$C$21,100)</f>
        <v>3200</v>
      </c>
      <c r="V477" s="20" t="n">
        <f aca="false">MROUND(S477*'Fuel &amp; Inputs'!$C$19*'Fuel &amp; Inputs'!$C$21,100)</f>
        <v>6300</v>
      </c>
      <c r="W477" s="20" t="n">
        <f aca="false">MROUND(T477*'Fuel &amp; Inputs'!$C$19*'Fuel &amp; Inputs'!$C$21,100)</f>
        <v>5700</v>
      </c>
      <c r="X477" s="20" t="n">
        <f aca="false">MROUND(R477*'Fuel &amp; Inputs'!$C$20*'Fuel &amp; Inputs'!$C$22,500)</f>
        <v>84500</v>
      </c>
      <c r="Y477" s="20" t="n">
        <f aca="false">MROUND(S477*'Fuel &amp; Inputs'!$C$20*'Fuel &amp; Inputs'!$C$22,500)</f>
        <v>168500</v>
      </c>
      <c r="Z477" s="20" t="n">
        <f aca="false">MROUND(T477*'Fuel &amp; Inputs'!$C$20*'Fuel &amp; Inputs'!$C$22,500)</f>
        <v>154000</v>
      </c>
    </row>
    <row r="478" customFormat="false" ht="23.85" hidden="false" customHeight="false" outlineLevel="0" collapsed="false">
      <c r="A478" s="23" t="n">
        <v>448</v>
      </c>
      <c r="B478" s="34" t="s">
        <v>118</v>
      </c>
      <c r="C478" s="34" t="s">
        <v>1120</v>
      </c>
      <c r="D478" s="34" t="s">
        <v>1109</v>
      </c>
      <c r="E478" s="23" t="s">
        <v>1121</v>
      </c>
      <c r="F478" s="23" t="s">
        <v>1122</v>
      </c>
      <c r="G478" s="23" t="s">
        <v>1123</v>
      </c>
      <c r="H478" s="23" t="s">
        <v>153</v>
      </c>
      <c r="I478" s="23" t="s">
        <v>154</v>
      </c>
      <c r="J478" s="25" t="n">
        <v>4.3</v>
      </c>
      <c r="K478" s="25" t="n">
        <v>6</v>
      </c>
      <c r="L478" s="25" t="n">
        <v>8.1</v>
      </c>
      <c r="M478" s="35" t="n">
        <v>1.175</v>
      </c>
      <c r="N478" s="26" t="n">
        <f aca="false">IF(J478=0,0,IF($I478="L/km",MROUND(J478*$M478*IF($H478="Petrol",'Fuel &amp; Inputs'!$C$5,'Fuel &amp; Inputs'!$C$4),1),MROUND(J478*$M478*IF($H478="Petrol",'Fuel &amp; Inputs'!$C$5,'Fuel &amp; Inputs'!$C$4),10)))</f>
        <v>1930</v>
      </c>
      <c r="O478" s="26" t="n">
        <f aca="false">IF(K478=0,0,IF($I478="L/km",MROUND(K478*$M478*IF($H478="Petrol",'Fuel &amp; Inputs'!$C$5,'Fuel &amp; Inputs'!$C$4),1),MROUND(K478*$M478*IF($H478="Petrol",'Fuel &amp; Inputs'!$C$5,'Fuel &amp; Inputs'!$C$4),10)))</f>
        <v>2690</v>
      </c>
      <c r="P478" s="26" t="n">
        <f aca="false">IF(L478=0,0,IF($I478="L/km",MROUND(L478*$M478*IF($H478="Petrol",'Fuel &amp; Inputs'!$C$5,'Fuel &amp; Inputs'!$C$4),1),MROUND(L478*$M478*IF($H478="Petrol",'Fuel &amp; Inputs'!$C$5,'Fuel &amp; Inputs'!$C$4),10)))</f>
        <v>3640</v>
      </c>
      <c r="Q478" s="23" t="s">
        <v>155</v>
      </c>
      <c r="R478" s="27" t="n">
        <v>670</v>
      </c>
      <c r="S478" s="26" t="n">
        <f aca="false">MROUND(R478+'Fuel &amp; Inputs'!$C$13,50)</f>
        <v>1450</v>
      </c>
      <c r="T478" s="27" t="n">
        <v>1220</v>
      </c>
      <c r="U478" s="26" t="n">
        <f aca="false">MROUND(R478*'Fuel &amp; Inputs'!$C$19*'Fuel &amp; Inputs'!$C$21,100)</f>
        <v>2500</v>
      </c>
      <c r="V478" s="26" t="n">
        <f aca="false">MROUND(S478*'Fuel &amp; Inputs'!$C$19*'Fuel &amp; Inputs'!$C$21,100)</f>
        <v>5500</v>
      </c>
      <c r="W478" s="26" t="n">
        <f aca="false">MROUND(T478*'Fuel &amp; Inputs'!$C$19*'Fuel &amp; Inputs'!$C$21,100)</f>
        <v>4600</v>
      </c>
      <c r="X478" s="26" t="n">
        <f aca="false">MROUND(R478*'Fuel &amp; Inputs'!$C$20*'Fuel &amp; Inputs'!$C$22,500)</f>
        <v>68500</v>
      </c>
      <c r="Y478" s="26" t="n">
        <f aca="false">MROUND(S478*'Fuel &amp; Inputs'!$C$20*'Fuel &amp; Inputs'!$C$22,500)</f>
        <v>148000</v>
      </c>
      <c r="Z478" s="26" t="n">
        <f aca="false">MROUND(T478*'Fuel &amp; Inputs'!$C$20*'Fuel &amp; Inputs'!$C$22,500)</f>
        <v>124500</v>
      </c>
    </row>
    <row r="479" customFormat="false" ht="23.85" hidden="false" customHeight="false" outlineLevel="0" collapsed="false">
      <c r="A479" s="17" t="n">
        <v>449</v>
      </c>
      <c r="B479" s="32" t="s">
        <v>118</v>
      </c>
      <c r="C479" s="32" t="s">
        <v>1120</v>
      </c>
      <c r="D479" s="32" t="s">
        <v>1124</v>
      </c>
      <c r="E479" s="17" t="s">
        <v>1125</v>
      </c>
      <c r="F479" s="17" t="s">
        <v>1126</v>
      </c>
      <c r="G479" s="17" t="s">
        <v>1127</v>
      </c>
      <c r="H479" s="17" t="s">
        <v>153</v>
      </c>
      <c r="I479" s="17" t="s">
        <v>154</v>
      </c>
      <c r="J479" s="19" t="n">
        <v>4.3</v>
      </c>
      <c r="K479" s="19" t="n">
        <v>6</v>
      </c>
      <c r="L479" s="19" t="n">
        <v>8.1</v>
      </c>
      <c r="M479" s="33" t="n">
        <v>1.175</v>
      </c>
      <c r="N479" s="20" t="n">
        <f aca="false">IF(J479=0,0,IF($I479="L/km",MROUND(J479*$M479*IF($H479="Petrol",'Fuel &amp; Inputs'!$C$5,'Fuel &amp; Inputs'!$C$4),1),MROUND(J479*$M479*IF($H479="Petrol",'Fuel &amp; Inputs'!$C$5,'Fuel &amp; Inputs'!$C$4),10)))</f>
        <v>1930</v>
      </c>
      <c r="O479" s="20" t="n">
        <f aca="false">IF(K479=0,0,IF($I479="L/km",MROUND(K479*$M479*IF($H479="Petrol",'Fuel &amp; Inputs'!$C$5,'Fuel &amp; Inputs'!$C$4),1),MROUND(K479*$M479*IF($H479="Petrol",'Fuel &amp; Inputs'!$C$5,'Fuel &amp; Inputs'!$C$4),10)))</f>
        <v>2690</v>
      </c>
      <c r="P479" s="20" t="n">
        <f aca="false">IF(L479=0,0,IF($I479="L/km",MROUND(L479*$M479*IF($H479="Petrol",'Fuel &amp; Inputs'!$C$5,'Fuel &amp; Inputs'!$C$4),1),MROUND(L479*$M479*IF($H479="Petrol",'Fuel &amp; Inputs'!$C$5,'Fuel &amp; Inputs'!$C$4),10)))</f>
        <v>3640</v>
      </c>
      <c r="Q479" s="17" t="s">
        <v>155</v>
      </c>
      <c r="R479" s="21" t="n">
        <v>670</v>
      </c>
      <c r="S479" s="20" t="n">
        <f aca="false">MROUND(R479+'Fuel &amp; Inputs'!$C$13,50)</f>
        <v>1450</v>
      </c>
      <c r="T479" s="21" t="n">
        <v>1220</v>
      </c>
      <c r="U479" s="20" t="n">
        <f aca="false">MROUND(R479*'Fuel &amp; Inputs'!$C$19*'Fuel &amp; Inputs'!$C$21,100)</f>
        <v>2500</v>
      </c>
      <c r="V479" s="20" t="n">
        <f aca="false">MROUND(S479*'Fuel &amp; Inputs'!$C$19*'Fuel &amp; Inputs'!$C$21,100)</f>
        <v>5500</v>
      </c>
      <c r="W479" s="20" t="n">
        <f aca="false">MROUND(T479*'Fuel &amp; Inputs'!$C$19*'Fuel &amp; Inputs'!$C$21,100)</f>
        <v>4600</v>
      </c>
      <c r="X479" s="20" t="n">
        <f aca="false">MROUND(R479*'Fuel &amp; Inputs'!$C$20*'Fuel &amp; Inputs'!$C$22,500)</f>
        <v>68500</v>
      </c>
      <c r="Y479" s="20" t="n">
        <f aca="false">MROUND(S479*'Fuel &amp; Inputs'!$C$20*'Fuel &amp; Inputs'!$C$22,500)</f>
        <v>148000</v>
      </c>
      <c r="Z479" s="20" t="n">
        <f aca="false">MROUND(T479*'Fuel &amp; Inputs'!$C$20*'Fuel &amp; Inputs'!$C$22,500)</f>
        <v>124500</v>
      </c>
    </row>
    <row r="480" customFormat="false" ht="15" hidden="false" customHeight="false" outlineLevel="0" collapsed="false">
      <c r="A480" s="23" t="n">
        <v>450</v>
      </c>
      <c r="B480" s="34" t="s">
        <v>118</v>
      </c>
      <c r="C480" s="34" t="s">
        <v>330</v>
      </c>
      <c r="D480" s="34" t="s">
        <v>223</v>
      </c>
      <c r="E480" s="23" t="s">
        <v>223</v>
      </c>
      <c r="F480" s="23" t="s">
        <v>223</v>
      </c>
      <c r="G480" s="23" t="s">
        <v>1128</v>
      </c>
      <c r="H480" s="23" t="s">
        <v>153</v>
      </c>
      <c r="I480" s="23" t="s">
        <v>154</v>
      </c>
      <c r="J480" s="25" t="n">
        <v>4.3</v>
      </c>
      <c r="K480" s="25" t="n">
        <v>6</v>
      </c>
      <c r="L480" s="25" t="n">
        <v>8.1</v>
      </c>
      <c r="M480" s="35" t="n">
        <v>1</v>
      </c>
      <c r="N480" s="26" t="n">
        <f aca="false">IF(J480=0,0,IF($I480="L/km",MROUND(J480*$M480*IF($H480="Petrol",'Fuel &amp; Inputs'!$C$5,'Fuel &amp; Inputs'!$C$4),1),MROUND(J480*$M480*IF($H480="Petrol",'Fuel &amp; Inputs'!$C$5,'Fuel &amp; Inputs'!$C$4),10)))</f>
        <v>1640</v>
      </c>
      <c r="O480" s="26" t="n">
        <f aca="false">IF(K480=0,0,IF($I480="L/km",MROUND(K480*$M480*IF($H480="Petrol",'Fuel &amp; Inputs'!$C$5,'Fuel &amp; Inputs'!$C$4),1),MROUND(K480*$M480*IF($H480="Petrol",'Fuel &amp; Inputs'!$C$5,'Fuel &amp; Inputs'!$C$4),10)))</f>
        <v>2290</v>
      </c>
      <c r="P480" s="26" t="n">
        <f aca="false">IF(L480=0,0,IF($I480="L/km",MROUND(L480*$M480*IF($H480="Petrol",'Fuel &amp; Inputs'!$C$5,'Fuel &amp; Inputs'!$C$4),1),MROUND(L480*$M480*IF($H480="Petrol",'Fuel &amp; Inputs'!$C$5,'Fuel &amp; Inputs'!$C$4),10)))</f>
        <v>3090</v>
      </c>
      <c r="Q480" s="23" t="s">
        <v>155</v>
      </c>
      <c r="R480" s="27" t="n">
        <v>670</v>
      </c>
      <c r="S480" s="26" t="n">
        <f aca="false">MROUND(R480+'Fuel &amp; Inputs'!$C$13,50)</f>
        <v>1450</v>
      </c>
      <c r="T480" s="27" t="n">
        <v>1220</v>
      </c>
      <c r="U480" s="26" t="n">
        <f aca="false">MROUND(R480*'Fuel &amp; Inputs'!$C$19*'Fuel &amp; Inputs'!$C$21,100)</f>
        <v>2500</v>
      </c>
      <c r="V480" s="26" t="n">
        <f aca="false">MROUND(S480*'Fuel &amp; Inputs'!$C$19*'Fuel &amp; Inputs'!$C$21,100)</f>
        <v>5500</v>
      </c>
      <c r="W480" s="26" t="n">
        <f aca="false">MROUND(T480*'Fuel &amp; Inputs'!$C$19*'Fuel &amp; Inputs'!$C$21,100)</f>
        <v>4600</v>
      </c>
      <c r="X480" s="26" t="n">
        <f aca="false">MROUND(R480*'Fuel &amp; Inputs'!$C$20*'Fuel &amp; Inputs'!$C$22,500)</f>
        <v>68500</v>
      </c>
      <c r="Y480" s="26" t="n">
        <f aca="false">MROUND(S480*'Fuel &amp; Inputs'!$C$20*'Fuel &amp; Inputs'!$C$22,500)</f>
        <v>148000</v>
      </c>
      <c r="Z480" s="26" t="n">
        <f aca="false">MROUND(T480*'Fuel &amp; Inputs'!$C$20*'Fuel &amp; Inputs'!$C$22,500)</f>
        <v>124500</v>
      </c>
    </row>
    <row r="481" customFormat="false" ht="15" hidden="false" customHeight="false" outlineLevel="0" collapsed="false">
      <c r="A481" s="17" t="n">
        <v>451</v>
      </c>
      <c r="B481" s="32" t="s">
        <v>118</v>
      </c>
      <c r="C481" s="32" t="s">
        <v>330</v>
      </c>
      <c r="D481" s="32" t="s">
        <v>223</v>
      </c>
      <c r="E481" s="17" t="s">
        <v>223</v>
      </c>
      <c r="F481" s="17" t="s">
        <v>223</v>
      </c>
      <c r="G481" s="17" t="s">
        <v>1119</v>
      </c>
      <c r="H481" s="17" t="s">
        <v>153</v>
      </c>
      <c r="I481" s="17" t="s">
        <v>154</v>
      </c>
      <c r="J481" s="19" t="n">
        <v>4.3</v>
      </c>
      <c r="K481" s="19" t="n">
        <v>6</v>
      </c>
      <c r="L481" s="19" t="n">
        <v>8.1</v>
      </c>
      <c r="M481" s="33" t="n">
        <v>1</v>
      </c>
      <c r="N481" s="20" t="n">
        <f aca="false">IF(J481=0,0,IF($I481="L/km",MROUND(J481*$M481*IF($H481="Petrol",'Fuel &amp; Inputs'!$C$5,'Fuel &amp; Inputs'!$C$4),1),MROUND(J481*$M481*IF($H481="Petrol",'Fuel &amp; Inputs'!$C$5,'Fuel &amp; Inputs'!$C$4),10)))</f>
        <v>1640</v>
      </c>
      <c r="O481" s="20" t="n">
        <f aca="false">IF(K481=0,0,IF($I481="L/km",MROUND(K481*$M481*IF($H481="Petrol",'Fuel &amp; Inputs'!$C$5,'Fuel &amp; Inputs'!$C$4),1),MROUND(K481*$M481*IF($H481="Petrol",'Fuel &amp; Inputs'!$C$5,'Fuel &amp; Inputs'!$C$4),10)))</f>
        <v>2290</v>
      </c>
      <c r="P481" s="20" t="n">
        <f aca="false">IF(L481=0,0,IF($I481="L/km",MROUND(L481*$M481*IF($H481="Petrol",'Fuel &amp; Inputs'!$C$5,'Fuel &amp; Inputs'!$C$4),1),MROUND(L481*$M481*IF($H481="Petrol",'Fuel &amp; Inputs'!$C$5,'Fuel &amp; Inputs'!$C$4),10)))</f>
        <v>3090</v>
      </c>
      <c r="Q481" s="17" t="s">
        <v>155</v>
      </c>
      <c r="R481" s="21" t="n">
        <v>670</v>
      </c>
      <c r="S481" s="20" t="n">
        <f aca="false">MROUND(R481+'Fuel &amp; Inputs'!$C$13,50)</f>
        <v>1450</v>
      </c>
      <c r="T481" s="21" t="n">
        <v>1220</v>
      </c>
      <c r="U481" s="20" t="n">
        <f aca="false">MROUND(R481*'Fuel &amp; Inputs'!$C$19*'Fuel &amp; Inputs'!$C$21,100)</f>
        <v>2500</v>
      </c>
      <c r="V481" s="20" t="n">
        <f aca="false">MROUND(S481*'Fuel &amp; Inputs'!$C$19*'Fuel &amp; Inputs'!$C$21,100)</f>
        <v>5500</v>
      </c>
      <c r="W481" s="20" t="n">
        <f aca="false">MROUND(T481*'Fuel &amp; Inputs'!$C$19*'Fuel &amp; Inputs'!$C$21,100)</f>
        <v>4600</v>
      </c>
      <c r="X481" s="20" t="n">
        <f aca="false">MROUND(R481*'Fuel &amp; Inputs'!$C$20*'Fuel &amp; Inputs'!$C$22,500)</f>
        <v>68500</v>
      </c>
      <c r="Y481" s="20" t="n">
        <f aca="false">MROUND(S481*'Fuel &amp; Inputs'!$C$20*'Fuel &amp; Inputs'!$C$22,500)</f>
        <v>148000</v>
      </c>
      <c r="Z481" s="20" t="n">
        <f aca="false">MROUND(T481*'Fuel &amp; Inputs'!$C$20*'Fuel &amp; Inputs'!$C$22,500)</f>
        <v>124500</v>
      </c>
    </row>
    <row r="482" customFormat="false" ht="23.85" hidden="false" customHeight="false" outlineLevel="0" collapsed="false">
      <c r="A482" s="23" t="n">
        <v>452</v>
      </c>
      <c r="B482" s="34" t="s">
        <v>118</v>
      </c>
      <c r="C482" s="34" t="s">
        <v>1112</v>
      </c>
      <c r="D482" s="34" t="s">
        <v>1113</v>
      </c>
      <c r="E482" s="23" t="s">
        <v>223</v>
      </c>
      <c r="F482" s="23" t="s">
        <v>1129</v>
      </c>
      <c r="G482" s="23" t="s">
        <v>1115</v>
      </c>
      <c r="H482" s="23" t="s">
        <v>153</v>
      </c>
      <c r="I482" s="23" t="s">
        <v>154</v>
      </c>
      <c r="J482" s="25" t="n">
        <v>4.3</v>
      </c>
      <c r="K482" s="25" t="n">
        <v>6</v>
      </c>
      <c r="L482" s="25" t="n">
        <v>8.1</v>
      </c>
      <c r="M482" s="35" t="n">
        <v>1</v>
      </c>
      <c r="N482" s="26" t="n">
        <f aca="false">IF(J482=0,0,IF($I482="L/km",MROUND(J482*$M482*IF($H482="Petrol",'Fuel &amp; Inputs'!$C$5,'Fuel &amp; Inputs'!$C$4),1),MROUND(J482*$M482*IF($H482="Petrol",'Fuel &amp; Inputs'!$C$5,'Fuel &amp; Inputs'!$C$4),10)))</f>
        <v>1640</v>
      </c>
      <c r="O482" s="26" t="n">
        <f aca="false">IF(K482=0,0,IF($I482="L/km",MROUND(K482*$M482*IF($H482="Petrol",'Fuel &amp; Inputs'!$C$5,'Fuel &amp; Inputs'!$C$4),1),MROUND(K482*$M482*IF($H482="Petrol",'Fuel &amp; Inputs'!$C$5,'Fuel &amp; Inputs'!$C$4),10)))</f>
        <v>2290</v>
      </c>
      <c r="P482" s="26" t="n">
        <f aca="false">IF(L482=0,0,IF($I482="L/km",MROUND(L482*$M482*IF($H482="Petrol",'Fuel &amp; Inputs'!$C$5,'Fuel &amp; Inputs'!$C$4),1),MROUND(L482*$M482*IF($H482="Petrol",'Fuel &amp; Inputs'!$C$5,'Fuel &amp; Inputs'!$C$4),10)))</f>
        <v>3090</v>
      </c>
      <c r="Q482" s="23" t="s">
        <v>155</v>
      </c>
      <c r="R482" s="27" t="n">
        <v>670</v>
      </c>
      <c r="S482" s="26" t="n">
        <f aca="false">MROUND(R482+'Fuel &amp; Inputs'!$C$13,50)</f>
        <v>1450</v>
      </c>
      <c r="T482" s="27" t="n">
        <v>1220</v>
      </c>
      <c r="U482" s="26" t="n">
        <f aca="false">MROUND(R482*'Fuel &amp; Inputs'!$C$19*'Fuel &amp; Inputs'!$C$21,100)</f>
        <v>2500</v>
      </c>
      <c r="V482" s="26" t="n">
        <f aca="false">MROUND(S482*'Fuel &amp; Inputs'!$C$19*'Fuel &amp; Inputs'!$C$21,100)</f>
        <v>5500</v>
      </c>
      <c r="W482" s="26" t="n">
        <f aca="false">MROUND(T482*'Fuel &amp; Inputs'!$C$19*'Fuel &amp; Inputs'!$C$21,100)</f>
        <v>4600</v>
      </c>
      <c r="X482" s="26" t="n">
        <f aca="false">MROUND(R482*'Fuel &amp; Inputs'!$C$20*'Fuel &amp; Inputs'!$C$22,500)</f>
        <v>68500</v>
      </c>
      <c r="Y482" s="26" t="n">
        <f aca="false">MROUND(S482*'Fuel &amp; Inputs'!$C$20*'Fuel &amp; Inputs'!$C$22,500)</f>
        <v>148000</v>
      </c>
      <c r="Z482" s="26" t="n">
        <f aca="false">MROUND(T482*'Fuel &amp; Inputs'!$C$20*'Fuel &amp; Inputs'!$C$22,500)</f>
        <v>124500</v>
      </c>
    </row>
    <row r="483" customFormat="false" ht="15" hidden="false" customHeight="true" outlineLevel="0" collapsed="false">
      <c r="A483" s="31" t="s">
        <v>1130</v>
      </c>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ustomFormat="false" ht="15" hidden="false" customHeight="false" outlineLevel="0" collapsed="false">
      <c r="A484" s="17" t="n">
        <v>453</v>
      </c>
      <c r="B484" s="32" t="s">
        <v>1131</v>
      </c>
      <c r="C484" s="32" t="s">
        <v>1132</v>
      </c>
      <c r="D484" s="32" t="s">
        <v>1133</v>
      </c>
      <c r="E484" s="17" t="s">
        <v>251</v>
      </c>
      <c r="F484" s="17" t="s">
        <v>1134</v>
      </c>
      <c r="G484" s="17" t="s">
        <v>1135</v>
      </c>
      <c r="H484" s="17" t="s">
        <v>984</v>
      </c>
      <c r="I484" s="17" t="s">
        <v>596</v>
      </c>
      <c r="J484" s="37" t="n">
        <v>0.017</v>
      </c>
      <c r="K484" s="37" t="n">
        <v>0.022</v>
      </c>
      <c r="L484" s="37" t="n">
        <v>0.028</v>
      </c>
      <c r="M484" s="33" t="n">
        <v>1.063</v>
      </c>
      <c r="N484" s="20" t="n">
        <f aca="false">IF(J484=0,0,IF($I484="L/km",MROUND(J484*$M484*IF($H484="Petrol",'Fuel &amp; Inputs'!$C$5,'Fuel &amp; Inputs'!$C$4),1),MROUND(J484*$M484*IF($H484="Petrol",'Fuel &amp; Inputs'!$C$5,'Fuel &amp; Inputs'!$C$4),10)))</f>
        <v>7</v>
      </c>
      <c r="O484" s="20" t="n">
        <f aca="false">IF(K484=0,0,IF($I484="L/km",MROUND(K484*$M484*IF($H484="Petrol",'Fuel &amp; Inputs'!$C$5,'Fuel &amp; Inputs'!$C$4),1),MROUND(K484*$M484*IF($H484="Petrol",'Fuel &amp; Inputs'!$C$5,'Fuel &amp; Inputs'!$C$4),10)))</f>
        <v>10</v>
      </c>
      <c r="P484" s="20" t="n">
        <f aca="false">IF(L484=0,0,IF($I484="L/km",MROUND(L484*$M484*IF($H484="Petrol",'Fuel &amp; Inputs'!$C$5,'Fuel &amp; Inputs'!$C$4),1),MROUND(L484*$M484*IF($H484="Petrol",'Fuel &amp; Inputs'!$C$5,'Fuel &amp; Inputs'!$C$4),10)))</f>
        <v>12</v>
      </c>
      <c r="Q484" s="17" t="s">
        <v>597</v>
      </c>
      <c r="R484" s="21" t="n">
        <v>280</v>
      </c>
      <c r="S484" s="20" t="n">
        <f aca="false">R484</f>
        <v>280</v>
      </c>
      <c r="T484" s="21" t="n">
        <v>460</v>
      </c>
      <c r="U484" s="20" t="n">
        <f aca="false">MROUND(R484*'Fuel &amp; Inputs'!$C$19*'Fuel &amp; Inputs'!$C$21,100)</f>
        <v>1100</v>
      </c>
      <c r="V484" s="20" t="n">
        <f aca="false">MROUND(S484*'Fuel &amp; Inputs'!$C$19*'Fuel &amp; Inputs'!$C$21,100)</f>
        <v>1100</v>
      </c>
      <c r="W484" s="20" t="n">
        <f aca="false">MROUND(T484*'Fuel &amp; Inputs'!$C$19*'Fuel &amp; Inputs'!$C$21,100)</f>
        <v>1700</v>
      </c>
      <c r="X484" s="20" t="n">
        <f aca="false">MROUND(R484*'Fuel &amp; Inputs'!$C$20*'Fuel &amp; Inputs'!$C$22,500)</f>
        <v>28500</v>
      </c>
      <c r="Y484" s="20" t="n">
        <f aca="false">MROUND(S484*'Fuel &amp; Inputs'!$C$20*'Fuel &amp; Inputs'!$C$22,500)</f>
        <v>28500</v>
      </c>
      <c r="Z484" s="20" t="n">
        <f aca="false">MROUND(T484*'Fuel &amp; Inputs'!$C$20*'Fuel &amp; Inputs'!$C$22,500)</f>
        <v>47000</v>
      </c>
    </row>
    <row r="485" customFormat="false" ht="15" hidden="false" customHeight="false" outlineLevel="0" collapsed="false">
      <c r="A485" s="23" t="n">
        <v>454</v>
      </c>
      <c r="B485" s="34" t="s">
        <v>1131</v>
      </c>
      <c r="C485" s="34" t="s">
        <v>1132</v>
      </c>
      <c r="D485" s="34" t="s">
        <v>1133</v>
      </c>
      <c r="E485" s="23" t="s">
        <v>251</v>
      </c>
      <c r="F485" s="23" t="s">
        <v>223</v>
      </c>
      <c r="G485" s="23" t="s">
        <v>223</v>
      </c>
      <c r="H485" s="23" t="s">
        <v>984</v>
      </c>
      <c r="I485" s="23" t="s">
        <v>596</v>
      </c>
      <c r="J485" s="36" t="n">
        <v>0.017</v>
      </c>
      <c r="K485" s="36" t="n">
        <v>0.022</v>
      </c>
      <c r="L485" s="36" t="n">
        <v>0.028</v>
      </c>
      <c r="M485" s="35" t="n">
        <v>1.07</v>
      </c>
      <c r="N485" s="26" t="n">
        <f aca="false">IF(J485=0,0,IF($I485="L/km",MROUND(J485*$M485*IF($H485="Petrol",'Fuel &amp; Inputs'!$C$5,'Fuel &amp; Inputs'!$C$4),1),MROUND(J485*$M485*IF($H485="Petrol",'Fuel &amp; Inputs'!$C$5,'Fuel &amp; Inputs'!$C$4),10)))</f>
        <v>8</v>
      </c>
      <c r="O485" s="26" t="n">
        <f aca="false">IF(K485=0,0,IF($I485="L/km",MROUND(K485*$M485*IF($H485="Petrol",'Fuel &amp; Inputs'!$C$5,'Fuel &amp; Inputs'!$C$4),1),MROUND(K485*$M485*IF($H485="Petrol",'Fuel &amp; Inputs'!$C$5,'Fuel &amp; Inputs'!$C$4),10)))</f>
        <v>10</v>
      </c>
      <c r="P485" s="26" t="n">
        <f aca="false">IF(L485=0,0,IF($I485="L/km",MROUND(L485*$M485*IF($H485="Petrol",'Fuel &amp; Inputs'!$C$5,'Fuel &amp; Inputs'!$C$4),1),MROUND(L485*$M485*IF($H485="Petrol",'Fuel &amp; Inputs'!$C$5,'Fuel &amp; Inputs'!$C$4),10)))</f>
        <v>12</v>
      </c>
      <c r="Q485" s="23" t="s">
        <v>597</v>
      </c>
      <c r="R485" s="27" t="n">
        <v>280</v>
      </c>
      <c r="S485" s="26" t="n">
        <f aca="false">R485</f>
        <v>280</v>
      </c>
      <c r="T485" s="27" t="n">
        <v>460</v>
      </c>
      <c r="U485" s="26" t="n">
        <f aca="false">MROUND(R485*'Fuel &amp; Inputs'!$C$19*'Fuel &amp; Inputs'!$C$21,100)</f>
        <v>1100</v>
      </c>
      <c r="V485" s="26" t="n">
        <f aca="false">MROUND(S485*'Fuel &amp; Inputs'!$C$19*'Fuel &amp; Inputs'!$C$21,100)</f>
        <v>1100</v>
      </c>
      <c r="W485" s="26" t="n">
        <f aca="false">MROUND(T485*'Fuel &amp; Inputs'!$C$19*'Fuel &amp; Inputs'!$C$21,100)</f>
        <v>1700</v>
      </c>
      <c r="X485" s="26" t="n">
        <f aca="false">MROUND(R485*'Fuel &amp; Inputs'!$C$20*'Fuel &amp; Inputs'!$C$22,500)</f>
        <v>28500</v>
      </c>
      <c r="Y485" s="26" t="n">
        <f aca="false">MROUND(S485*'Fuel &amp; Inputs'!$C$20*'Fuel &amp; Inputs'!$C$22,500)</f>
        <v>28500</v>
      </c>
      <c r="Z485" s="26" t="n">
        <f aca="false">MROUND(T485*'Fuel &amp; Inputs'!$C$20*'Fuel &amp; Inputs'!$C$22,500)</f>
        <v>47000</v>
      </c>
    </row>
    <row r="486" customFormat="false" ht="23.85" hidden="false" customHeight="false" outlineLevel="0" collapsed="false">
      <c r="A486" s="17" t="n">
        <v>455</v>
      </c>
      <c r="B486" s="32" t="s">
        <v>1131</v>
      </c>
      <c r="C486" s="32" t="s">
        <v>1132</v>
      </c>
      <c r="D486" s="32" t="s">
        <v>1136</v>
      </c>
      <c r="E486" s="17" t="s">
        <v>204</v>
      </c>
      <c r="F486" s="17" t="s">
        <v>1137</v>
      </c>
      <c r="G486" s="17" t="s">
        <v>1138</v>
      </c>
      <c r="H486" s="17" t="s">
        <v>984</v>
      </c>
      <c r="I486" s="17" t="s">
        <v>596</v>
      </c>
      <c r="J486" s="37" t="n">
        <v>0.017</v>
      </c>
      <c r="K486" s="37" t="n">
        <v>0.022</v>
      </c>
      <c r="L486" s="37" t="n">
        <v>0.028</v>
      </c>
      <c r="M486" s="33" t="n">
        <v>1.14</v>
      </c>
      <c r="N486" s="20" t="n">
        <f aca="false">IF(J486=0,0,IF($I486="L/km",MROUND(J486*$M486*IF($H486="Petrol",'Fuel &amp; Inputs'!$C$5,'Fuel &amp; Inputs'!$C$4),1),MROUND(J486*$M486*IF($H486="Petrol",'Fuel &amp; Inputs'!$C$5,'Fuel &amp; Inputs'!$C$4),10)))</f>
        <v>8</v>
      </c>
      <c r="O486" s="20" t="n">
        <f aca="false">IF(K486=0,0,IF($I486="L/km",MROUND(K486*$M486*IF($H486="Petrol",'Fuel &amp; Inputs'!$C$5,'Fuel &amp; Inputs'!$C$4),1),MROUND(K486*$M486*IF($H486="Petrol",'Fuel &amp; Inputs'!$C$5,'Fuel &amp; Inputs'!$C$4),10)))</f>
        <v>10</v>
      </c>
      <c r="P486" s="20" t="n">
        <f aca="false">IF(L486=0,0,IF($I486="L/km",MROUND(L486*$M486*IF($H486="Petrol",'Fuel &amp; Inputs'!$C$5,'Fuel &amp; Inputs'!$C$4),1),MROUND(L486*$M486*IF($H486="Petrol",'Fuel &amp; Inputs'!$C$5,'Fuel &amp; Inputs'!$C$4),10)))</f>
        <v>13</v>
      </c>
      <c r="Q486" s="17" t="s">
        <v>597</v>
      </c>
      <c r="R486" s="21" t="n">
        <v>280</v>
      </c>
      <c r="S486" s="20" t="n">
        <f aca="false">R486</f>
        <v>280</v>
      </c>
      <c r="T486" s="21" t="n">
        <v>460</v>
      </c>
      <c r="U486" s="20" t="n">
        <f aca="false">MROUND(R486*'Fuel &amp; Inputs'!$C$19*'Fuel &amp; Inputs'!$C$21,100)</f>
        <v>1100</v>
      </c>
      <c r="V486" s="20" t="n">
        <f aca="false">MROUND(S486*'Fuel &amp; Inputs'!$C$19*'Fuel &amp; Inputs'!$C$21,100)</f>
        <v>1100</v>
      </c>
      <c r="W486" s="20" t="n">
        <f aca="false">MROUND(T486*'Fuel &amp; Inputs'!$C$19*'Fuel &amp; Inputs'!$C$21,100)</f>
        <v>1700</v>
      </c>
      <c r="X486" s="20" t="n">
        <f aca="false">MROUND(R486*'Fuel &amp; Inputs'!$C$20*'Fuel &amp; Inputs'!$C$22,500)</f>
        <v>28500</v>
      </c>
      <c r="Y486" s="20" t="n">
        <f aca="false">MROUND(S486*'Fuel &amp; Inputs'!$C$20*'Fuel &amp; Inputs'!$C$22,500)</f>
        <v>28500</v>
      </c>
      <c r="Z486" s="20" t="n">
        <f aca="false">MROUND(T486*'Fuel &amp; Inputs'!$C$20*'Fuel &amp; Inputs'!$C$22,500)</f>
        <v>47000</v>
      </c>
    </row>
    <row r="487" customFormat="false" ht="15" hidden="false" customHeight="false" outlineLevel="0" collapsed="false">
      <c r="A487" s="23" t="n">
        <v>456</v>
      </c>
      <c r="B487" s="34" t="s">
        <v>1131</v>
      </c>
      <c r="C487" s="34" t="s">
        <v>1132</v>
      </c>
      <c r="D487" s="34" t="s">
        <v>1133</v>
      </c>
      <c r="E487" s="23" t="s">
        <v>603</v>
      </c>
      <c r="F487" s="23" t="s">
        <v>1139</v>
      </c>
      <c r="G487" s="23" t="s">
        <v>1140</v>
      </c>
      <c r="H487" s="23" t="s">
        <v>984</v>
      </c>
      <c r="I487" s="23" t="s">
        <v>596</v>
      </c>
      <c r="J487" s="36" t="n">
        <v>0.017</v>
      </c>
      <c r="K487" s="36" t="n">
        <v>0.022</v>
      </c>
      <c r="L487" s="36" t="n">
        <v>0.028</v>
      </c>
      <c r="M487" s="35" t="n">
        <v>1.105</v>
      </c>
      <c r="N487" s="26" t="n">
        <f aca="false">IF(J487=0,0,IF($I487="L/km",MROUND(J487*$M487*IF($H487="Petrol",'Fuel &amp; Inputs'!$C$5,'Fuel &amp; Inputs'!$C$4),1),MROUND(J487*$M487*IF($H487="Petrol",'Fuel &amp; Inputs'!$C$5,'Fuel &amp; Inputs'!$C$4),10)))</f>
        <v>8</v>
      </c>
      <c r="O487" s="26" t="n">
        <f aca="false">IF(K487=0,0,IF($I487="L/km",MROUND(K487*$M487*IF($H487="Petrol",'Fuel &amp; Inputs'!$C$5,'Fuel &amp; Inputs'!$C$4),1),MROUND(K487*$M487*IF($H487="Petrol",'Fuel &amp; Inputs'!$C$5,'Fuel &amp; Inputs'!$C$4),10)))</f>
        <v>10</v>
      </c>
      <c r="P487" s="26" t="n">
        <f aca="false">IF(L487=0,0,IF($I487="L/km",MROUND(L487*$M487*IF($H487="Petrol",'Fuel &amp; Inputs'!$C$5,'Fuel &amp; Inputs'!$C$4),1),MROUND(L487*$M487*IF($H487="Petrol",'Fuel &amp; Inputs'!$C$5,'Fuel &amp; Inputs'!$C$4),10)))</f>
        <v>13</v>
      </c>
      <c r="Q487" s="23" t="s">
        <v>597</v>
      </c>
      <c r="R487" s="27" t="n">
        <v>280</v>
      </c>
      <c r="S487" s="26" t="n">
        <f aca="false">R487</f>
        <v>280</v>
      </c>
      <c r="T487" s="27" t="n">
        <v>460</v>
      </c>
      <c r="U487" s="26" t="n">
        <f aca="false">MROUND(R487*'Fuel &amp; Inputs'!$C$19*'Fuel &amp; Inputs'!$C$21,100)</f>
        <v>1100</v>
      </c>
      <c r="V487" s="26" t="n">
        <f aca="false">MROUND(S487*'Fuel &amp; Inputs'!$C$19*'Fuel &amp; Inputs'!$C$21,100)</f>
        <v>1100</v>
      </c>
      <c r="W487" s="26" t="n">
        <f aca="false">MROUND(T487*'Fuel &amp; Inputs'!$C$19*'Fuel &amp; Inputs'!$C$21,100)</f>
        <v>1700</v>
      </c>
      <c r="X487" s="26" t="n">
        <f aca="false">MROUND(R487*'Fuel &amp; Inputs'!$C$20*'Fuel &amp; Inputs'!$C$22,500)</f>
        <v>28500</v>
      </c>
      <c r="Y487" s="26" t="n">
        <f aca="false">MROUND(S487*'Fuel &amp; Inputs'!$C$20*'Fuel &amp; Inputs'!$C$22,500)</f>
        <v>28500</v>
      </c>
      <c r="Z487" s="26" t="n">
        <f aca="false">MROUND(T487*'Fuel &amp; Inputs'!$C$20*'Fuel &amp; Inputs'!$C$22,500)</f>
        <v>47000</v>
      </c>
    </row>
    <row r="488" customFormat="false" ht="15" hidden="false" customHeight="false" outlineLevel="0" collapsed="false">
      <c r="A488" s="17" t="n">
        <v>457</v>
      </c>
      <c r="B488" s="32" t="s">
        <v>1131</v>
      </c>
      <c r="C488" s="32" t="s">
        <v>1132</v>
      </c>
      <c r="D488" s="32" t="s">
        <v>1133</v>
      </c>
      <c r="E488" s="17" t="s">
        <v>251</v>
      </c>
      <c r="F488" s="17" t="s">
        <v>1141</v>
      </c>
      <c r="G488" s="17" t="s">
        <v>1142</v>
      </c>
      <c r="H488" s="17" t="s">
        <v>984</v>
      </c>
      <c r="I488" s="17" t="s">
        <v>596</v>
      </c>
      <c r="J488" s="37" t="n">
        <v>0.017</v>
      </c>
      <c r="K488" s="37" t="n">
        <v>0.022</v>
      </c>
      <c r="L488" s="37" t="n">
        <v>0.028</v>
      </c>
      <c r="M488" s="33" t="n">
        <v>1.063</v>
      </c>
      <c r="N488" s="20" t="n">
        <f aca="false">IF(J488=0,0,IF($I488="L/km",MROUND(J488*$M488*IF($H488="Petrol",'Fuel &amp; Inputs'!$C$5,'Fuel &amp; Inputs'!$C$4),1),MROUND(J488*$M488*IF($H488="Petrol",'Fuel &amp; Inputs'!$C$5,'Fuel &amp; Inputs'!$C$4),10)))</f>
        <v>7</v>
      </c>
      <c r="O488" s="20" t="n">
        <f aca="false">IF(K488=0,0,IF($I488="L/km",MROUND(K488*$M488*IF($H488="Petrol",'Fuel &amp; Inputs'!$C$5,'Fuel &amp; Inputs'!$C$4),1),MROUND(K488*$M488*IF($H488="Petrol",'Fuel &amp; Inputs'!$C$5,'Fuel &amp; Inputs'!$C$4),10)))</f>
        <v>10</v>
      </c>
      <c r="P488" s="20" t="n">
        <f aca="false">IF(L488=0,0,IF($I488="L/km",MROUND(L488*$M488*IF($H488="Petrol",'Fuel &amp; Inputs'!$C$5,'Fuel &amp; Inputs'!$C$4),1),MROUND(L488*$M488*IF($H488="Petrol",'Fuel &amp; Inputs'!$C$5,'Fuel &amp; Inputs'!$C$4),10)))</f>
        <v>12</v>
      </c>
      <c r="Q488" s="17" t="s">
        <v>597</v>
      </c>
      <c r="R488" s="21" t="n">
        <v>280</v>
      </c>
      <c r="S488" s="20" t="n">
        <f aca="false">R488</f>
        <v>280</v>
      </c>
      <c r="T488" s="21" t="n">
        <v>460</v>
      </c>
      <c r="U488" s="20" t="n">
        <f aca="false">MROUND(R488*'Fuel &amp; Inputs'!$C$19*'Fuel &amp; Inputs'!$C$21,100)</f>
        <v>1100</v>
      </c>
      <c r="V488" s="20" t="n">
        <f aca="false">MROUND(S488*'Fuel &amp; Inputs'!$C$19*'Fuel &amp; Inputs'!$C$21,100)</f>
        <v>1100</v>
      </c>
      <c r="W488" s="20" t="n">
        <f aca="false">MROUND(T488*'Fuel &amp; Inputs'!$C$19*'Fuel &amp; Inputs'!$C$21,100)</f>
        <v>1700</v>
      </c>
      <c r="X488" s="20" t="n">
        <f aca="false">MROUND(R488*'Fuel &amp; Inputs'!$C$20*'Fuel &amp; Inputs'!$C$22,500)</f>
        <v>28500</v>
      </c>
      <c r="Y488" s="20" t="n">
        <f aca="false">MROUND(S488*'Fuel &amp; Inputs'!$C$20*'Fuel &amp; Inputs'!$C$22,500)</f>
        <v>28500</v>
      </c>
      <c r="Z488" s="20" t="n">
        <f aca="false">MROUND(T488*'Fuel &amp; Inputs'!$C$20*'Fuel &amp; Inputs'!$C$22,500)</f>
        <v>47000</v>
      </c>
    </row>
    <row r="489" customFormat="false" ht="15" hidden="false" customHeight="false" outlineLevel="0" collapsed="false">
      <c r="A489" s="23" t="n">
        <v>458</v>
      </c>
      <c r="B489" s="34" t="s">
        <v>1131</v>
      </c>
      <c r="C489" s="34" t="s">
        <v>1132</v>
      </c>
      <c r="D489" s="34" t="s">
        <v>1143</v>
      </c>
      <c r="E489" s="23" t="s">
        <v>174</v>
      </c>
      <c r="F489" s="23" t="s">
        <v>1144</v>
      </c>
      <c r="G489" s="23" t="s">
        <v>1145</v>
      </c>
      <c r="H489" s="23" t="s">
        <v>984</v>
      </c>
      <c r="I489" s="23" t="s">
        <v>596</v>
      </c>
      <c r="J489" s="36" t="n">
        <v>0.017</v>
      </c>
      <c r="K489" s="36" t="n">
        <v>0.022</v>
      </c>
      <c r="L489" s="36" t="n">
        <v>0.028</v>
      </c>
      <c r="M489" s="35" t="n">
        <v>1.07</v>
      </c>
      <c r="N489" s="26" t="n">
        <f aca="false">IF(J489=0,0,IF($I489="L/km",MROUND(J489*$M489*IF($H489="Petrol",'Fuel &amp; Inputs'!$C$5,'Fuel &amp; Inputs'!$C$4),1),MROUND(J489*$M489*IF($H489="Petrol",'Fuel &amp; Inputs'!$C$5,'Fuel &amp; Inputs'!$C$4),10)))</f>
        <v>8</v>
      </c>
      <c r="O489" s="26" t="n">
        <f aca="false">IF(K489=0,0,IF($I489="L/km",MROUND(K489*$M489*IF($H489="Petrol",'Fuel &amp; Inputs'!$C$5,'Fuel &amp; Inputs'!$C$4),1),MROUND(K489*$M489*IF($H489="Petrol",'Fuel &amp; Inputs'!$C$5,'Fuel &amp; Inputs'!$C$4),10)))</f>
        <v>10</v>
      </c>
      <c r="P489" s="26" t="n">
        <f aca="false">IF(L489=0,0,IF($I489="L/km",MROUND(L489*$M489*IF($H489="Petrol",'Fuel &amp; Inputs'!$C$5,'Fuel &amp; Inputs'!$C$4),1),MROUND(L489*$M489*IF($H489="Petrol",'Fuel &amp; Inputs'!$C$5,'Fuel &amp; Inputs'!$C$4),10)))</f>
        <v>12</v>
      </c>
      <c r="Q489" s="23" t="s">
        <v>597</v>
      </c>
      <c r="R489" s="27" t="n">
        <v>280</v>
      </c>
      <c r="S489" s="26" t="n">
        <f aca="false">R489</f>
        <v>280</v>
      </c>
      <c r="T489" s="27" t="n">
        <v>460</v>
      </c>
      <c r="U489" s="26" t="n">
        <f aca="false">MROUND(R489*'Fuel &amp; Inputs'!$C$19*'Fuel &amp; Inputs'!$C$21,100)</f>
        <v>1100</v>
      </c>
      <c r="V489" s="26" t="n">
        <f aca="false">MROUND(S489*'Fuel &amp; Inputs'!$C$19*'Fuel &amp; Inputs'!$C$21,100)</f>
        <v>1100</v>
      </c>
      <c r="W489" s="26" t="n">
        <f aca="false">MROUND(T489*'Fuel &amp; Inputs'!$C$19*'Fuel &amp; Inputs'!$C$21,100)</f>
        <v>1700</v>
      </c>
      <c r="X489" s="26" t="n">
        <f aca="false">MROUND(R489*'Fuel &amp; Inputs'!$C$20*'Fuel &amp; Inputs'!$C$22,500)</f>
        <v>28500</v>
      </c>
      <c r="Y489" s="26" t="n">
        <f aca="false">MROUND(S489*'Fuel &amp; Inputs'!$C$20*'Fuel &amp; Inputs'!$C$22,500)</f>
        <v>28500</v>
      </c>
      <c r="Z489" s="26" t="n">
        <f aca="false">MROUND(T489*'Fuel &amp; Inputs'!$C$20*'Fuel &amp; Inputs'!$C$22,500)</f>
        <v>47000</v>
      </c>
    </row>
    <row r="490" customFormat="false" ht="15" hidden="false" customHeight="false" outlineLevel="0" collapsed="false">
      <c r="A490" s="17" t="n">
        <v>459</v>
      </c>
      <c r="B490" s="32" t="s">
        <v>1131</v>
      </c>
      <c r="C490" s="32" t="s">
        <v>1132</v>
      </c>
      <c r="D490" s="32" t="s">
        <v>1133</v>
      </c>
      <c r="E490" s="17" t="s">
        <v>174</v>
      </c>
      <c r="F490" s="17" t="s">
        <v>1146</v>
      </c>
      <c r="G490" s="17" t="s">
        <v>1147</v>
      </c>
      <c r="H490" s="17" t="s">
        <v>984</v>
      </c>
      <c r="I490" s="17" t="s">
        <v>596</v>
      </c>
      <c r="J490" s="37" t="n">
        <v>0.017</v>
      </c>
      <c r="K490" s="37" t="n">
        <v>0.022</v>
      </c>
      <c r="L490" s="37" t="n">
        <v>0.028</v>
      </c>
      <c r="M490" s="33" t="n">
        <v>1.07</v>
      </c>
      <c r="N490" s="20" t="n">
        <f aca="false">IF(J490=0,0,IF($I490="L/km",MROUND(J490*$M490*IF($H490="Petrol",'Fuel &amp; Inputs'!$C$5,'Fuel &amp; Inputs'!$C$4),1),MROUND(J490*$M490*IF($H490="Petrol",'Fuel &amp; Inputs'!$C$5,'Fuel &amp; Inputs'!$C$4),10)))</f>
        <v>8</v>
      </c>
      <c r="O490" s="20" t="n">
        <f aca="false">IF(K490=0,0,IF($I490="L/km",MROUND(K490*$M490*IF($H490="Petrol",'Fuel &amp; Inputs'!$C$5,'Fuel &amp; Inputs'!$C$4),1),MROUND(K490*$M490*IF($H490="Petrol",'Fuel &amp; Inputs'!$C$5,'Fuel &amp; Inputs'!$C$4),10)))</f>
        <v>10</v>
      </c>
      <c r="P490" s="20" t="n">
        <f aca="false">IF(L490=0,0,IF($I490="L/km",MROUND(L490*$M490*IF($H490="Petrol",'Fuel &amp; Inputs'!$C$5,'Fuel &amp; Inputs'!$C$4),1),MROUND(L490*$M490*IF($H490="Petrol",'Fuel &amp; Inputs'!$C$5,'Fuel &amp; Inputs'!$C$4),10)))</f>
        <v>12</v>
      </c>
      <c r="Q490" s="17" t="s">
        <v>597</v>
      </c>
      <c r="R490" s="21" t="n">
        <v>280</v>
      </c>
      <c r="S490" s="20" t="n">
        <f aca="false">R490</f>
        <v>280</v>
      </c>
      <c r="T490" s="21" t="n">
        <v>460</v>
      </c>
      <c r="U490" s="20" t="n">
        <f aca="false">MROUND(R490*'Fuel &amp; Inputs'!$C$19*'Fuel &amp; Inputs'!$C$21,100)</f>
        <v>1100</v>
      </c>
      <c r="V490" s="20" t="n">
        <f aca="false">MROUND(S490*'Fuel &amp; Inputs'!$C$19*'Fuel &amp; Inputs'!$C$21,100)</f>
        <v>1100</v>
      </c>
      <c r="W490" s="20" t="n">
        <f aca="false">MROUND(T490*'Fuel &amp; Inputs'!$C$19*'Fuel &amp; Inputs'!$C$21,100)</f>
        <v>1700</v>
      </c>
      <c r="X490" s="20" t="n">
        <f aca="false">MROUND(R490*'Fuel &amp; Inputs'!$C$20*'Fuel &amp; Inputs'!$C$22,500)</f>
        <v>28500</v>
      </c>
      <c r="Y490" s="20" t="n">
        <f aca="false">MROUND(S490*'Fuel &amp; Inputs'!$C$20*'Fuel &amp; Inputs'!$C$22,500)</f>
        <v>28500</v>
      </c>
      <c r="Z490" s="20" t="n">
        <f aca="false">MROUND(T490*'Fuel &amp; Inputs'!$C$20*'Fuel &amp; Inputs'!$C$22,500)</f>
        <v>47000</v>
      </c>
    </row>
    <row r="491" customFormat="false" ht="15" hidden="false" customHeight="false" outlineLevel="0" collapsed="false">
      <c r="A491" s="23" t="n">
        <v>460</v>
      </c>
      <c r="B491" s="34" t="s">
        <v>1131</v>
      </c>
      <c r="C491" s="34" t="s">
        <v>1132</v>
      </c>
      <c r="D491" s="34" t="s">
        <v>1133</v>
      </c>
      <c r="E491" s="23" t="s">
        <v>174</v>
      </c>
      <c r="F491" s="23" t="s">
        <v>223</v>
      </c>
      <c r="G491" s="23" t="s">
        <v>223</v>
      </c>
      <c r="H491" s="23" t="s">
        <v>984</v>
      </c>
      <c r="I491" s="23" t="s">
        <v>596</v>
      </c>
      <c r="J491" s="36" t="n">
        <v>0.017</v>
      </c>
      <c r="K491" s="36" t="n">
        <v>0.022</v>
      </c>
      <c r="L491" s="36" t="n">
        <v>0.028</v>
      </c>
      <c r="M491" s="35" t="n">
        <v>1.07</v>
      </c>
      <c r="N491" s="26" t="n">
        <f aca="false">IF(J491=0,0,IF($I491="L/km",MROUND(J491*$M491*IF($H491="Petrol",'Fuel &amp; Inputs'!$C$5,'Fuel &amp; Inputs'!$C$4),1),MROUND(J491*$M491*IF($H491="Petrol",'Fuel &amp; Inputs'!$C$5,'Fuel &amp; Inputs'!$C$4),10)))</f>
        <v>8</v>
      </c>
      <c r="O491" s="26" t="n">
        <f aca="false">IF(K491=0,0,IF($I491="L/km",MROUND(K491*$M491*IF($H491="Petrol",'Fuel &amp; Inputs'!$C$5,'Fuel &amp; Inputs'!$C$4),1),MROUND(K491*$M491*IF($H491="Petrol",'Fuel &amp; Inputs'!$C$5,'Fuel &amp; Inputs'!$C$4),10)))</f>
        <v>10</v>
      </c>
      <c r="P491" s="26" t="n">
        <f aca="false">IF(L491=0,0,IF($I491="L/km",MROUND(L491*$M491*IF($H491="Petrol",'Fuel &amp; Inputs'!$C$5,'Fuel &amp; Inputs'!$C$4),1),MROUND(L491*$M491*IF($H491="Petrol",'Fuel &amp; Inputs'!$C$5,'Fuel &amp; Inputs'!$C$4),10)))</f>
        <v>12</v>
      </c>
      <c r="Q491" s="23" t="s">
        <v>597</v>
      </c>
      <c r="R491" s="27" t="n">
        <v>280</v>
      </c>
      <c r="S491" s="26" t="n">
        <f aca="false">R491</f>
        <v>280</v>
      </c>
      <c r="T491" s="27" t="n">
        <v>460</v>
      </c>
      <c r="U491" s="26" t="n">
        <f aca="false">MROUND(R491*'Fuel &amp; Inputs'!$C$19*'Fuel &amp; Inputs'!$C$21,100)</f>
        <v>1100</v>
      </c>
      <c r="V491" s="26" t="n">
        <f aca="false">MROUND(S491*'Fuel &amp; Inputs'!$C$19*'Fuel &amp; Inputs'!$C$21,100)</f>
        <v>1100</v>
      </c>
      <c r="W491" s="26" t="n">
        <f aca="false">MROUND(T491*'Fuel &amp; Inputs'!$C$19*'Fuel &amp; Inputs'!$C$21,100)</f>
        <v>1700</v>
      </c>
      <c r="X491" s="26" t="n">
        <f aca="false">MROUND(R491*'Fuel &amp; Inputs'!$C$20*'Fuel &amp; Inputs'!$C$22,500)</f>
        <v>28500</v>
      </c>
      <c r="Y491" s="26" t="n">
        <f aca="false">MROUND(S491*'Fuel &amp; Inputs'!$C$20*'Fuel &amp; Inputs'!$C$22,500)</f>
        <v>28500</v>
      </c>
      <c r="Z491" s="26" t="n">
        <f aca="false">MROUND(T491*'Fuel &amp; Inputs'!$C$20*'Fuel &amp; Inputs'!$C$22,500)</f>
        <v>47000</v>
      </c>
    </row>
    <row r="492" customFormat="false" ht="15" hidden="false" customHeight="false" outlineLevel="0" collapsed="false">
      <c r="A492" s="17" t="n">
        <v>461</v>
      </c>
      <c r="B492" s="32" t="s">
        <v>1131</v>
      </c>
      <c r="C492" s="32" t="s">
        <v>1132</v>
      </c>
      <c r="D492" s="32" t="s">
        <v>1133</v>
      </c>
      <c r="E492" s="17" t="s">
        <v>174</v>
      </c>
      <c r="F492" s="17" t="s">
        <v>223</v>
      </c>
      <c r="G492" s="17" t="s">
        <v>223</v>
      </c>
      <c r="H492" s="17" t="s">
        <v>984</v>
      </c>
      <c r="I492" s="17" t="s">
        <v>596</v>
      </c>
      <c r="J492" s="37" t="n">
        <v>0.017</v>
      </c>
      <c r="K492" s="37" t="n">
        <v>0.022</v>
      </c>
      <c r="L492" s="37" t="n">
        <v>0.028</v>
      </c>
      <c r="M492" s="33" t="n">
        <v>1.077</v>
      </c>
      <c r="N492" s="20" t="n">
        <f aca="false">IF(J492=0,0,IF($I492="L/km",MROUND(J492*$M492*IF($H492="Petrol",'Fuel &amp; Inputs'!$C$5,'Fuel &amp; Inputs'!$C$4),1),MROUND(J492*$M492*IF($H492="Petrol",'Fuel &amp; Inputs'!$C$5,'Fuel &amp; Inputs'!$C$4),10)))</f>
        <v>8</v>
      </c>
      <c r="O492" s="20" t="n">
        <f aca="false">IF(K492=0,0,IF($I492="L/km",MROUND(K492*$M492*IF($H492="Petrol",'Fuel &amp; Inputs'!$C$5,'Fuel &amp; Inputs'!$C$4),1),MROUND(K492*$M492*IF($H492="Petrol",'Fuel &amp; Inputs'!$C$5,'Fuel &amp; Inputs'!$C$4),10)))</f>
        <v>10</v>
      </c>
      <c r="P492" s="20" t="n">
        <f aca="false">IF(L492=0,0,IF($I492="L/km",MROUND(L492*$M492*IF($H492="Petrol",'Fuel &amp; Inputs'!$C$5,'Fuel &amp; Inputs'!$C$4),1),MROUND(L492*$M492*IF($H492="Petrol",'Fuel &amp; Inputs'!$C$5,'Fuel &amp; Inputs'!$C$4),10)))</f>
        <v>12</v>
      </c>
      <c r="Q492" s="17" t="s">
        <v>597</v>
      </c>
      <c r="R492" s="21" t="n">
        <v>280</v>
      </c>
      <c r="S492" s="20" t="n">
        <f aca="false">R492</f>
        <v>280</v>
      </c>
      <c r="T492" s="21" t="n">
        <v>460</v>
      </c>
      <c r="U492" s="20" t="n">
        <f aca="false">MROUND(R492*'Fuel &amp; Inputs'!$C$19*'Fuel &amp; Inputs'!$C$21,100)</f>
        <v>1100</v>
      </c>
      <c r="V492" s="20" t="n">
        <f aca="false">MROUND(S492*'Fuel &amp; Inputs'!$C$19*'Fuel &amp; Inputs'!$C$21,100)</f>
        <v>1100</v>
      </c>
      <c r="W492" s="20" t="n">
        <f aca="false">MROUND(T492*'Fuel &amp; Inputs'!$C$19*'Fuel &amp; Inputs'!$C$21,100)</f>
        <v>1700</v>
      </c>
      <c r="X492" s="20" t="n">
        <f aca="false">MROUND(R492*'Fuel &amp; Inputs'!$C$20*'Fuel &amp; Inputs'!$C$22,500)</f>
        <v>28500</v>
      </c>
      <c r="Y492" s="20" t="n">
        <f aca="false">MROUND(S492*'Fuel &amp; Inputs'!$C$20*'Fuel &amp; Inputs'!$C$22,500)</f>
        <v>28500</v>
      </c>
      <c r="Z492" s="20" t="n">
        <f aca="false">MROUND(T492*'Fuel &amp; Inputs'!$C$20*'Fuel &amp; Inputs'!$C$22,500)</f>
        <v>47000</v>
      </c>
    </row>
    <row r="493" customFormat="false" ht="15" hidden="false" customHeight="false" outlineLevel="0" collapsed="false">
      <c r="A493" s="23" t="n">
        <v>462</v>
      </c>
      <c r="B493" s="34" t="s">
        <v>1131</v>
      </c>
      <c r="C493" s="34" t="s">
        <v>1133</v>
      </c>
      <c r="D493" s="34" t="s">
        <v>1133</v>
      </c>
      <c r="E493" s="23" t="s">
        <v>174</v>
      </c>
      <c r="F493" s="23" t="s">
        <v>1148</v>
      </c>
      <c r="G493" s="23" t="s">
        <v>1149</v>
      </c>
      <c r="H493" s="23" t="s">
        <v>984</v>
      </c>
      <c r="I493" s="23" t="s">
        <v>596</v>
      </c>
      <c r="J493" s="36" t="n">
        <v>0.017</v>
      </c>
      <c r="K493" s="36" t="n">
        <v>0.022</v>
      </c>
      <c r="L493" s="36" t="n">
        <v>0.028</v>
      </c>
      <c r="M493" s="35" t="n">
        <v>1.07</v>
      </c>
      <c r="N493" s="26" t="n">
        <f aca="false">IF(J493=0,0,IF($I493="L/km",MROUND(J493*$M493*IF($H493="Petrol",'Fuel &amp; Inputs'!$C$5,'Fuel &amp; Inputs'!$C$4),1),MROUND(J493*$M493*IF($H493="Petrol",'Fuel &amp; Inputs'!$C$5,'Fuel &amp; Inputs'!$C$4),10)))</f>
        <v>8</v>
      </c>
      <c r="O493" s="26" t="n">
        <f aca="false">IF(K493=0,0,IF($I493="L/km",MROUND(K493*$M493*IF($H493="Petrol",'Fuel &amp; Inputs'!$C$5,'Fuel &amp; Inputs'!$C$4),1),MROUND(K493*$M493*IF($H493="Petrol",'Fuel &amp; Inputs'!$C$5,'Fuel &amp; Inputs'!$C$4),10)))</f>
        <v>10</v>
      </c>
      <c r="P493" s="26" t="n">
        <f aca="false">IF(L493=0,0,IF($I493="L/km",MROUND(L493*$M493*IF($H493="Petrol",'Fuel &amp; Inputs'!$C$5,'Fuel &amp; Inputs'!$C$4),1),MROUND(L493*$M493*IF($H493="Petrol",'Fuel &amp; Inputs'!$C$5,'Fuel &amp; Inputs'!$C$4),10)))</f>
        <v>12</v>
      </c>
      <c r="Q493" s="23" t="s">
        <v>597</v>
      </c>
      <c r="R493" s="27" t="n">
        <v>280</v>
      </c>
      <c r="S493" s="26" t="n">
        <f aca="false">R493</f>
        <v>280</v>
      </c>
      <c r="T493" s="27" t="n">
        <v>460</v>
      </c>
      <c r="U493" s="26" t="n">
        <f aca="false">MROUND(R493*'Fuel &amp; Inputs'!$C$19*'Fuel &amp; Inputs'!$C$21,100)</f>
        <v>1100</v>
      </c>
      <c r="V493" s="26" t="n">
        <f aca="false">MROUND(S493*'Fuel &amp; Inputs'!$C$19*'Fuel &amp; Inputs'!$C$21,100)</f>
        <v>1100</v>
      </c>
      <c r="W493" s="26" t="n">
        <f aca="false">MROUND(T493*'Fuel &amp; Inputs'!$C$19*'Fuel &amp; Inputs'!$C$21,100)</f>
        <v>1700</v>
      </c>
      <c r="X493" s="26" t="n">
        <f aca="false">MROUND(R493*'Fuel &amp; Inputs'!$C$20*'Fuel &amp; Inputs'!$C$22,500)</f>
        <v>28500</v>
      </c>
      <c r="Y493" s="26" t="n">
        <f aca="false">MROUND(S493*'Fuel &amp; Inputs'!$C$20*'Fuel &amp; Inputs'!$C$22,500)</f>
        <v>28500</v>
      </c>
      <c r="Z493" s="26" t="n">
        <f aca="false">MROUND(T493*'Fuel &amp; Inputs'!$C$20*'Fuel &amp; Inputs'!$C$22,500)</f>
        <v>47000</v>
      </c>
    </row>
    <row r="494" customFormat="false" ht="15" hidden="false" customHeight="false" outlineLevel="0" collapsed="false">
      <c r="A494" s="17" t="n">
        <v>463</v>
      </c>
      <c r="B494" s="32" t="s">
        <v>1131</v>
      </c>
      <c r="C494" s="32" t="s">
        <v>1132</v>
      </c>
      <c r="D494" s="32" t="s">
        <v>1133</v>
      </c>
      <c r="E494" s="17" t="s">
        <v>171</v>
      </c>
      <c r="F494" s="17" t="s">
        <v>1150</v>
      </c>
      <c r="G494" s="17" t="s">
        <v>1151</v>
      </c>
      <c r="H494" s="17" t="s">
        <v>984</v>
      </c>
      <c r="I494" s="17" t="s">
        <v>596</v>
      </c>
      <c r="J494" s="37" t="n">
        <v>0.017</v>
      </c>
      <c r="K494" s="37" t="n">
        <v>0.022</v>
      </c>
      <c r="L494" s="37" t="n">
        <v>0.028</v>
      </c>
      <c r="M494" s="33" t="n">
        <v>1.077</v>
      </c>
      <c r="N494" s="20" t="n">
        <f aca="false">IF(J494=0,0,IF($I494="L/km",MROUND(J494*$M494*IF($H494="Petrol",'Fuel &amp; Inputs'!$C$5,'Fuel &amp; Inputs'!$C$4),1),MROUND(J494*$M494*IF($H494="Petrol",'Fuel &amp; Inputs'!$C$5,'Fuel &amp; Inputs'!$C$4),10)))</f>
        <v>8</v>
      </c>
      <c r="O494" s="20" t="n">
        <f aca="false">IF(K494=0,0,IF($I494="L/km",MROUND(K494*$M494*IF($H494="Petrol",'Fuel &amp; Inputs'!$C$5,'Fuel &amp; Inputs'!$C$4),1),MROUND(K494*$M494*IF($H494="Petrol",'Fuel &amp; Inputs'!$C$5,'Fuel &amp; Inputs'!$C$4),10)))</f>
        <v>10</v>
      </c>
      <c r="P494" s="20" t="n">
        <f aca="false">IF(L494=0,0,IF($I494="L/km",MROUND(L494*$M494*IF($H494="Petrol",'Fuel &amp; Inputs'!$C$5,'Fuel &amp; Inputs'!$C$4),1),MROUND(L494*$M494*IF($H494="Petrol",'Fuel &amp; Inputs'!$C$5,'Fuel &amp; Inputs'!$C$4),10)))</f>
        <v>12</v>
      </c>
      <c r="Q494" s="17" t="s">
        <v>597</v>
      </c>
      <c r="R494" s="21" t="n">
        <v>280</v>
      </c>
      <c r="S494" s="20" t="n">
        <f aca="false">R494</f>
        <v>280</v>
      </c>
      <c r="T494" s="21" t="n">
        <v>460</v>
      </c>
      <c r="U494" s="20" t="n">
        <f aca="false">MROUND(R494*'Fuel &amp; Inputs'!$C$19*'Fuel &amp; Inputs'!$C$21,100)</f>
        <v>1100</v>
      </c>
      <c r="V494" s="20" t="n">
        <f aca="false">MROUND(S494*'Fuel &amp; Inputs'!$C$19*'Fuel &amp; Inputs'!$C$21,100)</f>
        <v>1100</v>
      </c>
      <c r="W494" s="20" t="n">
        <f aca="false">MROUND(T494*'Fuel &amp; Inputs'!$C$19*'Fuel &amp; Inputs'!$C$21,100)</f>
        <v>1700</v>
      </c>
      <c r="X494" s="20" t="n">
        <f aca="false">MROUND(R494*'Fuel &amp; Inputs'!$C$20*'Fuel &amp; Inputs'!$C$22,500)</f>
        <v>28500</v>
      </c>
      <c r="Y494" s="20" t="n">
        <f aca="false">MROUND(S494*'Fuel &amp; Inputs'!$C$20*'Fuel &amp; Inputs'!$C$22,500)</f>
        <v>28500</v>
      </c>
      <c r="Z494" s="20" t="n">
        <f aca="false">MROUND(T494*'Fuel &amp; Inputs'!$C$20*'Fuel &amp; Inputs'!$C$22,500)</f>
        <v>47000</v>
      </c>
    </row>
    <row r="495" customFormat="false" ht="15" hidden="false" customHeight="false" outlineLevel="0" collapsed="false">
      <c r="A495" s="23" t="n">
        <v>464</v>
      </c>
      <c r="B495" s="34" t="s">
        <v>1131</v>
      </c>
      <c r="C495" s="34" t="s">
        <v>1132</v>
      </c>
      <c r="D495" s="34" t="s">
        <v>1133</v>
      </c>
      <c r="E495" s="23" t="s">
        <v>171</v>
      </c>
      <c r="F495" s="23" t="s">
        <v>223</v>
      </c>
      <c r="G495" s="23" t="s">
        <v>223</v>
      </c>
      <c r="H495" s="23" t="s">
        <v>984</v>
      </c>
      <c r="I495" s="23" t="s">
        <v>596</v>
      </c>
      <c r="J495" s="36" t="n">
        <v>0.017</v>
      </c>
      <c r="K495" s="36" t="n">
        <v>0.022</v>
      </c>
      <c r="L495" s="36" t="n">
        <v>0.028</v>
      </c>
      <c r="M495" s="35" t="n">
        <v>1.077</v>
      </c>
      <c r="N495" s="26" t="n">
        <f aca="false">IF(J495=0,0,IF($I495="L/km",MROUND(J495*$M495*IF($H495="Petrol",'Fuel &amp; Inputs'!$C$5,'Fuel &amp; Inputs'!$C$4),1),MROUND(J495*$M495*IF($H495="Petrol",'Fuel &amp; Inputs'!$C$5,'Fuel &amp; Inputs'!$C$4),10)))</f>
        <v>8</v>
      </c>
      <c r="O495" s="26" t="n">
        <f aca="false">IF(K495=0,0,IF($I495="L/km",MROUND(K495*$M495*IF($H495="Petrol",'Fuel &amp; Inputs'!$C$5,'Fuel &amp; Inputs'!$C$4),1),MROUND(K495*$M495*IF($H495="Petrol",'Fuel &amp; Inputs'!$C$5,'Fuel &amp; Inputs'!$C$4),10)))</f>
        <v>10</v>
      </c>
      <c r="P495" s="26" t="n">
        <f aca="false">IF(L495=0,0,IF($I495="L/km",MROUND(L495*$M495*IF($H495="Petrol",'Fuel &amp; Inputs'!$C$5,'Fuel &amp; Inputs'!$C$4),1),MROUND(L495*$M495*IF($H495="Petrol",'Fuel &amp; Inputs'!$C$5,'Fuel &amp; Inputs'!$C$4),10)))</f>
        <v>12</v>
      </c>
      <c r="Q495" s="23" t="s">
        <v>597</v>
      </c>
      <c r="R495" s="27" t="n">
        <v>280</v>
      </c>
      <c r="S495" s="26" t="n">
        <f aca="false">R495</f>
        <v>280</v>
      </c>
      <c r="T495" s="27" t="n">
        <v>460</v>
      </c>
      <c r="U495" s="26" t="n">
        <f aca="false">MROUND(R495*'Fuel &amp; Inputs'!$C$19*'Fuel &amp; Inputs'!$C$21,100)</f>
        <v>1100</v>
      </c>
      <c r="V495" s="26" t="n">
        <f aca="false">MROUND(S495*'Fuel &amp; Inputs'!$C$19*'Fuel &amp; Inputs'!$C$21,100)</f>
        <v>1100</v>
      </c>
      <c r="W495" s="26" t="n">
        <f aca="false">MROUND(T495*'Fuel &amp; Inputs'!$C$19*'Fuel &amp; Inputs'!$C$21,100)</f>
        <v>1700</v>
      </c>
      <c r="X495" s="26" t="n">
        <f aca="false">MROUND(R495*'Fuel &amp; Inputs'!$C$20*'Fuel &amp; Inputs'!$C$22,500)</f>
        <v>28500</v>
      </c>
      <c r="Y495" s="26" t="n">
        <f aca="false">MROUND(S495*'Fuel &amp; Inputs'!$C$20*'Fuel &amp; Inputs'!$C$22,500)</f>
        <v>28500</v>
      </c>
      <c r="Z495" s="26" t="n">
        <f aca="false">MROUND(T495*'Fuel &amp; Inputs'!$C$20*'Fuel &amp; Inputs'!$C$22,500)</f>
        <v>47000</v>
      </c>
    </row>
    <row r="496" customFormat="false" ht="15" hidden="false" customHeight="false" outlineLevel="0" collapsed="false">
      <c r="A496" s="17" t="n">
        <v>465</v>
      </c>
      <c r="B496" s="32" t="s">
        <v>1131</v>
      </c>
      <c r="C496" s="32" t="s">
        <v>1132</v>
      </c>
      <c r="D496" s="32" t="s">
        <v>1152</v>
      </c>
      <c r="E496" s="17" t="s">
        <v>171</v>
      </c>
      <c r="F496" s="17" t="s">
        <v>1153</v>
      </c>
      <c r="G496" s="17" t="s">
        <v>1154</v>
      </c>
      <c r="H496" s="17" t="s">
        <v>984</v>
      </c>
      <c r="I496" s="17" t="s">
        <v>596</v>
      </c>
      <c r="J496" s="37" t="n">
        <v>0.017</v>
      </c>
      <c r="K496" s="37" t="n">
        <v>0.022</v>
      </c>
      <c r="L496" s="37" t="n">
        <v>0.028</v>
      </c>
      <c r="M496" s="33" t="n">
        <v>1.077</v>
      </c>
      <c r="N496" s="20" t="n">
        <f aca="false">IF(J496=0,0,IF($I496="L/km",MROUND(J496*$M496*IF($H496="Petrol",'Fuel &amp; Inputs'!$C$5,'Fuel &amp; Inputs'!$C$4),1),MROUND(J496*$M496*IF($H496="Petrol",'Fuel &amp; Inputs'!$C$5,'Fuel &amp; Inputs'!$C$4),10)))</f>
        <v>8</v>
      </c>
      <c r="O496" s="20" t="n">
        <f aca="false">IF(K496=0,0,IF($I496="L/km",MROUND(K496*$M496*IF($H496="Petrol",'Fuel &amp; Inputs'!$C$5,'Fuel &amp; Inputs'!$C$4),1),MROUND(K496*$M496*IF($H496="Petrol",'Fuel &amp; Inputs'!$C$5,'Fuel &amp; Inputs'!$C$4),10)))</f>
        <v>10</v>
      </c>
      <c r="P496" s="20" t="n">
        <f aca="false">IF(L496=0,0,IF($I496="L/km",MROUND(L496*$M496*IF($H496="Petrol",'Fuel &amp; Inputs'!$C$5,'Fuel &amp; Inputs'!$C$4),1),MROUND(L496*$M496*IF($H496="Petrol",'Fuel &amp; Inputs'!$C$5,'Fuel &amp; Inputs'!$C$4),10)))</f>
        <v>12</v>
      </c>
      <c r="Q496" s="17" t="s">
        <v>597</v>
      </c>
      <c r="R496" s="21" t="n">
        <v>280</v>
      </c>
      <c r="S496" s="20" t="n">
        <f aca="false">R496</f>
        <v>280</v>
      </c>
      <c r="T496" s="21" t="n">
        <v>460</v>
      </c>
      <c r="U496" s="20" t="n">
        <f aca="false">MROUND(R496*'Fuel &amp; Inputs'!$C$19*'Fuel &amp; Inputs'!$C$21,100)</f>
        <v>1100</v>
      </c>
      <c r="V496" s="20" t="n">
        <f aca="false">MROUND(S496*'Fuel &amp; Inputs'!$C$19*'Fuel &amp; Inputs'!$C$21,100)</f>
        <v>1100</v>
      </c>
      <c r="W496" s="20" t="n">
        <f aca="false">MROUND(T496*'Fuel &amp; Inputs'!$C$19*'Fuel &amp; Inputs'!$C$21,100)</f>
        <v>1700</v>
      </c>
      <c r="X496" s="20" t="n">
        <f aca="false">MROUND(R496*'Fuel &amp; Inputs'!$C$20*'Fuel &amp; Inputs'!$C$22,500)</f>
        <v>28500</v>
      </c>
      <c r="Y496" s="20" t="n">
        <f aca="false">MROUND(S496*'Fuel &amp; Inputs'!$C$20*'Fuel &amp; Inputs'!$C$22,500)</f>
        <v>28500</v>
      </c>
      <c r="Z496" s="20" t="n">
        <f aca="false">MROUND(T496*'Fuel &amp; Inputs'!$C$20*'Fuel &amp; Inputs'!$C$22,500)</f>
        <v>47000</v>
      </c>
    </row>
    <row r="497" customFormat="false" ht="15" hidden="false" customHeight="false" outlineLevel="0" collapsed="false">
      <c r="A497" s="23" t="n">
        <v>466</v>
      </c>
      <c r="B497" s="34" t="s">
        <v>1131</v>
      </c>
      <c r="C497" s="34" t="s">
        <v>1132</v>
      </c>
      <c r="D497" s="34" t="s">
        <v>1152</v>
      </c>
      <c r="E497" s="23" t="s">
        <v>171</v>
      </c>
      <c r="F497" s="23" t="s">
        <v>223</v>
      </c>
      <c r="G497" s="23" t="s">
        <v>223</v>
      </c>
      <c r="H497" s="23" t="s">
        <v>984</v>
      </c>
      <c r="I497" s="23" t="s">
        <v>596</v>
      </c>
      <c r="J497" s="36" t="n">
        <v>0.017</v>
      </c>
      <c r="K497" s="36" t="n">
        <v>0.022</v>
      </c>
      <c r="L497" s="36" t="n">
        <v>0.028</v>
      </c>
      <c r="M497" s="35" t="n">
        <v>1.091</v>
      </c>
      <c r="N497" s="26" t="n">
        <f aca="false">IF(J497=0,0,IF($I497="L/km",MROUND(J497*$M497*IF($H497="Petrol",'Fuel &amp; Inputs'!$C$5,'Fuel &amp; Inputs'!$C$4),1),MROUND(J497*$M497*IF($H497="Petrol",'Fuel &amp; Inputs'!$C$5,'Fuel &amp; Inputs'!$C$4),10)))</f>
        <v>8</v>
      </c>
      <c r="O497" s="26" t="n">
        <f aca="false">IF(K497=0,0,IF($I497="L/km",MROUND(K497*$M497*IF($H497="Petrol",'Fuel &amp; Inputs'!$C$5,'Fuel &amp; Inputs'!$C$4),1),MROUND(K497*$M497*IF($H497="Petrol",'Fuel &amp; Inputs'!$C$5,'Fuel &amp; Inputs'!$C$4),10)))</f>
        <v>10</v>
      </c>
      <c r="P497" s="26" t="n">
        <f aca="false">IF(L497=0,0,IF($I497="L/km",MROUND(L497*$M497*IF($H497="Petrol",'Fuel &amp; Inputs'!$C$5,'Fuel &amp; Inputs'!$C$4),1),MROUND(L497*$M497*IF($H497="Petrol",'Fuel &amp; Inputs'!$C$5,'Fuel &amp; Inputs'!$C$4),10)))</f>
        <v>13</v>
      </c>
      <c r="Q497" s="23" t="s">
        <v>597</v>
      </c>
      <c r="R497" s="27" t="n">
        <v>280</v>
      </c>
      <c r="S497" s="26" t="n">
        <f aca="false">R497</f>
        <v>280</v>
      </c>
      <c r="T497" s="27" t="n">
        <v>460</v>
      </c>
      <c r="U497" s="26" t="n">
        <f aca="false">MROUND(R497*'Fuel &amp; Inputs'!$C$19*'Fuel &amp; Inputs'!$C$21,100)</f>
        <v>1100</v>
      </c>
      <c r="V497" s="26" t="n">
        <f aca="false">MROUND(S497*'Fuel &amp; Inputs'!$C$19*'Fuel &amp; Inputs'!$C$21,100)</f>
        <v>1100</v>
      </c>
      <c r="W497" s="26" t="n">
        <f aca="false">MROUND(T497*'Fuel &amp; Inputs'!$C$19*'Fuel &amp; Inputs'!$C$21,100)</f>
        <v>1700</v>
      </c>
      <c r="X497" s="26" t="n">
        <f aca="false">MROUND(R497*'Fuel &amp; Inputs'!$C$20*'Fuel &amp; Inputs'!$C$22,500)</f>
        <v>28500</v>
      </c>
      <c r="Y497" s="26" t="n">
        <f aca="false">MROUND(S497*'Fuel &amp; Inputs'!$C$20*'Fuel &amp; Inputs'!$C$22,500)</f>
        <v>28500</v>
      </c>
      <c r="Z497" s="26" t="n">
        <f aca="false">MROUND(T497*'Fuel &amp; Inputs'!$C$20*'Fuel &amp; Inputs'!$C$22,500)</f>
        <v>47000</v>
      </c>
    </row>
    <row r="498" customFormat="false" ht="15" hidden="false" customHeight="false" outlineLevel="0" collapsed="false">
      <c r="A498" s="17" t="n">
        <v>467</v>
      </c>
      <c r="B498" s="32" t="s">
        <v>1131</v>
      </c>
      <c r="C498" s="32" t="s">
        <v>1132</v>
      </c>
      <c r="D498" s="32" t="s">
        <v>1155</v>
      </c>
      <c r="E498" s="17" t="s">
        <v>234</v>
      </c>
      <c r="F498" s="17" t="s">
        <v>1156</v>
      </c>
      <c r="G498" s="17" t="s">
        <v>1157</v>
      </c>
      <c r="H498" s="17" t="s">
        <v>984</v>
      </c>
      <c r="I498" s="17" t="s">
        <v>596</v>
      </c>
      <c r="J498" s="37" t="n">
        <v>0.017</v>
      </c>
      <c r="K498" s="37" t="n">
        <v>0.022</v>
      </c>
      <c r="L498" s="37" t="n">
        <v>0.028</v>
      </c>
      <c r="M498" s="33" t="n">
        <v>1.091</v>
      </c>
      <c r="N498" s="20" t="n">
        <f aca="false">IF(J498=0,0,IF($I498="L/km",MROUND(J498*$M498*IF($H498="Petrol",'Fuel &amp; Inputs'!$C$5,'Fuel &amp; Inputs'!$C$4),1),MROUND(J498*$M498*IF($H498="Petrol",'Fuel &amp; Inputs'!$C$5,'Fuel &amp; Inputs'!$C$4),10)))</f>
        <v>8</v>
      </c>
      <c r="O498" s="20" t="n">
        <f aca="false">IF(K498=0,0,IF($I498="L/km",MROUND(K498*$M498*IF($H498="Petrol",'Fuel &amp; Inputs'!$C$5,'Fuel &amp; Inputs'!$C$4),1),MROUND(K498*$M498*IF($H498="Petrol",'Fuel &amp; Inputs'!$C$5,'Fuel &amp; Inputs'!$C$4),10)))</f>
        <v>10</v>
      </c>
      <c r="P498" s="20" t="n">
        <f aca="false">IF(L498=0,0,IF($I498="L/km",MROUND(L498*$M498*IF($H498="Petrol",'Fuel &amp; Inputs'!$C$5,'Fuel &amp; Inputs'!$C$4),1),MROUND(L498*$M498*IF($H498="Petrol",'Fuel &amp; Inputs'!$C$5,'Fuel &amp; Inputs'!$C$4),10)))</f>
        <v>13</v>
      </c>
      <c r="Q498" s="17" t="s">
        <v>597</v>
      </c>
      <c r="R498" s="21" t="n">
        <v>250</v>
      </c>
      <c r="S498" s="20" t="n">
        <f aca="false">R498</f>
        <v>250</v>
      </c>
      <c r="T498" s="21" t="n">
        <v>410</v>
      </c>
      <c r="U498" s="20" t="n">
        <f aca="false">MROUND(R498*'Fuel &amp; Inputs'!$C$19*'Fuel &amp; Inputs'!$C$21,100)</f>
        <v>1000</v>
      </c>
      <c r="V498" s="20" t="n">
        <f aca="false">MROUND(S498*'Fuel &amp; Inputs'!$C$19*'Fuel &amp; Inputs'!$C$21,100)</f>
        <v>1000</v>
      </c>
      <c r="W498" s="20" t="n">
        <f aca="false">MROUND(T498*'Fuel &amp; Inputs'!$C$19*'Fuel &amp; Inputs'!$C$21,100)</f>
        <v>1600</v>
      </c>
      <c r="X498" s="20" t="n">
        <f aca="false">MROUND(R498*'Fuel &amp; Inputs'!$C$20*'Fuel &amp; Inputs'!$C$22,500)</f>
        <v>25500</v>
      </c>
      <c r="Y498" s="20" t="n">
        <f aca="false">MROUND(S498*'Fuel &amp; Inputs'!$C$20*'Fuel &amp; Inputs'!$C$22,500)</f>
        <v>25500</v>
      </c>
      <c r="Z498" s="20" t="n">
        <f aca="false">MROUND(T498*'Fuel &amp; Inputs'!$C$20*'Fuel &amp; Inputs'!$C$22,500)</f>
        <v>42000</v>
      </c>
    </row>
    <row r="499" customFormat="false" ht="15" hidden="false" customHeight="false" outlineLevel="0" collapsed="false">
      <c r="A499" s="23" t="n">
        <v>468</v>
      </c>
      <c r="B499" s="34" t="s">
        <v>1131</v>
      </c>
      <c r="C499" s="34" t="s">
        <v>1132</v>
      </c>
      <c r="D499" s="34" t="s">
        <v>1155</v>
      </c>
      <c r="E499" s="23" t="s">
        <v>234</v>
      </c>
      <c r="F499" s="23" t="s">
        <v>223</v>
      </c>
      <c r="G499" s="23" t="s">
        <v>223</v>
      </c>
      <c r="H499" s="23" t="s">
        <v>984</v>
      </c>
      <c r="I499" s="23" t="s">
        <v>596</v>
      </c>
      <c r="J499" s="36" t="n">
        <v>0.017</v>
      </c>
      <c r="K499" s="36" t="n">
        <v>0.022</v>
      </c>
      <c r="L499" s="36" t="n">
        <v>0.028</v>
      </c>
      <c r="M499" s="35" t="n">
        <v>1.098</v>
      </c>
      <c r="N499" s="26" t="n">
        <f aca="false">IF(J499=0,0,IF($I499="L/km",MROUND(J499*$M499*IF($H499="Petrol",'Fuel &amp; Inputs'!$C$5,'Fuel &amp; Inputs'!$C$4),1),MROUND(J499*$M499*IF($H499="Petrol",'Fuel &amp; Inputs'!$C$5,'Fuel &amp; Inputs'!$C$4),10)))</f>
        <v>8</v>
      </c>
      <c r="O499" s="26" t="n">
        <f aca="false">IF(K499=0,0,IF($I499="L/km",MROUND(K499*$M499*IF($H499="Petrol",'Fuel &amp; Inputs'!$C$5,'Fuel &amp; Inputs'!$C$4),1),MROUND(K499*$M499*IF($H499="Petrol",'Fuel &amp; Inputs'!$C$5,'Fuel &amp; Inputs'!$C$4),10)))</f>
        <v>10</v>
      </c>
      <c r="P499" s="26" t="n">
        <f aca="false">IF(L499=0,0,IF($I499="L/km",MROUND(L499*$M499*IF($H499="Petrol",'Fuel &amp; Inputs'!$C$5,'Fuel &amp; Inputs'!$C$4),1),MROUND(L499*$M499*IF($H499="Petrol",'Fuel &amp; Inputs'!$C$5,'Fuel &amp; Inputs'!$C$4),10)))</f>
        <v>13</v>
      </c>
      <c r="Q499" s="23" t="s">
        <v>597</v>
      </c>
      <c r="R499" s="27" t="n">
        <v>250</v>
      </c>
      <c r="S499" s="26" t="n">
        <f aca="false">R499</f>
        <v>250</v>
      </c>
      <c r="T499" s="27" t="n">
        <v>410</v>
      </c>
      <c r="U499" s="26" t="n">
        <f aca="false">MROUND(R499*'Fuel &amp; Inputs'!$C$19*'Fuel &amp; Inputs'!$C$21,100)</f>
        <v>1000</v>
      </c>
      <c r="V499" s="26" t="n">
        <f aca="false">MROUND(S499*'Fuel &amp; Inputs'!$C$19*'Fuel &amp; Inputs'!$C$21,100)</f>
        <v>1000</v>
      </c>
      <c r="W499" s="26" t="n">
        <f aca="false">MROUND(T499*'Fuel &amp; Inputs'!$C$19*'Fuel &amp; Inputs'!$C$21,100)</f>
        <v>1600</v>
      </c>
      <c r="X499" s="26" t="n">
        <f aca="false">MROUND(R499*'Fuel &amp; Inputs'!$C$20*'Fuel &amp; Inputs'!$C$22,500)</f>
        <v>25500</v>
      </c>
      <c r="Y499" s="26" t="n">
        <f aca="false">MROUND(S499*'Fuel &amp; Inputs'!$C$20*'Fuel &amp; Inputs'!$C$22,500)</f>
        <v>25500</v>
      </c>
      <c r="Z499" s="26" t="n">
        <f aca="false">MROUND(T499*'Fuel &amp; Inputs'!$C$20*'Fuel &amp; Inputs'!$C$22,500)</f>
        <v>42000</v>
      </c>
    </row>
    <row r="500" customFormat="false" ht="15" hidden="false" customHeight="false" outlineLevel="0" collapsed="false">
      <c r="A500" s="17" t="n">
        <v>469</v>
      </c>
      <c r="B500" s="32" t="s">
        <v>1131</v>
      </c>
      <c r="C500" s="32" t="s">
        <v>1132</v>
      </c>
      <c r="D500" s="32" t="s">
        <v>1133</v>
      </c>
      <c r="E500" s="17" t="s">
        <v>166</v>
      </c>
      <c r="F500" s="17" t="s">
        <v>1158</v>
      </c>
      <c r="G500" s="17" t="s">
        <v>1159</v>
      </c>
      <c r="H500" s="17" t="s">
        <v>984</v>
      </c>
      <c r="I500" s="17" t="s">
        <v>596</v>
      </c>
      <c r="J500" s="37" t="n">
        <v>0.017</v>
      </c>
      <c r="K500" s="37" t="n">
        <v>0.022</v>
      </c>
      <c r="L500" s="37" t="n">
        <v>0.028</v>
      </c>
      <c r="M500" s="33" t="n">
        <v>1.098</v>
      </c>
      <c r="N500" s="20" t="n">
        <f aca="false">IF(J500=0,0,IF($I500="L/km",MROUND(J500*$M500*IF($H500="Petrol",'Fuel &amp; Inputs'!$C$5,'Fuel &amp; Inputs'!$C$4),1),MROUND(J500*$M500*IF($H500="Petrol",'Fuel &amp; Inputs'!$C$5,'Fuel &amp; Inputs'!$C$4),10)))</f>
        <v>8</v>
      </c>
      <c r="O500" s="20" t="n">
        <f aca="false">IF(K500=0,0,IF($I500="L/km",MROUND(K500*$M500*IF($H500="Petrol",'Fuel &amp; Inputs'!$C$5,'Fuel &amp; Inputs'!$C$4),1),MROUND(K500*$M500*IF($H500="Petrol",'Fuel &amp; Inputs'!$C$5,'Fuel &amp; Inputs'!$C$4),10)))</f>
        <v>10</v>
      </c>
      <c r="P500" s="20" t="n">
        <f aca="false">IF(L500=0,0,IF($I500="L/km",MROUND(L500*$M500*IF($H500="Petrol",'Fuel &amp; Inputs'!$C$5,'Fuel &amp; Inputs'!$C$4),1),MROUND(L500*$M500*IF($H500="Petrol",'Fuel &amp; Inputs'!$C$5,'Fuel &amp; Inputs'!$C$4),10)))</f>
        <v>13</v>
      </c>
      <c r="Q500" s="17" t="s">
        <v>597</v>
      </c>
      <c r="R500" s="21" t="n">
        <v>250</v>
      </c>
      <c r="S500" s="20" t="n">
        <f aca="false">R500</f>
        <v>250</v>
      </c>
      <c r="T500" s="21" t="n">
        <v>410</v>
      </c>
      <c r="U500" s="20" t="n">
        <f aca="false">MROUND(R500*'Fuel &amp; Inputs'!$C$19*'Fuel &amp; Inputs'!$C$21,100)</f>
        <v>1000</v>
      </c>
      <c r="V500" s="20" t="n">
        <f aca="false">MROUND(S500*'Fuel &amp; Inputs'!$C$19*'Fuel &amp; Inputs'!$C$21,100)</f>
        <v>1000</v>
      </c>
      <c r="W500" s="20" t="n">
        <f aca="false">MROUND(T500*'Fuel &amp; Inputs'!$C$19*'Fuel &amp; Inputs'!$C$21,100)</f>
        <v>1600</v>
      </c>
      <c r="X500" s="20" t="n">
        <f aca="false">MROUND(R500*'Fuel &amp; Inputs'!$C$20*'Fuel &amp; Inputs'!$C$22,500)</f>
        <v>25500</v>
      </c>
      <c r="Y500" s="20" t="n">
        <f aca="false">MROUND(S500*'Fuel &amp; Inputs'!$C$20*'Fuel &amp; Inputs'!$C$22,500)</f>
        <v>25500</v>
      </c>
      <c r="Z500" s="20" t="n">
        <f aca="false">MROUND(T500*'Fuel &amp; Inputs'!$C$20*'Fuel &amp; Inputs'!$C$22,500)</f>
        <v>42000</v>
      </c>
    </row>
    <row r="501" customFormat="false" ht="15" hidden="false" customHeight="false" outlineLevel="0" collapsed="false">
      <c r="A501" s="23" t="n">
        <v>470</v>
      </c>
      <c r="B501" s="34" t="s">
        <v>1131</v>
      </c>
      <c r="C501" s="34" t="s">
        <v>1132</v>
      </c>
      <c r="D501" s="34" t="s">
        <v>1133</v>
      </c>
      <c r="E501" s="23" t="s">
        <v>166</v>
      </c>
      <c r="F501" s="23" t="s">
        <v>223</v>
      </c>
      <c r="G501" s="23" t="s">
        <v>223</v>
      </c>
      <c r="H501" s="23" t="s">
        <v>984</v>
      </c>
      <c r="I501" s="23" t="s">
        <v>596</v>
      </c>
      <c r="J501" s="36" t="n">
        <v>0.017</v>
      </c>
      <c r="K501" s="36" t="n">
        <v>0.022</v>
      </c>
      <c r="L501" s="36" t="n">
        <v>0.028</v>
      </c>
      <c r="M501" s="35" t="n">
        <v>1.098</v>
      </c>
      <c r="N501" s="26" t="n">
        <f aca="false">IF(J501=0,0,IF($I501="L/km",MROUND(J501*$M501*IF($H501="Petrol",'Fuel &amp; Inputs'!$C$5,'Fuel &amp; Inputs'!$C$4),1),MROUND(J501*$M501*IF($H501="Petrol",'Fuel &amp; Inputs'!$C$5,'Fuel &amp; Inputs'!$C$4),10)))</f>
        <v>8</v>
      </c>
      <c r="O501" s="26" t="n">
        <f aca="false">IF(K501=0,0,IF($I501="L/km",MROUND(K501*$M501*IF($H501="Petrol",'Fuel &amp; Inputs'!$C$5,'Fuel &amp; Inputs'!$C$4),1),MROUND(K501*$M501*IF($H501="Petrol",'Fuel &amp; Inputs'!$C$5,'Fuel &amp; Inputs'!$C$4),10)))</f>
        <v>10</v>
      </c>
      <c r="P501" s="26" t="n">
        <f aca="false">IF(L501=0,0,IF($I501="L/km",MROUND(L501*$M501*IF($H501="Petrol",'Fuel &amp; Inputs'!$C$5,'Fuel &amp; Inputs'!$C$4),1),MROUND(L501*$M501*IF($H501="Petrol",'Fuel &amp; Inputs'!$C$5,'Fuel &amp; Inputs'!$C$4),10)))</f>
        <v>13</v>
      </c>
      <c r="Q501" s="23" t="s">
        <v>597</v>
      </c>
      <c r="R501" s="27" t="n">
        <v>250</v>
      </c>
      <c r="S501" s="26" t="n">
        <f aca="false">R501</f>
        <v>250</v>
      </c>
      <c r="T501" s="27" t="n">
        <v>410</v>
      </c>
      <c r="U501" s="26" t="n">
        <f aca="false">MROUND(R501*'Fuel &amp; Inputs'!$C$19*'Fuel &amp; Inputs'!$C$21,100)</f>
        <v>1000</v>
      </c>
      <c r="V501" s="26" t="n">
        <f aca="false">MROUND(S501*'Fuel &amp; Inputs'!$C$19*'Fuel &amp; Inputs'!$C$21,100)</f>
        <v>1000</v>
      </c>
      <c r="W501" s="26" t="n">
        <f aca="false">MROUND(T501*'Fuel &amp; Inputs'!$C$19*'Fuel &amp; Inputs'!$C$21,100)</f>
        <v>1600</v>
      </c>
      <c r="X501" s="26" t="n">
        <f aca="false">MROUND(R501*'Fuel &amp; Inputs'!$C$20*'Fuel &amp; Inputs'!$C$22,500)</f>
        <v>25500</v>
      </c>
      <c r="Y501" s="26" t="n">
        <f aca="false">MROUND(S501*'Fuel &amp; Inputs'!$C$20*'Fuel &amp; Inputs'!$C$22,500)</f>
        <v>25500</v>
      </c>
      <c r="Z501" s="26" t="n">
        <f aca="false">MROUND(T501*'Fuel &amp; Inputs'!$C$20*'Fuel &amp; Inputs'!$C$22,500)</f>
        <v>42000</v>
      </c>
    </row>
    <row r="502" customFormat="false" ht="15" hidden="false" customHeight="false" outlineLevel="0" collapsed="false">
      <c r="A502" s="17" t="n">
        <v>471</v>
      </c>
      <c r="B502" s="32" t="s">
        <v>1131</v>
      </c>
      <c r="C502" s="32" t="s">
        <v>1132</v>
      </c>
      <c r="D502" s="32" t="s">
        <v>1133</v>
      </c>
      <c r="E502" s="17" t="s">
        <v>166</v>
      </c>
      <c r="F502" s="17" t="s">
        <v>223</v>
      </c>
      <c r="G502" s="17" t="s">
        <v>223</v>
      </c>
      <c r="H502" s="17" t="s">
        <v>984</v>
      </c>
      <c r="I502" s="17" t="s">
        <v>596</v>
      </c>
      <c r="J502" s="37" t="n">
        <v>0.017</v>
      </c>
      <c r="K502" s="37" t="n">
        <v>0.022</v>
      </c>
      <c r="L502" s="37" t="n">
        <v>0.028</v>
      </c>
      <c r="M502" s="33" t="n">
        <v>1.098</v>
      </c>
      <c r="N502" s="20" t="n">
        <f aca="false">IF(J502=0,0,IF($I502="L/km",MROUND(J502*$M502*IF($H502="Petrol",'Fuel &amp; Inputs'!$C$5,'Fuel &amp; Inputs'!$C$4),1),MROUND(J502*$M502*IF($H502="Petrol",'Fuel &amp; Inputs'!$C$5,'Fuel &amp; Inputs'!$C$4),10)))</f>
        <v>8</v>
      </c>
      <c r="O502" s="20" t="n">
        <f aca="false">IF(K502=0,0,IF($I502="L/km",MROUND(K502*$M502*IF($H502="Petrol",'Fuel &amp; Inputs'!$C$5,'Fuel &amp; Inputs'!$C$4),1),MROUND(K502*$M502*IF($H502="Petrol",'Fuel &amp; Inputs'!$C$5,'Fuel &amp; Inputs'!$C$4),10)))</f>
        <v>10</v>
      </c>
      <c r="P502" s="20" t="n">
        <f aca="false">IF(L502=0,0,IF($I502="L/km",MROUND(L502*$M502*IF($H502="Petrol",'Fuel &amp; Inputs'!$C$5,'Fuel &amp; Inputs'!$C$4),1),MROUND(L502*$M502*IF($H502="Petrol",'Fuel &amp; Inputs'!$C$5,'Fuel &amp; Inputs'!$C$4),10)))</f>
        <v>13</v>
      </c>
      <c r="Q502" s="17" t="s">
        <v>597</v>
      </c>
      <c r="R502" s="21" t="n">
        <v>250</v>
      </c>
      <c r="S502" s="20" t="n">
        <f aca="false">R502</f>
        <v>250</v>
      </c>
      <c r="T502" s="21" t="n">
        <v>410</v>
      </c>
      <c r="U502" s="20" t="n">
        <f aca="false">MROUND(R502*'Fuel &amp; Inputs'!$C$19*'Fuel &amp; Inputs'!$C$21,100)</f>
        <v>1000</v>
      </c>
      <c r="V502" s="20" t="n">
        <f aca="false">MROUND(S502*'Fuel &amp; Inputs'!$C$19*'Fuel &amp; Inputs'!$C$21,100)</f>
        <v>1000</v>
      </c>
      <c r="W502" s="20" t="n">
        <f aca="false">MROUND(T502*'Fuel &amp; Inputs'!$C$19*'Fuel &amp; Inputs'!$C$21,100)</f>
        <v>1600</v>
      </c>
      <c r="X502" s="20" t="n">
        <f aca="false">MROUND(R502*'Fuel &amp; Inputs'!$C$20*'Fuel &amp; Inputs'!$C$22,500)</f>
        <v>25500</v>
      </c>
      <c r="Y502" s="20" t="n">
        <f aca="false">MROUND(S502*'Fuel &amp; Inputs'!$C$20*'Fuel &amp; Inputs'!$C$22,500)</f>
        <v>25500</v>
      </c>
      <c r="Z502" s="20" t="n">
        <f aca="false">MROUND(T502*'Fuel &amp; Inputs'!$C$20*'Fuel &amp; Inputs'!$C$22,500)</f>
        <v>42000</v>
      </c>
    </row>
    <row r="503" customFormat="false" ht="15" hidden="false" customHeight="false" outlineLevel="0" collapsed="false">
      <c r="A503" s="23" t="n">
        <v>472</v>
      </c>
      <c r="B503" s="34" t="s">
        <v>1131</v>
      </c>
      <c r="C503" s="34" t="s">
        <v>1132</v>
      </c>
      <c r="D503" s="34" t="s">
        <v>1155</v>
      </c>
      <c r="E503" s="23" t="s">
        <v>166</v>
      </c>
      <c r="F503" s="23" t="s">
        <v>1160</v>
      </c>
      <c r="G503" s="23" t="s">
        <v>1161</v>
      </c>
      <c r="H503" s="23" t="s">
        <v>984</v>
      </c>
      <c r="I503" s="23" t="s">
        <v>596</v>
      </c>
      <c r="J503" s="36" t="n">
        <v>0.017</v>
      </c>
      <c r="K503" s="36" t="n">
        <v>0.022</v>
      </c>
      <c r="L503" s="36" t="n">
        <v>0.028</v>
      </c>
      <c r="M503" s="35" t="n">
        <v>1.098</v>
      </c>
      <c r="N503" s="26" t="n">
        <f aca="false">IF(J503=0,0,IF($I503="L/km",MROUND(J503*$M503*IF($H503="Petrol",'Fuel &amp; Inputs'!$C$5,'Fuel &amp; Inputs'!$C$4),1),MROUND(J503*$M503*IF($H503="Petrol",'Fuel &amp; Inputs'!$C$5,'Fuel &amp; Inputs'!$C$4),10)))</f>
        <v>8</v>
      </c>
      <c r="O503" s="26" t="n">
        <f aca="false">IF(K503=0,0,IF($I503="L/km",MROUND(K503*$M503*IF($H503="Petrol",'Fuel &amp; Inputs'!$C$5,'Fuel &amp; Inputs'!$C$4),1),MROUND(K503*$M503*IF($H503="Petrol",'Fuel &amp; Inputs'!$C$5,'Fuel &amp; Inputs'!$C$4),10)))</f>
        <v>10</v>
      </c>
      <c r="P503" s="26" t="n">
        <f aca="false">IF(L503=0,0,IF($I503="L/km",MROUND(L503*$M503*IF($H503="Petrol",'Fuel &amp; Inputs'!$C$5,'Fuel &amp; Inputs'!$C$4),1),MROUND(L503*$M503*IF($H503="Petrol",'Fuel &amp; Inputs'!$C$5,'Fuel &amp; Inputs'!$C$4),10)))</f>
        <v>13</v>
      </c>
      <c r="Q503" s="23" t="s">
        <v>597</v>
      </c>
      <c r="R503" s="27" t="n">
        <v>250</v>
      </c>
      <c r="S503" s="26" t="n">
        <f aca="false">R503</f>
        <v>250</v>
      </c>
      <c r="T503" s="27" t="n">
        <v>410</v>
      </c>
      <c r="U503" s="26" t="n">
        <f aca="false">MROUND(R503*'Fuel &amp; Inputs'!$C$19*'Fuel &amp; Inputs'!$C$21,100)</f>
        <v>1000</v>
      </c>
      <c r="V503" s="26" t="n">
        <f aca="false">MROUND(S503*'Fuel &amp; Inputs'!$C$19*'Fuel &amp; Inputs'!$C$21,100)</f>
        <v>1000</v>
      </c>
      <c r="W503" s="26" t="n">
        <f aca="false">MROUND(T503*'Fuel &amp; Inputs'!$C$19*'Fuel &amp; Inputs'!$C$21,100)</f>
        <v>1600</v>
      </c>
      <c r="X503" s="26" t="n">
        <f aca="false">MROUND(R503*'Fuel &amp; Inputs'!$C$20*'Fuel &amp; Inputs'!$C$22,500)</f>
        <v>25500</v>
      </c>
      <c r="Y503" s="26" t="n">
        <f aca="false">MROUND(S503*'Fuel &amp; Inputs'!$C$20*'Fuel &amp; Inputs'!$C$22,500)</f>
        <v>25500</v>
      </c>
      <c r="Z503" s="26" t="n">
        <f aca="false">MROUND(T503*'Fuel &amp; Inputs'!$C$20*'Fuel &amp; Inputs'!$C$22,500)</f>
        <v>42000</v>
      </c>
    </row>
    <row r="504" customFormat="false" ht="15" hidden="false" customHeight="false" outlineLevel="0" collapsed="false">
      <c r="A504" s="17" t="n">
        <v>473</v>
      </c>
      <c r="B504" s="32" t="s">
        <v>1131</v>
      </c>
      <c r="C504" s="32" t="s">
        <v>1132</v>
      </c>
      <c r="D504" s="32" t="s">
        <v>1155</v>
      </c>
      <c r="E504" s="17" t="s">
        <v>166</v>
      </c>
      <c r="F504" s="17" t="s">
        <v>223</v>
      </c>
      <c r="G504" s="17" t="s">
        <v>223</v>
      </c>
      <c r="H504" s="17" t="s">
        <v>984</v>
      </c>
      <c r="I504" s="17" t="s">
        <v>596</v>
      </c>
      <c r="J504" s="37" t="n">
        <v>0.017</v>
      </c>
      <c r="K504" s="37" t="n">
        <v>0.022</v>
      </c>
      <c r="L504" s="37" t="n">
        <v>0.028</v>
      </c>
      <c r="M504" s="33" t="n">
        <v>1.098</v>
      </c>
      <c r="N504" s="20" t="n">
        <f aca="false">IF(J504=0,0,IF($I504="L/km",MROUND(J504*$M504*IF($H504="Petrol",'Fuel &amp; Inputs'!$C$5,'Fuel &amp; Inputs'!$C$4),1),MROUND(J504*$M504*IF($H504="Petrol",'Fuel &amp; Inputs'!$C$5,'Fuel &amp; Inputs'!$C$4),10)))</f>
        <v>8</v>
      </c>
      <c r="O504" s="20" t="n">
        <f aca="false">IF(K504=0,0,IF($I504="L/km",MROUND(K504*$M504*IF($H504="Petrol",'Fuel &amp; Inputs'!$C$5,'Fuel &amp; Inputs'!$C$4),1),MROUND(K504*$M504*IF($H504="Petrol",'Fuel &amp; Inputs'!$C$5,'Fuel &amp; Inputs'!$C$4),10)))</f>
        <v>10</v>
      </c>
      <c r="P504" s="20" t="n">
        <f aca="false">IF(L504=0,0,IF($I504="L/km",MROUND(L504*$M504*IF($H504="Petrol",'Fuel &amp; Inputs'!$C$5,'Fuel &amp; Inputs'!$C$4),1),MROUND(L504*$M504*IF($H504="Petrol",'Fuel &amp; Inputs'!$C$5,'Fuel &amp; Inputs'!$C$4),10)))</f>
        <v>13</v>
      </c>
      <c r="Q504" s="17" t="s">
        <v>597</v>
      </c>
      <c r="R504" s="21" t="n">
        <v>250</v>
      </c>
      <c r="S504" s="20" t="n">
        <f aca="false">R504</f>
        <v>250</v>
      </c>
      <c r="T504" s="21" t="n">
        <v>410</v>
      </c>
      <c r="U504" s="20" t="n">
        <f aca="false">MROUND(R504*'Fuel &amp; Inputs'!$C$19*'Fuel &amp; Inputs'!$C$21,100)</f>
        <v>1000</v>
      </c>
      <c r="V504" s="20" t="n">
        <f aca="false">MROUND(S504*'Fuel &amp; Inputs'!$C$19*'Fuel &amp; Inputs'!$C$21,100)</f>
        <v>1000</v>
      </c>
      <c r="W504" s="20" t="n">
        <f aca="false">MROUND(T504*'Fuel &amp; Inputs'!$C$19*'Fuel &amp; Inputs'!$C$21,100)</f>
        <v>1600</v>
      </c>
      <c r="X504" s="20" t="n">
        <f aca="false">MROUND(R504*'Fuel &amp; Inputs'!$C$20*'Fuel &amp; Inputs'!$C$22,500)</f>
        <v>25500</v>
      </c>
      <c r="Y504" s="20" t="n">
        <f aca="false">MROUND(S504*'Fuel &amp; Inputs'!$C$20*'Fuel &amp; Inputs'!$C$22,500)</f>
        <v>25500</v>
      </c>
      <c r="Z504" s="20" t="n">
        <f aca="false">MROUND(T504*'Fuel &amp; Inputs'!$C$20*'Fuel &amp; Inputs'!$C$22,500)</f>
        <v>42000</v>
      </c>
    </row>
    <row r="505" customFormat="false" ht="15" hidden="false" customHeight="false" outlineLevel="0" collapsed="false">
      <c r="A505" s="23" t="n">
        <v>474</v>
      </c>
      <c r="B505" s="34" t="s">
        <v>1131</v>
      </c>
      <c r="C505" s="34" t="s">
        <v>1132</v>
      </c>
      <c r="D505" s="34" t="s">
        <v>1155</v>
      </c>
      <c r="E505" s="23" t="s">
        <v>166</v>
      </c>
      <c r="F505" s="23" t="s">
        <v>223</v>
      </c>
      <c r="G505" s="23" t="s">
        <v>223</v>
      </c>
      <c r="H505" s="23" t="s">
        <v>984</v>
      </c>
      <c r="I505" s="23" t="s">
        <v>596</v>
      </c>
      <c r="J505" s="36" t="n">
        <v>0.017</v>
      </c>
      <c r="K505" s="36" t="n">
        <v>0.022</v>
      </c>
      <c r="L505" s="36" t="n">
        <v>0.028</v>
      </c>
      <c r="M505" s="35" t="n">
        <v>1.105</v>
      </c>
      <c r="N505" s="26" t="n">
        <f aca="false">IF(J505=0,0,IF($I505="L/km",MROUND(J505*$M505*IF($H505="Petrol",'Fuel &amp; Inputs'!$C$5,'Fuel &amp; Inputs'!$C$4),1),MROUND(J505*$M505*IF($H505="Petrol",'Fuel &amp; Inputs'!$C$5,'Fuel &amp; Inputs'!$C$4),10)))</f>
        <v>8</v>
      </c>
      <c r="O505" s="26" t="n">
        <f aca="false">IF(K505=0,0,IF($I505="L/km",MROUND(K505*$M505*IF($H505="Petrol",'Fuel &amp; Inputs'!$C$5,'Fuel &amp; Inputs'!$C$4),1),MROUND(K505*$M505*IF($H505="Petrol",'Fuel &amp; Inputs'!$C$5,'Fuel &amp; Inputs'!$C$4),10)))</f>
        <v>10</v>
      </c>
      <c r="P505" s="26" t="n">
        <f aca="false">IF(L505=0,0,IF($I505="L/km",MROUND(L505*$M505*IF($H505="Petrol",'Fuel &amp; Inputs'!$C$5,'Fuel &amp; Inputs'!$C$4),1),MROUND(L505*$M505*IF($H505="Petrol",'Fuel &amp; Inputs'!$C$5,'Fuel &amp; Inputs'!$C$4),10)))</f>
        <v>13</v>
      </c>
      <c r="Q505" s="23" t="s">
        <v>597</v>
      </c>
      <c r="R505" s="27" t="n">
        <v>250</v>
      </c>
      <c r="S505" s="26" t="n">
        <f aca="false">R505</f>
        <v>250</v>
      </c>
      <c r="T505" s="27" t="n">
        <v>410</v>
      </c>
      <c r="U505" s="26" t="n">
        <f aca="false">MROUND(R505*'Fuel &amp; Inputs'!$C$19*'Fuel &amp; Inputs'!$C$21,100)</f>
        <v>1000</v>
      </c>
      <c r="V505" s="26" t="n">
        <f aca="false">MROUND(S505*'Fuel &amp; Inputs'!$C$19*'Fuel &amp; Inputs'!$C$21,100)</f>
        <v>1000</v>
      </c>
      <c r="W505" s="26" t="n">
        <f aca="false">MROUND(T505*'Fuel &amp; Inputs'!$C$19*'Fuel &amp; Inputs'!$C$21,100)</f>
        <v>1600</v>
      </c>
      <c r="X505" s="26" t="n">
        <f aca="false">MROUND(R505*'Fuel &amp; Inputs'!$C$20*'Fuel &amp; Inputs'!$C$22,500)</f>
        <v>25500</v>
      </c>
      <c r="Y505" s="26" t="n">
        <f aca="false">MROUND(S505*'Fuel &amp; Inputs'!$C$20*'Fuel &amp; Inputs'!$C$22,500)</f>
        <v>25500</v>
      </c>
      <c r="Z505" s="26" t="n">
        <f aca="false">MROUND(T505*'Fuel &amp; Inputs'!$C$20*'Fuel &amp; Inputs'!$C$22,500)</f>
        <v>42000</v>
      </c>
    </row>
    <row r="506" customFormat="false" ht="15" hidden="false" customHeight="false" outlineLevel="0" collapsed="false">
      <c r="A506" s="17" t="n">
        <v>475</v>
      </c>
      <c r="B506" s="32" t="s">
        <v>1131</v>
      </c>
      <c r="C506" s="32" t="s">
        <v>1132</v>
      </c>
      <c r="D506" s="32" t="s">
        <v>1155</v>
      </c>
      <c r="E506" s="17" t="s">
        <v>603</v>
      </c>
      <c r="F506" s="17" t="s">
        <v>1162</v>
      </c>
      <c r="G506" s="17" t="s">
        <v>1163</v>
      </c>
      <c r="H506" s="17" t="s">
        <v>984</v>
      </c>
      <c r="I506" s="17" t="s">
        <v>596</v>
      </c>
      <c r="J506" s="37" t="n">
        <v>0.017</v>
      </c>
      <c r="K506" s="37" t="n">
        <v>0.022</v>
      </c>
      <c r="L506" s="37" t="n">
        <v>0.028</v>
      </c>
      <c r="M506" s="33" t="n">
        <v>1.105</v>
      </c>
      <c r="N506" s="20" t="n">
        <f aca="false">IF(J506=0,0,IF($I506="L/km",MROUND(J506*$M506*IF($H506="Petrol",'Fuel &amp; Inputs'!$C$5,'Fuel &amp; Inputs'!$C$4),1),MROUND(J506*$M506*IF($H506="Petrol",'Fuel &amp; Inputs'!$C$5,'Fuel &amp; Inputs'!$C$4),10)))</f>
        <v>8</v>
      </c>
      <c r="O506" s="20" t="n">
        <f aca="false">IF(K506=0,0,IF($I506="L/km",MROUND(K506*$M506*IF($H506="Petrol",'Fuel &amp; Inputs'!$C$5,'Fuel &amp; Inputs'!$C$4),1),MROUND(K506*$M506*IF($H506="Petrol",'Fuel &amp; Inputs'!$C$5,'Fuel &amp; Inputs'!$C$4),10)))</f>
        <v>10</v>
      </c>
      <c r="P506" s="20" t="n">
        <f aca="false">IF(L506=0,0,IF($I506="L/km",MROUND(L506*$M506*IF($H506="Petrol",'Fuel &amp; Inputs'!$C$5,'Fuel &amp; Inputs'!$C$4),1),MROUND(L506*$M506*IF($H506="Petrol",'Fuel &amp; Inputs'!$C$5,'Fuel &amp; Inputs'!$C$4),10)))</f>
        <v>13</v>
      </c>
      <c r="Q506" s="17" t="s">
        <v>597</v>
      </c>
      <c r="R506" s="21" t="n">
        <v>250</v>
      </c>
      <c r="S506" s="20" t="n">
        <f aca="false">R506</f>
        <v>250</v>
      </c>
      <c r="T506" s="21" t="n">
        <v>410</v>
      </c>
      <c r="U506" s="20" t="n">
        <f aca="false">MROUND(R506*'Fuel &amp; Inputs'!$C$19*'Fuel &amp; Inputs'!$C$21,100)</f>
        <v>1000</v>
      </c>
      <c r="V506" s="20" t="n">
        <f aca="false">MROUND(S506*'Fuel &amp; Inputs'!$C$19*'Fuel &amp; Inputs'!$C$21,100)</f>
        <v>1000</v>
      </c>
      <c r="W506" s="20" t="n">
        <f aca="false">MROUND(T506*'Fuel &amp; Inputs'!$C$19*'Fuel &amp; Inputs'!$C$21,100)</f>
        <v>1600</v>
      </c>
      <c r="X506" s="20" t="n">
        <f aca="false">MROUND(R506*'Fuel &amp; Inputs'!$C$20*'Fuel &amp; Inputs'!$C$22,500)</f>
        <v>25500</v>
      </c>
      <c r="Y506" s="20" t="n">
        <f aca="false">MROUND(S506*'Fuel &amp; Inputs'!$C$20*'Fuel &amp; Inputs'!$C$22,500)</f>
        <v>25500</v>
      </c>
      <c r="Z506" s="20" t="n">
        <f aca="false">MROUND(T506*'Fuel &amp; Inputs'!$C$20*'Fuel &amp; Inputs'!$C$22,500)</f>
        <v>42000</v>
      </c>
    </row>
    <row r="507" customFormat="false" ht="15" hidden="false" customHeight="false" outlineLevel="0" collapsed="false">
      <c r="A507" s="23" t="n">
        <v>476</v>
      </c>
      <c r="B507" s="34" t="s">
        <v>1131</v>
      </c>
      <c r="C507" s="34" t="s">
        <v>1132</v>
      </c>
      <c r="D507" s="34" t="s">
        <v>1155</v>
      </c>
      <c r="E507" s="23" t="s">
        <v>603</v>
      </c>
      <c r="F507" s="23" t="s">
        <v>223</v>
      </c>
      <c r="G507" s="23" t="s">
        <v>223</v>
      </c>
      <c r="H507" s="23" t="s">
        <v>984</v>
      </c>
      <c r="I507" s="23" t="s">
        <v>596</v>
      </c>
      <c r="J507" s="36" t="n">
        <v>0.017</v>
      </c>
      <c r="K507" s="36" t="n">
        <v>0.022</v>
      </c>
      <c r="L507" s="36" t="n">
        <v>0.028</v>
      </c>
      <c r="M507" s="35" t="n">
        <v>1.105</v>
      </c>
      <c r="N507" s="26" t="n">
        <f aca="false">IF(J507=0,0,IF($I507="L/km",MROUND(J507*$M507*IF($H507="Petrol",'Fuel &amp; Inputs'!$C$5,'Fuel &amp; Inputs'!$C$4),1),MROUND(J507*$M507*IF($H507="Petrol",'Fuel &amp; Inputs'!$C$5,'Fuel &amp; Inputs'!$C$4),10)))</f>
        <v>8</v>
      </c>
      <c r="O507" s="26" t="n">
        <f aca="false">IF(K507=0,0,IF($I507="L/km",MROUND(K507*$M507*IF($H507="Petrol",'Fuel &amp; Inputs'!$C$5,'Fuel &amp; Inputs'!$C$4),1),MROUND(K507*$M507*IF($H507="Petrol",'Fuel &amp; Inputs'!$C$5,'Fuel &amp; Inputs'!$C$4),10)))</f>
        <v>10</v>
      </c>
      <c r="P507" s="26" t="n">
        <f aca="false">IF(L507=0,0,IF($I507="L/km",MROUND(L507*$M507*IF($H507="Petrol",'Fuel &amp; Inputs'!$C$5,'Fuel &amp; Inputs'!$C$4),1),MROUND(L507*$M507*IF($H507="Petrol",'Fuel &amp; Inputs'!$C$5,'Fuel &amp; Inputs'!$C$4),10)))</f>
        <v>13</v>
      </c>
      <c r="Q507" s="23" t="s">
        <v>597</v>
      </c>
      <c r="R507" s="27" t="n">
        <v>250</v>
      </c>
      <c r="S507" s="26" t="n">
        <f aca="false">R507</f>
        <v>250</v>
      </c>
      <c r="T507" s="27" t="n">
        <v>410</v>
      </c>
      <c r="U507" s="26" t="n">
        <f aca="false">MROUND(R507*'Fuel &amp; Inputs'!$C$19*'Fuel &amp; Inputs'!$C$21,100)</f>
        <v>1000</v>
      </c>
      <c r="V507" s="26" t="n">
        <f aca="false">MROUND(S507*'Fuel &amp; Inputs'!$C$19*'Fuel &amp; Inputs'!$C$21,100)</f>
        <v>1000</v>
      </c>
      <c r="W507" s="26" t="n">
        <f aca="false">MROUND(T507*'Fuel &amp; Inputs'!$C$19*'Fuel &amp; Inputs'!$C$21,100)</f>
        <v>1600</v>
      </c>
      <c r="X507" s="26" t="n">
        <f aca="false">MROUND(R507*'Fuel &amp; Inputs'!$C$20*'Fuel &amp; Inputs'!$C$22,500)</f>
        <v>25500</v>
      </c>
      <c r="Y507" s="26" t="n">
        <f aca="false">MROUND(S507*'Fuel &amp; Inputs'!$C$20*'Fuel &amp; Inputs'!$C$22,500)</f>
        <v>25500</v>
      </c>
      <c r="Z507" s="26" t="n">
        <f aca="false">MROUND(T507*'Fuel &amp; Inputs'!$C$20*'Fuel &amp; Inputs'!$C$22,500)</f>
        <v>42000</v>
      </c>
    </row>
    <row r="508" customFormat="false" ht="15" hidden="false" customHeight="false" outlineLevel="0" collapsed="false">
      <c r="A508" s="17" t="n">
        <v>477</v>
      </c>
      <c r="B508" s="32" t="s">
        <v>1131</v>
      </c>
      <c r="C508" s="32" t="s">
        <v>1132</v>
      </c>
      <c r="D508" s="32" t="s">
        <v>1155</v>
      </c>
      <c r="E508" s="17" t="s">
        <v>603</v>
      </c>
      <c r="F508" s="17" t="s">
        <v>223</v>
      </c>
      <c r="G508" s="17" t="s">
        <v>223</v>
      </c>
      <c r="H508" s="17" t="s">
        <v>984</v>
      </c>
      <c r="I508" s="17" t="s">
        <v>596</v>
      </c>
      <c r="J508" s="37" t="n">
        <v>0.017</v>
      </c>
      <c r="K508" s="37" t="n">
        <v>0.022</v>
      </c>
      <c r="L508" s="37" t="n">
        <v>0.028</v>
      </c>
      <c r="M508" s="33" t="n">
        <v>1.14</v>
      </c>
      <c r="N508" s="20" t="n">
        <f aca="false">IF(J508=0,0,IF($I508="L/km",MROUND(J508*$M508*IF($H508="Petrol",'Fuel &amp; Inputs'!$C$5,'Fuel &amp; Inputs'!$C$4),1),MROUND(J508*$M508*IF($H508="Petrol",'Fuel &amp; Inputs'!$C$5,'Fuel &amp; Inputs'!$C$4),10)))</f>
        <v>8</v>
      </c>
      <c r="O508" s="20" t="n">
        <f aca="false">IF(K508=0,0,IF($I508="L/km",MROUND(K508*$M508*IF($H508="Petrol",'Fuel &amp; Inputs'!$C$5,'Fuel &amp; Inputs'!$C$4),1),MROUND(K508*$M508*IF($H508="Petrol",'Fuel &amp; Inputs'!$C$5,'Fuel &amp; Inputs'!$C$4),10)))</f>
        <v>10</v>
      </c>
      <c r="P508" s="20" t="n">
        <f aca="false">IF(L508=0,0,IF($I508="L/km",MROUND(L508*$M508*IF($H508="Petrol",'Fuel &amp; Inputs'!$C$5,'Fuel &amp; Inputs'!$C$4),1),MROUND(L508*$M508*IF($H508="Petrol",'Fuel &amp; Inputs'!$C$5,'Fuel &amp; Inputs'!$C$4),10)))</f>
        <v>13</v>
      </c>
      <c r="Q508" s="17" t="s">
        <v>597</v>
      </c>
      <c r="R508" s="21" t="n">
        <v>250</v>
      </c>
      <c r="S508" s="20" t="n">
        <f aca="false">R508</f>
        <v>250</v>
      </c>
      <c r="T508" s="21" t="n">
        <v>410</v>
      </c>
      <c r="U508" s="20" t="n">
        <f aca="false">MROUND(R508*'Fuel &amp; Inputs'!$C$19*'Fuel &amp; Inputs'!$C$21,100)</f>
        <v>1000</v>
      </c>
      <c r="V508" s="20" t="n">
        <f aca="false">MROUND(S508*'Fuel &amp; Inputs'!$C$19*'Fuel &amp; Inputs'!$C$21,100)</f>
        <v>1000</v>
      </c>
      <c r="W508" s="20" t="n">
        <f aca="false">MROUND(T508*'Fuel &amp; Inputs'!$C$19*'Fuel &amp; Inputs'!$C$21,100)</f>
        <v>1600</v>
      </c>
      <c r="X508" s="20" t="n">
        <f aca="false">MROUND(R508*'Fuel &amp; Inputs'!$C$20*'Fuel &amp; Inputs'!$C$22,500)</f>
        <v>25500</v>
      </c>
      <c r="Y508" s="20" t="n">
        <f aca="false">MROUND(S508*'Fuel &amp; Inputs'!$C$20*'Fuel &amp; Inputs'!$C$22,500)</f>
        <v>25500</v>
      </c>
      <c r="Z508" s="20" t="n">
        <f aca="false">MROUND(T508*'Fuel &amp; Inputs'!$C$20*'Fuel &amp; Inputs'!$C$22,500)</f>
        <v>42000</v>
      </c>
    </row>
    <row r="509" customFormat="false" ht="15" hidden="false" customHeight="false" outlineLevel="0" collapsed="false">
      <c r="A509" s="23" t="n">
        <v>478</v>
      </c>
      <c r="B509" s="34" t="s">
        <v>1131</v>
      </c>
      <c r="C509" s="34" t="s">
        <v>1132</v>
      </c>
      <c r="D509" s="34" t="s">
        <v>1164</v>
      </c>
      <c r="E509" s="23" t="s">
        <v>666</v>
      </c>
      <c r="F509" s="23" t="s">
        <v>1165</v>
      </c>
      <c r="G509" s="23" t="s">
        <v>1166</v>
      </c>
      <c r="H509" s="23" t="s">
        <v>984</v>
      </c>
      <c r="I509" s="23" t="s">
        <v>596</v>
      </c>
      <c r="J509" s="36" t="n">
        <v>0.017</v>
      </c>
      <c r="K509" s="36" t="n">
        <v>0.022</v>
      </c>
      <c r="L509" s="36" t="n">
        <v>0.028</v>
      </c>
      <c r="M509" s="35" t="n">
        <v>1.133</v>
      </c>
      <c r="N509" s="26" t="n">
        <f aca="false">IF(J509=0,0,IF($I509="L/km",MROUND(J509*$M509*IF($H509="Petrol",'Fuel &amp; Inputs'!$C$5,'Fuel &amp; Inputs'!$C$4),1),MROUND(J509*$M509*IF($H509="Petrol",'Fuel &amp; Inputs'!$C$5,'Fuel &amp; Inputs'!$C$4),10)))</f>
        <v>8</v>
      </c>
      <c r="O509" s="26" t="n">
        <f aca="false">IF(K509=0,0,IF($I509="L/km",MROUND(K509*$M509*IF($H509="Petrol",'Fuel &amp; Inputs'!$C$5,'Fuel &amp; Inputs'!$C$4),1),MROUND(K509*$M509*IF($H509="Petrol",'Fuel &amp; Inputs'!$C$5,'Fuel &amp; Inputs'!$C$4),10)))</f>
        <v>10</v>
      </c>
      <c r="P509" s="26" t="n">
        <f aca="false">IF(L509=0,0,IF($I509="L/km",MROUND(L509*$M509*IF($H509="Petrol",'Fuel &amp; Inputs'!$C$5,'Fuel &amp; Inputs'!$C$4),1),MROUND(L509*$M509*IF($H509="Petrol",'Fuel &amp; Inputs'!$C$5,'Fuel &amp; Inputs'!$C$4),10)))</f>
        <v>13</v>
      </c>
      <c r="Q509" s="23" t="s">
        <v>597</v>
      </c>
      <c r="R509" s="27" t="n">
        <v>220</v>
      </c>
      <c r="S509" s="26" t="n">
        <f aca="false">R509</f>
        <v>220</v>
      </c>
      <c r="T509" s="27" t="n">
        <v>360</v>
      </c>
      <c r="U509" s="26" t="n">
        <f aca="false">MROUND(R509*'Fuel &amp; Inputs'!$C$19*'Fuel &amp; Inputs'!$C$21,100)</f>
        <v>800</v>
      </c>
      <c r="V509" s="26" t="n">
        <f aca="false">MROUND(S509*'Fuel &amp; Inputs'!$C$19*'Fuel &amp; Inputs'!$C$21,100)</f>
        <v>800</v>
      </c>
      <c r="W509" s="26" t="n">
        <f aca="false">MROUND(T509*'Fuel &amp; Inputs'!$C$19*'Fuel &amp; Inputs'!$C$21,100)</f>
        <v>1400</v>
      </c>
      <c r="X509" s="26" t="n">
        <f aca="false">MROUND(R509*'Fuel &amp; Inputs'!$C$20*'Fuel &amp; Inputs'!$C$22,500)</f>
        <v>22500</v>
      </c>
      <c r="Y509" s="26" t="n">
        <f aca="false">MROUND(S509*'Fuel &amp; Inputs'!$C$20*'Fuel &amp; Inputs'!$C$22,500)</f>
        <v>22500</v>
      </c>
      <c r="Z509" s="26" t="n">
        <f aca="false">MROUND(T509*'Fuel &amp; Inputs'!$C$20*'Fuel &amp; Inputs'!$C$22,500)</f>
        <v>36500</v>
      </c>
    </row>
    <row r="510" customFormat="false" ht="15" hidden="false" customHeight="false" outlineLevel="0" collapsed="false">
      <c r="A510" s="17" t="n">
        <v>479</v>
      </c>
      <c r="B510" s="32" t="s">
        <v>1131</v>
      </c>
      <c r="C510" s="32" t="s">
        <v>1132</v>
      </c>
      <c r="D510" s="32" t="s">
        <v>1167</v>
      </c>
      <c r="E510" s="17" t="s">
        <v>204</v>
      </c>
      <c r="F510" s="17" t="s">
        <v>1168</v>
      </c>
      <c r="G510" s="17" t="s">
        <v>1169</v>
      </c>
      <c r="H510" s="17" t="s">
        <v>984</v>
      </c>
      <c r="I510" s="17" t="s">
        <v>596</v>
      </c>
      <c r="J510" s="37" t="n">
        <v>0.017</v>
      </c>
      <c r="K510" s="37" t="n">
        <v>0.022</v>
      </c>
      <c r="L510" s="37" t="n">
        <v>0.028</v>
      </c>
      <c r="M510" s="33" t="n">
        <v>1.14</v>
      </c>
      <c r="N510" s="20" t="n">
        <f aca="false">IF(J510=0,0,IF($I510="L/km",MROUND(J510*$M510*IF($H510="Petrol",'Fuel &amp; Inputs'!$C$5,'Fuel &amp; Inputs'!$C$4),1),MROUND(J510*$M510*IF($H510="Petrol",'Fuel &amp; Inputs'!$C$5,'Fuel &amp; Inputs'!$C$4),10)))</f>
        <v>8</v>
      </c>
      <c r="O510" s="20" t="n">
        <f aca="false">IF(K510=0,0,IF($I510="L/km",MROUND(K510*$M510*IF($H510="Petrol",'Fuel &amp; Inputs'!$C$5,'Fuel &amp; Inputs'!$C$4),1),MROUND(K510*$M510*IF($H510="Petrol",'Fuel &amp; Inputs'!$C$5,'Fuel &amp; Inputs'!$C$4),10)))</f>
        <v>10</v>
      </c>
      <c r="P510" s="20" t="n">
        <f aca="false">IF(L510=0,0,IF($I510="L/km",MROUND(L510*$M510*IF($H510="Petrol",'Fuel &amp; Inputs'!$C$5,'Fuel &amp; Inputs'!$C$4),1),MROUND(L510*$M510*IF($H510="Petrol",'Fuel &amp; Inputs'!$C$5,'Fuel &amp; Inputs'!$C$4),10)))</f>
        <v>13</v>
      </c>
      <c r="Q510" s="17" t="s">
        <v>597</v>
      </c>
      <c r="R510" s="21" t="n">
        <v>220</v>
      </c>
      <c r="S510" s="20" t="n">
        <f aca="false">R510</f>
        <v>220</v>
      </c>
      <c r="T510" s="21" t="n">
        <v>360</v>
      </c>
      <c r="U510" s="20" t="n">
        <f aca="false">MROUND(R510*'Fuel &amp; Inputs'!$C$19*'Fuel &amp; Inputs'!$C$21,100)</f>
        <v>800</v>
      </c>
      <c r="V510" s="20" t="n">
        <f aca="false">MROUND(S510*'Fuel &amp; Inputs'!$C$19*'Fuel &amp; Inputs'!$C$21,100)</f>
        <v>800</v>
      </c>
      <c r="W510" s="20" t="n">
        <f aca="false">MROUND(T510*'Fuel &amp; Inputs'!$C$19*'Fuel &amp; Inputs'!$C$21,100)</f>
        <v>1400</v>
      </c>
      <c r="X510" s="20" t="n">
        <f aca="false">MROUND(R510*'Fuel &amp; Inputs'!$C$20*'Fuel &amp; Inputs'!$C$22,500)</f>
        <v>22500</v>
      </c>
      <c r="Y510" s="20" t="n">
        <f aca="false">MROUND(S510*'Fuel &amp; Inputs'!$C$20*'Fuel &amp; Inputs'!$C$22,500)</f>
        <v>22500</v>
      </c>
      <c r="Z510" s="20" t="n">
        <f aca="false">MROUND(T510*'Fuel &amp; Inputs'!$C$20*'Fuel &amp; Inputs'!$C$22,500)</f>
        <v>36500</v>
      </c>
    </row>
    <row r="511" customFormat="false" ht="15" hidden="false" customHeight="false" outlineLevel="0" collapsed="false">
      <c r="A511" s="23" t="n">
        <v>480</v>
      </c>
      <c r="B511" s="34" t="s">
        <v>1131</v>
      </c>
      <c r="C511" s="34" t="s">
        <v>1132</v>
      </c>
      <c r="D511" s="34" t="s">
        <v>1167</v>
      </c>
      <c r="E511" s="23" t="s">
        <v>204</v>
      </c>
      <c r="F511" s="23" t="s">
        <v>223</v>
      </c>
      <c r="G511" s="23" t="s">
        <v>223</v>
      </c>
      <c r="H511" s="23" t="s">
        <v>153</v>
      </c>
      <c r="I511" s="23" t="s">
        <v>154</v>
      </c>
      <c r="J511" s="25" t="n">
        <v>7.2</v>
      </c>
      <c r="K511" s="25" t="n">
        <v>10</v>
      </c>
      <c r="L511" s="25" t="n">
        <v>13.5</v>
      </c>
      <c r="M511" s="35" t="n">
        <v>1</v>
      </c>
      <c r="N511" s="26" t="n">
        <f aca="false">IF(J511=0,0,IF($I511="L/km",MROUND(J511*$M511*IF($H511="Petrol",'Fuel &amp; Inputs'!$C$5,'Fuel &amp; Inputs'!$C$4),1),MROUND(J511*$M511*IF($H511="Petrol",'Fuel &amp; Inputs'!$C$5,'Fuel &amp; Inputs'!$C$4),10)))</f>
        <v>2750</v>
      </c>
      <c r="O511" s="26" t="n">
        <f aca="false">IF(K511=0,0,IF($I511="L/km",MROUND(K511*$M511*IF($H511="Petrol",'Fuel &amp; Inputs'!$C$5,'Fuel &amp; Inputs'!$C$4),1),MROUND(K511*$M511*IF($H511="Petrol",'Fuel &amp; Inputs'!$C$5,'Fuel &amp; Inputs'!$C$4),10)))</f>
        <v>3820</v>
      </c>
      <c r="P511" s="26" t="n">
        <f aca="false">IF(L511=0,0,IF($I511="L/km",MROUND(L511*$M511*IF($H511="Petrol",'Fuel &amp; Inputs'!$C$5,'Fuel &amp; Inputs'!$C$4),1),MROUND(L511*$M511*IF($H511="Petrol",'Fuel &amp; Inputs'!$C$5,'Fuel &amp; Inputs'!$C$4),10)))</f>
        <v>5160</v>
      </c>
      <c r="Q511" s="23" t="s">
        <v>155</v>
      </c>
      <c r="R511" s="27" t="n">
        <v>220</v>
      </c>
      <c r="S511" s="26" t="n">
        <f aca="false">R511</f>
        <v>220</v>
      </c>
      <c r="T511" s="27" t="n">
        <v>360</v>
      </c>
      <c r="U511" s="26" t="n">
        <f aca="false">MROUND(R511*'Fuel &amp; Inputs'!$C$19*'Fuel &amp; Inputs'!$C$21,100)</f>
        <v>800</v>
      </c>
      <c r="V511" s="26" t="n">
        <f aca="false">MROUND(S511*'Fuel &amp; Inputs'!$C$19*'Fuel &amp; Inputs'!$C$21,100)</f>
        <v>800</v>
      </c>
      <c r="W511" s="26" t="n">
        <f aca="false">MROUND(T511*'Fuel &amp; Inputs'!$C$19*'Fuel &amp; Inputs'!$C$21,100)</f>
        <v>1400</v>
      </c>
      <c r="X511" s="26" t="n">
        <f aca="false">MROUND(R511*'Fuel &amp; Inputs'!$C$20*'Fuel &amp; Inputs'!$C$22,500)</f>
        <v>22500</v>
      </c>
      <c r="Y511" s="26" t="n">
        <f aca="false">MROUND(S511*'Fuel &amp; Inputs'!$C$20*'Fuel &amp; Inputs'!$C$22,500)</f>
        <v>22500</v>
      </c>
      <c r="Z511" s="26" t="n">
        <f aca="false">MROUND(T511*'Fuel &amp; Inputs'!$C$20*'Fuel &amp; Inputs'!$C$22,500)</f>
        <v>36500</v>
      </c>
    </row>
    <row r="512" customFormat="false" ht="15" hidden="false" customHeight="false" outlineLevel="0" collapsed="false">
      <c r="A512" s="17" t="n">
        <v>481</v>
      </c>
      <c r="B512" s="32" t="s">
        <v>1131</v>
      </c>
      <c r="C512" s="32" t="s">
        <v>1170</v>
      </c>
      <c r="D512" s="32" t="s">
        <v>1171</v>
      </c>
      <c r="E512" s="17" t="s">
        <v>204</v>
      </c>
      <c r="F512" s="17" t="s">
        <v>1172</v>
      </c>
      <c r="G512" s="17" t="s">
        <v>1173</v>
      </c>
      <c r="H512" s="17" t="s">
        <v>984</v>
      </c>
      <c r="I512" s="17" t="s">
        <v>596</v>
      </c>
      <c r="J512" s="37" t="n">
        <v>0.017</v>
      </c>
      <c r="K512" s="37" t="n">
        <v>0.022</v>
      </c>
      <c r="L512" s="37" t="n">
        <v>0.028</v>
      </c>
      <c r="M512" s="33" t="n">
        <v>1.14</v>
      </c>
      <c r="N512" s="20" t="n">
        <f aca="false">IF(J512=0,0,IF($I512="L/km",MROUND(J512*$M512*IF($H512="Petrol",'Fuel &amp; Inputs'!$C$5,'Fuel &amp; Inputs'!$C$4),1),MROUND(J512*$M512*IF($H512="Petrol",'Fuel &amp; Inputs'!$C$5,'Fuel &amp; Inputs'!$C$4),10)))</f>
        <v>8</v>
      </c>
      <c r="O512" s="20" t="n">
        <f aca="false">IF(K512=0,0,IF($I512="L/km",MROUND(K512*$M512*IF($H512="Petrol",'Fuel &amp; Inputs'!$C$5,'Fuel &amp; Inputs'!$C$4),1),MROUND(K512*$M512*IF($H512="Petrol",'Fuel &amp; Inputs'!$C$5,'Fuel &amp; Inputs'!$C$4),10)))</f>
        <v>10</v>
      </c>
      <c r="P512" s="20" t="n">
        <f aca="false">IF(L512=0,0,IF($I512="L/km",MROUND(L512*$M512*IF($H512="Petrol",'Fuel &amp; Inputs'!$C$5,'Fuel &amp; Inputs'!$C$4),1),MROUND(L512*$M512*IF($H512="Petrol",'Fuel &amp; Inputs'!$C$5,'Fuel &amp; Inputs'!$C$4),10)))</f>
        <v>13</v>
      </c>
      <c r="Q512" s="17" t="s">
        <v>597</v>
      </c>
      <c r="R512" s="21" t="n">
        <v>220</v>
      </c>
      <c r="S512" s="20" t="n">
        <f aca="false">R512</f>
        <v>220</v>
      </c>
      <c r="T512" s="21" t="n">
        <v>360</v>
      </c>
      <c r="U512" s="20" t="n">
        <f aca="false">MROUND(R512*'Fuel &amp; Inputs'!$C$19*'Fuel &amp; Inputs'!$C$21,100)</f>
        <v>800</v>
      </c>
      <c r="V512" s="20" t="n">
        <f aca="false">MROUND(S512*'Fuel &amp; Inputs'!$C$19*'Fuel &amp; Inputs'!$C$21,100)</f>
        <v>800</v>
      </c>
      <c r="W512" s="20" t="n">
        <f aca="false">MROUND(T512*'Fuel &amp; Inputs'!$C$19*'Fuel &amp; Inputs'!$C$21,100)</f>
        <v>1400</v>
      </c>
      <c r="X512" s="20" t="n">
        <f aca="false">MROUND(R512*'Fuel &amp; Inputs'!$C$20*'Fuel &amp; Inputs'!$C$22,500)</f>
        <v>22500</v>
      </c>
      <c r="Y512" s="20" t="n">
        <f aca="false">MROUND(S512*'Fuel &amp; Inputs'!$C$20*'Fuel &amp; Inputs'!$C$22,500)</f>
        <v>22500</v>
      </c>
      <c r="Z512" s="20" t="n">
        <f aca="false">MROUND(T512*'Fuel &amp; Inputs'!$C$20*'Fuel &amp; Inputs'!$C$22,500)</f>
        <v>36500</v>
      </c>
    </row>
    <row r="513" customFormat="false" ht="15" hidden="false" customHeight="false" outlineLevel="0" collapsed="false">
      <c r="A513" s="23" t="n">
        <v>482</v>
      </c>
      <c r="B513" s="34" t="s">
        <v>1131</v>
      </c>
      <c r="C513" s="34" t="s">
        <v>1174</v>
      </c>
      <c r="D513" s="34" t="s">
        <v>1175</v>
      </c>
      <c r="E513" s="23" t="s">
        <v>208</v>
      </c>
      <c r="F513" s="23" t="s">
        <v>1176</v>
      </c>
      <c r="G513" s="23" t="s">
        <v>1177</v>
      </c>
      <c r="H513" s="23" t="s">
        <v>984</v>
      </c>
      <c r="I513" s="23" t="s">
        <v>596</v>
      </c>
      <c r="J513" s="36" t="n">
        <v>0.017</v>
      </c>
      <c r="K513" s="36" t="n">
        <v>0.022</v>
      </c>
      <c r="L513" s="36" t="n">
        <v>0.028</v>
      </c>
      <c r="M513" s="35" t="n">
        <v>1.154</v>
      </c>
      <c r="N513" s="26" t="n">
        <f aca="false">IF(J513=0,0,IF($I513="L/km",MROUND(J513*$M513*IF($H513="Petrol",'Fuel &amp; Inputs'!$C$5,'Fuel &amp; Inputs'!$C$4),1),MROUND(J513*$M513*IF($H513="Petrol",'Fuel &amp; Inputs'!$C$5,'Fuel &amp; Inputs'!$C$4),10)))</f>
        <v>8</v>
      </c>
      <c r="O513" s="26" t="n">
        <f aca="false">IF(K513=0,0,IF($I513="L/km",MROUND(K513*$M513*IF($H513="Petrol",'Fuel &amp; Inputs'!$C$5,'Fuel &amp; Inputs'!$C$4),1),MROUND(K513*$M513*IF($H513="Petrol",'Fuel &amp; Inputs'!$C$5,'Fuel &amp; Inputs'!$C$4),10)))</f>
        <v>11</v>
      </c>
      <c r="P513" s="26" t="n">
        <f aca="false">IF(L513=0,0,IF($I513="L/km",MROUND(L513*$M513*IF($H513="Petrol",'Fuel &amp; Inputs'!$C$5,'Fuel &amp; Inputs'!$C$4),1),MROUND(L513*$M513*IF($H513="Petrol",'Fuel &amp; Inputs'!$C$5,'Fuel &amp; Inputs'!$C$4),10)))</f>
        <v>13</v>
      </c>
      <c r="Q513" s="23" t="s">
        <v>597</v>
      </c>
      <c r="R513" s="27" t="n">
        <v>200</v>
      </c>
      <c r="S513" s="26" t="n">
        <f aca="false">R513</f>
        <v>200</v>
      </c>
      <c r="T513" s="27" t="n">
        <v>330</v>
      </c>
      <c r="U513" s="26" t="n">
        <f aca="false">MROUND(R513*'Fuel &amp; Inputs'!$C$19*'Fuel &amp; Inputs'!$C$21,100)</f>
        <v>800</v>
      </c>
      <c r="V513" s="26" t="n">
        <f aca="false">MROUND(S513*'Fuel &amp; Inputs'!$C$19*'Fuel &amp; Inputs'!$C$21,100)</f>
        <v>800</v>
      </c>
      <c r="W513" s="26" t="n">
        <f aca="false">MROUND(T513*'Fuel &amp; Inputs'!$C$19*'Fuel &amp; Inputs'!$C$21,100)</f>
        <v>1300</v>
      </c>
      <c r="X513" s="26" t="n">
        <f aca="false">MROUND(R513*'Fuel &amp; Inputs'!$C$20*'Fuel &amp; Inputs'!$C$22,500)</f>
        <v>20500</v>
      </c>
      <c r="Y513" s="26" t="n">
        <f aca="false">MROUND(S513*'Fuel &amp; Inputs'!$C$20*'Fuel &amp; Inputs'!$C$22,500)</f>
        <v>20500</v>
      </c>
      <c r="Z513" s="26" t="n">
        <f aca="false">MROUND(T513*'Fuel &amp; Inputs'!$C$20*'Fuel &amp; Inputs'!$C$22,500)</f>
        <v>33500</v>
      </c>
    </row>
    <row r="514" customFormat="false" ht="23.85" hidden="false" customHeight="false" outlineLevel="0" collapsed="false">
      <c r="A514" s="17" t="n">
        <v>483</v>
      </c>
      <c r="B514" s="32" t="s">
        <v>1131</v>
      </c>
      <c r="C514" s="32" t="s">
        <v>1132</v>
      </c>
      <c r="D514" s="32" t="s">
        <v>1178</v>
      </c>
      <c r="E514" s="17" t="s">
        <v>277</v>
      </c>
      <c r="F514" s="17" t="s">
        <v>1179</v>
      </c>
      <c r="G514" s="17" t="s">
        <v>1180</v>
      </c>
      <c r="H514" s="17" t="s">
        <v>984</v>
      </c>
      <c r="I514" s="17" t="s">
        <v>596</v>
      </c>
      <c r="J514" s="37" t="n">
        <v>0.017</v>
      </c>
      <c r="K514" s="37" t="n">
        <v>0.022</v>
      </c>
      <c r="L514" s="37" t="n">
        <v>0.028</v>
      </c>
      <c r="M514" s="33" t="n">
        <v>1.161</v>
      </c>
      <c r="N514" s="20" t="n">
        <f aca="false">IF(J514=0,0,IF($I514="L/km",MROUND(J514*$M514*IF($H514="Petrol",'Fuel &amp; Inputs'!$C$5,'Fuel &amp; Inputs'!$C$4),1),MROUND(J514*$M514*IF($H514="Petrol",'Fuel &amp; Inputs'!$C$5,'Fuel &amp; Inputs'!$C$4),10)))</f>
        <v>8</v>
      </c>
      <c r="O514" s="20" t="n">
        <f aca="false">IF(K514=0,0,IF($I514="L/km",MROUND(K514*$M514*IF($H514="Petrol",'Fuel &amp; Inputs'!$C$5,'Fuel &amp; Inputs'!$C$4),1),MROUND(K514*$M514*IF($H514="Petrol",'Fuel &amp; Inputs'!$C$5,'Fuel &amp; Inputs'!$C$4),10)))</f>
        <v>11</v>
      </c>
      <c r="P514" s="20" t="n">
        <f aca="false">IF(L514=0,0,IF($I514="L/km",MROUND(L514*$M514*IF($H514="Petrol",'Fuel &amp; Inputs'!$C$5,'Fuel &amp; Inputs'!$C$4),1),MROUND(L514*$M514*IF($H514="Petrol",'Fuel &amp; Inputs'!$C$5,'Fuel &amp; Inputs'!$C$4),10)))</f>
        <v>13</v>
      </c>
      <c r="Q514" s="17" t="s">
        <v>597</v>
      </c>
      <c r="R514" s="21" t="n">
        <v>200</v>
      </c>
      <c r="S514" s="20" t="n">
        <f aca="false">R514</f>
        <v>200</v>
      </c>
      <c r="T514" s="21" t="n">
        <v>330</v>
      </c>
      <c r="U514" s="20" t="n">
        <f aca="false">MROUND(R514*'Fuel &amp; Inputs'!$C$19*'Fuel &amp; Inputs'!$C$21,100)</f>
        <v>800</v>
      </c>
      <c r="V514" s="20" t="n">
        <f aca="false">MROUND(S514*'Fuel &amp; Inputs'!$C$19*'Fuel &amp; Inputs'!$C$21,100)</f>
        <v>800</v>
      </c>
      <c r="W514" s="20" t="n">
        <f aca="false">MROUND(T514*'Fuel &amp; Inputs'!$C$19*'Fuel &amp; Inputs'!$C$21,100)</f>
        <v>1300</v>
      </c>
      <c r="X514" s="20" t="n">
        <f aca="false">MROUND(R514*'Fuel &amp; Inputs'!$C$20*'Fuel &amp; Inputs'!$C$22,500)</f>
        <v>20500</v>
      </c>
      <c r="Y514" s="20" t="n">
        <f aca="false">MROUND(S514*'Fuel &amp; Inputs'!$C$20*'Fuel &amp; Inputs'!$C$22,500)</f>
        <v>20500</v>
      </c>
      <c r="Z514" s="20" t="n">
        <f aca="false">MROUND(T514*'Fuel &amp; Inputs'!$C$20*'Fuel &amp; Inputs'!$C$22,500)</f>
        <v>33500</v>
      </c>
    </row>
    <row r="515" customFormat="false" ht="15" hidden="false" customHeight="false" outlineLevel="0" collapsed="false">
      <c r="A515" s="23" t="n">
        <v>484</v>
      </c>
      <c r="B515" s="34" t="s">
        <v>1131</v>
      </c>
      <c r="C515" s="34" t="s">
        <v>1132</v>
      </c>
      <c r="D515" s="34" t="s">
        <v>223</v>
      </c>
      <c r="E515" s="23" t="s">
        <v>223</v>
      </c>
      <c r="F515" s="23" t="s">
        <v>1181</v>
      </c>
      <c r="G515" s="23" t="s">
        <v>1182</v>
      </c>
      <c r="H515" s="23" t="s">
        <v>984</v>
      </c>
      <c r="I515" s="23" t="s">
        <v>596</v>
      </c>
      <c r="J515" s="36" t="n">
        <v>0.017</v>
      </c>
      <c r="K515" s="36" t="n">
        <v>0.022</v>
      </c>
      <c r="L515" s="36" t="n">
        <v>0.028</v>
      </c>
      <c r="M515" s="35" t="n">
        <v>1</v>
      </c>
      <c r="N515" s="26" t="n">
        <f aca="false">IF(J515=0,0,IF($I515="L/km",MROUND(J515*$M515*IF($H515="Petrol",'Fuel &amp; Inputs'!$C$5,'Fuel &amp; Inputs'!$C$4),1),MROUND(J515*$M515*IF($H515="Petrol",'Fuel &amp; Inputs'!$C$5,'Fuel &amp; Inputs'!$C$4),10)))</f>
        <v>7</v>
      </c>
      <c r="O515" s="26" t="n">
        <f aca="false">IF(K515=0,0,IF($I515="L/km",MROUND(K515*$M515*IF($H515="Petrol",'Fuel &amp; Inputs'!$C$5,'Fuel &amp; Inputs'!$C$4),1),MROUND(K515*$M515*IF($H515="Petrol",'Fuel &amp; Inputs'!$C$5,'Fuel &amp; Inputs'!$C$4),10)))</f>
        <v>9</v>
      </c>
      <c r="P515" s="26" t="n">
        <f aca="false">IF(L515=0,0,IF($I515="L/km",MROUND(L515*$M515*IF($H515="Petrol",'Fuel &amp; Inputs'!$C$5,'Fuel &amp; Inputs'!$C$4),1),MROUND(L515*$M515*IF($H515="Petrol",'Fuel &amp; Inputs'!$C$5,'Fuel &amp; Inputs'!$C$4),10)))</f>
        <v>12</v>
      </c>
      <c r="Q515" s="23" t="s">
        <v>597</v>
      </c>
      <c r="R515" s="27" t="n">
        <v>170</v>
      </c>
      <c r="S515" s="26" t="n">
        <f aca="false">R515</f>
        <v>170</v>
      </c>
      <c r="T515" s="27" t="n">
        <v>290</v>
      </c>
      <c r="U515" s="26" t="n">
        <f aca="false">MROUND(R515*'Fuel &amp; Inputs'!$C$19*'Fuel &amp; Inputs'!$C$21,100)</f>
        <v>600</v>
      </c>
      <c r="V515" s="26" t="n">
        <f aca="false">MROUND(S515*'Fuel &amp; Inputs'!$C$19*'Fuel &amp; Inputs'!$C$21,100)</f>
        <v>600</v>
      </c>
      <c r="W515" s="26" t="n">
        <f aca="false">MROUND(T515*'Fuel &amp; Inputs'!$C$19*'Fuel &amp; Inputs'!$C$21,100)</f>
        <v>1100</v>
      </c>
      <c r="X515" s="26" t="n">
        <f aca="false">MROUND(R515*'Fuel &amp; Inputs'!$C$20*'Fuel &amp; Inputs'!$C$22,500)</f>
        <v>17500</v>
      </c>
      <c r="Y515" s="26" t="n">
        <f aca="false">MROUND(S515*'Fuel &amp; Inputs'!$C$20*'Fuel &amp; Inputs'!$C$22,500)</f>
        <v>17500</v>
      </c>
      <c r="Z515" s="26" t="n">
        <f aca="false">MROUND(T515*'Fuel &amp; Inputs'!$C$20*'Fuel &amp; Inputs'!$C$22,500)</f>
        <v>29500</v>
      </c>
    </row>
    <row r="516" customFormat="false" ht="15" hidden="false" customHeight="false" outlineLevel="0" collapsed="false">
      <c r="A516" s="17" t="n">
        <v>485</v>
      </c>
      <c r="B516" s="32" t="s">
        <v>1131</v>
      </c>
      <c r="C516" s="32" t="s">
        <v>1132</v>
      </c>
      <c r="D516" s="32" t="s">
        <v>223</v>
      </c>
      <c r="E516" s="17" t="s">
        <v>223</v>
      </c>
      <c r="F516" s="17" t="s">
        <v>1183</v>
      </c>
      <c r="G516" s="17" t="s">
        <v>1184</v>
      </c>
      <c r="H516" s="17" t="s">
        <v>984</v>
      </c>
      <c r="I516" s="17" t="s">
        <v>596</v>
      </c>
      <c r="J516" s="37" t="n">
        <v>0.017</v>
      </c>
      <c r="K516" s="37" t="n">
        <v>0.022</v>
      </c>
      <c r="L516" s="37" t="n">
        <v>0.028</v>
      </c>
      <c r="M516" s="33" t="n">
        <v>1</v>
      </c>
      <c r="N516" s="20" t="n">
        <f aca="false">IF(J516=0,0,IF($I516="L/km",MROUND(J516*$M516*IF($H516="Petrol",'Fuel &amp; Inputs'!$C$5,'Fuel &amp; Inputs'!$C$4),1),MROUND(J516*$M516*IF($H516="Petrol",'Fuel &amp; Inputs'!$C$5,'Fuel &amp; Inputs'!$C$4),10)))</f>
        <v>7</v>
      </c>
      <c r="O516" s="20" t="n">
        <f aca="false">IF(K516=0,0,IF($I516="L/km",MROUND(K516*$M516*IF($H516="Petrol",'Fuel &amp; Inputs'!$C$5,'Fuel &amp; Inputs'!$C$4),1),MROUND(K516*$M516*IF($H516="Petrol",'Fuel &amp; Inputs'!$C$5,'Fuel &amp; Inputs'!$C$4),10)))</f>
        <v>9</v>
      </c>
      <c r="P516" s="20" t="n">
        <f aca="false">IF(L516=0,0,IF($I516="L/km",MROUND(L516*$M516*IF($H516="Petrol",'Fuel &amp; Inputs'!$C$5,'Fuel &amp; Inputs'!$C$4),1),MROUND(L516*$M516*IF($H516="Petrol",'Fuel &amp; Inputs'!$C$5,'Fuel &amp; Inputs'!$C$4),10)))</f>
        <v>12</v>
      </c>
      <c r="Q516" s="17" t="s">
        <v>597</v>
      </c>
      <c r="R516" s="21" t="n">
        <v>170</v>
      </c>
      <c r="S516" s="20" t="n">
        <f aca="false">R516</f>
        <v>170</v>
      </c>
      <c r="T516" s="21" t="n">
        <v>290</v>
      </c>
      <c r="U516" s="20" t="n">
        <f aca="false">MROUND(R516*'Fuel &amp; Inputs'!$C$19*'Fuel &amp; Inputs'!$C$21,100)</f>
        <v>600</v>
      </c>
      <c r="V516" s="20" t="n">
        <f aca="false">MROUND(S516*'Fuel &amp; Inputs'!$C$19*'Fuel &amp; Inputs'!$C$21,100)</f>
        <v>600</v>
      </c>
      <c r="W516" s="20" t="n">
        <f aca="false">MROUND(T516*'Fuel &amp; Inputs'!$C$19*'Fuel &amp; Inputs'!$C$21,100)</f>
        <v>1100</v>
      </c>
      <c r="X516" s="20" t="n">
        <f aca="false">MROUND(R516*'Fuel &amp; Inputs'!$C$20*'Fuel &amp; Inputs'!$C$22,500)</f>
        <v>17500</v>
      </c>
      <c r="Y516" s="20" t="n">
        <f aca="false">MROUND(S516*'Fuel &amp; Inputs'!$C$20*'Fuel &amp; Inputs'!$C$22,500)</f>
        <v>17500</v>
      </c>
      <c r="Z516" s="20" t="n">
        <f aca="false">MROUND(T516*'Fuel &amp; Inputs'!$C$20*'Fuel &amp; Inputs'!$C$22,500)</f>
        <v>29500</v>
      </c>
    </row>
    <row r="517" customFormat="false" ht="15" hidden="false" customHeight="false" outlineLevel="0" collapsed="false">
      <c r="A517" s="23" t="n">
        <v>486</v>
      </c>
      <c r="B517" s="34" t="s">
        <v>1131</v>
      </c>
      <c r="C517" s="34" t="s">
        <v>1132</v>
      </c>
      <c r="D517" s="34" t="s">
        <v>223</v>
      </c>
      <c r="E517" s="23" t="s">
        <v>223</v>
      </c>
      <c r="F517" s="23" t="s">
        <v>1185</v>
      </c>
      <c r="G517" s="23" t="s">
        <v>1186</v>
      </c>
      <c r="H517" s="23" t="s">
        <v>984</v>
      </c>
      <c r="I517" s="23" t="s">
        <v>596</v>
      </c>
      <c r="J517" s="36" t="n">
        <v>0.017</v>
      </c>
      <c r="K517" s="36" t="n">
        <v>0.022</v>
      </c>
      <c r="L517" s="36" t="n">
        <v>0.028</v>
      </c>
      <c r="M517" s="35" t="n">
        <v>1</v>
      </c>
      <c r="N517" s="26" t="n">
        <f aca="false">IF(J517=0,0,IF($I517="L/km",MROUND(J517*$M517*IF($H517="Petrol",'Fuel &amp; Inputs'!$C$5,'Fuel &amp; Inputs'!$C$4),1),MROUND(J517*$M517*IF($H517="Petrol",'Fuel &amp; Inputs'!$C$5,'Fuel &amp; Inputs'!$C$4),10)))</f>
        <v>7</v>
      </c>
      <c r="O517" s="26" t="n">
        <f aca="false">IF(K517=0,0,IF($I517="L/km",MROUND(K517*$M517*IF($H517="Petrol",'Fuel &amp; Inputs'!$C$5,'Fuel &amp; Inputs'!$C$4),1),MROUND(K517*$M517*IF($H517="Petrol",'Fuel &amp; Inputs'!$C$5,'Fuel &amp; Inputs'!$C$4),10)))</f>
        <v>9</v>
      </c>
      <c r="P517" s="26" t="n">
        <f aca="false">IF(L517=0,0,IF($I517="L/km",MROUND(L517*$M517*IF($H517="Petrol",'Fuel &amp; Inputs'!$C$5,'Fuel &amp; Inputs'!$C$4),1),MROUND(L517*$M517*IF($H517="Petrol",'Fuel &amp; Inputs'!$C$5,'Fuel &amp; Inputs'!$C$4),10)))</f>
        <v>12</v>
      </c>
      <c r="Q517" s="23" t="s">
        <v>597</v>
      </c>
      <c r="R517" s="27" t="n">
        <v>170</v>
      </c>
      <c r="S517" s="26" t="n">
        <f aca="false">R517</f>
        <v>170</v>
      </c>
      <c r="T517" s="27" t="n">
        <v>290</v>
      </c>
      <c r="U517" s="26" t="n">
        <f aca="false">MROUND(R517*'Fuel &amp; Inputs'!$C$19*'Fuel &amp; Inputs'!$C$21,100)</f>
        <v>600</v>
      </c>
      <c r="V517" s="26" t="n">
        <f aca="false">MROUND(S517*'Fuel &amp; Inputs'!$C$19*'Fuel &amp; Inputs'!$C$21,100)</f>
        <v>600</v>
      </c>
      <c r="W517" s="26" t="n">
        <f aca="false">MROUND(T517*'Fuel &amp; Inputs'!$C$19*'Fuel &amp; Inputs'!$C$21,100)</f>
        <v>1100</v>
      </c>
      <c r="X517" s="26" t="n">
        <f aca="false">MROUND(R517*'Fuel &amp; Inputs'!$C$20*'Fuel &amp; Inputs'!$C$22,500)</f>
        <v>17500</v>
      </c>
      <c r="Y517" s="26" t="n">
        <f aca="false">MROUND(S517*'Fuel &amp; Inputs'!$C$20*'Fuel &amp; Inputs'!$C$22,500)</f>
        <v>17500</v>
      </c>
      <c r="Z517" s="26" t="n">
        <f aca="false">MROUND(T517*'Fuel &amp; Inputs'!$C$20*'Fuel &amp; Inputs'!$C$22,500)</f>
        <v>29500</v>
      </c>
    </row>
    <row r="518" customFormat="false" ht="15" hidden="false" customHeight="false" outlineLevel="0" collapsed="false">
      <c r="A518" s="17" t="n">
        <v>487</v>
      </c>
      <c r="B518" s="32" t="s">
        <v>1131</v>
      </c>
      <c r="C518" s="32" t="s">
        <v>1132</v>
      </c>
      <c r="D518" s="32" t="s">
        <v>223</v>
      </c>
      <c r="E518" s="17" t="s">
        <v>223</v>
      </c>
      <c r="F518" s="17" t="s">
        <v>1187</v>
      </c>
      <c r="G518" s="17" t="s">
        <v>1188</v>
      </c>
      <c r="H518" s="17" t="s">
        <v>984</v>
      </c>
      <c r="I518" s="17" t="s">
        <v>596</v>
      </c>
      <c r="J518" s="37" t="n">
        <v>0.017</v>
      </c>
      <c r="K518" s="37" t="n">
        <v>0.022</v>
      </c>
      <c r="L518" s="37" t="n">
        <v>0.028</v>
      </c>
      <c r="M518" s="33" t="n">
        <v>1</v>
      </c>
      <c r="N518" s="20" t="n">
        <f aca="false">IF(J518=0,0,IF($I518="L/km",MROUND(J518*$M518*IF($H518="Petrol",'Fuel &amp; Inputs'!$C$5,'Fuel &amp; Inputs'!$C$4),1),MROUND(J518*$M518*IF($H518="Petrol",'Fuel &amp; Inputs'!$C$5,'Fuel &amp; Inputs'!$C$4),10)))</f>
        <v>7</v>
      </c>
      <c r="O518" s="20" t="n">
        <f aca="false">IF(K518=0,0,IF($I518="L/km",MROUND(K518*$M518*IF($H518="Petrol",'Fuel &amp; Inputs'!$C$5,'Fuel &amp; Inputs'!$C$4),1),MROUND(K518*$M518*IF($H518="Petrol",'Fuel &amp; Inputs'!$C$5,'Fuel &amp; Inputs'!$C$4),10)))</f>
        <v>9</v>
      </c>
      <c r="P518" s="20" t="n">
        <f aca="false">IF(L518=0,0,IF($I518="L/km",MROUND(L518*$M518*IF($H518="Petrol",'Fuel &amp; Inputs'!$C$5,'Fuel &amp; Inputs'!$C$4),1),MROUND(L518*$M518*IF($H518="Petrol",'Fuel &amp; Inputs'!$C$5,'Fuel &amp; Inputs'!$C$4),10)))</f>
        <v>12</v>
      </c>
      <c r="Q518" s="17" t="s">
        <v>597</v>
      </c>
      <c r="R518" s="21" t="n">
        <v>170</v>
      </c>
      <c r="S518" s="20" t="n">
        <f aca="false">R518</f>
        <v>170</v>
      </c>
      <c r="T518" s="21" t="n">
        <v>290</v>
      </c>
      <c r="U518" s="20" t="n">
        <f aca="false">MROUND(R518*'Fuel &amp; Inputs'!$C$19*'Fuel &amp; Inputs'!$C$21,100)</f>
        <v>600</v>
      </c>
      <c r="V518" s="20" t="n">
        <f aca="false">MROUND(S518*'Fuel &amp; Inputs'!$C$19*'Fuel &amp; Inputs'!$C$21,100)</f>
        <v>600</v>
      </c>
      <c r="W518" s="20" t="n">
        <f aca="false">MROUND(T518*'Fuel &amp; Inputs'!$C$19*'Fuel &amp; Inputs'!$C$21,100)</f>
        <v>1100</v>
      </c>
      <c r="X518" s="20" t="n">
        <f aca="false">MROUND(R518*'Fuel &amp; Inputs'!$C$20*'Fuel &amp; Inputs'!$C$22,500)</f>
        <v>17500</v>
      </c>
      <c r="Y518" s="20" t="n">
        <f aca="false">MROUND(S518*'Fuel &amp; Inputs'!$C$20*'Fuel &amp; Inputs'!$C$22,500)</f>
        <v>17500</v>
      </c>
      <c r="Z518" s="20" t="n">
        <f aca="false">MROUND(T518*'Fuel &amp; Inputs'!$C$20*'Fuel &amp; Inputs'!$C$22,500)</f>
        <v>29500</v>
      </c>
    </row>
    <row r="519" customFormat="false" ht="15" hidden="false" customHeight="false" outlineLevel="0" collapsed="false">
      <c r="A519" s="23" t="n">
        <v>488</v>
      </c>
      <c r="B519" s="34" t="s">
        <v>1131</v>
      </c>
      <c r="C519" s="34" t="s">
        <v>1132</v>
      </c>
      <c r="D519" s="34" t="s">
        <v>223</v>
      </c>
      <c r="E519" s="23" t="s">
        <v>171</v>
      </c>
      <c r="F519" s="23" t="s">
        <v>1189</v>
      </c>
      <c r="G519" s="23" t="s">
        <v>1190</v>
      </c>
      <c r="H519" s="23" t="s">
        <v>984</v>
      </c>
      <c r="I519" s="23" t="s">
        <v>596</v>
      </c>
      <c r="J519" s="36" t="n">
        <v>0.017</v>
      </c>
      <c r="K519" s="36" t="n">
        <v>0.022</v>
      </c>
      <c r="L519" s="36" t="n">
        <v>0.028</v>
      </c>
      <c r="M519" s="35" t="n">
        <v>1.077</v>
      </c>
      <c r="N519" s="26" t="n">
        <f aca="false">IF(J519=0,0,IF($I519="L/km",MROUND(J519*$M519*IF($H519="Petrol",'Fuel &amp; Inputs'!$C$5,'Fuel &amp; Inputs'!$C$4),1),MROUND(J519*$M519*IF($H519="Petrol",'Fuel &amp; Inputs'!$C$5,'Fuel &amp; Inputs'!$C$4),10)))</f>
        <v>8</v>
      </c>
      <c r="O519" s="26" t="n">
        <f aca="false">IF(K519=0,0,IF($I519="L/km",MROUND(K519*$M519*IF($H519="Petrol",'Fuel &amp; Inputs'!$C$5,'Fuel &amp; Inputs'!$C$4),1),MROUND(K519*$M519*IF($H519="Petrol",'Fuel &amp; Inputs'!$C$5,'Fuel &amp; Inputs'!$C$4),10)))</f>
        <v>10</v>
      </c>
      <c r="P519" s="26" t="n">
        <f aca="false">IF(L519=0,0,IF($I519="L/km",MROUND(L519*$M519*IF($H519="Petrol",'Fuel &amp; Inputs'!$C$5,'Fuel &amp; Inputs'!$C$4),1),MROUND(L519*$M519*IF($H519="Petrol",'Fuel &amp; Inputs'!$C$5,'Fuel &amp; Inputs'!$C$4),10)))</f>
        <v>12</v>
      </c>
      <c r="Q519" s="23" t="s">
        <v>597</v>
      </c>
      <c r="R519" s="27" t="n">
        <v>170</v>
      </c>
      <c r="S519" s="26" t="n">
        <f aca="false">R519</f>
        <v>170</v>
      </c>
      <c r="T519" s="27" t="n">
        <v>290</v>
      </c>
      <c r="U519" s="26" t="n">
        <f aca="false">MROUND(R519*'Fuel &amp; Inputs'!$C$19*'Fuel &amp; Inputs'!$C$21,100)</f>
        <v>600</v>
      </c>
      <c r="V519" s="26" t="n">
        <f aca="false">MROUND(S519*'Fuel &amp; Inputs'!$C$19*'Fuel &amp; Inputs'!$C$21,100)</f>
        <v>600</v>
      </c>
      <c r="W519" s="26" t="n">
        <f aca="false">MROUND(T519*'Fuel &amp; Inputs'!$C$19*'Fuel &amp; Inputs'!$C$21,100)</f>
        <v>1100</v>
      </c>
      <c r="X519" s="26" t="n">
        <f aca="false">MROUND(R519*'Fuel &amp; Inputs'!$C$20*'Fuel &amp; Inputs'!$C$22,500)</f>
        <v>17500</v>
      </c>
      <c r="Y519" s="26" t="n">
        <f aca="false">MROUND(S519*'Fuel &amp; Inputs'!$C$20*'Fuel &amp; Inputs'!$C$22,500)</f>
        <v>17500</v>
      </c>
      <c r="Z519" s="26" t="n">
        <f aca="false">MROUND(T519*'Fuel &amp; Inputs'!$C$20*'Fuel &amp; Inputs'!$C$22,500)</f>
        <v>29500</v>
      </c>
    </row>
    <row r="520" customFormat="false" ht="15" hidden="false" customHeight="false" outlineLevel="0" collapsed="false">
      <c r="A520" s="17" t="n">
        <v>489</v>
      </c>
      <c r="B520" s="32" t="s">
        <v>1131</v>
      </c>
      <c r="C520" s="32" t="s">
        <v>1132</v>
      </c>
      <c r="D520" s="32" t="s">
        <v>223</v>
      </c>
      <c r="E520" s="17" t="s">
        <v>174</v>
      </c>
      <c r="F520" s="17" t="s">
        <v>1191</v>
      </c>
      <c r="G520" s="17" t="s">
        <v>1192</v>
      </c>
      <c r="H520" s="17" t="s">
        <v>984</v>
      </c>
      <c r="I520" s="17" t="s">
        <v>596</v>
      </c>
      <c r="J520" s="37" t="n">
        <v>0.017</v>
      </c>
      <c r="K520" s="37" t="n">
        <v>0.022</v>
      </c>
      <c r="L520" s="37" t="n">
        <v>0.028</v>
      </c>
      <c r="M520" s="33" t="n">
        <v>1.07</v>
      </c>
      <c r="N520" s="20" t="n">
        <f aca="false">IF(J520=0,0,IF($I520="L/km",MROUND(J520*$M520*IF($H520="Petrol",'Fuel &amp; Inputs'!$C$5,'Fuel &amp; Inputs'!$C$4),1),MROUND(J520*$M520*IF($H520="Petrol",'Fuel &amp; Inputs'!$C$5,'Fuel &amp; Inputs'!$C$4),10)))</f>
        <v>8</v>
      </c>
      <c r="O520" s="20" t="n">
        <f aca="false">IF(K520=0,0,IF($I520="L/km",MROUND(K520*$M520*IF($H520="Petrol",'Fuel &amp; Inputs'!$C$5,'Fuel &amp; Inputs'!$C$4),1),MROUND(K520*$M520*IF($H520="Petrol",'Fuel &amp; Inputs'!$C$5,'Fuel &amp; Inputs'!$C$4),10)))</f>
        <v>10</v>
      </c>
      <c r="P520" s="20" t="n">
        <f aca="false">IF(L520=0,0,IF($I520="L/km",MROUND(L520*$M520*IF($H520="Petrol",'Fuel &amp; Inputs'!$C$5,'Fuel &amp; Inputs'!$C$4),1),MROUND(L520*$M520*IF($H520="Petrol",'Fuel &amp; Inputs'!$C$5,'Fuel &amp; Inputs'!$C$4),10)))</f>
        <v>12</v>
      </c>
      <c r="Q520" s="17" t="s">
        <v>597</v>
      </c>
      <c r="R520" s="21" t="n">
        <v>170</v>
      </c>
      <c r="S520" s="20" t="n">
        <f aca="false">R520</f>
        <v>170</v>
      </c>
      <c r="T520" s="21" t="n">
        <v>290</v>
      </c>
      <c r="U520" s="20" t="n">
        <f aca="false">MROUND(R520*'Fuel &amp; Inputs'!$C$19*'Fuel &amp; Inputs'!$C$21,100)</f>
        <v>600</v>
      </c>
      <c r="V520" s="20" t="n">
        <f aca="false">MROUND(S520*'Fuel &amp; Inputs'!$C$19*'Fuel &amp; Inputs'!$C$21,100)</f>
        <v>600</v>
      </c>
      <c r="W520" s="20" t="n">
        <f aca="false">MROUND(T520*'Fuel &amp; Inputs'!$C$19*'Fuel &amp; Inputs'!$C$21,100)</f>
        <v>1100</v>
      </c>
      <c r="X520" s="20" t="n">
        <f aca="false">MROUND(R520*'Fuel &amp; Inputs'!$C$20*'Fuel &amp; Inputs'!$C$22,500)</f>
        <v>17500</v>
      </c>
      <c r="Y520" s="20" t="n">
        <f aca="false">MROUND(S520*'Fuel &amp; Inputs'!$C$20*'Fuel &amp; Inputs'!$C$22,500)</f>
        <v>17500</v>
      </c>
      <c r="Z520" s="20" t="n">
        <f aca="false">MROUND(T520*'Fuel &amp; Inputs'!$C$20*'Fuel &amp; Inputs'!$C$22,500)</f>
        <v>29500</v>
      </c>
    </row>
    <row r="521" customFormat="false" ht="15" hidden="false" customHeight="false" outlineLevel="0" collapsed="false">
      <c r="A521" s="23" t="n">
        <v>490</v>
      </c>
      <c r="B521" s="34" t="s">
        <v>1131</v>
      </c>
      <c r="C521" s="34" t="s">
        <v>1132</v>
      </c>
      <c r="D521" s="34" t="s">
        <v>223</v>
      </c>
      <c r="E521" s="23" t="s">
        <v>171</v>
      </c>
      <c r="F521" s="23" t="s">
        <v>1193</v>
      </c>
      <c r="G521" s="23" t="s">
        <v>1194</v>
      </c>
      <c r="H521" s="23" t="s">
        <v>984</v>
      </c>
      <c r="I521" s="23" t="s">
        <v>596</v>
      </c>
      <c r="J521" s="36" t="n">
        <v>0.017</v>
      </c>
      <c r="K521" s="36" t="n">
        <v>0.022</v>
      </c>
      <c r="L521" s="36" t="n">
        <v>0.028</v>
      </c>
      <c r="M521" s="35" t="n">
        <v>1.077</v>
      </c>
      <c r="N521" s="26" t="n">
        <f aca="false">IF(J521=0,0,IF($I521="L/km",MROUND(J521*$M521*IF($H521="Petrol",'Fuel &amp; Inputs'!$C$5,'Fuel &amp; Inputs'!$C$4),1),MROUND(J521*$M521*IF($H521="Petrol",'Fuel &amp; Inputs'!$C$5,'Fuel &amp; Inputs'!$C$4),10)))</f>
        <v>8</v>
      </c>
      <c r="O521" s="26" t="n">
        <f aca="false">IF(K521=0,0,IF($I521="L/km",MROUND(K521*$M521*IF($H521="Petrol",'Fuel &amp; Inputs'!$C$5,'Fuel &amp; Inputs'!$C$4),1),MROUND(K521*$M521*IF($H521="Petrol",'Fuel &amp; Inputs'!$C$5,'Fuel &amp; Inputs'!$C$4),10)))</f>
        <v>10</v>
      </c>
      <c r="P521" s="26" t="n">
        <f aca="false">IF(L521=0,0,IF($I521="L/km",MROUND(L521*$M521*IF($H521="Petrol",'Fuel &amp; Inputs'!$C$5,'Fuel &amp; Inputs'!$C$4),1),MROUND(L521*$M521*IF($H521="Petrol",'Fuel &amp; Inputs'!$C$5,'Fuel &amp; Inputs'!$C$4),10)))</f>
        <v>12</v>
      </c>
      <c r="Q521" s="23" t="s">
        <v>597</v>
      </c>
      <c r="R521" s="27" t="n">
        <v>170</v>
      </c>
      <c r="S521" s="26" t="n">
        <f aca="false">R521</f>
        <v>170</v>
      </c>
      <c r="T521" s="27" t="n">
        <v>290</v>
      </c>
      <c r="U521" s="26" t="n">
        <f aca="false">MROUND(R521*'Fuel &amp; Inputs'!$C$19*'Fuel &amp; Inputs'!$C$21,100)</f>
        <v>600</v>
      </c>
      <c r="V521" s="26" t="n">
        <f aca="false">MROUND(S521*'Fuel &amp; Inputs'!$C$19*'Fuel &amp; Inputs'!$C$21,100)</f>
        <v>600</v>
      </c>
      <c r="W521" s="26" t="n">
        <f aca="false">MROUND(T521*'Fuel &amp; Inputs'!$C$19*'Fuel &amp; Inputs'!$C$21,100)</f>
        <v>1100</v>
      </c>
      <c r="X521" s="26" t="n">
        <f aca="false">MROUND(R521*'Fuel &amp; Inputs'!$C$20*'Fuel &amp; Inputs'!$C$22,500)</f>
        <v>17500</v>
      </c>
      <c r="Y521" s="26" t="n">
        <f aca="false">MROUND(S521*'Fuel &amp; Inputs'!$C$20*'Fuel &amp; Inputs'!$C$22,500)</f>
        <v>17500</v>
      </c>
      <c r="Z521" s="26" t="n">
        <f aca="false">MROUND(T521*'Fuel &amp; Inputs'!$C$20*'Fuel &amp; Inputs'!$C$22,500)</f>
        <v>29500</v>
      </c>
    </row>
    <row r="522" customFormat="false" ht="15" hidden="false" customHeight="false" outlineLevel="0" collapsed="false">
      <c r="A522" s="17" t="n">
        <v>491</v>
      </c>
      <c r="B522" s="32" t="s">
        <v>1131</v>
      </c>
      <c r="C522" s="32" t="s">
        <v>1132</v>
      </c>
      <c r="D522" s="32" t="s">
        <v>223</v>
      </c>
      <c r="E522" s="17" t="s">
        <v>166</v>
      </c>
      <c r="F522" s="17" t="s">
        <v>1195</v>
      </c>
      <c r="G522" s="17" t="s">
        <v>1196</v>
      </c>
      <c r="H522" s="17" t="s">
        <v>984</v>
      </c>
      <c r="I522" s="17" t="s">
        <v>596</v>
      </c>
      <c r="J522" s="37" t="n">
        <v>0.017</v>
      </c>
      <c r="K522" s="37" t="n">
        <v>0.022</v>
      </c>
      <c r="L522" s="37" t="n">
        <v>0.028</v>
      </c>
      <c r="M522" s="33" t="n">
        <v>1.098</v>
      </c>
      <c r="N522" s="20" t="n">
        <f aca="false">IF(J522=0,0,IF($I522="L/km",MROUND(J522*$M522*IF($H522="Petrol",'Fuel &amp; Inputs'!$C$5,'Fuel &amp; Inputs'!$C$4),1),MROUND(J522*$M522*IF($H522="Petrol",'Fuel &amp; Inputs'!$C$5,'Fuel &amp; Inputs'!$C$4),10)))</f>
        <v>8</v>
      </c>
      <c r="O522" s="20" t="n">
        <f aca="false">IF(K522=0,0,IF($I522="L/km",MROUND(K522*$M522*IF($H522="Petrol",'Fuel &amp; Inputs'!$C$5,'Fuel &amp; Inputs'!$C$4),1),MROUND(K522*$M522*IF($H522="Petrol",'Fuel &amp; Inputs'!$C$5,'Fuel &amp; Inputs'!$C$4),10)))</f>
        <v>10</v>
      </c>
      <c r="P522" s="20" t="n">
        <f aca="false">IF(L522=0,0,IF($I522="L/km",MROUND(L522*$M522*IF($H522="Petrol",'Fuel &amp; Inputs'!$C$5,'Fuel &amp; Inputs'!$C$4),1),MROUND(L522*$M522*IF($H522="Petrol",'Fuel &amp; Inputs'!$C$5,'Fuel &amp; Inputs'!$C$4),10)))</f>
        <v>13</v>
      </c>
      <c r="Q522" s="17" t="s">
        <v>597</v>
      </c>
      <c r="R522" s="21" t="n">
        <v>170</v>
      </c>
      <c r="S522" s="20" t="n">
        <f aca="false">R522</f>
        <v>170</v>
      </c>
      <c r="T522" s="21" t="n">
        <v>290</v>
      </c>
      <c r="U522" s="20" t="n">
        <f aca="false">MROUND(R522*'Fuel &amp; Inputs'!$C$19*'Fuel &amp; Inputs'!$C$21,100)</f>
        <v>600</v>
      </c>
      <c r="V522" s="20" t="n">
        <f aca="false">MROUND(S522*'Fuel &amp; Inputs'!$C$19*'Fuel &amp; Inputs'!$C$21,100)</f>
        <v>600</v>
      </c>
      <c r="W522" s="20" t="n">
        <f aca="false">MROUND(T522*'Fuel &amp; Inputs'!$C$19*'Fuel &amp; Inputs'!$C$21,100)</f>
        <v>1100</v>
      </c>
      <c r="X522" s="20" t="n">
        <f aca="false">MROUND(R522*'Fuel &amp; Inputs'!$C$20*'Fuel &amp; Inputs'!$C$22,500)</f>
        <v>17500</v>
      </c>
      <c r="Y522" s="20" t="n">
        <f aca="false">MROUND(S522*'Fuel &amp; Inputs'!$C$20*'Fuel &amp; Inputs'!$C$22,500)</f>
        <v>17500</v>
      </c>
      <c r="Z522" s="20" t="n">
        <f aca="false">MROUND(T522*'Fuel &amp; Inputs'!$C$20*'Fuel &amp; Inputs'!$C$22,500)</f>
        <v>29500</v>
      </c>
    </row>
    <row r="523" customFormat="false" ht="15" hidden="false" customHeight="false" outlineLevel="0" collapsed="false">
      <c r="A523" s="23" t="n">
        <v>492</v>
      </c>
      <c r="B523" s="34" t="s">
        <v>1131</v>
      </c>
      <c r="C523" s="34" t="s">
        <v>1132</v>
      </c>
      <c r="D523" s="34" t="s">
        <v>223</v>
      </c>
      <c r="E523" s="23" t="s">
        <v>223</v>
      </c>
      <c r="F523" s="23" t="s">
        <v>1197</v>
      </c>
      <c r="G523" s="23" t="s">
        <v>1198</v>
      </c>
      <c r="H523" s="23" t="s">
        <v>984</v>
      </c>
      <c r="I523" s="23" t="s">
        <v>596</v>
      </c>
      <c r="J523" s="36" t="n">
        <v>0.017</v>
      </c>
      <c r="K523" s="36" t="n">
        <v>0.022</v>
      </c>
      <c r="L523" s="36" t="n">
        <v>0.028</v>
      </c>
      <c r="M523" s="35" t="n">
        <v>1</v>
      </c>
      <c r="N523" s="26" t="n">
        <f aca="false">IF(J523=0,0,IF($I523="L/km",MROUND(J523*$M523*IF($H523="Petrol",'Fuel &amp; Inputs'!$C$5,'Fuel &amp; Inputs'!$C$4),1),MROUND(J523*$M523*IF($H523="Petrol",'Fuel &amp; Inputs'!$C$5,'Fuel &amp; Inputs'!$C$4),10)))</f>
        <v>7</v>
      </c>
      <c r="O523" s="26" t="n">
        <f aca="false">IF(K523=0,0,IF($I523="L/km",MROUND(K523*$M523*IF($H523="Petrol",'Fuel &amp; Inputs'!$C$5,'Fuel &amp; Inputs'!$C$4),1),MROUND(K523*$M523*IF($H523="Petrol",'Fuel &amp; Inputs'!$C$5,'Fuel &amp; Inputs'!$C$4),10)))</f>
        <v>9</v>
      </c>
      <c r="P523" s="26" t="n">
        <f aca="false">IF(L523=0,0,IF($I523="L/km",MROUND(L523*$M523*IF($H523="Petrol",'Fuel &amp; Inputs'!$C$5,'Fuel &amp; Inputs'!$C$4),1),MROUND(L523*$M523*IF($H523="Petrol",'Fuel &amp; Inputs'!$C$5,'Fuel &amp; Inputs'!$C$4),10)))</f>
        <v>12</v>
      </c>
      <c r="Q523" s="23" t="s">
        <v>597</v>
      </c>
      <c r="R523" s="27" t="n">
        <v>170</v>
      </c>
      <c r="S523" s="26" t="n">
        <f aca="false">R523</f>
        <v>170</v>
      </c>
      <c r="T523" s="27" t="n">
        <v>290</v>
      </c>
      <c r="U523" s="26" t="n">
        <f aca="false">MROUND(R523*'Fuel &amp; Inputs'!$C$19*'Fuel &amp; Inputs'!$C$21,100)</f>
        <v>600</v>
      </c>
      <c r="V523" s="26" t="n">
        <f aca="false">MROUND(S523*'Fuel &amp; Inputs'!$C$19*'Fuel &amp; Inputs'!$C$21,100)</f>
        <v>600</v>
      </c>
      <c r="W523" s="26" t="n">
        <f aca="false">MROUND(T523*'Fuel &amp; Inputs'!$C$19*'Fuel &amp; Inputs'!$C$21,100)</f>
        <v>1100</v>
      </c>
      <c r="X523" s="26" t="n">
        <f aca="false">MROUND(R523*'Fuel &amp; Inputs'!$C$20*'Fuel &amp; Inputs'!$C$22,500)</f>
        <v>17500</v>
      </c>
      <c r="Y523" s="26" t="n">
        <f aca="false">MROUND(S523*'Fuel &amp; Inputs'!$C$20*'Fuel &amp; Inputs'!$C$22,500)</f>
        <v>17500</v>
      </c>
      <c r="Z523" s="26" t="n">
        <f aca="false">MROUND(T523*'Fuel &amp; Inputs'!$C$20*'Fuel &amp; Inputs'!$C$22,500)</f>
        <v>29500</v>
      </c>
    </row>
    <row r="524" customFormat="false" ht="15" hidden="false" customHeight="false" outlineLevel="0" collapsed="false">
      <c r="A524" s="17" t="n">
        <v>493</v>
      </c>
      <c r="B524" s="32" t="s">
        <v>1131</v>
      </c>
      <c r="C524" s="32" t="s">
        <v>1132</v>
      </c>
      <c r="D524" s="32" t="s">
        <v>223</v>
      </c>
      <c r="E524" s="17" t="s">
        <v>603</v>
      </c>
      <c r="F524" s="17" t="s">
        <v>1199</v>
      </c>
      <c r="G524" s="17" t="s">
        <v>1200</v>
      </c>
      <c r="H524" s="17" t="s">
        <v>984</v>
      </c>
      <c r="I524" s="17" t="s">
        <v>596</v>
      </c>
      <c r="J524" s="37" t="n">
        <v>0.017</v>
      </c>
      <c r="K524" s="37" t="n">
        <v>0.022</v>
      </c>
      <c r="L524" s="37" t="n">
        <v>0.028</v>
      </c>
      <c r="M524" s="33" t="n">
        <v>1.105</v>
      </c>
      <c r="N524" s="20" t="n">
        <f aca="false">IF(J524=0,0,IF($I524="L/km",MROUND(J524*$M524*IF($H524="Petrol",'Fuel &amp; Inputs'!$C$5,'Fuel &amp; Inputs'!$C$4),1),MROUND(J524*$M524*IF($H524="Petrol",'Fuel &amp; Inputs'!$C$5,'Fuel &amp; Inputs'!$C$4),10)))</f>
        <v>8</v>
      </c>
      <c r="O524" s="20" t="n">
        <f aca="false">IF(K524=0,0,IF($I524="L/km",MROUND(K524*$M524*IF($H524="Petrol",'Fuel &amp; Inputs'!$C$5,'Fuel &amp; Inputs'!$C$4),1),MROUND(K524*$M524*IF($H524="Petrol",'Fuel &amp; Inputs'!$C$5,'Fuel &amp; Inputs'!$C$4),10)))</f>
        <v>10</v>
      </c>
      <c r="P524" s="20" t="n">
        <f aca="false">IF(L524=0,0,IF($I524="L/km",MROUND(L524*$M524*IF($H524="Petrol",'Fuel &amp; Inputs'!$C$5,'Fuel &amp; Inputs'!$C$4),1),MROUND(L524*$M524*IF($H524="Petrol",'Fuel &amp; Inputs'!$C$5,'Fuel &amp; Inputs'!$C$4),10)))</f>
        <v>13</v>
      </c>
      <c r="Q524" s="17" t="s">
        <v>597</v>
      </c>
      <c r="R524" s="21" t="n">
        <v>170</v>
      </c>
      <c r="S524" s="20" t="n">
        <f aca="false">R524</f>
        <v>170</v>
      </c>
      <c r="T524" s="21" t="n">
        <v>290</v>
      </c>
      <c r="U524" s="20" t="n">
        <f aca="false">MROUND(R524*'Fuel &amp; Inputs'!$C$19*'Fuel &amp; Inputs'!$C$21,100)</f>
        <v>600</v>
      </c>
      <c r="V524" s="20" t="n">
        <f aca="false">MROUND(S524*'Fuel &amp; Inputs'!$C$19*'Fuel &amp; Inputs'!$C$21,100)</f>
        <v>600</v>
      </c>
      <c r="W524" s="20" t="n">
        <f aca="false">MROUND(T524*'Fuel &amp; Inputs'!$C$19*'Fuel &amp; Inputs'!$C$21,100)</f>
        <v>1100</v>
      </c>
      <c r="X524" s="20" t="n">
        <f aca="false">MROUND(R524*'Fuel &amp; Inputs'!$C$20*'Fuel &amp; Inputs'!$C$22,500)</f>
        <v>17500</v>
      </c>
      <c r="Y524" s="20" t="n">
        <f aca="false">MROUND(S524*'Fuel &amp; Inputs'!$C$20*'Fuel &amp; Inputs'!$C$22,500)</f>
        <v>17500</v>
      </c>
      <c r="Z524" s="20" t="n">
        <f aca="false">MROUND(T524*'Fuel &amp; Inputs'!$C$20*'Fuel &amp; Inputs'!$C$22,500)</f>
        <v>29500</v>
      </c>
    </row>
    <row r="525" customFormat="false" ht="46.25" hidden="false" customHeight="false" outlineLevel="0" collapsed="false">
      <c r="A525" s="23" t="n">
        <v>494</v>
      </c>
      <c r="B525" s="34" t="s">
        <v>1131</v>
      </c>
      <c r="C525" s="34" t="s">
        <v>330</v>
      </c>
      <c r="D525" s="34" t="s">
        <v>223</v>
      </c>
      <c r="E525" s="23" t="s">
        <v>1201</v>
      </c>
      <c r="F525" s="23" t="s">
        <v>223</v>
      </c>
      <c r="G525" s="23" t="s">
        <v>1202</v>
      </c>
      <c r="H525" s="23" t="s">
        <v>984</v>
      </c>
      <c r="I525" s="23" t="s">
        <v>596</v>
      </c>
      <c r="J525" s="36" t="n">
        <v>0.017</v>
      </c>
      <c r="K525" s="36" t="n">
        <v>0.022</v>
      </c>
      <c r="L525" s="36" t="n">
        <v>0.028</v>
      </c>
      <c r="M525" s="35" t="n">
        <v>1</v>
      </c>
      <c r="N525" s="26" t="n">
        <f aca="false">IF(J525=0,0,IF($I525="L/km",MROUND(J525*$M525*IF($H525="Petrol",'Fuel &amp; Inputs'!$C$5,'Fuel &amp; Inputs'!$C$4),1),MROUND(J525*$M525*IF($H525="Petrol",'Fuel &amp; Inputs'!$C$5,'Fuel &amp; Inputs'!$C$4),10)))</f>
        <v>7</v>
      </c>
      <c r="O525" s="26" t="n">
        <f aca="false">IF(K525=0,0,IF($I525="L/km",MROUND(K525*$M525*IF($H525="Petrol",'Fuel &amp; Inputs'!$C$5,'Fuel &amp; Inputs'!$C$4),1),MROUND(K525*$M525*IF($H525="Petrol",'Fuel &amp; Inputs'!$C$5,'Fuel &amp; Inputs'!$C$4),10)))</f>
        <v>9</v>
      </c>
      <c r="P525" s="26" t="n">
        <f aca="false">IF(L525=0,0,IF($I525="L/km",MROUND(L525*$M525*IF($H525="Petrol",'Fuel &amp; Inputs'!$C$5,'Fuel &amp; Inputs'!$C$4),1),MROUND(L525*$M525*IF($H525="Petrol",'Fuel &amp; Inputs'!$C$5,'Fuel &amp; Inputs'!$C$4),10)))</f>
        <v>12</v>
      </c>
      <c r="Q525" s="23" t="s">
        <v>597</v>
      </c>
      <c r="R525" s="27" t="n">
        <v>170</v>
      </c>
      <c r="S525" s="26" t="n">
        <f aca="false">R525</f>
        <v>170</v>
      </c>
      <c r="T525" s="27" t="n">
        <v>290</v>
      </c>
      <c r="U525" s="26" t="n">
        <f aca="false">MROUND(R525*'Fuel &amp; Inputs'!$C$19*'Fuel &amp; Inputs'!$C$21,100)</f>
        <v>600</v>
      </c>
      <c r="V525" s="26" t="n">
        <f aca="false">MROUND(S525*'Fuel &amp; Inputs'!$C$19*'Fuel &amp; Inputs'!$C$21,100)</f>
        <v>600</v>
      </c>
      <c r="W525" s="26" t="n">
        <f aca="false">MROUND(T525*'Fuel &amp; Inputs'!$C$19*'Fuel &amp; Inputs'!$C$21,100)</f>
        <v>1100</v>
      </c>
      <c r="X525" s="26" t="n">
        <f aca="false">MROUND(R525*'Fuel &amp; Inputs'!$C$20*'Fuel &amp; Inputs'!$C$22,500)</f>
        <v>17500</v>
      </c>
      <c r="Y525" s="26" t="n">
        <f aca="false">MROUND(S525*'Fuel &amp; Inputs'!$C$20*'Fuel &amp; Inputs'!$C$22,500)</f>
        <v>17500</v>
      </c>
      <c r="Z525" s="26" t="n">
        <f aca="false">MROUND(T525*'Fuel &amp; Inputs'!$C$20*'Fuel &amp; Inputs'!$C$22,500)</f>
        <v>29500</v>
      </c>
    </row>
    <row r="526" customFormat="false" ht="15" hidden="false" customHeight="false" outlineLevel="0" collapsed="false">
      <c r="A526" s="17" t="n">
        <v>495</v>
      </c>
      <c r="B526" s="32" t="s">
        <v>1131</v>
      </c>
      <c r="C526" s="32" t="s">
        <v>1133</v>
      </c>
      <c r="D526" s="32" t="s">
        <v>223</v>
      </c>
      <c r="E526" s="17" t="s">
        <v>251</v>
      </c>
      <c r="F526" s="17" t="s">
        <v>1203</v>
      </c>
      <c r="G526" s="17" t="s">
        <v>1204</v>
      </c>
      <c r="H526" s="17" t="s">
        <v>984</v>
      </c>
      <c r="I526" s="17" t="s">
        <v>596</v>
      </c>
      <c r="J526" s="37" t="n">
        <v>0.017</v>
      </c>
      <c r="K526" s="37" t="n">
        <v>0.022</v>
      </c>
      <c r="L526" s="37" t="n">
        <v>0.028</v>
      </c>
      <c r="M526" s="33" t="n">
        <v>1.063</v>
      </c>
      <c r="N526" s="20" t="n">
        <f aca="false">IF(J526=0,0,IF($I526="L/km",MROUND(J526*$M526*IF($H526="Petrol",'Fuel &amp; Inputs'!$C$5,'Fuel &amp; Inputs'!$C$4),1),MROUND(J526*$M526*IF($H526="Petrol",'Fuel &amp; Inputs'!$C$5,'Fuel &amp; Inputs'!$C$4),10)))</f>
        <v>7</v>
      </c>
      <c r="O526" s="20" t="n">
        <f aca="false">IF(K526=0,0,IF($I526="L/km",MROUND(K526*$M526*IF($H526="Petrol",'Fuel &amp; Inputs'!$C$5,'Fuel &amp; Inputs'!$C$4),1),MROUND(K526*$M526*IF($H526="Petrol",'Fuel &amp; Inputs'!$C$5,'Fuel &amp; Inputs'!$C$4),10)))</f>
        <v>10</v>
      </c>
      <c r="P526" s="20" t="n">
        <f aca="false">IF(L526=0,0,IF($I526="L/km",MROUND(L526*$M526*IF($H526="Petrol",'Fuel &amp; Inputs'!$C$5,'Fuel &amp; Inputs'!$C$4),1),MROUND(L526*$M526*IF($H526="Petrol",'Fuel &amp; Inputs'!$C$5,'Fuel &amp; Inputs'!$C$4),10)))</f>
        <v>12</v>
      </c>
      <c r="Q526" s="17" t="s">
        <v>597</v>
      </c>
      <c r="R526" s="21" t="n">
        <v>170</v>
      </c>
      <c r="S526" s="20" t="n">
        <f aca="false">R526</f>
        <v>170</v>
      </c>
      <c r="T526" s="21" t="n">
        <v>290</v>
      </c>
      <c r="U526" s="20" t="n">
        <f aca="false">MROUND(R526*'Fuel &amp; Inputs'!$C$19*'Fuel &amp; Inputs'!$C$21,100)</f>
        <v>600</v>
      </c>
      <c r="V526" s="20" t="n">
        <f aca="false">MROUND(S526*'Fuel &amp; Inputs'!$C$19*'Fuel &amp; Inputs'!$C$21,100)</f>
        <v>600</v>
      </c>
      <c r="W526" s="20" t="n">
        <f aca="false">MROUND(T526*'Fuel &amp; Inputs'!$C$19*'Fuel &amp; Inputs'!$C$21,100)</f>
        <v>1100</v>
      </c>
      <c r="X526" s="20" t="n">
        <f aca="false">MROUND(R526*'Fuel &amp; Inputs'!$C$20*'Fuel &amp; Inputs'!$C$22,500)</f>
        <v>17500</v>
      </c>
      <c r="Y526" s="20" t="n">
        <f aca="false">MROUND(S526*'Fuel &amp; Inputs'!$C$20*'Fuel &amp; Inputs'!$C$22,500)</f>
        <v>17500</v>
      </c>
      <c r="Z526" s="20" t="n">
        <f aca="false">MROUND(T526*'Fuel &amp; Inputs'!$C$20*'Fuel &amp; Inputs'!$C$22,500)</f>
        <v>29500</v>
      </c>
    </row>
    <row r="527" customFormat="false" ht="46.25" hidden="false" customHeight="false" outlineLevel="0" collapsed="false">
      <c r="A527" s="23" t="n">
        <v>496</v>
      </c>
      <c r="B527" s="34" t="s">
        <v>1131</v>
      </c>
      <c r="C527" s="34" t="s">
        <v>330</v>
      </c>
      <c r="D527" s="34" t="s">
        <v>223</v>
      </c>
      <c r="E527" s="23" t="s">
        <v>1205</v>
      </c>
      <c r="F527" s="23" t="s">
        <v>223</v>
      </c>
      <c r="G527" s="23" t="s">
        <v>1206</v>
      </c>
      <c r="H527" s="23" t="s">
        <v>984</v>
      </c>
      <c r="I527" s="23" t="s">
        <v>596</v>
      </c>
      <c r="J527" s="36" t="n">
        <v>0.017</v>
      </c>
      <c r="K527" s="36" t="n">
        <v>0.022</v>
      </c>
      <c r="L527" s="36" t="n">
        <v>0.028</v>
      </c>
      <c r="M527" s="35" t="n">
        <v>1</v>
      </c>
      <c r="N527" s="26" t="n">
        <f aca="false">IF(J527=0,0,IF($I527="L/km",MROUND(J527*$M527*IF($H527="Petrol",'Fuel &amp; Inputs'!$C$5,'Fuel &amp; Inputs'!$C$4),1),MROUND(J527*$M527*IF($H527="Petrol",'Fuel &amp; Inputs'!$C$5,'Fuel &amp; Inputs'!$C$4),10)))</f>
        <v>7</v>
      </c>
      <c r="O527" s="26" t="n">
        <f aca="false">IF(K527=0,0,IF($I527="L/km",MROUND(K527*$M527*IF($H527="Petrol",'Fuel &amp; Inputs'!$C$5,'Fuel &amp; Inputs'!$C$4),1),MROUND(K527*$M527*IF($H527="Petrol",'Fuel &amp; Inputs'!$C$5,'Fuel &amp; Inputs'!$C$4),10)))</f>
        <v>9</v>
      </c>
      <c r="P527" s="26" t="n">
        <f aca="false">IF(L527=0,0,IF($I527="L/km",MROUND(L527*$M527*IF($H527="Petrol",'Fuel &amp; Inputs'!$C$5,'Fuel &amp; Inputs'!$C$4),1),MROUND(L527*$M527*IF($H527="Petrol",'Fuel &amp; Inputs'!$C$5,'Fuel &amp; Inputs'!$C$4),10)))</f>
        <v>12</v>
      </c>
      <c r="Q527" s="23" t="s">
        <v>597</v>
      </c>
      <c r="R527" s="27" t="n">
        <v>170</v>
      </c>
      <c r="S527" s="26" t="n">
        <f aca="false">R527</f>
        <v>170</v>
      </c>
      <c r="T527" s="27" t="n">
        <v>290</v>
      </c>
      <c r="U527" s="26" t="n">
        <f aca="false">MROUND(R527*'Fuel &amp; Inputs'!$C$19*'Fuel &amp; Inputs'!$C$21,100)</f>
        <v>600</v>
      </c>
      <c r="V527" s="26" t="n">
        <f aca="false">MROUND(S527*'Fuel &amp; Inputs'!$C$19*'Fuel &amp; Inputs'!$C$21,100)</f>
        <v>600</v>
      </c>
      <c r="W527" s="26" t="n">
        <f aca="false">MROUND(T527*'Fuel &amp; Inputs'!$C$19*'Fuel &amp; Inputs'!$C$21,100)</f>
        <v>1100</v>
      </c>
      <c r="X527" s="26" t="n">
        <f aca="false">MROUND(R527*'Fuel &amp; Inputs'!$C$20*'Fuel &amp; Inputs'!$C$22,500)</f>
        <v>17500</v>
      </c>
      <c r="Y527" s="26" t="n">
        <f aca="false">MROUND(S527*'Fuel &amp; Inputs'!$C$20*'Fuel &amp; Inputs'!$C$22,500)</f>
        <v>17500</v>
      </c>
      <c r="Z527" s="26" t="n">
        <f aca="false">MROUND(T527*'Fuel &amp; Inputs'!$C$20*'Fuel &amp; Inputs'!$C$22,500)</f>
        <v>29500</v>
      </c>
    </row>
    <row r="528" customFormat="false" ht="46.25" hidden="false" customHeight="false" outlineLevel="0" collapsed="false">
      <c r="A528" s="17" t="n">
        <v>497</v>
      </c>
      <c r="B528" s="32" t="s">
        <v>1131</v>
      </c>
      <c r="C528" s="32" t="s">
        <v>330</v>
      </c>
      <c r="D528" s="32" t="s">
        <v>223</v>
      </c>
      <c r="E528" s="17" t="s">
        <v>1207</v>
      </c>
      <c r="F528" s="17" t="s">
        <v>223</v>
      </c>
      <c r="G528" s="17" t="s">
        <v>1208</v>
      </c>
      <c r="H528" s="17" t="s">
        <v>984</v>
      </c>
      <c r="I528" s="17" t="s">
        <v>596</v>
      </c>
      <c r="J528" s="37" t="n">
        <v>0.017</v>
      </c>
      <c r="K528" s="37" t="n">
        <v>0.022</v>
      </c>
      <c r="L528" s="37" t="n">
        <v>0.028</v>
      </c>
      <c r="M528" s="33" t="n">
        <v>1</v>
      </c>
      <c r="N528" s="20" t="n">
        <f aca="false">IF(J528=0,0,IF($I528="L/km",MROUND(J528*$M528*IF($H528="Petrol",'Fuel &amp; Inputs'!$C$5,'Fuel &amp; Inputs'!$C$4),1),MROUND(J528*$M528*IF($H528="Petrol",'Fuel &amp; Inputs'!$C$5,'Fuel &amp; Inputs'!$C$4),10)))</f>
        <v>7</v>
      </c>
      <c r="O528" s="20" t="n">
        <f aca="false">IF(K528=0,0,IF($I528="L/km",MROUND(K528*$M528*IF($H528="Petrol",'Fuel &amp; Inputs'!$C$5,'Fuel &amp; Inputs'!$C$4),1),MROUND(K528*$M528*IF($H528="Petrol",'Fuel &amp; Inputs'!$C$5,'Fuel &amp; Inputs'!$C$4),10)))</f>
        <v>9</v>
      </c>
      <c r="P528" s="20" t="n">
        <f aca="false">IF(L528=0,0,IF($I528="L/km",MROUND(L528*$M528*IF($H528="Petrol",'Fuel &amp; Inputs'!$C$5,'Fuel &amp; Inputs'!$C$4),1),MROUND(L528*$M528*IF($H528="Petrol",'Fuel &amp; Inputs'!$C$5,'Fuel &amp; Inputs'!$C$4),10)))</f>
        <v>12</v>
      </c>
      <c r="Q528" s="17" t="s">
        <v>597</v>
      </c>
      <c r="R528" s="21" t="n">
        <v>170</v>
      </c>
      <c r="S528" s="20" t="n">
        <f aca="false">R528</f>
        <v>170</v>
      </c>
      <c r="T528" s="21" t="n">
        <v>290</v>
      </c>
      <c r="U528" s="20" t="n">
        <f aca="false">MROUND(R528*'Fuel &amp; Inputs'!$C$19*'Fuel &amp; Inputs'!$C$21,100)</f>
        <v>600</v>
      </c>
      <c r="V528" s="20" t="n">
        <f aca="false">MROUND(S528*'Fuel &amp; Inputs'!$C$19*'Fuel &amp; Inputs'!$C$21,100)</f>
        <v>600</v>
      </c>
      <c r="W528" s="20" t="n">
        <f aca="false">MROUND(T528*'Fuel &amp; Inputs'!$C$19*'Fuel &amp; Inputs'!$C$21,100)</f>
        <v>1100</v>
      </c>
      <c r="X528" s="20" t="n">
        <f aca="false">MROUND(R528*'Fuel &amp; Inputs'!$C$20*'Fuel &amp; Inputs'!$C$22,500)</f>
        <v>17500</v>
      </c>
      <c r="Y528" s="20" t="n">
        <f aca="false">MROUND(S528*'Fuel &amp; Inputs'!$C$20*'Fuel &amp; Inputs'!$C$22,500)</f>
        <v>17500</v>
      </c>
      <c r="Z528" s="20" t="n">
        <f aca="false">MROUND(T528*'Fuel &amp; Inputs'!$C$20*'Fuel &amp; Inputs'!$C$22,500)</f>
        <v>29500</v>
      </c>
    </row>
    <row r="529" customFormat="false" ht="15" hidden="false" customHeight="false" outlineLevel="0" collapsed="false">
      <c r="A529" s="23" t="n">
        <v>498</v>
      </c>
      <c r="B529" s="34" t="s">
        <v>1131</v>
      </c>
      <c r="C529" s="34" t="s">
        <v>330</v>
      </c>
      <c r="D529" s="34" t="s">
        <v>223</v>
      </c>
      <c r="E529" s="23" t="s">
        <v>223</v>
      </c>
      <c r="F529" s="23" t="s">
        <v>223</v>
      </c>
      <c r="G529" s="23" t="s">
        <v>1209</v>
      </c>
      <c r="H529" s="23" t="s">
        <v>984</v>
      </c>
      <c r="I529" s="23" t="s">
        <v>596</v>
      </c>
      <c r="J529" s="36" t="n">
        <v>0.017</v>
      </c>
      <c r="K529" s="36" t="n">
        <v>0.022</v>
      </c>
      <c r="L529" s="36" t="n">
        <v>0.028</v>
      </c>
      <c r="M529" s="35" t="n">
        <v>1</v>
      </c>
      <c r="N529" s="26" t="n">
        <f aca="false">IF(J529=0,0,IF($I529="L/km",MROUND(J529*$M529*IF($H529="Petrol",'Fuel &amp; Inputs'!$C$5,'Fuel &amp; Inputs'!$C$4),1),MROUND(J529*$M529*IF($H529="Petrol",'Fuel &amp; Inputs'!$C$5,'Fuel &amp; Inputs'!$C$4),10)))</f>
        <v>7</v>
      </c>
      <c r="O529" s="26" t="n">
        <f aca="false">IF(K529=0,0,IF($I529="L/km",MROUND(K529*$M529*IF($H529="Petrol",'Fuel &amp; Inputs'!$C$5,'Fuel &amp; Inputs'!$C$4),1),MROUND(K529*$M529*IF($H529="Petrol",'Fuel &amp; Inputs'!$C$5,'Fuel &amp; Inputs'!$C$4),10)))</f>
        <v>9</v>
      </c>
      <c r="P529" s="26" t="n">
        <f aca="false">IF(L529=0,0,IF($I529="L/km",MROUND(L529*$M529*IF($H529="Petrol",'Fuel &amp; Inputs'!$C$5,'Fuel &amp; Inputs'!$C$4),1),MROUND(L529*$M529*IF($H529="Petrol",'Fuel &amp; Inputs'!$C$5,'Fuel &amp; Inputs'!$C$4),10)))</f>
        <v>12</v>
      </c>
      <c r="Q529" s="23" t="s">
        <v>597</v>
      </c>
      <c r="R529" s="27" t="n">
        <v>170</v>
      </c>
      <c r="S529" s="26" t="n">
        <f aca="false">R529</f>
        <v>170</v>
      </c>
      <c r="T529" s="27" t="n">
        <v>290</v>
      </c>
      <c r="U529" s="26" t="n">
        <f aca="false">MROUND(R529*'Fuel &amp; Inputs'!$C$19*'Fuel &amp; Inputs'!$C$21,100)</f>
        <v>600</v>
      </c>
      <c r="V529" s="26" t="n">
        <f aca="false">MROUND(S529*'Fuel &amp; Inputs'!$C$19*'Fuel &amp; Inputs'!$C$21,100)</f>
        <v>600</v>
      </c>
      <c r="W529" s="26" t="n">
        <f aca="false">MROUND(T529*'Fuel &amp; Inputs'!$C$19*'Fuel &amp; Inputs'!$C$21,100)</f>
        <v>1100</v>
      </c>
      <c r="X529" s="26" t="n">
        <f aca="false">MROUND(R529*'Fuel &amp; Inputs'!$C$20*'Fuel &amp; Inputs'!$C$22,500)</f>
        <v>17500</v>
      </c>
      <c r="Y529" s="26" t="n">
        <f aca="false">MROUND(S529*'Fuel &amp; Inputs'!$C$20*'Fuel &amp; Inputs'!$C$22,500)</f>
        <v>17500</v>
      </c>
      <c r="Z529" s="26" t="n">
        <f aca="false">MROUND(T529*'Fuel &amp; Inputs'!$C$20*'Fuel &amp; Inputs'!$C$22,500)</f>
        <v>29500</v>
      </c>
    </row>
    <row r="530" customFormat="false" ht="15" hidden="false" customHeight="false" outlineLevel="0" collapsed="false">
      <c r="A530" s="17" t="n">
        <v>499</v>
      </c>
      <c r="B530" s="32" t="s">
        <v>1131</v>
      </c>
      <c r="C530" s="32" t="s">
        <v>330</v>
      </c>
      <c r="D530" s="32" t="s">
        <v>223</v>
      </c>
      <c r="E530" s="17" t="s">
        <v>223</v>
      </c>
      <c r="F530" s="17" t="s">
        <v>223</v>
      </c>
      <c r="G530" s="17" t="s">
        <v>1210</v>
      </c>
      <c r="H530" s="17" t="s">
        <v>984</v>
      </c>
      <c r="I530" s="17" t="s">
        <v>596</v>
      </c>
      <c r="J530" s="37" t="n">
        <v>0.017</v>
      </c>
      <c r="K530" s="37" t="n">
        <v>0.022</v>
      </c>
      <c r="L530" s="37" t="n">
        <v>0.028</v>
      </c>
      <c r="M530" s="33" t="n">
        <v>1</v>
      </c>
      <c r="N530" s="20" t="n">
        <f aca="false">IF(J530=0,0,IF($I530="L/km",MROUND(J530*$M530*IF($H530="Petrol",'Fuel &amp; Inputs'!$C$5,'Fuel &amp; Inputs'!$C$4),1),MROUND(J530*$M530*IF($H530="Petrol",'Fuel &amp; Inputs'!$C$5,'Fuel &amp; Inputs'!$C$4),10)))</f>
        <v>7</v>
      </c>
      <c r="O530" s="20" t="n">
        <f aca="false">IF(K530=0,0,IF($I530="L/km",MROUND(K530*$M530*IF($H530="Petrol",'Fuel &amp; Inputs'!$C$5,'Fuel &amp; Inputs'!$C$4),1),MROUND(K530*$M530*IF($H530="Petrol",'Fuel &amp; Inputs'!$C$5,'Fuel &amp; Inputs'!$C$4),10)))</f>
        <v>9</v>
      </c>
      <c r="P530" s="20" t="n">
        <f aca="false">IF(L530=0,0,IF($I530="L/km",MROUND(L530*$M530*IF($H530="Petrol",'Fuel &amp; Inputs'!$C$5,'Fuel &amp; Inputs'!$C$4),1),MROUND(L530*$M530*IF($H530="Petrol",'Fuel &amp; Inputs'!$C$5,'Fuel &amp; Inputs'!$C$4),10)))</f>
        <v>12</v>
      </c>
      <c r="Q530" s="17" t="s">
        <v>597</v>
      </c>
      <c r="R530" s="21" t="n">
        <v>170</v>
      </c>
      <c r="S530" s="20" t="n">
        <f aca="false">R530</f>
        <v>170</v>
      </c>
      <c r="T530" s="21" t="n">
        <v>290</v>
      </c>
      <c r="U530" s="20" t="n">
        <f aca="false">MROUND(R530*'Fuel &amp; Inputs'!$C$19*'Fuel &amp; Inputs'!$C$21,100)</f>
        <v>600</v>
      </c>
      <c r="V530" s="20" t="n">
        <f aca="false">MROUND(S530*'Fuel &amp; Inputs'!$C$19*'Fuel &amp; Inputs'!$C$21,100)</f>
        <v>600</v>
      </c>
      <c r="W530" s="20" t="n">
        <f aca="false">MROUND(T530*'Fuel &amp; Inputs'!$C$19*'Fuel &amp; Inputs'!$C$21,100)</f>
        <v>1100</v>
      </c>
      <c r="X530" s="20" t="n">
        <f aca="false">MROUND(R530*'Fuel &amp; Inputs'!$C$20*'Fuel &amp; Inputs'!$C$22,500)</f>
        <v>17500</v>
      </c>
      <c r="Y530" s="20" t="n">
        <f aca="false">MROUND(S530*'Fuel &amp; Inputs'!$C$20*'Fuel &amp; Inputs'!$C$22,500)</f>
        <v>17500</v>
      </c>
      <c r="Z530" s="20" t="n">
        <f aca="false">MROUND(T530*'Fuel &amp; Inputs'!$C$20*'Fuel &amp; Inputs'!$C$22,500)</f>
        <v>29500</v>
      </c>
    </row>
    <row r="531" customFormat="false" ht="15" hidden="false" customHeight="false" outlineLevel="0" collapsed="false">
      <c r="A531" s="23" t="n">
        <v>500</v>
      </c>
      <c r="B531" s="34" t="s">
        <v>1131</v>
      </c>
      <c r="C531" s="34" t="s">
        <v>330</v>
      </c>
      <c r="D531" s="34" t="s">
        <v>223</v>
      </c>
      <c r="E531" s="23" t="s">
        <v>223</v>
      </c>
      <c r="F531" s="23" t="s">
        <v>223</v>
      </c>
      <c r="G531" s="23" t="s">
        <v>1211</v>
      </c>
      <c r="H531" s="23" t="s">
        <v>984</v>
      </c>
      <c r="I531" s="23" t="s">
        <v>596</v>
      </c>
      <c r="J531" s="36" t="n">
        <v>0.017</v>
      </c>
      <c r="K531" s="36" t="n">
        <v>0.022</v>
      </c>
      <c r="L531" s="36" t="n">
        <v>0.028</v>
      </c>
      <c r="M531" s="35" t="n">
        <v>1</v>
      </c>
      <c r="N531" s="26" t="n">
        <f aca="false">IF(J531=0,0,IF($I531="L/km",MROUND(J531*$M531*IF($H531="Petrol",'Fuel &amp; Inputs'!$C$5,'Fuel &amp; Inputs'!$C$4),1),MROUND(J531*$M531*IF($H531="Petrol",'Fuel &amp; Inputs'!$C$5,'Fuel &amp; Inputs'!$C$4),10)))</f>
        <v>7</v>
      </c>
      <c r="O531" s="26" t="n">
        <f aca="false">IF(K531=0,0,IF($I531="L/km",MROUND(K531*$M531*IF($H531="Petrol",'Fuel &amp; Inputs'!$C$5,'Fuel &amp; Inputs'!$C$4),1),MROUND(K531*$M531*IF($H531="Petrol",'Fuel &amp; Inputs'!$C$5,'Fuel &amp; Inputs'!$C$4),10)))</f>
        <v>9</v>
      </c>
      <c r="P531" s="26" t="n">
        <f aca="false">IF(L531=0,0,IF($I531="L/km",MROUND(L531*$M531*IF($H531="Petrol",'Fuel &amp; Inputs'!$C$5,'Fuel &amp; Inputs'!$C$4),1),MROUND(L531*$M531*IF($H531="Petrol",'Fuel &amp; Inputs'!$C$5,'Fuel &amp; Inputs'!$C$4),10)))</f>
        <v>12</v>
      </c>
      <c r="Q531" s="23" t="s">
        <v>597</v>
      </c>
      <c r="R531" s="27" t="n">
        <v>170</v>
      </c>
      <c r="S531" s="26" t="n">
        <f aca="false">R531</f>
        <v>170</v>
      </c>
      <c r="T531" s="27" t="n">
        <v>290</v>
      </c>
      <c r="U531" s="26" t="n">
        <f aca="false">MROUND(R531*'Fuel &amp; Inputs'!$C$19*'Fuel &amp; Inputs'!$C$21,100)</f>
        <v>600</v>
      </c>
      <c r="V531" s="26" t="n">
        <f aca="false">MROUND(S531*'Fuel &amp; Inputs'!$C$19*'Fuel &amp; Inputs'!$C$21,100)</f>
        <v>600</v>
      </c>
      <c r="W531" s="26" t="n">
        <f aca="false">MROUND(T531*'Fuel &amp; Inputs'!$C$19*'Fuel &amp; Inputs'!$C$21,100)</f>
        <v>1100</v>
      </c>
      <c r="X531" s="26" t="n">
        <f aca="false">MROUND(R531*'Fuel &amp; Inputs'!$C$20*'Fuel &amp; Inputs'!$C$22,500)</f>
        <v>17500</v>
      </c>
      <c r="Y531" s="26" t="n">
        <f aca="false">MROUND(S531*'Fuel &amp; Inputs'!$C$20*'Fuel &amp; Inputs'!$C$22,500)</f>
        <v>17500</v>
      </c>
      <c r="Z531" s="26" t="n">
        <f aca="false">MROUND(T531*'Fuel &amp; Inputs'!$C$20*'Fuel &amp; Inputs'!$C$22,500)</f>
        <v>29500</v>
      </c>
    </row>
    <row r="532" customFormat="false" ht="15" hidden="false" customHeight="false" outlineLevel="0" collapsed="false">
      <c r="A532" s="17" t="n">
        <v>501</v>
      </c>
      <c r="B532" s="32" t="s">
        <v>1131</v>
      </c>
      <c r="C532" s="32" t="s">
        <v>330</v>
      </c>
      <c r="D532" s="32" t="s">
        <v>223</v>
      </c>
      <c r="E532" s="17" t="s">
        <v>223</v>
      </c>
      <c r="F532" s="17" t="s">
        <v>223</v>
      </c>
      <c r="G532" s="17" t="s">
        <v>1212</v>
      </c>
      <c r="H532" s="17" t="s">
        <v>984</v>
      </c>
      <c r="I532" s="17" t="s">
        <v>596</v>
      </c>
      <c r="J532" s="37" t="n">
        <v>0.017</v>
      </c>
      <c r="K532" s="37" t="n">
        <v>0.022</v>
      </c>
      <c r="L532" s="37" t="n">
        <v>0.028</v>
      </c>
      <c r="M532" s="33" t="n">
        <v>1</v>
      </c>
      <c r="N532" s="20" t="n">
        <f aca="false">IF(J532=0,0,IF($I532="L/km",MROUND(J532*$M532*IF($H532="Petrol",'Fuel &amp; Inputs'!$C$5,'Fuel &amp; Inputs'!$C$4),1),MROUND(J532*$M532*IF($H532="Petrol",'Fuel &amp; Inputs'!$C$5,'Fuel &amp; Inputs'!$C$4),10)))</f>
        <v>7</v>
      </c>
      <c r="O532" s="20" t="n">
        <f aca="false">IF(K532=0,0,IF($I532="L/km",MROUND(K532*$M532*IF($H532="Petrol",'Fuel &amp; Inputs'!$C$5,'Fuel &amp; Inputs'!$C$4),1),MROUND(K532*$M532*IF($H532="Petrol",'Fuel &amp; Inputs'!$C$5,'Fuel &amp; Inputs'!$C$4),10)))</f>
        <v>9</v>
      </c>
      <c r="P532" s="20" t="n">
        <f aca="false">IF(L532=0,0,IF($I532="L/km",MROUND(L532*$M532*IF($H532="Petrol",'Fuel &amp; Inputs'!$C$5,'Fuel &amp; Inputs'!$C$4),1),MROUND(L532*$M532*IF($H532="Petrol",'Fuel &amp; Inputs'!$C$5,'Fuel &amp; Inputs'!$C$4),10)))</f>
        <v>12</v>
      </c>
      <c r="Q532" s="17" t="s">
        <v>597</v>
      </c>
      <c r="R532" s="21" t="n">
        <v>170</v>
      </c>
      <c r="S532" s="20" t="n">
        <f aca="false">R532</f>
        <v>170</v>
      </c>
      <c r="T532" s="21" t="n">
        <v>290</v>
      </c>
      <c r="U532" s="20" t="n">
        <f aca="false">MROUND(R532*'Fuel &amp; Inputs'!$C$19*'Fuel &amp; Inputs'!$C$21,100)</f>
        <v>600</v>
      </c>
      <c r="V532" s="20" t="n">
        <f aca="false">MROUND(S532*'Fuel &amp; Inputs'!$C$19*'Fuel &amp; Inputs'!$C$21,100)</f>
        <v>600</v>
      </c>
      <c r="W532" s="20" t="n">
        <f aca="false">MROUND(T532*'Fuel &amp; Inputs'!$C$19*'Fuel &amp; Inputs'!$C$21,100)</f>
        <v>1100</v>
      </c>
      <c r="X532" s="20" t="n">
        <f aca="false">MROUND(R532*'Fuel &amp; Inputs'!$C$20*'Fuel &amp; Inputs'!$C$22,500)</f>
        <v>17500</v>
      </c>
      <c r="Y532" s="20" t="n">
        <f aca="false">MROUND(S532*'Fuel &amp; Inputs'!$C$20*'Fuel &amp; Inputs'!$C$22,500)</f>
        <v>17500</v>
      </c>
      <c r="Z532" s="20" t="n">
        <f aca="false">MROUND(T532*'Fuel &amp; Inputs'!$C$20*'Fuel &amp; Inputs'!$C$22,500)</f>
        <v>29500</v>
      </c>
    </row>
    <row r="533" customFormat="false" ht="35.05" hidden="false" customHeight="false" outlineLevel="0" collapsed="false">
      <c r="A533" s="23" t="n">
        <v>502</v>
      </c>
      <c r="B533" s="34" t="s">
        <v>1131</v>
      </c>
      <c r="C533" s="34" t="s">
        <v>330</v>
      </c>
      <c r="D533" s="34" t="s">
        <v>223</v>
      </c>
      <c r="E533" s="23" t="s">
        <v>1213</v>
      </c>
      <c r="F533" s="23" t="s">
        <v>223</v>
      </c>
      <c r="G533" s="23" t="s">
        <v>1214</v>
      </c>
      <c r="H533" s="23" t="s">
        <v>984</v>
      </c>
      <c r="I533" s="23" t="s">
        <v>596</v>
      </c>
      <c r="J533" s="36" t="n">
        <v>0.017</v>
      </c>
      <c r="K533" s="36" t="n">
        <v>0.022</v>
      </c>
      <c r="L533" s="36" t="n">
        <v>0.028</v>
      </c>
      <c r="M533" s="35" t="n">
        <v>1</v>
      </c>
      <c r="N533" s="26" t="n">
        <f aca="false">IF(J533=0,0,IF($I533="L/km",MROUND(J533*$M533*IF($H533="Petrol",'Fuel &amp; Inputs'!$C$5,'Fuel &amp; Inputs'!$C$4),1),MROUND(J533*$M533*IF($H533="Petrol",'Fuel &amp; Inputs'!$C$5,'Fuel &amp; Inputs'!$C$4),10)))</f>
        <v>7</v>
      </c>
      <c r="O533" s="26" t="n">
        <f aca="false">IF(K533=0,0,IF($I533="L/km",MROUND(K533*$M533*IF($H533="Petrol",'Fuel &amp; Inputs'!$C$5,'Fuel &amp; Inputs'!$C$4),1),MROUND(K533*$M533*IF($H533="Petrol",'Fuel &amp; Inputs'!$C$5,'Fuel &amp; Inputs'!$C$4),10)))</f>
        <v>9</v>
      </c>
      <c r="P533" s="26" t="n">
        <f aca="false">IF(L533=0,0,IF($I533="L/km",MROUND(L533*$M533*IF($H533="Petrol",'Fuel &amp; Inputs'!$C$5,'Fuel &amp; Inputs'!$C$4),1),MROUND(L533*$M533*IF($H533="Petrol",'Fuel &amp; Inputs'!$C$5,'Fuel &amp; Inputs'!$C$4),10)))</f>
        <v>12</v>
      </c>
      <c r="Q533" s="23" t="s">
        <v>597</v>
      </c>
      <c r="R533" s="27" t="n">
        <v>170</v>
      </c>
      <c r="S533" s="26" t="n">
        <f aca="false">R533</f>
        <v>170</v>
      </c>
      <c r="T533" s="27" t="n">
        <v>290</v>
      </c>
      <c r="U533" s="26" t="n">
        <f aca="false">MROUND(R533*'Fuel &amp; Inputs'!$C$19*'Fuel &amp; Inputs'!$C$21,100)</f>
        <v>600</v>
      </c>
      <c r="V533" s="26" t="n">
        <f aca="false">MROUND(S533*'Fuel &amp; Inputs'!$C$19*'Fuel &amp; Inputs'!$C$21,100)</f>
        <v>600</v>
      </c>
      <c r="W533" s="26" t="n">
        <f aca="false">MROUND(T533*'Fuel &amp; Inputs'!$C$19*'Fuel &amp; Inputs'!$C$21,100)</f>
        <v>1100</v>
      </c>
      <c r="X533" s="26" t="n">
        <f aca="false">MROUND(R533*'Fuel &amp; Inputs'!$C$20*'Fuel &amp; Inputs'!$C$22,500)</f>
        <v>17500</v>
      </c>
      <c r="Y533" s="26" t="n">
        <f aca="false">MROUND(S533*'Fuel &amp; Inputs'!$C$20*'Fuel &amp; Inputs'!$C$22,500)</f>
        <v>17500</v>
      </c>
      <c r="Z533" s="26" t="n">
        <f aca="false">MROUND(T533*'Fuel &amp; Inputs'!$C$20*'Fuel &amp; Inputs'!$C$22,500)</f>
        <v>29500</v>
      </c>
    </row>
    <row r="534" customFormat="false" ht="46.25" hidden="false" customHeight="false" outlineLevel="0" collapsed="false">
      <c r="A534" s="17" t="n">
        <v>503</v>
      </c>
      <c r="B534" s="32" t="s">
        <v>1131</v>
      </c>
      <c r="C534" s="32" t="s">
        <v>330</v>
      </c>
      <c r="D534" s="32" t="s">
        <v>223</v>
      </c>
      <c r="E534" s="17" t="s">
        <v>1215</v>
      </c>
      <c r="F534" s="17" t="s">
        <v>223</v>
      </c>
      <c r="G534" s="17" t="s">
        <v>1216</v>
      </c>
      <c r="H534" s="17" t="s">
        <v>984</v>
      </c>
      <c r="I534" s="17" t="s">
        <v>596</v>
      </c>
      <c r="J534" s="37" t="n">
        <v>0.017</v>
      </c>
      <c r="K534" s="37" t="n">
        <v>0.022</v>
      </c>
      <c r="L534" s="37" t="n">
        <v>0.028</v>
      </c>
      <c r="M534" s="33" t="n">
        <v>1</v>
      </c>
      <c r="N534" s="20" t="n">
        <f aca="false">IF(J534=0,0,IF($I534="L/km",MROUND(J534*$M534*IF($H534="Petrol",'Fuel &amp; Inputs'!$C$5,'Fuel &amp; Inputs'!$C$4),1),MROUND(J534*$M534*IF($H534="Petrol",'Fuel &amp; Inputs'!$C$5,'Fuel &amp; Inputs'!$C$4),10)))</f>
        <v>7</v>
      </c>
      <c r="O534" s="20" t="n">
        <f aca="false">IF(K534=0,0,IF($I534="L/km",MROUND(K534*$M534*IF($H534="Petrol",'Fuel &amp; Inputs'!$C$5,'Fuel &amp; Inputs'!$C$4),1),MROUND(K534*$M534*IF($H534="Petrol",'Fuel &amp; Inputs'!$C$5,'Fuel &amp; Inputs'!$C$4),10)))</f>
        <v>9</v>
      </c>
      <c r="P534" s="20" t="n">
        <f aca="false">IF(L534=0,0,IF($I534="L/km",MROUND(L534*$M534*IF($H534="Petrol",'Fuel &amp; Inputs'!$C$5,'Fuel &amp; Inputs'!$C$4),1),MROUND(L534*$M534*IF($H534="Petrol",'Fuel &amp; Inputs'!$C$5,'Fuel &amp; Inputs'!$C$4),10)))</f>
        <v>12</v>
      </c>
      <c r="Q534" s="17" t="s">
        <v>597</v>
      </c>
      <c r="R534" s="21" t="n">
        <v>170</v>
      </c>
      <c r="S534" s="20" t="n">
        <f aca="false">R534</f>
        <v>170</v>
      </c>
      <c r="T534" s="21" t="n">
        <v>290</v>
      </c>
      <c r="U534" s="20" t="n">
        <f aca="false">MROUND(R534*'Fuel &amp; Inputs'!$C$19*'Fuel &amp; Inputs'!$C$21,100)</f>
        <v>600</v>
      </c>
      <c r="V534" s="20" t="n">
        <f aca="false">MROUND(S534*'Fuel &amp; Inputs'!$C$19*'Fuel &amp; Inputs'!$C$21,100)</f>
        <v>600</v>
      </c>
      <c r="W534" s="20" t="n">
        <f aca="false">MROUND(T534*'Fuel &amp; Inputs'!$C$19*'Fuel &amp; Inputs'!$C$21,100)</f>
        <v>1100</v>
      </c>
      <c r="X534" s="20" t="n">
        <f aca="false">MROUND(R534*'Fuel &amp; Inputs'!$C$20*'Fuel &amp; Inputs'!$C$22,500)</f>
        <v>17500</v>
      </c>
      <c r="Y534" s="20" t="n">
        <f aca="false">MROUND(S534*'Fuel &amp; Inputs'!$C$20*'Fuel &amp; Inputs'!$C$22,500)</f>
        <v>17500</v>
      </c>
      <c r="Z534" s="20" t="n">
        <f aca="false">MROUND(T534*'Fuel &amp; Inputs'!$C$20*'Fuel &amp; Inputs'!$C$22,500)</f>
        <v>29500</v>
      </c>
    </row>
    <row r="535" customFormat="false" ht="15" hidden="false" customHeight="false" outlineLevel="0" collapsed="false">
      <c r="A535" s="23" t="n">
        <v>504</v>
      </c>
      <c r="B535" s="34" t="s">
        <v>1131</v>
      </c>
      <c r="C535" s="34" t="s">
        <v>1217</v>
      </c>
      <c r="D535" s="34" t="s">
        <v>223</v>
      </c>
      <c r="E535" s="23" t="s">
        <v>223</v>
      </c>
      <c r="F535" s="23" t="s">
        <v>1218</v>
      </c>
      <c r="G535" s="23" t="s">
        <v>1219</v>
      </c>
      <c r="H535" s="23" t="s">
        <v>984</v>
      </c>
      <c r="I535" s="23" t="s">
        <v>596</v>
      </c>
      <c r="J535" s="36" t="n">
        <v>0.017</v>
      </c>
      <c r="K535" s="36" t="n">
        <v>0.022</v>
      </c>
      <c r="L535" s="36" t="n">
        <v>0.028</v>
      </c>
      <c r="M535" s="35" t="n">
        <v>1</v>
      </c>
      <c r="N535" s="26" t="n">
        <f aca="false">IF(J535=0,0,IF($I535="L/km",MROUND(J535*$M535*IF($H535="Petrol",'Fuel &amp; Inputs'!$C$5,'Fuel &amp; Inputs'!$C$4),1),MROUND(J535*$M535*IF($H535="Petrol",'Fuel &amp; Inputs'!$C$5,'Fuel &amp; Inputs'!$C$4),10)))</f>
        <v>7</v>
      </c>
      <c r="O535" s="26" t="n">
        <f aca="false">IF(K535=0,0,IF($I535="L/km",MROUND(K535*$M535*IF($H535="Petrol",'Fuel &amp; Inputs'!$C$5,'Fuel &amp; Inputs'!$C$4),1),MROUND(K535*$M535*IF($H535="Petrol",'Fuel &amp; Inputs'!$C$5,'Fuel &amp; Inputs'!$C$4),10)))</f>
        <v>9</v>
      </c>
      <c r="P535" s="26" t="n">
        <f aca="false">IF(L535=0,0,IF($I535="L/km",MROUND(L535*$M535*IF($H535="Petrol",'Fuel &amp; Inputs'!$C$5,'Fuel &amp; Inputs'!$C$4),1),MROUND(L535*$M535*IF($H535="Petrol",'Fuel &amp; Inputs'!$C$5,'Fuel &amp; Inputs'!$C$4),10)))</f>
        <v>12</v>
      </c>
      <c r="Q535" s="23" t="s">
        <v>597</v>
      </c>
      <c r="R535" s="27" t="n">
        <v>170</v>
      </c>
      <c r="S535" s="26" t="n">
        <f aca="false">R535</f>
        <v>170</v>
      </c>
      <c r="T535" s="27" t="n">
        <v>290</v>
      </c>
      <c r="U535" s="26" t="n">
        <f aca="false">MROUND(R535*'Fuel &amp; Inputs'!$C$19*'Fuel &amp; Inputs'!$C$21,100)</f>
        <v>600</v>
      </c>
      <c r="V535" s="26" t="n">
        <f aca="false">MROUND(S535*'Fuel &amp; Inputs'!$C$19*'Fuel &amp; Inputs'!$C$21,100)</f>
        <v>600</v>
      </c>
      <c r="W535" s="26" t="n">
        <f aca="false">MROUND(T535*'Fuel &amp; Inputs'!$C$19*'Fuel &amp; Inputs'!$C$21,100)</f>
        <v>1100</v>
      </c>
      <c r="X535" s="26" t="n">
        <f aca="false">MROUND(R535*'Fuel &amp; Inputs'!$C$20*'Fuel &amp; Inputs'!$C$22,500)</f>
        <v>17500</v>
      </c>
      <c r="Y535" s="26" t="n">
        <f aca="false">MROUND(S535*'Fuel &amp; Inputs'!$C$20*'Fuel &amp; Inputs'!$C$22,500)</f>
        <v>17500</v>
      </c>
      <c r="Z535" s="26" t="n">
        <f aca="false">MROUND(T535*'Fuel &amp; Inputs'!$C$20*'Fuel &amp; Inputs'!$C$22,500)</f>
        <v>29500</v>
      </c>
    </row>
    <row r="536" customFormat="false" ht="46.25" hidden="false" customHeight="false" outlineLevel="0" collapsed="false">
      <c r="A536" s="17" t="n">
        <v>505</v>
      </c>
      <c r="B536" s="32" t="s">
        <v>1131</v>
      </c>
      <c r="C536" s="32" t="s">
        <v>1174</v>
      </c>
      <c r="D536" s="32" t="s">
        <v>223</v>
      </c>
      <c r="E536" s="17" t="s">
        <v>1220</v>
      </c>
      <c r="F536" s="17" t="s">
        <v>223</v>
      </c>
      <c r="G536" s="17" t="s">
        <v>1221</v>
      </c>
      <c r="H536" s="17" t="s">
        <v>984</v>
      </c>
      <c r="I536" s="17" t="s">
        <v>596</v>
      </c>
      <c r="J536" s="37" t="n">
        <v>0.017</v>
      </c>
      <c r="K536" s="37" t="n">
        <v>0.022</v>
      </c>
      <c r="L536" s="37" t="n">
        <v>0.028</v>
      </c>
      <c r="M536" s="33" t="n">
        <v>1</v>
      </c>
      <c r="N536" s="20" t="n">
        <f aca="false">IF(J536=0,0,IF($I536="L/km",MROUND(J536*$M536*IF($H536="Petrol",'Fuel &amp; Inputs'!$C$5,'Fuel &amp; Inputs'!$C$4),1),MROUND(J536*$M536*IF($H536="Petrol",'Fuel &amp; Inputs'!$C$5,'Fuel &amp; Inputs'!$C$4),10)))</f>
        <v>7</v>
      </c>
      <c r="O536" s="20" t="n">
        <f aca="false">IF(K536=0,0,IF($I536="L/km",MROUND(K536*$M536*IF($H536="Petrol",'Fuel &amp; Inputs'!$C$5,'Fuel &amp; Inputs'!$C$4),1),MROUND(K536*$M536*IF($H536="Petrol",'Fuel &amp; Inputs'!$C$5,'Fuel &amp; Inputs'!$C$4),10)))</f>
        <v>9</v>
      </c>
      <c r="P536" s="20" t="n">
        <f aca="false">IF(L536=0,0,IF($I536="L/km",MROUND(L536*$M536*IF($H536="Petrol",'Fuel &amp; Inputs'!$C$5,'Fuel &amp; Inputs'!$C$4),1),MROUND(L536*$M536*IF($H536="Petrol",'Fuel &amp; Inputs'!$C$5,'Fuel &amp; Inputs'!$C$4),10)))</f>
        <v>12</v>
      </c>
      <c r="Q536" s="17" t="s">
        <v>597</v>
      </c>
      <c r="R536" s="21" t="n">
        <v>170</v>
      </c>
      <c r="S536" s="20" t="n">
        <f aca="false">R536</f>
        <v>170</v>
      </c>
      <c r="T536" s="21" t="n">
        <v>290</v>
      </c>
      <c r="U536" s="20" t="n">
        <f aca="false">MROUND(R536*'Fuel &amp; Inputs'!$C$19*'Fuel &amp; Inputs'!$C$21,100)</f>
        <v>600</v>
      </c>
      <c r="V536" s="20" t="n">
        <f aca="false">MROUND(S536*'Fuel &amp; Inputs'!$C$19*'Fuel &amp; Inputs'!$C$21,100)</f>
        <v>600</v>
      </c>
      <c r="W536" s="20" t="n">
        <f aca="false">MROUND(T536*'Fuel &amp; Inputs'!$C$19*'Fuel &amp; Inputs'!$C$21,100)</f>
        <v>1100</v>
      </c>
      <c r="X536" s="20" t="n">
        <f aca="false">MROUND(R536*'Fuel &amp; Inputs'!$C$20*'Fuel &amp; Inputs'!$C$22,500)</f>
        <v>17500</v>
      </c>
      <c r="Y536" s="20" t="n">
        <f aca="false">MROUND(S536*'Fuel &amp; Inputs'!$C$20*'Fuel &amp; Inputs'!$C$22,500)</f>
        <v>17500</v>
      </c>
      <c r="Z536" s="20" t="n">
        <f aca="false">MROUND(T536*'Fuel &amp; Inputs'!$C$20*'Fuel &amp; Inputs'!$C$22,500)</f>
        <v>29500</v>
      </c>
    </row>
    <row r="537" customFormat="false" ht="15" hidden="false" customHeight="true" outlineLevel="0" collapsed="false">
      <c r="A537" s="31" t="s">
        <v>1222</v>
      </c>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ustomFormat="false" ht="23.85" hidden="false" customHeight="false" outlineLevel="0" collapsed="false">
      <c r="A538" s="23" t="n">
        <v>506</v>
      </c>
      <c r="B538" s="34" t="s">
        <v>122</v>
      </c>
      <c r="C538" s="34" t="s">
        <v>957</v>
      </c>
      <c r="D538" s="34" t="s">
        <v>1222</v>
      </c>
      <c r="E538" s="23" t="s">
        <v>251</v>
      </c>
      <c r="F538" s="23" t="s">
        <v>1223</v>
      </c>
      <c r="G538" s="23" t="s">
        <v>1090</v>
      </c>
      <c r="H538" s="23" t="s">
        <v>153</v>
      </c>
      <c r="I538" s="23" t="s">
        <v>154</v>
      </c>
      <c r="J538" s="25" t="n">
        <v>4.3</v>
      </c>
      <c r="K538" s="25" t="n">
        <v>6</v>
      </c>
      <c r="L538" s="25" t="n">
        <v>8.1</v>
      </c>
      <c r="M538" s="35" t="n">
        <v>1.063</v>
      </c>
      <c r="N538" s="26" t="n">
        <f aca="false">IF(J538=0,0,IF($I538="L/km",MROUND(J538*$M538*IF($H538="Petrol",'Fuel &amp; Inputs'!$C$5,'Fuel &amp; Inputs'!$C$4),1),MROUND(J538*$M538*IF($H538="Petrol",'Fuel &amp; Inputs'!$C$5,'Fuel &amp; Inputs'!$C$4),10)))</f>
        <v>1750</v>
      </c>
      <c r="O538" s="26" t="n">
        <f aca="false">IF(K538=0,0,IF($I538="L/km",MROUND(K538*$M538*IF($H538="Petrol",'Fuel &amp; Inputs'!$C$5,'Fuel &amp; Inputs'!$C$4),1),MROUND(K538*$M538*IF($H538="Petrol",'Fuel &amp; Inputs'!$C$5,'Fuel &amp; Inputs'!$C$4),10)))</f>
        <v>2440</v>
      </c>
      <c r="P538" s="26" t="n">
        <f aca="false">IF(L538=0,0,IF($I538="L/km",MROUND(L538*$M538*IF($H538="Petrol",'Fuel &amp; Inputs'!$C$5,'Fuel &amp; Inputs'!$C$4),1),MROUND(L538*$M538*IF($H538="Petrol",'Fuel &amp; Inputs'!$C$5,'Fuel &amp; Inputs'!$C$4),10)))</f>
        <v>3290</v>
      </c>
      <c r="Q538" s="23" t="s">
        <v>155</v>
      </c>
      <c r="R538" s="27" t="n">
        <v>870</v>
      </c>
      <c r="S538" s="26" t="n">
        <f aca="false">MROUND(R538+'Fuel &amp; Inputs'!$C$13,50)</f>
        <v>1650</v>
      </c>
      <c r="T538" s="27" t="n">
        <v>1610</v>
      </c>
      <c r="U538" s="26" t="n">
        <f aca="false">MROUND(R538*'Fuel &amp; Inputs'!$C$19*'Fuel &amp; Inputs'!$C$21,100)</f>
        <v>3300</v>
      </c>
      <c r="V538" s="26" t="n">
        <f aca="false">MROUND(S538*'Fuel &amp; Inputs'!$C$19*'Fuel &amp; Inputs'!$C$21,100)</f>
        <v>6300</v>
      </c>
      <c r="W538" s="26" t="n">
        <f aca="false">MROUND(T538*'Fuel &amp; Inputs'!$C$19*'Fuel &amp; Inputs'!$C$21,100)</f>
        <v>6100</v>
      </c>
      <c r="X538" s="26" t="n">
        <f aca="false">MROUND(R538*'Fuel &amp; Inputs'!$C$20*'Fuel &amp; Inputs'!$C$22,500)</f>
        <v>88500</v>
      </c>
      <c r="Y538" s="26" t="n">
        <f aca="false">MROUND(S538*'Fuel &amp; Inputs'!$C$20*'Fuel &amp; Inputs'!$C$22,500)</f>
        <v>168500</v>
      </c>
      <c r="Z538" s="26" t="n">
        <f aca="false">MROUND(T538*'Fuel &amp; Inputs'!$C$20*'Fuel &amp; Inputs'!$C$22,500)</f>
        <v>164000</v>
      </c>
    </row>
    <row r="539" customFormat="false" ht="23.85" hidden="false" customHeight="false" outlineLevel="0" collapsed="false">
      <c r="A539" s="17" t="n">
        <v>507</v>
      </c>
      <c r="B539" s="32" t="s">
        <v>122</v>
      </c>
      <c r="C539" s="32" t="s">
        <v>957</v>
      </c>
      <c r="D539" s="32" t="s">
        <v>1222</v>
      </c>
      <c r="E539" s="17" t="s">
        <v>251</v>
      </c>
      <c r="F539" s="17" t="s">
        <v>1224</v>
      </c>
      <c r="G539" s="17" t="s">
        <v>1088</v>
      </c>
      <c r="H539" s="17" t="s">
        <v>153</v>
      </c>
      <c r="I539" s="17" t="s">
        <v>154</v>
      </c>
      <c r="J539" s="19" t="n">
        <v>4.3</v>
      </c>
      <c r="K539" s="19" t="n">
        <v>6</v>
      </c>
      <c r="L539" s="19" t="n">
        <v>8.1</v>
      </c>
      <c r="M539" s="33" t="n">
        <v>1.063</v>
      </c>
      <c r="N539" s="20" t="n">
        <f aca="false">IF(J539=0,0,IF($I539="L/km",MROUND(J539*$M539*IF($H539="Petrol",'Fuel &amp; Inputs'!$C$5,'Fuel &amp; Inputs'!$C$4),1),MROUND(J539*$M539*IF($H539="Petrol",'Fuel &amp; Inputs'!$C$5,'Fuel &amp; Inputs'!$C$4),10)))</f>
        <v>1750</v>
      </c>
      <c r="O539" s="20" t="n">
        <f aca="false">IF(K539=0,0,IF($I539="L/km",MROUND(K539*$M539*IF($H539="Petrol",'Fuel &amp; Inputs'!$C$5,'Fuel &amp; Inputs'!$C$4),1),MROUND(K539*$M539*IF($H539="Petrol",'Fuel &amp; Inputs'!$C$5,'Fuel &amp; Inputs'!$C$4),10)))</f>
        <v>2440</v>
      </c>
      <c r="P539" s="20" t="n">
        <f aca="false">IF(L539=0,0,IF($I539="L/km",MROUND(L539*$M539*IF($H539="Petrol",'Fuel &amp; Inputs'!$C$5,'Fuel &amp; Inputs'!$C$4),1),MROUND(L539*$M539*IF($H539="Petrol",'Fuel &amp; Inputs'!$C$5,'Fuel &amp; Inputs'!$C$4),10)))</f>
        <v>3290</v>
      </c>
      <c r="Q539" s="17" t="s">
        <v>155</v>
      </c>
      <c r="R539" s="21" t="n">
        <v>870</v>
      </c>
      <c r="S539" s="20" t="n">
        <f aca="false">MROUND(R539+'Fuel &amp; Inputs'!$C$13,50)</f>
        <v>1650</v>
      </c>
      <c r="T539" s="21" t="n">
        <v>1610</v>
      </c>
      <c r="U539" s="20" t="n">
        <f aca="false">MROUND(R539*'Fuel &amp; Inputs'!$C$19*'Fuel &amp; Inputs'!$C$21,100)</f>
        <v>3300</v>
      </c>
      <c r="V539" s="20" t="n">
        <f aca="false">MROUND(S539*'Fuel &amp; Inputs'!$C$19*'Fuel &amp; Inputs'!$C$21,100)</f>
        <v>6300</v>
      </c>
      <c r="W539" s="20" t="n">
        <f aca="false">MROUND(T539*'Fuel &amp; Inputs'!$C$19*'Fuel &amp; Inputs'!$C$21,100)</f>
        <v>6100</v>
      </c>
      <c r="X539" s="20" t="n">
        <f aca="false">MROUND(R539*'Fuel &amp; Inputs'!$C$20*'Fuel &amp; Inputs'!$C$22,500)</f>
        <v>88500</v>
      </c>
      <c r="Y539" s="20" t="n">
        <f aca="false">MROUND(S539*'Fuel &amp; Inputs'!$C$20*'Fuel &amp; Inputs'!$C$22,500)</f>
        <v>168500</v>
      </c>
      <c r="Z539" s="20" t="n">
        <f aca="false">MROUND(T539*'Fuel &amp; Inputs'!$C$20*'Fuel &amp; Inputs'!$C$22,500)</f>
        <v>164000</v>
      </c>
    </row>
    <row r="540" customFormat="false" ht="23.85" hidden="false" customHeight="false" outlineLevel="0" collapsed="false">
      <c r="A540" s="23" t="n">
        <v>508</v>
      </c>
      <c r="B540" s="34" t="s">
        <v>122</v>
      </c>
      <c r="C540" s="34" t="s">
        <v>960</v>
      </c>
      <c r="D540" s="34" t="s">
        <v>1222</v>
      </c>
      <c r="E540" s="23" t="s">
        <v>251</v>
      </c>
      <c r="F540" s="23" t="s">
        <v>1225</v>
      </c>
      <c r="G540" s="23" t="s">
        <v>223</v>
      </c>
      <c r="H540" s="23" t="s">
        <v>153</v>
      </c>
      <c r="I540" s="23" t="s">
        <v>154</v>
      </c>
      <c r="J540" s="25" t="n">
        <v>4.3</v>
      </c>
      <c r="K540" s="25" t="n">
        <v>6</v>
      </c>
      <c r="L540" s="25" t="n">
        <v>8.1</v>
      </c>
      <c r="M540" s="35" t="n">
        <v>1.063</v>
      </c>
      <c r="N540" s="26" t="n">
        <f aca="false">IF(J540=0,0,IF($I540="L/km",MROUND(J540*$M540*IF($H540="Petrol",'Fuel &amp; Inputs'!$C$5,'Fuel &amp; Inputs'!$C$4),1),MROUND(J540*$M540*IF($H540="Petrol",'Fuel &amp; Inputs'!$C$5,'Fuel &amp; Inputs'!$C$4),10)))</f>
        <v>1750</v>
      </c>
      <c r="O540" s="26" t="n">
        <f aca="false">IF(K540=0,0,IF($I540="L/km",MROUND(K540*$M540*IF($H540="Petrol",'Fuel &amp; Inputs'!$C$5,'Fuel &amp; Inputs'!$C$4),1),MROUND(K540*$M540*IF($H540="Petrol",'Fuel &amp; Inputs'!$C$5,'Fuel &amp; Inputs'!$C$4),10)))</f>
        <v>2440</v>
      </c>
      <c r="P540" s="26" t="n">
        <f aca="false">IF(L540=0,0,IF($I540="L/km",MROUND(L540*$M540*IF($H540="Petrol",'Fuel &amp; Inputs'!$C$5,'Fuel &amp; Inputs'!$C$4),1),MROUND(L540*$M540*IF($H540="Petrol",'Fuel &amp; Inputs'!$C$5,'Fuel &amp; Inputs'!$C$4),10)))</f>
        <v>3290</v>
      </c>
      <c r="Q540" s="23" t="s">
        <v>155</v>
      </c>
      <c r="R540" s="27" t="n">
        <v>870</v>
      </c>
      <c r="S540" s="26" t="n">
        <f aca="false">MROUND(R540+'Fuel &amp; Inputs'!$C$13,50)</f>
        <v>1650</v>
      </c>
      <c r="T540" s="27" t="n">
        <v>1610</v>
      </c>
      <c r="U540" s="26" t="n">
        <f aca="false">MROUND(R540*'Fuel &amp; Inputs'!$C$19*'Fuel &amp; Inputs'!$C$21,100)</f>
        <v>3300</v>
      </c>
      <c r="V540" s="26" t="n">
        <f aca="false">MROUND(S540*'Fuel &amp; Inputs'!$C$19*'Fuel &amp; Inputs'!$C$21,100)</f>
        <v>6300</v>
      </c>
      <c r="W540" s="26" t="n">
        <f aca="false">MROUND(T540*'Fuel &amp; Inputs'!$C$19*'Fuel &amp; Inputs'!$C$21,100)</f>
        <v>6100</v>
      </c>
      <c r="X540" s="26" t="n">
        <f aca="false">MROUND(R540*'Fuel &amp; Inputs'!$C$20*'Fuel &amp; Inputs'!$C$22,500)</f>
        <v>88500</v>
      </c>
      <c r="Y540" s="26" t="n">
        <f aca="false">MROUND(S540*'Fuel &amp; Inputs'!$C$20*'Fuel &amp; Inputs'!$C$22,500)</f>
        <v>168500</v>
      </c>
      <c r="Z540" s="26" t="n">
        <f aca="false">MROUND(T540*'Fuel &amp; Inputs'!$C$20*'Fuel &amp; Inputs'!$C$22,500)</f>
        <v>164000</v>
      </c>
    </row>
    <row r="541" customFormat="false" ht="23.85" hidden="false" customHeight="false" outlineLevel="0" collapsed="false">
      <c r="A541" s="17" t="n">
        <v>509</v>
      </c>
      <c r="B541" s="32" t="s">
        <v>122</v>
      </c>
      <c r="C541" s="32" t="s">
        <v>1226</v>
      </c>
      <c r="D541" s="32" t="s">
        <v>1222</v>
      </c>
      <c r="E541" s="17" t="s">
        <v>251</v>
      </c>
      <c r="F541" s="17" t="s">
        <v>1227</v>
      </c>
      <c r="G541" s="17" t="s">
        <v>1084</v>
      </c>
      <c r="H541" s="17" t="s">
        <v>153</v>
      </c>
      <c r="I541" s="17" t="s">
        <v>154</v>
      </c>
      <c r="J541" s="19" t="n">
        <v>4.3</v>
      </c>
      <c r="K541" s="19" t="n">
        <v>6</v>
      </c>
      <c r="L541" s="19" t="n">
        <v>8.1</v>
      </c>
      <c r="M541" s="33" t="n">
        <v>1.063</v>
      </c>
      <c r="N541" s="20" t="n">
        <f aca="false">IF(J541=0,0,IF($I541="L/km",MROUND(J541*$M541*IF($H541="Petrol",'Fuel &amp; Inputs'!$C$5,'Fuel &amp; Inputs'!$C$4),1),MROUND(J541*$M541*IF($H541="Petrol",'Fuel &amp; Inputs'!$C$5,'Fuel &amp; Inputs'!$C$4),10)))</f>
        <v>1750</v>
      </c>
      <c r="O541" s="20" t="n">
        <f aca="false">IF(K541=0,0,IF($I541="L/km",MROUND(K541*$M541*IF($H541="Petrol",'Fuel &amp; Inputs'!$C$5,'Fuel &amp; Inputs'!$C$4),1),MROUND(K541*$M541*IF($H541="Petrol",'Fuel &amp; Inputs'!$C$5,'Fuel &amp; Inputs'!$C$4),10)))</f>
        <v>2440</v>
      </c>
      <c r="P541" s="20" t="n">
        <f aca="false">IF(L541=0,0,IF($I541="L/km",MROUND(L541*$M541*IF($H541="Petrol",'Fuel &amp; Inputs'!$C$5,'Fuel &amp; Inputs'!$C$4),1),MROUND(L541*$M541*IF($H541="Petrol",'Fuel &amp; Inputs'!$C$5,'Fuel &amp; Inputs'!$C$4),10)))</f>
        <v>3290</v>
      </c>
      <c r="Q541" s="17" t="s">
        <v>155</v>
      </c>
      <c r="R541" s="21" t="n">
        <v>870</v>
      </c>
      <c r="S541" s="20" t="n">
        <f aca="false">MROUND(R541+'Fuel &amp; Inputs'!$C$13,50)</f>
        <v>1650</v>
      </c>
      <c r="T541" s="21" t="n">
        <v>1610</v>
      </c>
      <c r="U541" s="20" t="n">
        <f aca="false">MROUND(R541*'Fuel &amp; Inputs'!$C$19*'Fuel &amp; Inputs'!$C$21,100)</f>
        <v>3300</v>
      </c>
      <c r="V541" s="20" t="n">
        <f aca="false">MROUND(S541*'Fuel &amp; Inputs'!$C$19*'Fuel &amp; Inputs'!$C$21,100)</f>
        <v>6300</v>
      </c>
      <c r="W541" s="20" t="n">
        <f aca="false">MROUND(T541*'Fuel &amp; Inputs'!$C$19*'Fuel &amp; Inputs'!$C$21,100)</f>
        <v>6100</v>
      </c>
      <c r="X541" s="20" t="n">
        <f aca="false">MROUND(R541*'Fuel &amp; Inputs'!$C$20*'Fuel &amp; Inputs'!$C$22,500)</f>
        <v>88500</v>
      </c>
      <c r="Y541" s="20" t="n">
        <f aca="false">MROUND(S541*'Fuel &amp; Inputs'!$C$20*'Fuel &amp; Inputs'!$C$22,500)</f>
        <v>168500</v>
      </c>
      <c r="Z541" s="20" t="n">
        <f aca="false">MROUND(T541*'Fuel &amp; Inputs'!$C$20*'Fuel &amp; Inputs'!$C$22,500)</f>
        <v>164000</v>
      </c>
    </row>
    <row r="542" customFormat="false" ht="23.85" hidden="false" customHeight="false" outlineLevel="0" collapsed="false">
      <c r="A542" s="23" t="n">
        <v>510</v>
      </c>
      <c r="B542" s="34" t="s">
        <v>122</v>
      </c>
      <c r="C542" s="34" t="s">
        <v>1226</v>
      </c>
      <c r="D542" s="34" t="s">
        <v>1222</v>
      </c>
      <c r="E542" s="23" t="s">
        <v>223</v>
      </c>
      <c r="F542" s="23" t="s">
        <v>1228</v>
      </c>
      <c r="G542" s="23" t="s">
        <v>223</v>
      </c>
      <c r="H542" s="23" t="s">
        <v>153</v>
      </c>
      <c r="I542" s="23" t="s">
        <v>154</v>
      </c>
      <c r="J542" s="25" t="n">
        <v>4.3</v>
      </c>
      <c r="K542" s="25" t="n">
        <v>6</v>
      </c>
      <c r="L542" s="25" t="n">
        <v>8.1</v>
      </c>
      <c r="M542" s="35" t="n">
        <v>1</v>
      </c>
      <c r="N542" s="26" t="n">
        <f aca="false">IF(J542=0,0,IF($I542="L/km",MROUND(J542*$M542*IF($H542="Petrol",'Fuel &amp; Inputs'!$C$5,'Fuel &amp; Inputs'!$C$4),1),MROUND(J542*$M542*IF($H542="Petrol",'Fuel &amp; Inputs'!$C$5,'Fuel &amp; Inputs'!$C$4),10)))</f>
        <v>1640</v>
      </c>
      <c r="O542" s="26" t="n">
        <f aca="false">IF(K542=0,0,IF($I542="L/km",MROUND(K542*$M542*IF($H542="Petrol",'Fuel &amp; Inputs'!$C$5,'Fuel &amp; Inputs'!$C$4),1),MROUND(K542*$M542*IF($H542="Petrol",'Fuel &amp; Inputs'!$C$5,'Fuel &amp; Inputs'!$C$4),10)))</f>
        <v>2290</v>
      </c>
      <c r="P542" s="26" t="n">
        <f aca="false">IF(L542=0,0,IF($I542="L/km",MROUND(L542*$M542*IF($H542="Petrol",'Fuel &amp; Inputs'!$C$5,'Fuel &amp; Inputs'!$C$4),1),MROUND(L542*$M542*IF($H542="Petrol",'Fuel &amp; Inputs'!$C$5,'Fuel &amp; Inputs'!$C$4),10)))</f>
        <v>3090</v>
      </c>
      <c r="Q542" s="23" t="s">
        <v>155</v>
      </c>
      <c r="R542" s="27" t="n">
        <v>550</v>
      </c>
      <c r="S542" s="26" t="n">
        <f aca="false">MROUND(R542+'Fuel &amp; Inputs'!$C$13,50)</f>
        <v>1350</v>
      </c>
      <c r="T542" s="27" t="n">
        <v>1010</v>
      </c>
      <c r="U542" s="26" t="n">
        <f aca="false">MROUND(R542*'Fuel &amp; Inputs'!$C$19*'Fuel &amp; Inputs'!$C$21,100)</f>
        <v>2100</v>
      </c>
      <c r="V542" s="26" t="n">
        <f aca="false">MROUND(S542*'Fuel &amp; Inputs'!$C$19*'Fuel &amp; Inputs'!$C$21,100)</f>
        <v>5100</v>
      </c>
      <c r="W542" s="26" t="n">
        <f aca="false">MROUND(T542*'Fuel &amp; Inputs'!$C$19*'Fuel &amp; Inputs'!$C$21,100)</f>
        <v>3800</v>
      </c>
      <c r="X542" s="26" t="n">
        <f aca="false">MROUND(R542*'Fuel &amp; Inputs'!$C$20*'Fuel &amp; Inputs'!$C$22,500)</f>
        <v>56000</v>
      </c>
      <c r="Y542" s="26" t="n">
        <f aca="false">MROUND(S542*'Fuel &amp; Inputs'!$C$20*'Fuel &amp; Inputs'!$C$22,500)</f>
        <v>137500</v>
      </c>
      <c r="Z542" s="26" t="n">
        <f aca="false">MROUND(T542*'Fuel &amp; Inputs'!$C$20*'Fuel &amp; Inputs'!$C$22,500)</f>
        <v>103000</v>
      </c>
    </row>
    <row r="543" customFormat="false" ht="23.85" hidden="false" customHeight="false" outlineLevel="0" collapsed="false">
      <c r="A543" s="17" t="n">
        <v>511</v>
      </c>
      <c r="B543" s="32" t="s">
        <v>122</v>
      </c>
      <c r="C543" s="32" t="s">
        <v>1226</v>
      </c>
      <c r="D543" s="32" t="s">
        <v>1222</v>
      </c>
      <c r="E543" s="17" t="s">
        <v>223</v>
      </c>
      <c r="F543" s="17" t="s">
        <v>1229</v>
      </c>
      <c r="G543" s="17" t="s">
        <v>223</v>
      </c>
      <c r="H543" s="17" t="s">
        <v>153</v>
      </c>
      <c r="I543" s="17" t="s">
        <v>154</v>
      </c>
      <c r="J543" s="19" t="n">
        <v>4.3</v>
      </c>
      <c r="K543" s="19" t="n">
        <v>6</v>
      </c>
      <c r="L543" s="19" t="n">
        <v>8.1</v>
      </c>
      <c r="M543" s="33" t="n">
        <v>1</v>
      </c>
      <c r="N543" s="20" t="n">
        <f aca="false">IF(J543=0,0,IF($I543="L/km",MROUND(J543*$M543*IF($H543="Petrol",'Fuel &amp; Inputs'!$C$5,'Fuel &amp; Inputs'!$C$4),1),MROUND(J543*$M543*IF($H543="Petrol",'Fuel &amp; Inputs'!$C$5,'Fuel &amp; Inputs'!$C$4),10)))</f>
        <v>1640</v>
      </c>
      <c r="O543" s="20" t="n">
        <f aca="false">IF(K543=0,0,IF($I543="L/km",MROUND(K543*$M543*IF($H543="Petrol",'Fuel &amp; Inputs'!$C$5,'Fuel &amp; Inputs'!$C$4),1),MROUND(K543*$M543*IF($H543="Petrol",'Fuel &amp; Inputs'!$C$5,'Fuel &amp; Inputs'!$C$4),10)))</f>
        <v>2290</v>
      </c>
      <c r="P543" s="20" t="n">
        <f aca="false">IF(L543=0,0,IF($I543="L/km",MROUND(L543*$M543*IF($H543="Petrol",'Fuel &amp; Inputs'!$C$5,'Fuel &amp; Inputs'!$C$4),1),MROUND(L543*$M543*IF($H543="Petrol",'Fuel &amp; Inputs'!$C$5,'Fuel &amp; Inputs'!$C$4),10)))</f>
        <v>3090</v>
      </c>
      <c r="Q543" s="17" t="s">
        <v>155</v>
      </c>
      <c r="R543" s="21" t="n">
        <v>550</v>
      </c>
      <c r="S543" s="20" t="n">
        <f aca="false">MROUND(R543+'Fuel &amp; Inputs'!$C$13,50)</f>
        <v>1350</v>
      </c>
      <c r="T543" s="21" t="n">
        <v>1010</v>
      </c>
      <c r="U543" s="20" t="n">
        <f aca="false">MROUND(R543*'Fuel &amp; Inputs'!$C$19*'Fuel &amp; Inputs'!$C$21,100)</f>
        <v>2100</v>
      </c>
      <c r="V543" s="20" t="n">
        <f aca="false">MROUND(S543*'Fuel &amp; Inputs'!$C$19*'Fuel &amp; Inputs'!$C$21,100)</f>
        <v>5100</v>
      </c>
      <c r="W543" s="20" t="n">
        <f aca="false">MROUND(T543*'Fuel &amp; Inputs'!$C$19*'Fuel &amp; Inputs'!$C$21,100)</f>
        <v>3800</v>
      </c>
      <c r="X543" s="20" t="n">
        <f aca="false">MROUND(R543*'Fuel &amp; Inputs'!$C$20*'Fuel &amp; Inputs'!$C$22,500)</f>
        <v>56000</v>
      </c>
      <c r="Y543" s="20" t="n">
        <f aca="false">MROUND(S543*'Fuel &amp; Inputs'!$C$20*'Fuel &amp; Inputs'!$C$22,500)</f>
        <v>137500</v>
      </c>
      <c r="Z543" s="20" t="n">
        <f aca="false">MROUND(T543*'Fuel &amp; Inputs'!$C$20*'Fuel &amp; Inputs'!$C$22,500)</f>
        <v>103000</v>
      </c>
    </row>
    <row r="544" customFormat="false" ht="23.85" hidden="false" customHeight="false" outlineLevel="0" collapsed="false">
      <c r="A544" s="23" t="n">
        <v>512</v>
      </c>
      <c r="B544" s="34" t="s">
        <v>122</v>
      </c>
      <c r="C544" s="34" t="s">
        <v>1226</v>
      </c>
      <c r="D544" s="34" t="s">
        <v>1222</v>
      </c>
      <c r="E544" s="23" t="s">
        <v>223</v>
      </c>
      <c r="F544" s="23" t="s">
        <v>1230</v>
      </c>
      <c r="G544" s="23" t="s">
        <v>223</v>
      </c>
      <c r="H544" s="23" t="s">
        <v>153</v>
      </c>
      <c r="I544" s="23" t="s">
        <v>154</v>
      </c>
      <c r="J544" s="25" t="n">
        <v>4.3</v>
      </c>
      <c r="K544" s="25" t="n">
        <v>6</v>
      </c>
      <c r="L544" s="25" t="n">
        <v>8.1</v>
      </c>
      <c r="M544" s="35" t="n">
        <v>1</v>
      </c>
      <c r="N544" s="26" t="n">
        <f aca="false">IF(J544=0,0,IF($I544="L/km",MROUND(J544*$M544*IF($H544="Petrol",'Fuel &amp; Inputs'!$C$5,'Fuel &amp; Inputs'!$C$4),1),MROUND(J544*$M544*IF($H544="Petrol",'Fuel &amp; Inputs'!$C$5,'Fuel &amp; Inputs'!$C$4),10)))</f>
        <v>1640</v>
      </c>
      <c r="O544" s="26" t="n">
        <f aca="false">IF(K544=0,0,IF($I544="L/km",MROUND(K544*$M544*IF($H544="Petrol",'Fuel &amp; Inputs'!$C$5,'Fuel &amp; Inputs'!$C$4),1),MROUND(K544*$M544*IF($H544="Petrol",'Fuel &amp; Inputs'!$C$5,'Fuel &amp; Inputs'!$C$4),10)))</f>
        <v>2290</v>
      </c>
      <c r="P544" s="26" t="n">
        <f aca="false">IF(L544=0,0,IF($I544="L/km",MROUND(L544*$M544*IF($H544="Petrol",'Fuel &amp; Inputs'!$C$5,'Fuel &amp; Inputs'!$C$4),1),MROUND(L544*$M544*IF($H544="Petrol",'Fuel &amp; Inputs'!$C$5,'Fuel &amp; Inputs'!$C$4),10)))</f>
        <v>3090</v>
      </c>
      <c r="Q544" s="23" t="s">
        <v>155</v>
      </c>
      <c r="R544" s="27" t="n">
        <v>550</v>
      </c>
      <c r="S544" s="26" t="n">
        <f aca="false">MROUND(R544+'Fuel &amp; Inputs'!$C$13,50)</f>
        <v>1350</v>
      </c>
      <c r="T544" s="27" t="n">
        <v>1010</v>
      </c>
      <c r="U544" s="26" t="n">
        <f aca="false">MROUND(R544*'Fuel &amp; Inputs'!$C$19*'Fuel &amp; Inputs'!$C$21,100)</f>
        <v>2100</v>
      </c>
      <c r="V544" s="26" t="n">
        <f aca="false">MROUND(S544*'Fuel &amp; Inputs'!$C$19*'Fuel &amp; Inputs'!$C$21,100)</f>
        <v>5100</v>
      </c>
      <c r="W544" s="26" t="n">
        <f aca="false">MROUND(T544*'Fuel &amp; Inputs'!$C$19*'Fuel &amp; Inputs'!$C$21,100)</f>
        <v>3800</v>
      </c>
      <c r="X544" s="26" t="n">
        <f aca="false">MROUND(R544*'Fuel &amp; Inputs'!$C$20*'Fuel &amp; Inputs'!$C$22,500)</f>
        <v>56000</v>
      </c>
      <c r="Y544" s="26" t="n">
        <f aca="false">MROUND(S544*'Fuel &amp; Inputs'!$C$20*'Fuel &amp; Inputs'!$C$22,500)</f>
        <v>137500</v>
      </c>
      <c r="Z544" s="26" t="n">
        <f aca="false">MROUND(T544*'Fuel &amp; Inputs'!$C$20*'Fuel &amp; Inputs'!$C$22,500)</f>
        <v>103000</v>
      </c>
    </row>
    <row r="545" customFormat="false" ht="23.85" hidden="false" customHeight="false" outlineLevel="0" collapsed="false">
      <c r="A545" s="17" t="n">
        <v>513</v>
      </c>
      <c r="B545" s="32" t="s">
        <v>122</v>
      </c>
      <c r="C545" s="32" t="s">
        <v>1226</v>
      </c>
      <c r="D545" s="32" t="s">
        <v>1222</v>
      </c>
      <c r="E545" s="17" t="s">
        <v>223</v>
      </c>
      <c r="F545" s="17" t="s">
        <v>1231</v>
      </c>
      <c r="G545" s="17" t="s">
        <v>223</v>
      </c>
      <c r="H545" s="17" t="s">
        <v>153</v>
      </c>
      <c r="I545" s="17" t="s">
        <v>154</v>
      </c>
      <c r="J545" s="19" t="n">
        <v>4.3</v>
      </c>
      <c r="K545" s="19" t="n">
        <v>6</v>
      </c>
      <c r="L545" s="19" t="n">
        <v>8.1</v>
      </c>
      <c r="M545" s="33" t="n">
        <v>1</v>
      </c>
      <c r="N545" s="20" t="n">
        <f aca="false">IF(J545=0,0,IF($I545="L/km",MROUND(J545*$M545*IF($H545="Petrol",'Fuel &amp; Inputs'!$C$5,'Fuel &amp; Inputs'!$C$4),1),MROUND(J545*$M545*IF($H545="Petrol",'Fuel &amp; Inputs'!$C$5,'Fuel &amp; Inputs'!$C$4),10)))</f>
        <v>1640</v>
      </c>
      <c r="O545" s="20" t="n">
        <f aca="false">IF(K545=0,0,IF($I545="L/km",MROUND(K545*$M545*IF($H545="Petrol",'Fuel &amp; Inputs'!$C$5,'Fuel &amp; Inputs'!$C$4),1),MROUND(K545*$M545*IF($H545="Petrol",'Fuel &amp; Inputs'!$C$5,'Fuel &amp; Inputs'!$C$4),10)))</f>
        <v>2290</v>
      </c>
      <c r="P545" s="20" t="n">
        <f aca="false">IF(L545=0,0,IF($I545="L/km",MROUND(L545*$M545*IF($H545="Petrol",'Fuel &amp; Inputs'!$C$5,'Fuel &amp; Inputs'!$C$4),1),MROUND(L545*$M545*IF($H545="Petrol",'Fuel &amp; Inputs'!$C$5,'Fuel &amp; Inputs'!$C$4),10)))</f>
        <v>3090</v>
      </c>
      <c r="Q545" s="17" t="s">
        <v>155</v>
      </c>
      <c r="R545" s="21" t="n">
        <v>550</v>
      </c>
      <c r="S545" s="20" t="n">
        <f aca="false">MROUND(R545+'Fuel &amp; Inputs'!$C$13,50)</f>
        <v>1350</v>
      </c>
      <c r="T545" s="21" t="n">
        <v>1010</v>
      </c>
      <c r="U545" s="20" t="n">
        <f aca="false">MROUND(R545*'Fuel &amp; Inputs'!$C$19*'Fuel &amp; Inputs'!$C$21,100)</f>
        <v>2100</v>
      </c>
      <c r="V545" s="20" t="n">
        <f aca="false">MROUND(S545*'Fuel &amp; Inputs'!$C$19*'Fuel &amp; Inputs'!$C$21,100)</f>
        <v>5100</v>
      </c>
      <c r="W545" s="20" t="n">
        <f aca="false">MROUND(T545*'Fuel &amp; Inputs'!$C$19*'Fuel &amp; Inputs'!$C$21,100)</f>
        <v>3800</v>
      </c>
      <c r="X545" s="20" t="n">
        <f aca="false">MROUND(R545*'Fuel &amp; Inputs'!$C$20*'Fuel &amp; Inputs'!$C$22,500)</f>
        <v>56000</v>
      </c>
      <c r="Y545" s="20" t="n">
        <f aca="false">MROUND(S545*'Fuel &amp; Inputs'!$C$20*'Fuel &amp; Inputs'!$C$22,500)</f>
        <v>137500</v>
      </c>
      <c r="Z545" s="20" t="n">
        <f aca="false">MROUND(T545*'Fuel &amp; Inputs'!$C$20*'Fuel &amp; Inputs'!$C$22,500)</f>
        <v>103000</v>
      </c>
    </row>
    <row r="546" customFormat="false" ht="23.85" hidden="false" customHeight="false" outlineLevel="0" collapsed="false">
      <c r="A546" s="23" t="n">
        <v>514</v>
      </c>
      <c r="B546" s="34" t="s">
        <v>122</v>
      </c>
      <c r="C546" s="34" t="s">
        <v>1226</v>
      </c>
      <c r="D546" s="34" t="s">
        <v>1222</v>
      </c>
      <c r="E546" s="23" t="s">
        <v>223</v>
      </c>
      <c r="F546" s="23" t="s">
        <v>1232</v>
      </c>
      <c r="G546" s="23" t="s">
        <v>223</v>
      </c>
      <c r="H546" s="23" t="s">
        <v>153</v>
      </c>
      <c r="I546" s="23" t="s">
        <v>154</v>
      </c>
      <c r="J546" s="25" t="n">
        <v>4.3</v>
      </c>
      <c r="K546" s="25" t="n">
        <v>6</v>
      </c>
      <c r="L546" s="25" t="n">
        <v>8.1</v>
      </c>
      <c r="M546" s="35" t="n">
        <v>1</v>
      </c>
      <c r="N546" s="26" t="n">
        <f aca="false">IF(J546=0,0,IF($I546="L/km",MROUND(J546*$M546*IF($H546="Petrol",'Fuel &amp; Inputs'!$C$5,'Fuel &amp; Inputs'!$C$4),1),MROUND(J546*$M546*IF($H546="Petrol",'Fuel &amp; Inputs'!$C$5,'Fuel &amp; Inputs'!$C$4),10)))</f>
        <v>1640</v>
      </c>
      <c r="O546" s="26" t="n">
        <f aca="false">IF(K546=0,0,IF($I546="L/km",MROUND(K546*$M546*IF($H546="Petrol",'Fuel &amp; Inputs'!$C$5,'Fuel &amp; Inputs'!$C$4),1),MROUND(K546*$M546*IF($H546="Petrol",'Fuel &amp; Inputs'!$C$5,'Fuel &amp; Inputs'!$C$4),10)))</f>
        <v>2290</v>
      </c>
      <c r="P546" s="26" t="n">
        <f aca="false">IF(L546=0,0,IF($I546="L/km",MROUND(L546*$M546*IF($H546="Petrol",'Fuel &amp; Inputs'!$C$5,'Fuel &amp; Inputs'!$C$4),1),MROUND(L546*$M546*IF($H546="Petrol",'Fuel &amp; Inputs'!$C$5,'Fuel &amp; Inputs'!$C$4),10)))</f>
        <v>3090</v>
      </c>
      <c r="Q546" s="23" t="s">
        <v>155</v>
      </c>
      <c r="R546" s="27" t="n">
        <v>550</v>
      </c>
      <c r="S546" s="26" t="n">
        <f aca="false">MROUND(R546+'Fuel &amp; Inputs'!$C$13,50)</f>
        <v>1350</v>
      </c>
      <c r="T546" s="27" t="n">
        <v>1010</v>
      </c>
      <c r="U546" s="26" t="n">
        <f aca="false">MROUND(R546*'Fuel &amp; Inputs'!$C$19*'Fuel &amp; Inputs'!$C$21,100)</f>
        <v>2100</v>
      </c>
      <c r="V546" s="26" t="n">
        <f aca="false">MROUND(S546*'Fuel &amp; Inputs'!$C$19*'Fuel &amp; Inputs'!$C$21,100)</f>
        <v>5100</v>
      </c>
      <c r="W546" s="26" t="n">
        <f aca="false">MROUND(T546*'Fuel &amp; Inputs'!$C$19*'Fuel &amp; Inputs'!$C$21,100)</f>
        <v>3800</v>
      </c>
      <c r="X546" s="26" t="n">
        <f aca="false">MROUND(R546*'Fuel &amp; Inputs'!$C$20*'Fuel &amp; Inputs'!$C$22,500)</f>
        <v>56000</v>
      </c>
      <c r="Y546" s="26" t="n">
        <f aca="false">MROUND(S546*'Fuel &amp; Inputs'!$C$20*'Fuel &amp; Inputs'!$C$22,500)</f>
        <v>137500</v>
      </c>
      <c r="Z546" s="26" t="n">
        <f aca="false">MROUND(T546*'Fuel &amp; Inputs'!$C$20*'Fuel &amp; Inputs'!$C$22,500)</f>
        <v>103000</v>
      </c>
    </row>
    <row r="547" customFormat="false" ht="23.85" hidden="false" customHeight="false" outlineLevel="0" collapsed="false">
      <c r="A547" s="17" t="n">
        <v>515</v>
      </c>
      <c r="B547" s="32" t="s">
        <v>122</v>
      </c>
      <c r="C547" s="32" t="s">
        <v>1226</v>
      </c>
      <c r="D547" s="32" t="s">
        <v>1222</v>
      </c>
      <c r="E547" s="17" t="s">
        <v>223</v>
      </c>
      <c r="F547" s="17" t="s">
        <v>1233</v>
      </c>
      <c r="G547" s="17" t="s">
        <v>223</v>
      </c>
      <c r="H547" s="17" t="s">
        <v>153</v>
      </c>
      <c r="I547" s="17" t="s">
        <v>154</v>
      </c>
      <c r="J547" s="19" t="n">
        <v>4.3</v>
      </c>
      <c r="K547" s="19" t="n">
        <v>6</v>
      </c>
      <c r="L547" s="19" t="n">
        <v>8.1</v>
      </c>
      <c r="M547" s="33" t="n">
        <v>1</v>
      </c>
      <c r="N547" s="20" t="n">
        <f aca="false">IF(J547=0,0,IF($I547="L/km",MROUND(J547*$M547*IF($H547="Petrol",'Fuel &amp; Inputs'!$C$5,'Fuel &amp; Inputs'!$C$4),1),MROUND(J547*$M547*IF($H547="Petrol",'Fuel &amp; Inputs'!$C$5,'Fuel &amp; Inputs'!$C$4),10)))</f>
        <v>1640</v>
      </c>
      <c r="O547" s="20" t="n">
        <f aca="false">IF(K547=0,0,IF($I547="L/km",MROUND(K547*$M547*IF($H547="Petrol",'Fuel &amp; Inputs'!$C$5,'Fuel &amp; Inputs'!$C$4),1),MROUND(K547*$M547*IF($H547="Petrol",'Fuel &amp; Inputs'!$C$5,'Fuel &amp; Inputs'!$C$4),10)))</f>
        <v>2290</v>
      </c>
      <c r="P547" s="20" t="n">
        <f aca="false">IF(L547=0,0,IF($I547="L/km",MROUND(L547*$M547*IF($H547="Petrol",'Fuel &amp; Inputs'!$C$5,'Fuel &amp; Inputs'!$C$4),1),MROUND(L547*$M547*IF($H547="Petrol",'Fuel &amp; Inputs'!$C$5,'Fuel &amp; Inputs'!$C$4),10)))</f>
        <v>3090</v>
      </c>
      <c r="Q547" s="17" t="s">
        <v>155</v>
      </c>
      <c r="R547" s="21" t="n">
        <v>550</v>
      </c>
      <c r="S547" s="20" t="n">
        <f aca="false">MROUND(R547+'Fuel &amp; Inputs'!$C$13,50)</f>
        <v>1350</v>
      </c>
      <c r="T547" s="21" t="n">
        <v>1010</v>
      </c>
      <c r="U547" s="20" t="n">
        <f aca="false">MROUND(R547*'Fuel &amp; Inputs'!$C$19*'Fuel &amp; Inputs'!$C$21,100)</f>
        <v>2100</v>
      </c>
      <c r="V547" s="20" t="n">
        <f aca="false">MROUND(S547*'Fuel &amp; Inputs'!$C$19*'Fuel &amp; Inputs'!$C$21,100)</f>
        <v>5100</v>
      </c>
      <c r="W547" s="20" t="n">
        <f aca="false">MROUND(T547*'Fuel &amp; Inputs'!$C$19*'Fuel &amp; Inputs'!$C$21,100)</f>
        <v>3800</v>
      </c>
      <c r="X547" s="20" t="n">
        <f aca="false">MROUND(R547*'Fuel &amp; Inputs'!$C$20*'Fuel &amp; Inputs'!$C$22,500)</f>
        <v>56000</v>
      </c>
      <c r="Y547" s="20" t="n">
        <f aca="false">MROUND(S547*'Fuel &amp; Inputs'!$C$20*'Fuel &amp; Inputs'!$C$22,500)</f>
        <v>137500</v>
      </c>
      <c r="Z547" s="20" t="n">
        <f aca="false">MROUND(T547*'Fuel &amp; Inputs'!$C$20*'Fuel &amp; Inputs'!$C$22,500)</f>
        <v>103000</v>
      </c>
    </row>
    <row r="548" customFormat="false" ht="15" hidden="false" customHeight="true" outlineLevel="0" collapsed="false">
      <c r="A548" s="31" t="s">
        <v>1234</v>
      </c>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ustomFormat="false" ht="23.85" hidden="false" customHeight="false" outlineLevel="0" collapsed="false">
      <c r="A549" s="23" t="n">
        <v>516</v>
      </c>
      <c r="B549" s="34" t="s">
        <v>1235</v>
      </c>
      <c r="C549" s="34" t="s">
        <v>1236</v>
      </c>
      <c r="D549" s="34" t="s">
        <v>223</v>
      </c>
      <c r="E549" s="23" t="s">
        <v>223</v>
      </c>
      <c r="F549" s="23" t="s">
        <v>1237</v>
      </c>
      <c r="G549" s="23" t="s">
        <v>223</v>
      </c>
      <c r="H549" s="23" t="s">
        <v>153</v>
      </c>
      <c r="I549" s="23" t="s">
        <v>154</v>
      </c>
      <c r="J549" s="25" t="n">
        <v>2.9</v>
      </c>
      <c r="K549" s="25" t="n">
        <v>4</v>
      </c>
      <c r="L549" s="25" t="n">
        <v>5.4</v>
      </c>
      <c r="M549" s="35" t="n">
        <v>1</v>
      </c>
      <c r="N549" s="26" t="n">
        <f aca="false">IF(J549=0,0,IF($I549="L/km",MROUND(J549*$M549*IF($H549="Petrol",'Fuel &amp; Inputs'!$C$5,'Fuel &amp; Inputs'!$C$4),1),MROUND(J549*$M549*IF($H549="Petrol",'Fuel &amp; Inputs'!$C$5,'Fuel &amp; Inputs'!$C$4),10)))</f>
        <v>1110</v>
      </c>
      <c r="O549" s="26" t="n">
        <f aca="false">IF(K549=0,0,IF($I549="L/km",MROUND(K549*$M549*IF($H549="Petrol",'Fuel &amp; Inputs'!$C$5,'Fuel &amp; Inputs'!$C$4),1),MROUND(K549*$M549*IF($H549="Petrol",'Fuel &amp; Inputs'!$C$5,'Fuel &amp; Inputs'!$C$4),10)))</f>
        <v>1530</v>
      </c>
      <c r="P549" s="26" t="n">
        <f aca="false">IF(L549=0,0,IF($I549="L/km",MROUND(L549*$M549*IF($H549="Petrol",'Fuel &amp; Inputs'!$C$5,'Fuel &amp; Inputs'!$C$4),1),MROUND(L549*$M549*IF($H549="Petrol",'Fuel &amp; Inputs'!$C$5,'Fuel &amp; Inputs'!$C$4),10)))</f>
        <v>2060</v>
      </c>
      <c r="Q549" s="23" t="s">
        <v>155</v>
      </c>
      <c r="R549" s="27" t="n">
        <v>900</v>
      </c>
      <c r="S549" s="26" t="n">
        <f aca="false">MROUND(R549+'Fuel &amp; Inputs'!$C$13,50)</f>
        <v>1700</v>
      </c>
      <c r="T549" s="27" t="n">
        <v>1770</v>
      </c>
      <c r="U549" s="26" t="n">
        <f aca="false">MROUND(R549*'Fuel &amp; Inputs'!$C$19*'Fuel &amp; Inputs'!$C$21,100)</f>
        <v>3400</v>
      </c>
      <c r="V549" s="26" t="n">
        <f aca="false">MROUND(S549*'Fuel &amp; Inputs'!$C$19*'Fuel &amp; Inputs'!$C$21,100)</f>
        <v>6500</v>
      </c>
      <c r="W549" s="26" t="n">
        <f aca="false">MROUND(T549*'Fuel &amp; Inputs'!$C$19*'Fuel &amp; Inputs'!$C$21,100)</f>
        <v>6700</v>
      </c>
      <c r="X549" s="26" t="n">
        <f aca="false">MROUND(R549*'Fuel &amp; Inputs'!$C$20*'Fuel &amp; Inputs'!$C$22,500)</f>
        <v>92000</v>
      </c>
      <c r="Y549" s="26" t="n">
        <f aca="false">MROUND(S549*'Fuel &amp; Inputs'!$C$20*'Fuel &amp; Inputs'!$C$22,500)</f>
        <v>173500</v>
      </c>
      <c r="Z549" s="26" t="n">
        <f aca="false">MROUND(T549*'Fuel &amp; Inputs'!$C$20*'Fuel &amp; Inputs'!$C$22,500)</f>
        <v>180500</v>
      </c>
    </row>
    <row r="550" customFormat="false" ht="23.85" hidden="false" customHeight="false" outlineLevel="0" collapsed="false">
      <c r="A550" s="17" t="n">
        <v>517</v>
      </c>
      <c r="B550" s="32" t="s">
        <v>1235</v>
      </c>
      <c r="C550" s="32" t="s">
        <v>1238</v>
      </c>
      <c r="D550" s="32" t="s">
        <v>223</v>
      </c>
      <c r="E550" s="17" t="s">
        <v>223</v>
      </c>
      <c r="F550" s="17" t="s">
        <v>1239</v>
      </c>
      <c r="G550" s="17" t="s">
        <v>223</v>
      </c>
      <c r="H550" s="17" t="s">
        <v>153</v>
      </c>
      <c r="I550" s="17" t="s">
        <v>154</v>
      </c>
      <c r="J550" s="19" t="n">
        <v>2.9</v>
      </c>
      <c r="K550" s="19" t="n">
        <v>4</v>
      </c>
      <c r="L550" s="19" t="n">
        <v>5.4</v>
      </c>
      <c r="M550" s="33" t="n">
        <v>1</v>
      </c>
      <c r="N550" s="20" t="n">
        <f aca="false">IF(J550=0,0,IF($I550="L/km",MROUND(J550*$M550*IF($H550="Petrol",'Fuel &amp; Inputs'!$C$5,'Fuel &amp; Inputs'!$C$4),1),MROUND(J550*$M550*IF($H550="Petrol",'Fuel &amp; Inputs'!$C$5,'Fuel &amp; Inputs'!$C$4),10)))</f>
        <v>1110</v>
      </c>
      <c r="O550" s="20" t="n">
        <f aca="false">IF(K550=0,0,IF($I550="L/km",MROUND(K550*$M550*IF($H550="Petrol",'Fuel &amp; Inputs'!$C$5,'Fuel &amp; Inputs'!$C$4),1),MROUND(K550*$M550*IF($H550="Petrol",'Fuel &amp; Inputs'!$C$5,'Fuel &amp; Inputs'!$C$4),10)))</f>
        <v>1530</v>
      </c>
      <c r="P550" s="20" t="n">
        <f aca="false">IF(L550=0,0,IF($I550="L/km",MROUND(L550*$M550*IF($H550="Petrol",'Fuel &amp; Inputs'!$C$5,'Fuel &amp; Inputs'!$C$4),1),MROUND(L550*$M550*IF($H550="Petrol",'Fuel &amp; Inputs'!$C$5,'Fuel &amp; Inputs'!$C$4),10)))</f>
        <v>2060</v>
      </c>
      <c r="Q550" s="17" t="s">
        <v>155</v>
      </c>
      <c r="R550" s="21" t="n">
        <v>900</v>
      </c>
      <c r="S550" s="20" t="n">
        <f aca="false">MROUND(R550+'Fuel &amp; Inputs'!$C$13,50)</f>
        <v>1700</v>
      </c>
      <c r="T550" s="21" t="n">
        <v>1770</v>
      </c>
      <c r="U550" s="20" t="n">
        <f aca="false">MROUND(R550*'Fuel &amp; Inputs'!$C$19*'Fuel &amp; Inputs'!$C$21,100)</f>
        <v>3400</v>
      </c>
      <c r="V550" s="20" t="n">
        <f aca="false">MROUND(S550*'Fuel &amp; Inputs'!$C$19*'Fuel &amp; Inputs'!$C$21,100)</f>
        <v>6500</v>
      </c>
      <c r="W550" s="20" t="n">
        <f aca="false">MROUND(T550*'Fuel &amp; Inputs'!$C$19*'Fuel &amp; Inputs'!$C$21,100)</f>
        <v>6700</v>
      </c>
      <c r="X550" s="20" t="n">
        <f aca="false">MROUND(R550*'Fuel &amp; Inputs'!$C$20*'Fuel &amp; Inputs'!$C$22,500)</f>
        <v>92000</v>
      </c>
      <c r="Y550" s="20" t="n">
        <f aca="false">MROUND(S550*'Fuel &amp; Inputs'!$C$20*'Fuel &amp; Inputs'!$C$22,500)</f>
        <v>173500</v>
      </c>
      <c r="Z550" s="20" t="n">
        <f aca="false">MROUND(T550*'Fuel &amp; Inputs'!$C$20*'Fuel &amp; Inputs'!$C$22,500)</f>
        <v>180500</v>
      </c>
    </row>
    <row r="551" customFormat="false" ht="23.85" hidden="false" customHeight="false" outlineLevel="0" collapsed="false">
      <c r="A551" s="23" t="n">
        <v>518</v>
      </c>
      <c r="B551" s="34" t="s">
        <v>1235</v>
      </c>
      <c r="C551" s="34" t="s">
        <v>1238</v>
      </c>
      <c r="D551" s="34" t="s">
        <v>223</v>
      </c>
      <c r="E551" s="23" t="s">
        <v>223</v>
      </c>
      <c r="F551" s="23" t="s">
        <v>1240</v>
      </c>
      <c r="G551" s="23" t="s">
        <v>223</v>
      </c>
      <c r="H551" s="23" t="s">
        <v>153</v>
      </c>
      <c r="I551" s="23" t="s">
        <v>154</v>
      </c>
      <c r="J551" s="25" t="n">
        <v>2.9</v>
      </c>
      <c r="K551" s="25" t="n">
        <v>4</v>
      </c>
      <c r="L551" s="25" t="n">
        <v>5.4</v>
      </c>
      <c r="M551" s="35" t="n">
        <v>1</v>
      </c>
      <c r="N551" s="26" t="n">
        <f aca="false">IF(J551=0,0,IF($I551="L/km",MROUND(J551*$M551*IF($H551="Petrol",'Fuel &amp; Inputs'!$C$5,'Fuel &amp; Inputs'!$C$4),1),MROUND(J551*$M551*IF($H551="Petrol",'Fuel &amp; Inputs'!$C$5,'Fuel &amp; Inputs'!$C$4),10)))</f>
        <v>1110</v>
      </c>
      <c r="O551" s="26" t="n">
        <f aca="false">IF(K551=0,0,IF($I551="L/km",MROUND(K551*$M551*IF($H551="Petrol",'Fuel &amp; Inputs'!$C$5,'Fuel &amp; Inputs'!$C$4),1),MROUND(K551*$M551*IF($H551="Petrol",'Fuel &amp; Inputs'!$C$5,'Fuel &amp; Inputs'!$C$4),10)))</f>
        <v>1530</v>
      </c>
      <c r="P551" s="26" t="n">
        <f aca="false">IF(L551=0,0,IF($I551="L/km",MROUND(L551*$M551*IF($H551="Petrol",'Fuel &amp; Inputs'!$C$5,'Fuel &amp; Inputs'!$C$4),1),MROUND(L551*$M551*IF($H551="Petrol",'Fuel &amp; Inputs'!$C$5,'Fuel &amp; Inputs'!$C$4),10)))</f>
        <v>2060</v>
      </c>
      <c r="Q551" s="23" t="s">
        <v>155</v>
      </c>
      <c r="R551" s="27" t="n">
        <v>900</v>
      </c>
      <c r="S551" s="26" t="n">
        <f aca="false">MROUND(R551+'Fuel &amp; Inputs'!$C$13,50)</f>
        <v>1700</v>
      </c>
      <c r="T551" s="27" t="n">
        <v>1770</v>
      </c>
      <c r="U551" s="26" t="n">
        <f aca="false">MROUND(R551*'Fuel &amp; Inputs'!$C$19*'Fuel &amp; Inputs'!$C$21,100)</f>
        <v>3400</v>
      </c>
      <c r="V551" s="26" t="n">
        <f aca="false">MROUND(S551*'Fuel &amp; Inputs'!$C$19*'Fuel &amp; Inputs'!$C$21,100)</f>
        <v>6500</v>
      </c>
      <c r="W551" s="26" t="n">
        <f aca="false">MROUND(T551*'Fuel &amp; Inputs'!$C$19*'Fuel &amp; Inputs'!$C$21,100)</f>
        <v>6700</v>
      </c>
      <c r="X551" s="26" t="n">
        <f aca="false">MROUND(R551*'Fuel &amp; Inputs'!$C$20*'Fuel &amp; Inputs'!$C$22,500)</f>
        <v>92000</v>
      </c>
      <c r="Y551" s="26" t="n">
        <f aca="false">MROUND(S551*'Fuel &amp; Inputs'!$C$20*'Fuel &amp; Inputs'!$C$22,500)</f>
        <v>173500</v>
      </c>
      <c r="Z551" s="26" t="n">
        <f aca="false">MROUND(T551*'Fuel &amp; Inputs'!$C$20*'Fuel &amp; Inputs'!$C$22,500)</f>
        <v>180500</v>
      </c>
    </row>
    <row r="553" customFormat="false" ht="15" hidden="false" customHeight="false" outlineLevel="0" collapsed="false">
      <c r="B553" s="30" t="s">
        <v>1241</v>
      </c>
    </row>
  </sheetData>
  <mergeCells count="29">
    <mergeCell ref="A5:Z5"/>
    <mergeCell ref="A30:Z30"/>
    <mergeCell ref="A40:Z40"/>
    <mergeCell ref="A57:Z57"/>
    <mergeCell ref="A61:Z61"/>
    <mergeCell ref="A81:Z81"/>
    <mergeCell ref="A154:Z154"/>
    <mergeCell ref="A165:Z165"/>
    <mergeCell ref="A182:Z182"/>
    <mergeCell ref="A208:Z208"/>
    <mergeCell ref="A220:Z220"/>
    <mergeCell ref="A225:Z225"/>
    <mergeCell ref="A228:Z228"/>
    <mergeCell ref="A233:Z233"/>
    <mergeCell ref="A242:Z242"/>
    <mergeCell ref="A245:Z245"/>
    <mergeCell ref="A271:Z271"/>
    <mergeCell ref="A275:Z275"/>
    <mergeCell ref="A287:Z287"/>
    <mergeCell ref="A301:Z301"/>
    <mergeCell ref="A390:Z390"/>
    <mergeCell ref="A397:Z397"/>
    <mergeCell ref="A401:Z401"/>
    <mergeCell ref="A408:Z408"/>
    <mergeCell ref="A450:Z450"/>
    <mergeCell ref="A470:Z470"/>
    <mergeCell ref="A483:Z483"/>
    <mergeCell ref="A537:Z537"/>
    <mergeCell ref="A548:Z5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6"/>
    <col collapsed="false" customWidth="true" hidden="false" outlineLevel="0" max="4" min="4" style="1" width="20"/>
    <col collapsed="false" customWidth="true" hidden="false" outlineLevel="0" max="5" min="5" style="1" width="38"/>
    <col collapsed="false" customWidth="true" hidden="false" outlineLevel="0" max="7" min="6" style="1" width="7"/>
    <col collapsed="false" customWidth="true" hidden="false" outlineLevel="0" max="10" min="8" style="1" width="10"/>
    <col collapsed="false" customWidth="true" hidden="false" outlineLevel="0" max="11" min="11" style="1" width="13"/>
    <col collapsed="false" customWidth="true" hidden="false" outlineLevel="0" max="12" min="12" style="1" width="10"/>
    <col collapsed="false" customWidth="true" hidden="false" outlineLevel="0" max="13" min="13" style="1" width="36"/>
  </cols>
  <sheetData>
    <row r="1" customFormat="false" ht="17.25" hidden="false" customHeight="true" outlineLevel="0" collapsed="false">
      <c r="A1" s="7" t="s">
        <v>1242</v>
      </c>
    </row>
    <row r="2" customFormat="false" ht="15" hidden="false" customHeight="true" outlineLevel="0" collapsed="false">
      <c r="A2" s="11" t="s">
        <v>1243</v>
      </c>
    </row>
    <row r="4" customFormat="false" ht="15" hidden="false" customHeight="true" outlineLevel="0" collapsed="false">
      <c r="A4" s="31" t="s">
        <v>1244</v>
      </c>
      <c r="B4" s="31"/>
      <c r="C4" s="31"/>
      <c r="D4" s="31"/>
      <c r="E4" s="31"/>
      <c r="F4" s="31"/>
      <c r="G4" s="31"/>
      <c r="H4" s="31"/>
      <c r="I4" s="31"/>
      <c r="J4" s="31"/>
      <c r="K4" s="31"/>
      <c r="L4" s="31"/>
      <c r="M4" s="31"/>
    </row>
    <row r="5" customFormat="false" ht="25.5" hidden="false" customHeight="true" outlineLevel="0" collapsed="false">
      <c r="A5" s="16" t="s">
        <v>52</v>
      </c>
      <c r="B5" s="16" t="s">
        <v>1245</v>
      </c>
      <c r="C5" s="16" t="s">
        <v>1246</v>
      </c>
      <c r="D5" s="16" t="s">
        <v>1247</v>
      </c>
      <c r="E5" s="16" t="s">
        <v>1248</v>
      </c>
      <c r="F5" s="16" t="s">
        <v>1249</v>
      </c>
      <c r="G5" s="16" t="s">
        <v>1250</v>
      </c>
      <c r="H5" s="16" t="s">
        <v>1251</v>
      </c>
      <c r="I5" s="16" t="s">
        <v>1252</v>
      </c>
      <c r="J5" s="16" t="s">
        <v>1253</v>
      </c>
      <c r="K5" s="16" t="s">
        <v>1254</v>
      </c>
      <c r="L5" s="16" t="s">
        <v>1255</v>
      </c>
      <c r="M5" s="16" t="s">
        <v>1256</v>
      </c>
    </row>
    <row r="6" customFormat="false" ht="15" hidden="false" customHeight="true" outlineLevel="0" collapsed="false">
      <c r="A6" s="17" t="n">
        <v>1</v>
      </c>
      <c r="B6" s="18" t="s">
        <v>1257</v>
      </c>
      <c r="C6" s="32" t="s">
        <v>1258</v>
      </c>
      <c r="D6" s="32" t="s">
        <v>1259</v>
      </c>
      <c r="E6" s="32" t="s">
        <v>1260</v>
      </c>
      <c r="F6" s="19" t="n">
        <v>1.4</v>
      </c>
      <c r="G6" s="38" t="n">
        <v>8</v>
      </c>
      <c r="H6" s="20" t="n">
        <f aca="false">MROUND(F6*G6*IF(ISNUMBER(SEARCH("Diesel",D6)),'Fuel &amp; Inputs'!$C$4,IF(ISNUMBER(SEARCH("Petrol",D6)),'Fuel &amp; Inputs'!$C$5,0)),10)</f>
        <v>4640</v>
      </c>
      <c r="I6" s="21" t="n">
        <v>2500</v>
      </c>
      <c r="J6" s="20" t="n">
        <f aca="false">'Fuel &amp; Inputs'!$C$14</f>
        <v>3500</v>
      </c>
      <c r="K6" s="20" t="n">
        <f aca="false">I6+J6</f>
        <v>6000</v>
      </c>
      <c r="L6" s="20" t="n">
        <f aca="false">MROUND(K6+H6,100)</f>
        <v>10600</v>
      </c>
      <c r="M6" s="22" t="s">
        <v>1261</v>
      </c>
    </row>
    <row r="7" customFormat="false" ht="15" hidden="false" customHeight="true" outlineLevel="0" collapsed="false">
      <c r="A7" s="23" t="n">
        <v>2</v>
      </c>
      <c r="B7" s="24" t="s">
        <v>1257</v>
      </c>
      <c r="C7" s="34" t="s">
        <v>1262</v>
      </c>
      <c r="D7" s="34" t="s">
        <v>1263</v>
      </c>
      <c r="E7" s="34" t="s">
        <v>1264</v>
      </c>
      <c r="F7" s="25" t="n">
        <v>2.2</v>
      </c>
      <c r="G7" s="39" t="n">
        <v>8</v>
      </c>
      <c r="H7" s="26" t="n">
        <f aca="false">MROUND(F7*G7*IF(ISNUMBER(SEARCH("Diesel",D7)),'Fuel &amp; Inputs'!$C$4,IF(ISNUMBER(SEARCH("Petrol",D7)),'Fuel &amp; Inputs'!$C$5,0)),10)</f>
        <v>6720</v>
      </c>
      <c r="I7" s="27" t="n">
        <v>3500</v>
      </c>
      <c r="J7" s="26" t="n">
        <f aca="false">'Fuel &amp; Inputs'!$C$14</f>
        <v>3500</v>
      </c>
      <c r="K7" s="26" t="n">
        <f aca="false">I7+J7</f>
        <v>7000</v>
      </c>
      <c r="L7" s="26" t="n">
        <f aca="false">MROUND(K7+H7,100)</f>
        <v>13700</v>
      </c>
      <c r="M7" s="28" t="s">
        <v>1265</v>
      </c>
    </row>
    <row r="8" customFormat="false" ht="15" hidden="false" customHeight="true" outlineLevel="0" collapsed="false">
      <c r="A8" s="17" t="n">
        <v>3</v>
      </c>
      <c r="B8" s="18" t="s">
        <v>1257</v>
      </c>
      <c r="C8" s="32" t="s">
        <v>1266</v>
      </c>
      <c r="D8" s="32" t="s">
        <v>1263</v>
      </c>
      <c r="E8" s="32" t="s">
        <v>1267</v>
      </c>
      <c r="F8" s="19" t="n">
        <v>2.9</v>
      </c>
      <c r="G8" s="38" t="n">
        <v>8</v>
      </c>
      <c r="H8" s="20" t="n">
        <f aca="false">MROUND(F8*G8*IF(ISNUMBER(SEARCH("Diesel",D8)),'Fuel &amp; Inputs'!$C$4,IF(ISNUMBER(SEARCH("Petrol",D8)),'Fuel &amp; Inputs'!$C$5,0)),10)</f>
        <v>8860</v>
      </c>
      <c r="I8" s="21" t="n">
        <v>4800</v>
      </c>
      <c r="J8" s="20" t="n">
        <f aca="false">'Fuel &amp; Inputs'!$C$14</f>
        <v>3500</v>
      </c>
      <c r="K8" s="20" t="n">
        <f aca="false">I8+J8</f>
        <v>8300</v>
      </c>
      <c r="L8" s="20" t="n">
        <f aca="false">MROUND(K8+H8,100)</f>
        <v>17200</v>
      </c>
      <c r="M8" s="22" t="s">
        <v>1268</v>
      </c>
    </row>
    <row r="9" customFormat="false" ht="15" hidden="false" customHeight="true" outlineLevel="0" collapsed="false">
      <c r="A9" s="23" t="n">
        <v>4</v>
      </c>
      <c r="B9" s="24" t="s">
        <v>1257</v>
      </c>
      <c r="C9" s="34" t="s">
        <v>1269</v>
      </c>
      <c r="D9" s="34" t="s">
        <v>1263</v>
      </c>
      <c r="E9" s="34" t="s">
        <v>1270</v>
      </c>
      <c r="F9" s="25" t="n">
        <v>4</v>
      </c>
      <c r="G9" s="39" t="n">
        <v>8</v>
      </c>
      <c r="H9" s="26" t="n">
        <f aca="false">MROUND(F9*G9*IF(ISNUMBER(SEARCH("Diesel",D9)),'Fuel &amp; Inputs'!$C$4,IF(ISNUMBER(SEARCH("Petrol",D9)),'Fuel &amp; Inputs'!$C$5,0)),10)</f>
        <v>12220</v>
      </c>
      <c r="I9" s="27" t="n">
        <v>6000</v>
      </c>
      <c r="J9" s="26" t="n">
        <f aca="false">'Fuel &amp; Inputs'!$C$14</f>
        <v>3500</v>
      </c>
      <c r="K9" s="26" t="n">
        <f aca="false">I9+J9</f>
        <v>9500</v>
      </c>
      <c r="L9" s="26" t="n">
        <f aca="false">MROUND(K9+H9,100)</f>
        <v>21700</v>
      </c>
      <c r="M9" s="28" t="s">
        <v>1271</v>
      </c>
    </row>
    <row r="10" customFormat="false" ht="15" hidden="false" customHeight="true" outlineLevel="0" collapsed="false">
      <c r="A10" s="17" t="n">
        <v>5</v>
      </c>
      <c r="B10" s="18" t="s">
        <v>1257</v>
      </c>
      <c r="C10" s="32" t="s">
        <v>1272</v>
      </c>
      <c r="D10" s="32" t="s">
        <v>1263</v>
      </c>
      <c r="E10" s="32" t="s">
        <v>1273</v>
      </c>
      <c r="F10" s="19" t="n">
        <v>7.5</v>
      </c>
      <c r="G10" s="38" t="n">
        <v>8</v>
      </c>
      <c r="H10" s="20" t="n">
        <f aca="false">MROUND(F10*G10*IF(ISNUMBER(SEARCH("Diesel",D10)),'Fuel &amp; Inputs'!$C$4,IF(ISNUMBER(SEARCH("Petrol",D10)),'Fuel &amp; Inputs'!$C$5,0)),10)</f>
        <v>22920</v>
      </c>
      <c r="I10" s="21" t="n">
        <v>10000</v>
      </c>
      <c r="J10" s="20" t="n">
        <f aca="false">'Fuel &amp; Inputs'!$C$14</f>
        <v>3500</v>
      </c>
      <c r="K10" s="20" t="n">
        <f aca="false">I10+J10</f>
        <v>13500</v>
      </c>
      <c r="L10" s="20" t="n">
        <f aca="false">MROUND(K10+H10,100)</f>
        <v>36400</v>
      </c>
      <c r="M10" s="22" t="s">
        <v>1274</v>
      </c>
    </row>
    <row r="11" customFormat="false" ht="15" hidden="false" customHeight="true" outlineLevel="0" collapsed="false">
      <c r="A11" s="23" t="n">
        <v>6</v>
      </c>
      <c r="B11" s="24" t="s">
        <v>1257</v>
      </c>
      <c r="C11" s="34" t="s">
        <v>1275</v>
      </c>
      <c r="D11" s="34" t="s">
        <v>1263</v>
      </c>
      <c r="E11" s="34" t="s">
        <v>1276</v>
      </c>
      <c r="F11" s="25" t="n">
        <v>12</v>
      </c>
      <c r="G11" s="39" t="n">
        <v>8</v>
      </c>
      <c r="H11" s="26" t="n">
        <f aca="false">MROUND(F11*G11*IF(ISNUMBER(SEARCH("Diesel",D11)),'Fuel &amp; Inputs'!$C$4,IF(ISNUMBER(SEARCH("Petrol",D11)),'Fuel &amp; Inputs'!$C$5,0)),10)</f>
        <v>36670</v>
      </c>
      <c r="I11" s="27" t="n">
        <v>15000</v>
      </c>
      <c r="J11" s="26" t="n">
        <f aca="false">'Fuel &amp; Inputs'!$C$14</f>
        <v>3500</v>
      </c>
      <c r="K11" s="26" t="n">
        <f aca="false">I11+J11</f>
        <v>18500</v>
      </c>
      <c r="L11" s="26" t="n">
        <f aca="false">MROUND(K11+H11,100)</f>
        <v>55200</v>
      </c>
      <c r="M11" s="28" t="s">
        <v>1277</v>
      </c>
    </row>
    <row r="12" customFormat="false" ht="15" hidden="false" customHeight="true" outlineLevel="0" collapsed="false">
      <c r="A12" s="17" t="n">
        <v>7</v>
      </c>
      <c r="B12" s="18" t="s">
        <v>1257</v>
      </c>
      <c r="C12" s="32" t="s">
        <v>1278</v>
      </c>
      <c r="D12" s="32" t="s">
        <v>1263</v>
      </c>
      <c r="E12" s="32" t="s">
        <v>1279</v>
      </c>
      <c r="F12" s="19" t="n">
        <v>19</v>
      </c>
      <c r="G12" s="38" t="n">
        <v>8</v>
      </c>
      <c r="H12" s="20" t="n">
        <f aca="false">MROUND(F12*G12*IF(ISNUMBER(SEARCH("Diesel",D12)),'Fuel &amp; Inputs'!$C$4,IF(ISNUMBER(SEARCH("Petrol",D12)),'Fuel &amp; Inputs'!$C$5,0)),10)</f>
        <v>58060</v>
      </c>
      <c r="I12" s="21" t="n">
        <v>22000</v>
      </c>
      <c r="J12" s="20" t="n">
        <f aca="false">'Fuel &amp; Inputs'!$C$14</f>
        <v>3500</v>
      </c>
      <c r="K12" s="20" t="n">
        <f aca="false">I12+J12</f>
        <v>25500</v>
      </c>
      <c r="L12" s="20" t="n">
        <f aca="false">MROUND(K12+H12,100)</f>
        <v>83600</v>
      </c>
      <c r="M12" s="22" t="s">
        <v>1277</v>
      </c>
    </row>
    <row r="13" customFormat="false" ht="15" hidden="false" customHeight="true" outlineLevel="0" collapsed="false">
      <c r="A13" s="23" t="n">
        <v>8</v>
      </c>
      <c r="B13" s="24" t="s">
        <v>1257</v>
      </c>
      <c r="C13" s="34" t="s">
        <v>1280</v>
      </c>
      <c r="D13" s="34" t="s">
        <v>1263</v>
      </c>
      <c r="E13" s="34" t="s">
        <v>1281</v>
      </c>
      <c r="F13" s="25" t="n">
        <v>24</v>
      </c>
      <c r="G13" s="39" t="n">
        <v>8</v>
      </c>
      <c r="H13" s="26" t="n">
        <f aca="false">MROUND(F13*G13*IF(ISNUMBER(SEARCH("Diesel",D13)),'Fuel &amp; Inputs'!$C$4,IF(ISNUMBER(SEARCH("Petrol",D13)),'Fuel &amp; Inputs'!$C$5,0)),10)</f>
        <v>73340</v>
      </c>
      <c r="I13" s="27" t="n">
        <v>28000</v>
      </c>
      <c r="J13" s="26" t="n">
        <f aca="false">'Fuel &amp; Inputs'!$C$14</f>
        <v>3500</v>
      </c>
      <c r="K13" s="26" t="n">
        <f aca="false">I13+J13</f>
        <v>31500</v>
      </c>
      <c r="L13" s="26" t="n">
        <f aca="false">MROUND(K13+H13,100)</f>
        <v>104800</v>
      </c>
      <c r="M13" s="28" t="s">
        <v>1282</v>
      </c>
    </row>
    <row r="14" customFormat="false" ht="15" hidden="false" customHeight="true" outlineLevel="0" collapsed="false">
      <c r="A14" s="17" t="n">
        <v>9</v>
      </c>
      <c r="B14" s="18" t="s">
        <v>1257</v>
      </c>
      <c r="C14" s="32" t="s">
        <v>1283</v>
      </c>
      <c r="D14" s="32" t="s">
        <v>1263</v>
      </c>
      <c r="E14" s="32" t="s">
        <v>1284</v>
      </c>
      <c r="F14" s="19" t="n">
        <v>38</v>
      </c>
      <c r="G14" s="38" t="n">
        <v>8</v>
      </c>
      <c r="H14" s="20" t="n">
        <f aca="false">MROUND(F14*G14*IF(ISNUMBER(SEARCH("Diesel",D14)),'Fuel &amp; Inputs'!$C$4,IF(ISNUMBER(SEARCH("Petrol",D14)),'Fuel &amp; Inputs'!$C$5,0)),10)</f>
        <v>116130</v>
      </c>
      <c r="I14" s="21" t="n">
        <v>40000</v>
      </c>
      <c r="J14" s="20" t="n">
        <f aca="false">'Fuel &amp; Inputs'!$C$14</f>
        <v>3500</v>
      </c>
      <c r="K14" s="20" t="n">
        <f aca="false">I14+J14</f>
        <v>43500</v>
      </c>
      <c r="L14" s="20" t="n">
        <f aca="false">MROUND(K14+H14,100)</f>
        <v>159600</v>
      </c>
      <c r="M14" s="22" t="s">
        <v>1285</v>
      </c>
    </row>
    <row r="15" customFormat="false" ht="15" hidden="false" customHeight="true" outlineLevel="0" collapsed="false">
      <c r="A15" s="23" t="n">
        <v>10</v>
      </c>
      <c r="B15" s="24" t="s">
        <v>1286</v>
      </c>
      <c r="C15" s="34" t="s">
        <v>1287</v>
      </c>
      <c r="D15" s="34" t="s">
        <v>1288</v>
      </c>
      <c r="E15" s="34" t="s">
        <v>1289</v>
      </c>
      <c r="F15" s="25" t="n">
        <v>0</v>
      </c>
      <c r="G15" s="39" t="n">
        <v>8</v>
      </c>
      <c r="H15" s="26" t="n">
        <f aca="false">MROUND(F15*G15*IF(ISNUMBER(SEARCH("Diesel",D15)),'Fuel &amp; Inputs'!$C$4,IF(ISNUMBER(SEARCH("Petrol",D15)),'Fuel &amp; Inputs'!$C$5,0)),10)</f>
        <v>0</v>
      </c>
      <c r="I15" s="27" t="n">
        <v>1300</v>
      </c>
      <c r="J15" s="26" t="n">
        <f aca="false">'Fuel &amp; Inputs'!$C$14</f>
        <v>3500</v>
      </c>
      <c r="K15" s="26" t="n">
        <f aca="false">I15+J15</f>
        <v>4800</v>
      </c>
      <c r="L15" s="26" t="n">
        <f aca="false">MROUND(K15+H15,100)</f>
        <v>4800</v>
      </c>
      <c r="M15" s="28" t="s">
        <v>1290</v>
      </c>
    </row>
    <row r="16" customFormat="false" ht="15" hidden="false" customHeight="true" outlineLevel="0" collapsed="false">
      <c r="A16" s="17" t="n">
        <v>11</v>
      </c>
      <c r="B16" s="18" t="s">
        <v>1286</v>
      </c>
      <c r="C16" s="32" t="s">
        <v>1291</v>
      </c>
      <c r="D16" s="32" t="s">
        <v>1259</v>
      </c>
      <c r="E16" s="32" t="s">
        <v>1292</v>
      </c>
      <c r="F16" s="19" t="n">
        <v>1.2</v>
      </c>
      <c r="G16" s="38" t="n">
        <v>6</v>
      </c>
      <c r="H16" s="20" t="n">
        <f aca="false">MROUND(F16*G16*IF(ISNUMBER(SEARCH("Diesel",D16)),'Fuel &amp; Inputs'!$C$4,IF(ISNUMBER(SEARCH("Petrol",D16)),'Fuel &amp; Inputs'!$C$5,0)),10)</f>
        <v>2980</v>
      </c>
      <c r="I16" s="21" t="n">
        <v>2400</v>
      </c>
      <c r="J16" s="20" t="n">
        <f aca="false">'Fuel &amp; Inputs'!$C$14</f>
        <v>3500</v>
      </c>
      <c r="K16" s="20" t="n">
        <f aca="false">I16+J16</f>
        <v>5900</v>
      </c>
      <c r="L16" s="20" t="n">
        <f aca="false">MROUND(K16+H16,100)</f>
        <v>8900</v>
      </c>
      <c r="M16" s="22" t="s">
        <v>1293</v>
      </c>
    </row>
    <row r="17" customFormat="false" ht="15" hidden="false" customHeight="true" outlineLevel="0" collapsed="false">
      <c r="A17" s="23" t="n">
        <v>12</v>
      </c>
      <c r="B17" s="24" t="s">
        <v>1286</v>
      </c>
      <c r="C17" s="34" t="s">
        <v>1294</v>
      </c>
      <c r="D17" s="34" t="s">
        <v>1295</v>
      </c>
      <c r="E17" s="34" t="s">
        <v>1296</v>
      </c>
      <c r="F17" s="25" t="n">
        <v>0</v>
      </c>
      <c r="G17" s="39" t="n">
        <v>8</v>
      </c>
      <c r="H17" s="26" t="n">
        <f aca="false">MROUND(F17*G17*IF(ISNUMBER(SEARCH("Diesel",D17)),'Fuel &amp; Inputs'!$C$4,IF(ISNUMBER(SEARCH("Petrol",D17)),'Fuel &amp; Inputs'!$C$5,0)),10)</f>
        <v>0</v>
      </c>
      <c r="I17" s="27" t="n">
        <v>4500</v>
      </c>
      <c r="J17" s="26" t="n">
        <f aca="false">'Fuel &amp; Inputs'!$C$14</f>
        <v>3500</v>
      </c>
      <c r="K17" s="26" t="n">
        <f aca="false">I17+J17</f>
        <v>8000</v>
      </c>
      <c r="L17" s="26" t="n">
        <f aca="false">MROUND(K17+H17,100)</f>
        <v>8000</v>
      </c>
      <c r="M17" s="28" t="s">
        <v>1293</v>
      </c>
    </row>
    <row r="18" customFormat="false" ht="15" hidden="false" customHeight="true" outlineLevel="0" collapsed="false">
      <c r="A18" s="17" t="n">
        <v>13</v>
      </c>
      <c r="B18" s="18" t="s">
        <v>1286</v>
      </c>
      <c r="C18" s="32" t="s">
        <v>1297</v>
      </c>
      <c r="D18" s="32" t="s">
        <v>1263</v>
      </c>
      <c r="E18" s="32" t="s">
        <v>1298</v>
      </c>
      <c r="F18" s="19" t="n">
        <v>5.5</v>
      </c>
      <c r="G18" s="38" t="n">
        <v>6</v>
      </c>
      <c r="H18" s="20" t="n">
        <f aca="false">MROUND(F18*G18*IF(ISNUMBER(SEARCH("Diesel",D18)),'Fuel &amp; Inputs'!$C$4,IF(ISNUMBER(SEARCH("Petrol",D18)),'Fuel &amp; Inputs'!$C$5,0)),10)</f>
        <v>12610</v>
      </c>
      <c r="I18" s="21" t="n">
        <v>11000</v>
      </c>
      <c r="J18" s="20" t="n">
        <f aca="false">'Fuel &amp; Inputs'!$C$14</f>
        <v>3500</v>
      </c>
      <c r="K18" s="20" t="n">
        <f aca="false">I18+J18</f>
        <v>14500</v>
      </c>
      <c r="L18" s="20" t="n">
        <f aca="false">MROUND(K18+H18,100)</f>
        <v>27100</v>
      </c>
      <c r="M18" s="22" t="s">
        <v>1299</v>
      </c>
    </row>
    <row r="19" customFormat="false" ht="15" hidden="false" customHeight="true" outlineLevel="0" collapsed="false">
      <c r="A19" s="23" t="n">
        <v>14</v>
      </c>
      <c r="B19" s="24" t="s">
        <v>1286</v>
      </c>
      <c r="C19" s="34" t="s">
        <v>1300</v>
      </c>
      <c r="D19" s="34" t="s">
        <v>1263</v>
      </c>
      <c r="E19" s="34" t="s">
        <v>1301</v>
      </c>
      <c r="F19" s="25" t="n">
        <v>11</v>
      </c>
      <c r="G19" s="39" t="n">
        <v>6</v>
      </c>
      <c r="H19" s="26" t="n">
        <f aca="false">MROUND(F19*G19*IF(ISNUMBER(SEARCH("Diesel",D19)),'Fuel &amp; Inputs'!$C$4,IF(ISNUMBER(SEARCH("Petrol",D19)),'Fuel &amp; Inputs'!$C$5,0)),10)</f>
        <v>25210</v>
      </c>
      <c r="I19" s="27" t="n">
        <v>18000</v>
      </c>
      <c r="J19" s="26" t="n">
        <f aca="false">'Fuel &amp; Inputs'!$C$14</f>
        <v>3500</v>
      </c>
      <c r="K19" s="26" t="n">
        <f aca="false">I19+J19</f>
        <v>21500</v>
      </c>
      <c r="L19" s="26" t="n">
        <f aca="false">MROUND(K19+H19,100)</f>
        <v>46700</v>
      </c>
      <c r="M19" s="28" t="s">
        <v>1299</v>
      </c>
    </row>
    <row r="20" customFormat="false" ht="23.25" hidden="false" customHeight="true" outlineLevel="0" collapsed="false">
      <c r="A20" s="17" t="n">
        <v>15</v>
      </c>
      <c r="B20" s="18" t="s">
        <v>1302</v>
      </c>
      <c r="C20" s="32" t="s">
        <v>1303</v>
      </c>
      <c r="D20" s="32" t="s">
        <v>1304</v>
      </c>
      <c r="E20" s="32" t="s">
        <v>1305</v>
      </c>
      <c r="F20" s="19" t="n">
        <v>0</v>
      </c>
      <c r="G20" s="38" t="n">
        <v>0</v>
      </c>
      <c r="H20" s="20" t="n">
        <f aca="false">MROUND(F20*G20*IF(ISNUMBER(SEARCH("Diesel",D20)),'Fuel &amp; Inputs'!$C$4,IF(ISNUMBER(SEARCH("Petrol",D20)),'Fuel &amp; Inputs'!$C$5,0)),10)</f>
        <v>0</v>
      </c>
      <c r="I20" s="21" t="n">
        <v>4000</v>
      </c>
      <c r="J20" s="20" t="n">
        <f aca="false">'Fuel &amp; Inputs'!$C$14</f>
        <v>3500</v>
      </c>
      <c r="K20" s="20" t="n">
        <f aca="false">I20+J20</f>
        <v>7500</v>
      </c>
      <c r="L20" s="20" t="n">
        <f aca="false">MROUND(K20+H20,100)</f>
        <v>7500</v>
      </c>
      <c r="M20" s="22" t="s">
        <v>1306</v>
      </c>
    </row>
    <row r="21" customFormat="false" ht="15" hidden="false" customHeight="true" outlineLevel="0" collapsed="false">
      <c r="A21" s="23" t="n">
        <v>16</v>
      </c>
      <c r="B21" s="24" t="s">
        <v>1307</v>
      </c>
      <c r="C21" s="34" t="s">
        <v>1308</v>
      </c>
      <c r="D21" s="34" t="s">
        <v>1309</v>
      </c>
      <c r="E21" s="34" t="s">
        <v>1310</v>
      </c>
      <c r="F21" s="25" t="n">
        <v>0</v>
      </c>
      <c r="G21" s="39" t="n">
        <v>8</v>
      </c>
      <c r="H21" s="26" t="n">
        <f aca="false">MROUND(F21*G21*IF(ISNUMBER(SEARCH("Diesel",D21)),'Fuel &amp; Inputs'!$C$4,IF(ISNUMBER(SEARCH("Petrol",D21)),'Fuel &amp; Inputs'!$C$5,0)),10)</f>
        <v>0</v>
      </c>
      <c r="I21" s="27" t="n">
        <v>1800</v>
      </c>
      <c r="J21" s="26" t="n">
        <f aca="false">'Fuel &amp; Inputs'!$C$15</f>
        <v>5000</v>
      </c>
      <c r="K21" s="26" t="n">
        <f aca="false">I21+J21</f>
        <v>6800</v>
      </c>
      <c r="L21" s="26" t="n">
        <f aca="false">MROUND(K21+H21,100)</f>
        <v>6800</v>
      </c>
      <c r="M21" s="28" t="s">
        <v>1290</v>
      </c>
    </row>
    <row r="22" customFormat="false" ht="15" hidden="false" customHeight="true" outlineLevel="0" collapsed="false">
      <c r="A22" s="17" t="n">
        <v>17</v>
      </c>
      <c r="B22" s="18" t="s">
        <v>1311</v>
      </c>
      <c r="C22" s="32" t="s">
        <v>1312</v>
      </c>
      <c r="D22" s="32" t="s">
        <v>1259</v>
      </c>
      <c r="E22" s="32" t="s">
        <v>1313</v>
      </c>
      <c r="F22" s="19" t="n">
        <v>1.8</v>
      </c>
      <c r="G22" s="38" t="n">
        <v>5</v>
      </c>
      <c r="H22" s="20" t="n">
        <f aca="false">MROUND(F22*G22*IF(ISNUMBER(SEARCH("Diesel",D22)),'Fuel &amp; Inputs'!$C$4,IF(ISNUMBER(SEARCH("Petrol",D22)),'Fuel &amp; Inputs'!$C$5,0)),10)</f>
        <v>3730</v>
      </c>
      <c r="I22" s="21" t="n">
        <v>5500</v>
      </c>
      <c r="J22" s="20" t="n">
        <f aca="false">'Fuel &amp; Inputs'!$C$15</f>
        <v>5000</v>
      </c>
      <c r="K22" s="20" t="n">
        <f aca="false">I22+J22</f>
        <v>10500</v>
      </c>
      <c r="L22" s="20" t="n">
        <f aca="false">MROUND(K22+H22,100)</f>
        <v>14200</v>
      </c>
      <c r="M22" s="22" t="s">
        <v>1314</v>
      </c>
    </row>
    <row r="23" customFormat="false" ht="15" hidden="false" customHeight="true" outlineLevel="0" collapsed="false">
      <c r="A23" s="23" t="n">
        <v>18</v>
      </c>
      <c r="B23" s="24" t="s">
        <v>1311</v>
      </c>
      <c r="C23" s="34" t="s">
        <v>1315</v>
      </c>
      <c r="D23" s="34" t="s">
        <v>1263</v>
      </c>
      <c r="E23" s="34" t="s">
        <v>1316</v>
      </c>
      <c r="F23" s="25" t="n">
        <v>2.5</v>
      </c>
      <c r="G23" s="39" t="n">
        <v>5</v>
      </c>
      <c r="H23" s="26" t="n">
        <f aca="false">MROUND(F23*G23*IF(ISNUMBER(SEARCH("Diesel",D23)),'Fuel &amp; Inputs'!$C$4,IF(ISNUMBER(SEARCH("Petrol",D23)),'Fuel &amp; Inputs'!$C$5,0)),10)</f>
        <v>4780</v>
      </c>
      <c r="I23" s="27" t="n">
        <v>6500</v>
      </c>
      <c r="J23" s="26" t="n">
        <f aca="false">'Fuel &amp; Inputs'!$C$15</f>
        <v>5000</v>
      </c>
      <c r="K23" s="26" t="n">
        <f aca="false">I23+J23</f>
        <v>11500</v>
      </c>
      <c r="L23" s="26" t="n">
        <f aca="false">MROUND(K23+H23,100)</f>
        <v>16300</v>
      </c>
      <c r="M23" s="28" t="s">
        <v>1317</v>
      </c>
    </row>
    <row r="24" customFormat="false" ht="15" hidden="false" customHeight="true" outlineLevel="0" collapsed="false">
      <c r="A24" s="17" t="n">
        <v>19</v>
      </c>
      <c r="B24" s="18" t="s">
        <v>1311</v>
      </c>
      <c r="C24" s="32" t="s">
        <v>1318</v>
      </c>
      <c r="D24" s="32" t="s">
        <v>1263</v>
      </c>
      <c r="E24" s="32" t="s">
        <v>1319</v>
      </c>
      <c r="F24" s="19" t="n">
        <v>4</v>
      </c>
      <c r="G24" s="38" t="n">
        <v>5</v>
      </c>
      <c r="H24" s="20" t="n">
        <f aca="false">MROUND(F24*G24*IF(ISNUMBER(SEARCH("Diesel",D24)),'Fuel &amp; Inputs'!$C$4,IF(ISNUMBER(SEARCH("Petrol",D24)),'Fuel &amp; Inputs'!$C$5,0)),10)</f>
        <v>7640</v>
      </c>
      <c r="I24" s="21" t="n">
        <v>9000</v>
      </c>
      <c r="J24" s="20" t="n">
        <f aca="false">'Fuel &amp; Inputs'!$C$15</f>
        <v>5000</v>
      </c>
      <c r="K24" s="20" t="n">
        <f aca="false">I24+J24</f>
        <v>14000</v>
      </c>
      <c r="L24" s="20" t="n">
        <f aca="false">MROUND(K24+H24,100)</f>
        <v>21600</v>
      </c>
      <c r="M24" s="22" t="s">
        <v>1320</v>
      </c>
    </row>
    <row r="25" customFormat="false" ht="15" hidden="false" customHeight="true" outlineLevel="0" collapsed="false">
      <c r="A25" s="23" t="n">
        <v>20</v>
      </c>
      <c r="B25" s="24" t="s">
        <v>1321</v>
      </c>
      <c r="C25" s="34" t="s">
        <v>1322</v>
      </c>
      <c r="D25" s="34" t="s">
        <v>1323</v>
      </c>
      <c r="E25" s="34" t="s">
        <v>1324</v>
      </c>
      <c r="F25" s="25" t="n">
        <v>0</v>
      </c>
      <c r="G25" s="39" t="n">
        <v>0</v>
      </c>
      <c r="H25" s="26" t="n">
        <f aca="false">MROUND(F25*G25*IF(ISNUMBER(SEARCH("Diesel",D25)),'Fuel &amp; Inputs'!$C$4,IF(ISNUMBER(SEARCH("Petrol",D25)),'Fuel &amp; Inputs'!$C$5,0)),10)</f>
        <v>0</v>
      </c>
      <c r="I25" s="27" t="n">
        <v>3800</v>
      </c>
      <c r="J25" s="26" t="n">
        <f aca="false">'Fuel &amp; Inputs'!$C$15</f>
        <v>5000</v>
      </c>
      <c r="K25" s="26" t="n">
        <f aca="false">I25+J25</f>
        <v>8800</v>
      </c>
      <c r="L25" s="26" t="n">
        <f aca="false">MROUND(K25+H25,100)</f>
        <v>8800</v>
      </c>
      <c r="M25" s="28" t="s">
        <v>1325</v>
      </c>
    </row>
    <row r="26" customFormat="false" ht="15" hidden="false" customHeight="true" outlineLevel="0" collapsed="false">
      <c r="A26" s="31" t="s">
        <v>1326</v>
      </c>
      <c r="B26" s="31"/>
      <c r="C26" s="31"/>
      <c r="D26" s="31"/>
      <c r="E26" s="31"/>
      <c r="F26" s="31"/>
      <c r="G26" s="31"/>
      <c r="H26" s="31"/>
      <c r="I26" s="31"/>
      <c r="J26" s="31"/>
      <c r="K26" s="31"/>
      <c r="L26" s="31"/>
      <c r="M26" s="31"/>
    </row>
    <row r="27" customFormat="false" ht="25.5" hidden="false" customHeight="true" outlineLevel="0" collapsed="false">
      <c r="A27" s="16" t="s">
        <v>52</v>
      </c>
      <c r="B27" s="16" t="s">
        <v>1245</v>
      </c>
      <c r="C27" s="16" t="s">
        <v>1246</v>
      </c>
      <c r="D27" s="16" t="s">
        <v>1247</v>
      </c>
      <c r="E27" s="16" t="s">
        <v>1248</v>
      </c>
      <c r="F27" s="16" t="s">
        <v>1249</v>
      </c>
      <c r="G27" s="16" t="s">
        <v>1250</v>
      </c>
      <c r="H27" s="16" t="s">
        <v>1251</v>
      </c>
      <c r="I27" s="16" t="s">
        <v>1252</v>
      </c>
      <c r="J27" s="16" t="s">
        <v>1253</v>
      </c>
      <c r="K27" s="16" t="s">
        <v>1254</v>
      </c>
      <c r="L27" s="16" t="s">
        <v>1255</v>
      </c>
      <c r="M27" s="16" t="s">
        <v>1256</v>
      </c>
    </row>
    <row r="28" customFormat="false" ht="15" hidden="false" customHeight="true" outlineLevel="0" collapsed="false">
      <c r="A28" s="17" t="n">
        <v>21</v>
      </c>
      <c r="B28" s="18" t="s">
        <v>1327</v>
      </c>
      <c r="C28" s="32" t="s">
        <v>1328</v>
      </c>
      <c r="D28" s="32" t="s">
        <v>1259</v>
      </c>
      <c r="E28" s="32" t="s">
        <v>1329</v>
      </c>
      <c r="F28" s="19" t="n">
        <v>0.9</v>
      </c>
      <c r="G28" s="38" t="n">
        <v>5</v>
      </c>
      <c r="H28" s="20" t="n">
        <f aca="false">MROUND(F28*G28*IF(ISNUMBER(SEARCH("Diesel",D28)),'Fuel &amp; Inputs'!$C$4,IF(ISNUMBER(SEARCH("Petrol",D28)),'Fuel &amp; Inputs'!$C$5,0)),10)</f>
        <v>1860</v>
      </c>
      <c r="I28" s="21" t="n">
        <v>2000</v>
      </c>
      <c r="J28" s="20" t="n">
        <f aca="false">'Fuel &amp; Inputs'!$C$14</f>
        <v>3500</v>
      </c>
      <c r="K28" s="20" t="n">
        <f aca="false">I28+J28</f>
        <v>5500</v>
      </c>
      <c r="L28" s="20" t="n">
        <f aca="false">MROUND(K28+H28,100)</f>
        <v>7400</v>
      </c>
      <c r="M28" s="22" t="s">
        <v>1330</v>
      </c>
    </row>
    <row r="29" customFormat="false" ht="15" hidden="false" customHeight="true" outlineLevel="0" collapsed="false">
      <c r="A29" s="23" t="n">
        <v>22</v>
      </c>
      <c r="B29" s="24" t="s">
        <v>1327</v>
      </c>
      <c r="C29" s="34" t="s">
        <v>1331</v>
      </c>
      <c r="D29" s="34" t="s">
        <v>1263</v>
      </c>
      <c r="E29" s="34" t="s">
        <v>1332</v>
      </c>
      <c r="F29" s="25" t="n">
        <v>1.3</v>
      </c>
      <c r="G29" s="39" t="n">
        <v>5</v>
      </c>
      <c r="H29" s="26" t="n">
        <f aca="false">MROUND(F29*G29*IF(ISNUMBER(SEARCH("Diesel",D29)),'Fuel &amp; Inputs'!$C$4,IF(ISNUMBER(SEARCH("Petrol",D29)),'Fuel &amp; Inputs'!$C$5,0)),10)</f>
        <v>2480</v>
      </c>
      <c r="I29" s="27" t="n">
        <v>3000</v>
      </c>
      <c r="J29" s="26" t="n">
        <f aca="false">'Fuel &amp; Inputs'!$C$14</f>
        <v>3500</v>
      </c>
      <c r="K29" s="26" t="n">
        <f aca="false">I29+J29</f>
        <v>6500</v>
      </c>
      <c r="L29" s="26" t="n">
        <f aca="false">MROUND(K29+H29,100)</f>
        <v>9000</v>
      </c>
      <c r="M29" s="28" t="s">
        <v>1330</v>
      </c>
    </row>
    <row r="30" customFormat="false" ht="15" hidden="false" customHeight="true" outlineLevel="0" collapsed="false">
      <c r="A30" s="17" t="n">
        <v>23</v>
      </c>
      <c r="B30" s="18" t="s">
        <v>1327</v>
      </c>
      <c r="C30" s="32" t="s">
        <v>1333</v>
      </c>
      <c r="D30" s="32" t="s">
        <v>1263</v>
      </c>
      <c r="E30" s="32" t="s">
        <v>1334</v>
      </c>
      <c r="F30" s="19" t="n">
        <v>1.6</v>
      </c>
      <c r="G30" s="38" t="n">
        <v>5</v>
      </c>
      <c r="H30" s="20" t="n">
        <f aca="false">MROUND(F30*G30*IF(ISNUMBER(SEARCH("Diesel",D30)),'Fuel &amp; Inputs'!$C$4,IF(ISNUMBER(SEARCH("Petrol",D30)),'Fuel &amp; Inputs'!$C$5,0)),10)</f>
        <v>3060</v>
      </c>
      <c r="I30" s="21" t="n">
        <v>4500</v>
      </c>
      <c r="J30" s="20" t="n">
        <f aca="false">'Fuel &amp; Inputs'!$C$14</f>
        <v>3500</v>
      </c>
      <c r="K30" s="20" t="n">
        <f aca="false">I30+J30</f>
        <v>8000</v>
      </c>
      <c r="L30" s="20" t="n">
        <f aca="false">MROUND(K30+H30,100)</f>
        <v>11100</v>
      </c>
      <c r="M30" s="22" t="s">
        <v>1335</v>
      </c>
    </row>
    <row r="31" customFormat="false" ht="15" hidden="false" customHeight="true" outlineLevel="0" collapsed="false">
      <c r="A31" s="23" t="n">
        <v>24</v>
      </c>
      <c r="B31" s="24" t="s">
        <v>1336</v>
      </c>
      <c r="C31" s="34" t="s">
        <v>1337</v>
      </c>
      <c r="D31" s="34" t="s">
        <v>1338</v>
      </c>
      <c r="E31" s="34" t="s">
        <v>1339</v>
      </c>
      <c r="F31" s="25" t="n">
        <v>0</v>
      </c>
      <c r="G31" s="39" t="n">
        <v>4</v>
      </c>
      <c r="H31" s="26" t="n">
        <f aca="false">MROUND(F31*G31*IF(ISNUMBER(SEARCH("Diesel",D31)),'Fuel &amp; Inputs'!$C$4,IF(ISNUMBER(SEARCH("Petrol",D31)),'Fuel &amp; Inputs'!$C$5,0)),10)</f>
        <v>0</v>
      </c>
      <c r="I31" s="27" t="n">
        <v>1200</v>
      </c>
      <c r="J31" s="26" t="n">
        <f aca="false">'Fuel &amp; Inputs'!$C$14</f>
        <v>3500</v>
      </c>
      <c r="K31" s="26" t="n">
        <f aca="false">I31+J31</f>
        <v>4700</v>
      </c>
      <c r="L31" s="26" t="n">
        <f aca="false">MROUND(K31+H31,100)</f>
        <v>4700</v>
      </c>
      <c r="M31" s="28" t="s">
        <v>1340</v>
      </c>
    </row>
    <row r="32" customFormat="false" ht="15" hidden="false" customHeight="true" outlineLevel="0" collapsed="false">
      <c r="A32" s="17" t="n">
        <v>25</v>
      </c>
      <c r="B32" s="18" t="s">
        <v>1336</v>
      </c>
      <c r="C32" s="32" t="s">
        <v>1341</v>
      </c>
      <c r="D32" s="32" t="s">
        <v>1342</v>
      </c>
      <c r="E32" s="32" t="s">
        <v>1343</v>
      </c>
      <c r="F32" s="19" t="n">
        <v>1</v>
      </c>
      <c r="G32" s="38" t="n">
        <v>4</v>
      </c>
      <c r="H32" s="20" t="n">
        <f aca="false">MROUND(F32*G32*IF(ISNUMBER(SEARCH("Diesel",D32)),'Fuel &amp; Inputs'!$C$4,IF(ISNUMBER(SEARCH("Petrol",D32)),'Fuel &amp; Inputs'!$C$5,0)),10)</f>
        <v>1660</v>
      </c>
      <c r="I32" s="21" t="n">
        <v>1700</v>
      </c>
      <c r="J32" s="20" t="n">
        <f aca="false">'Fuel &amp; Inputs'!$C$14</f>
        <v>3500</v>
      </c>
      <c r="K32" s="20" t="n">
        <f aca="false">I32+J32</f>
        <v>5200</v>
      </c>
      <c r="L32" s="20" t="n">
        <f aca="false">MROUND(K32+H32,100)</f>
        <v>6900</v>
      </c>
      <c r="M32" s="22" t="s">
        <v>1340</v>
      </c>
    </row>
    <row r="33" customFormat="false" ht="15" hidden="false" customHeight="true" outlineLevel="0" collapsed="false">
      <c r="A33" s="23" t="n">
        <v>26</v>
      </c>
      <c r="B33" s="24" t="s">
        <v>1336</v>
      </c>
      <c r="C33" s="34" t="s">
        <v>1344</v>
      </c>
      <c r="D33" s="34" t="s">
        <v>223</v>
      </c>
      <c r="E33" s="34" t="s">
        <v>1345</v>
      </c>
      <c r="F33" s="25" t="n">
        <v>0</v>
      </c>
      <c r="G33" s="39" t="n">
        <v>0</v>
      </c>
      <c r="H33" s="26" t="n">
        <f aca="false">MROUND(F33*G33*IF(ISNUMBER(SEARCH("Diesel",D33)),'Fuel &amp; Inputs'!$C$4,IF(ISNUMBER(SEARCH("Petrol",D33)),'Fuel &amp; Inputs'!$C$5,0)),10)</f>
        <v>0</v>
      </c>
      <c r="I33" s="27" t="n">
        <v>500</v>
      </c>
      <c r="J33" s="27" t="n">
        <v>0</v>
      </c>
      <c r="K33" s="26" t="n">
        <f aca="false">I33+J33</f>
        <v>500</v>
      </c>
      <c r="L33" s="26" t="n">
        <f aca="false">MROUND(K33+H33,100)</f>
        <v>500</v>
      </c>
      <c r="M33" s="28" t="s">
        <v>1346</v>
      </c>
    </row>
    <row r="34" customFormat="false" ht="15" hidden="false" customHeight="true" outlineLevel="0" collapsed="false">
      <c r="A34" s="17" t="n">
        <v>27</v>
      </c>
      <c r="B34" s="18" t="s">
        <v>1347</v>
      </c>
      <c r="C34" s="32" t="s">
        <v>1348</v>
      </c>
      <c r="D34" s="32" t="s">
        <v>1349</v>
      </c>
      <c r="E34" s="32" t="s">
        <v>1350</v>
      </c>
      <c r="F34" s="19" t="n">
        <v>0</v>
      </c>
      <c r="G34" s="38" t="n">
        <v>4</v>
      </c>
      <c r="H34" s="20" t="n">
        <f aca="false">MROUND(F34*G34*IF(ISNUMBER(SEARCH("Diesel",D34)),'Fuel &amp; Inputs'!$C$4,IF(ISNUMBER(SEARCH("Petrol",D34)),'Fuel &amp; Inputs'!$C$5,0)),10)</f>
        <v>0</v>
      </c>
      <c r="I34" s="21" t="n">
        <v>3500</v>
      </c>
      <c r="J34" s="20" t="n">
        <f aca="false">'Fuel &amp; Inputs'!$C$14</f>
        <v>3500</v>
      </c>
      <c r="K34" s="20" t="n">
        <f aca="false">I34+J34</f>
        <v>7000</v>
      </c>
      <c r="L34" s="20" t="n">
        <f aca="false">MROUND(K34+H34,100)</f>
        <v>7000</v>
      </c>
      <c r="M34" s="22" t="s">
        <v>1351</v>
      </c>
    </row>
    <row r="35" customFormat="false" ht="15" hidden="false" customHeight="true" outlineLevel="0" collapsed="false">
      <c r="A35" s="23" t="n">
        <v>28</v>
      </c>
      <c r="B35" s="24" t="s">
        <v>1347</v>
      </c>
      <c r="C35" s="34" t="s">
        <v>1352</v>
      </c>
      <c r="D35" s="34" t="s">
        <v>1353</v>
      </c>
      <c r="E35" s="34" t="s">
        <v>1354</v>
      </c>
      <c r="F35" s="25" t="n">
        <v>0</v>
      </c>
      <c r="G35" s="39" t="n">
        <v>4</v>
      </c>
      <c r="H35" s="26" t="n">
        <f aca="false">MROUND(F35*G35*IF(ISNUMBER(SEARCH("Diesel",D35)),'Fuel &amp; Inputs'!$C$4,IF(ISNUMBER(SEARCH("Petrol",D35)),'Fuel &amp; Inputs'!$C$5,0)),10)</f>
        <v>0</v>
      </c>
      <c r="I35" s="27" t="n">
        <v>4500</v>
      </c>
      <c r="J35" s="26" t="n">
        <f aca="false">'Fuel &amp; Inputs'!$C$14</f>
        <v>3500</v>
      </c>
      <c r="K35" s="26" t="n">
        <f aca="false">I35+J35</f>
        <v>8000</v>
      </c>
      <c r="L35" s="26" t="n">
        <f aca="false">MROUND(K35+H35,100)</f>
        <v>8000</v>
      </c>
      <c r="M35" s="28" t="s">
        <v>1355</v>
      </c>
    </row>
    <row r="36" customFormat="false" ht="15" hidden="false" customHeight="true" outlineLevel="0" collapsed="false">
      <c r="A36" s="17" t="n">
        <v>29</v>
      </c>
      <c r="B36" s="18" t="s">
        <v>1347</v>
      </c>
      <c r="C36" s="32" t="s">
        <v>1356</v>
      </c>
      <c r="D36" s="32" t="s">
        <v>1357</v>
      </c>
      <c r="E36" s="32" t="s">
        <v>1358</v>
      </c>
      <c r="F36" s="19" t="n">
        <v>0</v>
      </c>
      <c r="G36" s="38" t="n">
        <v>4</v>
      </c>
      <c r="H36" s="20" t="n">
        <f aca="false">MROUND(F36*G36*IF(ISNUMBER(SEARCH("Diesel",D36)),'Fuel &amp; Inputs'!$C$4,IF(ISNUMBER(SEARCH("Petrol",D36)),'Fuel &amp; Inputs'!$C$5,0)),10)</f>
        <v>0</v>
      </c>
      <c r="I36" s="21" t="n">
        <v>6000</v>
      </c>
      <c r="J36" s="20" t="n">
        <f aca="false">'Fuel &amp; Inputs'!$C$14</f>
        <v>3500</v>
      </c>
      <c r="K36" s="20" t="n">
        <f aca="false">I36+J36</f>
        <v>9500</v>
      </c>
      <c r="L36" s="20" t="n">
        <f aca="false">MROUND(K36+H36,100)</f>
        <v>9500</v>
      </c>
      <c r="M36" s="22" t="s">
        <v>1359</v>
      </c>
    </row>
    <row r="37" customFormat="false" ht="15" hidden="false" customHeight="true" outlineLevel="0" collapsed="false">
      <c r="A37" s="23" t="n">
        <v>30</v>
      </c>
      <c r="B37" s="24" t="s">
        <v>1360</v>
      </c>
      <c r="C37" s="34" t="s">
        <v>1361</v>
      </c>
      <c r="D37" s="34" t="s">
        <v>1362</v>
      </c>
      <c r="E37" s="34" t="s">
        <v>1363</v>
      </c>
      <c r="F37" s="25" t="n">
        <v>0</v>
      </c>
      <c r="G37" s="39" t="n">
        <v>4</v>
      </c>
      <c r="H37" s="26" t="n">
        <f aca="false">MROUND(F37*G37*IF(ISNUMBER(SEARCH("Diesel",D37)),'Fuel &amp; Inputs'!$C$4,IF(ISNUMBER(SEARCH("Petrol",D37)),'Fuel &amp; Inputs'!$C$5,0)),10)</f>
        <v>0</v>
      </c>
      <c r="I37" s="27" t="n">
        <v>2500</v>
      </c>
      <c r="J37" s="26" t="n">
        <f aca="false">'Fuel &amp; Inputs'!$C$14</f>
        <v>3500</v>
      </c>
      <c r="K37" s="26" t="n">
        <f aca="false">I37+J37</f>
        <v>6000</v>
      </c>
      <c r="L37" s="26" t="n">
        <f aca="false">MROUND(K37+H37,100)</f>
        <v>6000</v>
      </c>
      <c r="M37" s="28" t="s">
        <v>1359</v>
      </c>
    </row>
    <row r="38" customFormat="false" ht="15" hidden="false" customHeight="true" outlineLevel="0" collapsed="false">
      <c r="A38" s="17" t="n">
        <v>31</v>
      </c>
      <c r="B38" s="18" t="s">
        <v>1364</v>
      </c>
      <c r="C38" s="32" t="s">
        <v>1348</v>
      </c>
      <c r="D38" s="32" t="s">
        <v>1349</v>
      </c>
      <c r="E38" s="32" t="s">
        <v>1365</v>
      </c>
      <c r="F38" s="19" t="n">
        <v>0</v>
      </c>
      <c r="G38" s="38" t="n">
        <v>4</v>
      </c>
      <c r="H38" s="20" t="n">
        <f aca="false">MROUND(F38*G38*IF(ISNUMBER(SEARCH("Diesel",D38)),'Fuel &amp; Inputs'!$C$4,IF(ISNUMBER(SEARCH("Petrol",D38)),'Fuel &amp; Inputs'!$C$5,0)),10)</f>
        <v>0</v>
      </c>
      <c r="I38" s="21" t="n">
        <v>3500</v>
      </c>
      <c r="J38" s="20" t="n">
        <f aca="false">'Fuel &amp; Inputs'!$C$14</f>
        <v>3500</v>
      </c>
      <c r="K38" s="20" t="n">
        <f aca="false">I38+J38</f>
        <v>7000</v>
      </c>
      <c r="L38" s="20" t="n">
        <f aca="false">MROUND(K38+H38,100)</f>
        <v>7000</v>
      </c>
      <c r="M38" s="22" t="s">
        <v>1366</v>
      </c>
    </row>
    <row r="39" customFormat="false" ht="15" hidden="false" customHeight="true" outlineLevel="0" collapsed="false">
      <c r="A39" s="23" t="n">
        <v>32</v>
      </c>
      <c r="B39" s="24" t="s">
        <v>1364</v>
      </c>
      <c r="C39" s="34" t="s">
        <v>1352</v>
      </c>
      <c r="D39" s="34" t="s">
        <v>1353</v>
      </c>
      <c r="E39" s="34" t="s">
        <v>1367</v>
      </c>
      <c r="F39" s="25" t="n">
        <v>0</v>
      </c>
      <c r="G39" s="39" t="n">
        <v>4</v>
      </c>
      <c r="H39" s="26" t="n">
        <f aca="false">MROUND(F39*G39*IF(ISNUMBER(SEARCH("Diesel",D39)),'Fuel &amp; Inputs'!$C$4,IF(ISNUMBER(SEARCH("Petrol",D39)),'Fuel &amp; Inputs'!$C$5,0)),10)</f>
        <v>0</v>
      </c>
      <c r="I39" s="27" t="n">
        <v>4500</v>
      </c>
      <c r="J39" s="26" t="n">
        <f aca="false">'Fuel &amp; Inputs'!$C$14</f>
        <v>3500</v>
      </c>
      <c r="K39" s="26" t="n">
        <f aca="false">I39+J39</f>
        <v>8000</v>
      </c>
      <c r="L39" s="26" t="n">
        <f aca="false">MROUND(K39+H39,100)</f>
        <v>8000</v>
      </c>
      <c r="M39" s="28" t="s">
        <v>1368</v>
      </c>
    </row>
    <row r="40" customFormat="false" ht="15" hidden="false" customHeight="true" outlineLevel="0" collapsed="false">
      <c r="A40" s="17" t="n">
        <v>33</v>
      </c>
      <c r="B40" s="18" t="s">
        <v>1364</v>
      </c>
      <c r="C40" s="32" t="s">
        <v>1369</v>
      </c>
      <c r="D40" s="32" t="s">
        <v>1357</v>
      </c>
      <c r="E40" s="32" t="s">
        <v>1370</v>
      </c>
      <c r="F40" s="19" t="n">
        <v>0</v>
      </c>
      <c r="G40" s="38" t="n">
        <v>4</v>
      </c>
      <c r="H40" s="20" t="n">
        <f aca="false">MROUND(F40*G40*IF(ISNUMBER(SEARCH("Diesel",D40)),'Fuel &amp; Inputs'!$C$4,IF(ISNUMBER(SEARCH("Petrol",D40)),'Fuel &amp; Inputs'!$C$5,0)),10)</f>
        <v>0</v>
      </c>
      <c r="I40" s="21" t="n">
        <v>6000</v>
      </c>
      <c r="J40" s="20" t="n">
        <f aca="false">'Fuel &amp; Inputs'!$C$14</f>
        <v>3500</v>
      </c>
      <c r="K40" s="20" t="n">
        <f aca="false">I40+J40</f>
        <v>9500</v>
      </c>
      <c r="L40" s="20" t="n">
        <f aca="false">MROUND(K40+H40,100)</f>
        <v>9500</v>
      </c>
      <c r="M40" s="22" t="s">
        <v>1371</v>
      </c>
    </row>
    <row r="41" customFormat="false" ht="15" hidden="false" customHeight="true" outlineLevel="0" collapsed="false">
      <c r="A41" s="23" t="n">
        <v>34</v>
      </c>
      <c r="B41" s="24" t="s">
        <v>1372</v>
      </c>
      <c r="C41" s="34" t="s">
        <v>1373</v>
      </c>
      <c r="D41" s="34" t="s">
        <v>1342</v>
      </c>
      <c r="E41" s="34" t="s">
        <v>1374</v>
      </c>
      <c r="F41" s="25" t="n">
        <v>1</v>
      </c>
      <c r="G41" s="39" t="n">
        <v>4</v>
      </c>
      <c r="H41" s="26" t="n">
        <f aca="false">MROUND(F41*G41*IF(ISNUMBER(SEARCH("Diesel",D41)),'Fuel &amp; Inputs'!$C$4,IF(ISNUMBER(SEARCH("Petrol",D41)),'Fuel &amp; Inputs'!$C$5,0)),10)</f>
        <v>1660</v>
      </c>
      <c r="I41" s="27" t="n">
        <v>3800</v>
      </c>
      <c r="J41" s="26" t="n">
        <f aca="false">'Fuel &amp; Inputs'!$C$14</f>
        <v>3500</v>
      </c>
      <c r="K41" s="26" t="n">
        <f aca="false">I41+J41</f>
        <v>7300</v>
      </c>
      <c r="L41" s="26" t="n">
        <f aca="false">MROUND(K41+H41,100)</f>
        <v>9000</v>
      </c>
      <c r="M41" s="28" t="s">
        <v>1335</v>
      </c>
    </row>
    <row r="42" customFormat="false" ht="15" hidden="false" customHeight="true" outlineLevel="0" collapsed="false">
      <c r="A42" s="17" t="n">
        <v>35</v>
      </c>
      <c r="B42" s="18" t="s">
        <v>1375</v>
      </c>
      <c r="C42" s="32" t="s">
        <v>1376</v>
      </c>
      <c r="D42" s="32" t="s">
        <v>1377</v>
      </c>
      <c r="E42" s="32" t="s">
        <v>1378</v>
      </c>
      <c r="F42" s="19" t="n">
        <v>0</v>
      </c>
      <c r="G42" s="38" t="n">
        <v>4</v>
      </c>
      <c r="H42" s="20" t="n">
        <f aca="false">MROUND(F42*G42*IF(ISNUMBER(SEARCH("Diesel",D42)),'Fuel &amp; Inputs'!$C$4,IF(ISNUMBER(SEARCH("Petrol",D42)),'Fuel &amp; Inputs'!$C$5,0)),10)</f>
        <v>0</v>
      </c>
      <c r="I42" s="21" t="n">
        <v>1000</v>
      </c>
      <c r="J42" s="21" t="n">
        <v>0</v>
      </c>
      <c r="K42" s="20" t="n">
        <f aca="false">I42+J42</f>
        <v>1000</v>
      </c>
      <c r="L42" s="20" t="n">
        <f aca="false">MROUND(K42+H42,100)</f>
        <v>1000</v>
      </c>
      <c r="M42" s="22" t="s">
        <v>1379</v>
      </c>
    </row>
    <row r="43" customFormat="false" ht="15" hidden="false" customHeight="true" outlineLevel="0" collapsed="false">
      <c r="A43" s="23" t="n">
        <v>36</v>
      </c>
      <c r="B43" s="24" t="s">
        <v>1375</v>
      </c>
      <c r="C43" s="34" t="s">
        <v>1380</v>
      </c>
      <c r="D43" s="34" t="s">
        <v>1362</v>
      </c>
      <c r="E43" s="34" t="s">
        <v>1381</v>
      </c>
      <c r="F43" s="25" t="n">
        <v>0</v>
      </c>
      <c r="G43" s="39" t="n">
        <v>4</v>
      </c>
      <c r="H43" s="26" t="n">
        <f aca="false">MROUND(F43*G43*IF(ISNUMBER(SEARCH("Diesel",D43)),'Fuel &amp; Inputs'!$C$4,IF(ISNUMBER(SEARCH("Petrol",D43)),'Fuel &amp; Inputs'!$C$5,0)),10)</f>
        <v>0</v>
      </c>
      <c r="I43" s="27" t="n">
        <v>1500</v>
      </c>
      <c r="J43" s="27" t="n">
        <v>0</v>
      </c>
      <c r="K43" s="26" t="n">
        <f aca="false">I43+J43</f>
        <v>1500</v>
      </c>
      <c r="L43" s="26" t="n">
        <f aca="false">MROUND(K43+H43,100)</f>
        <v>1500</v>
      </c>
      <c r="M43" s="28" t="s">
        <v>1359</v>
      </c>
    </row>
    <row r="44" customFormat="false" ht="15" hidden="false" customHeight="true" outlineLevel="0" collapsed="false">
      <c r="A44" s="17" t="n">
        <v>37</v>
      </c>
      <c r="B44" s="18" t="s">
        <v>1382</v>
      </c>
      <c r="C44" s="32" t="s">
        <v>1383</v>
      </c>
      <c r="D44" s="32" t="s">
        <v>1384</v>
      </c>
      <c r="E44" s="32" t="s">
        <v>1385</v>
      </c>
      <c r="F44" s="19" t="n">
        <v>0</v>
      </c>
      <c r="G44" s="38" t="n">
        <v>4</v>
      </c>
      <c r="H44" s="20" t="n">
        <f aca="false">MROUND(F44*G44*IF(ISNUMBER(SEARCH("Diesel",D44)),'Fuel &amp; Inputs'!$C$4,IF(ISNUMBER(SEARCH("Petrol",D44)),'Fuel &amp; Inputs'!$C$5,0)),10)</f>
        <v>0</v>
      </c>
      <c r="I44" s="21" t="n">
        <v>2700</v>
      </c>
      <c r="J44" s="20" t="n">
        <f aca="false">'Fuel &amp; Inputs'!$C$14</f>
        <v>3500</v>
      </c>
      <c r="K44" s="20" t="n">
        <f aca="false">I44+J44</f>
        <v>6200</v>
      </c>
      <c r="L44" s="20" t="n">
        <f aca="false">MROUND(K44+H44,100)</f>
        <v>6200</v>
      </c>
      <c r="M44" s="22" t="s">
        <v>1386</v>
      </c>
    </row>
    <row r="45" customFormat="false" ht="15" hidden="false" customHeight="true" outlineLevel="0" collapsed="false">
      <c r="A45" s="23" t="n">
        <v>38</v>
      </c>
      <c r="B45" s="24" t="s">
        <v>1387</v>
      </c>
      <c r="C45" s="34" t="s">
        <v>1388</v>
      </c>
      <c r="D45" s="34" t="s">
        <v>1389</v>
      </c>
      <c r="E45" s="34" t="s">
        <v>1390</v>
      </c>
      <c r="F45" s="25" t="n">
        <v>0</v>
      </c>
      <c r="G45" s="39" t="n">
        <v>4</v>
      </c>
      <c r="H45" s="26" t="n">
        <f aca="false">MROUND(F45*G45*IF(ISNUMBER(SEARCH("Diesel",D45)),'Fuel &amp; Inputs'!$C$4,IF(ISNUMBER(SEARCH("Petrol",D45)),'Fuel &amp; Inputs'!$C$5,0)),10)</f>
        <v>0</v>
      </c>
      <c r="I45" s="27" t="n">
        <v>2600</v>
      </c>
      <c r="J45" s="27" t="n">
        <v>0</v>
      </c>
      <c r="K45" s="26" t="n">
        <f aca="false">I45+J45</f>
        <v>2600</v>
      </c>
      <c r="L45" s="26" t="n">
        <f aca="false">MROUND(K45+H45,100)</f>
        <v>2600</v>
      </c>
      <c r="M45" s="28" t="s">
        <v>1391</v>
      </c>
    </row>
    <row r="46" customFormat="false" ht="15" hidden="false" customHeight="true" outlineLevel="0" collapsed="false">
      <c r="A46" s="31" t="s">
        <v>1392</v>
      </c>
      <c r="B46" s="31"/>
      <c r="C46" s="31"/>
      <c r="D46" s="31"/>
      <c r="E46" s="31"/>
      <c r="F46" s="31"/>
      <c r="G46" s="31"/>
      <c r="H46" s="31"/>
      <c r="I46" s="31"/>
      <c r="J46" s="31"/>
      <c r="K46" s="31"/>
      <c r="L46" s="31"/>
      <c r="M46" s="31"/>
    </row>
    <row r="47" customFormat="false" ht="25.5" hidden="false" customHeight="true" outlineLevel="0" collapsed="false">
      <c r="A47" s="16" t="s">
        <v>52</v>
      </c>
      <c r="B47" s="16" t="s">
        <v>1245</v>
      </c>
      <c r="C47" s="16" t="s">
        <v>1246</v>
      </c>
      <c r="D47" s="16" t="s">
        <v>1247</v>
      </c>
      <c r="E47" s="16" t="s">
        <v>1248</v>
      </c>
      <c r="F47" s="16" t="s">
        <v>1249</v>
      </c>
      <c r="G47" s="16" t="s">
        <v>1250</v>
      </c>
      <c r="H47" s="16" t="s">
        <v>1251</v>
      </c>
      <c r="I47" s="16" t="s">
        <v>1252</v>
      </c>
      <c r="J47" s="16" t="s">
        <v>1253</v>
      </c>
      <c r="K47" s="16" t="s">
        <v>1254</v>
      </c>
      <c r="L47" s="16" t="s">
        <v>1255</v>
      </c>
      <c r="M47" s="16" t="s">
        <v>1256</v>
      </c>
    </row>
    <row r="48" customFormat="false" ht="15" hidden="false" customHeight="true" outlineLevel="0" collapsed="false">
      <c r="A48" s="17" t="n">
        <v>39</v>
      </c>
      <c r="B48" s="18" t="s">
        <v>1393</v>
      </c>
      <c r="C48" s="32" t="s">
        <v>1394</v>
      </c>
      <c r="D48" s="32" t="s">
        <v>1395</v>
      </c>
      <c r="E48" s="32" t="s">
        <v>1396</v>
      </c>
      <c r="F48" s="19" t="n">
        <v>1.8</v>
      </c>
      <c r="G48" s="38" t="n">
        <v>3</v>
      </c>
      <c r="H48" s="20" t="n">
        <f aca="false">MROUND(F48*G48*IF(ISNUMBER(SEARCH("Diesel",D48)),'Fuel &amp; Inputs'!$C$4,IF(ISNUMBER(SEARCH("Petrol",D48)),'Fuel &amp; Inputs'!$C$5,0)),10)</f>
        <v>2240</v>
      </c>
      <c r="I48" s="21" t="n">
        <v>4500</v>
      </c>
      <c r="J48" s="20" t="n">
        <f aca="false">'Fuel &amp; Inputs'!$C$14</f>
        <v>3500</v>
      </c>
      <c r="K48" s="20" t="n">
        <f aca="false">I48+J48</f>
        <v>8000</v>
      </c>
      <c r="L48" s="20" t="n">
        <f aca="false">MROUND(K48+H48,100)</f>
        <v>10200</v>
      </c>
      <c r="M48" s="22" t="s">
        <v>1397</v>
      </c>
    </row>
    <row r="49" customFormat="false" ht="15" hidden="false" customHeight="true" outlineLevel="0" collapsed="false">
      <c r="A49" s="23" t="n">
        <v>40</v>
      </c>
      <c r="B49" s="24" t="s">
        <v>1393</v>
      </c>
      <c r="C49" s="34" t="s">
        <v>1398</v>
      </c>
      <c r="D49" s="34" t="s">
        <v>1395</v>
      </c>
      <c r="E49" s="34" t="s">
        <v>1399</v>
      </c>
      <c r="F49" s="25" t="n">
        <v>2</v>
      </c>
      <c r="G49" s="39" t="n">
        <v>3</v>
      </c>
      <c r="H49" s="26" t="n">
        <f aca="false">MROUND(F49*G49*IF(ISNUMBER(SEARCH("Diesel",D49)),'Fuel &amp; Inputs'!$C$4,IF(ISNUMBER(SEARCH("Petrol",D49)),'Fuel &amp; Inputs'!$C$5,0)),10)</f>
        <v>2480</v>
      </c>
      <c r="I49" s="27" t="n">
        <v>5500</v>
      </c>
      <c r="J49" s="26" t="n">
        <f aca="false">'Fuel &amp; Inputs'!$C$14</f>
        <v>3500</v>
      </c>
      <c r="K49" s="26" t="n">
        <f aca="false">I49+J49</f>
        <v>9000</v>
      </c>
      <c r="L49" s="26" t="n">
        <f aca="false">MROUND(K49+H49,100)</f>
        <v>11500</v>
      </c>
      <c r="M49" s="28" t="s">
        <v>1397</v>
      </c>
    </row>
    <row r="50" customFormat="false" ht="15" hidden="false" customHeight="true" outlineLevel="0" collapsed="false">
      <c r="A50" s="17" t="n">
        <v>41</v>
      </c>
      <c r="B50" s="18" t="s">
        <v>1393</v>
      </c>
      <c r="C50" s="32" t="s">
        <v>1400</v>
      </c>
      <c r="D50" s="32" t="s">
        <v>1263</v>
      </c>
      <c r="E50" s="32" t="s">
        <v>1401</v>
      </c>
      <c r="F50" s="19" t="n">
        <v>2.5</v>
      </c>
      <c r="G50" s="38" t="n">
        <v>3</v>
      </c>
      <c r="H50" s="20" t="n">
        <f aca="false">MROUND(F50*G50*IF(ISNUMBER(SEARCH("Diesel",D50)),'Fuel &amp; Inputs'!$C$4,IF(ISNUMBER(SEARCH("Petrol",D50)),'Fuel &amp; Inputs'!$C$5,0)),10)</f>
        <v>2870</v>
      </c>
      <c r="I50" s="21" t="n">
        <v>7500</v>
      </c>
      <c r="J50" s="20" t="n">
        <f aca="false">'Fuel &amp; Inputs'!$C$14</f>
        <v>3500</v>
      </c>
      <c r="K50" s="20" t="n">
        <f aca="false">I50+J50</f>
        <v>11000</v>
      </c>
      <c r="L50" s="20" t="n">
        <f aca="false">MROUND(K50+H50,100)</f>
        <v>13900</v>
      </c>
      <c r="M50" s="22" t="s">
        <v>1397</v>
      </c>
    </row>
    <row r="51" customFormat="false" ht="15" hidden="false" customHeight="true" outlineLevel="0" collapsed="false">
      <c r="A51" s="23" t="n">
        <v>42</v>
      </c>
      <c r="B51" s="24" t="s">
        <v>1402</v>
      </c>
      <c r="C51" s="34" t="s">
        <v>1403</v>
      </c>
      <c r="D51" s="34" t="s">
        <v>1259</v>
      </c>
      <c r="E51" s="34" t="s">
        <v>1404</v>
      </c>
      <c r="F51" s="25" t="n">
        <v>1.5</v>
      </c>
      <c r="G51" s="39" t="n">
        <v>3</v>
      </c>
      <c r="H51" s="26" t="n">
        <f aca="false">MROUND(F51*G51*IF(ISNUMBER(SEARCH("Diesel",D51)),'Fuel &amp; Inputs'!$C$4,IF(ISNUMBER(SEARCH("Petrol",D51)),'Fuel &amp; Inputs'!$C$5,0)),10)</f>
        <v>1860</v>
      </c>
      <c r="I51" s="27" t="n">
        <v>3500</v>
      </c>
      <c r="J51" s="26" t="n">
        <f aca="false">'Fuel &amp; Inputs'!$C$14</f>
        <v>3500</v>
      </c>
      <c r="K51" s="26" t="n">
        <f aca="false">I51+J51</f>
        <v>7000</v>
      </c>
      <c r="L51" s="26" t="n">
        <f aca="false">MROUND(K51+H51,100)</f>
        <v>8900</v>
      </c>
      <c r="M51" s="28" t="s">
        <v>1405</v>
      </c>
    </row>
    <row r="52" customFormat="false" ht="23.25" hidden="false" customHeight="true" outlineLevel="0" collapsed="false">
      <c r="A52" s="17" t="n">
        <v>43</v>
      </c>
      <c r="B52" s="18" t="s">
        <v>1406</v>
      </c>
      <c r="C52" s="32" t="s">
        <v>1407</v>
      </c>
      <c r="D52" s="32" t="s">
        <v>1408</v>
      </c>
      <c r="E52" s="32" t="s">
        <v>1409</v>
      </c>
      <c r="F52" s="19" t="n">
        <v>0</v>
      </c>
      <c r="G52" s="38" t="n">
        <v>2</v>
      </c>
      <c r="H52" s="20" t="n">
        <f aca="false">MROUND(F52*G52*IF(ISNUMBER(SEARCH("Diesel",D52)),'Fuel &amp; Inputs'!$C$4,IF(ISNUMBER(SEARCH("Petrol",D52)),'Fuel &amp; Inputs'!$C$5,0)),10)</f>
        <v>0</v>
      </c>
      <c r="I52" s="21" t="n">
        <v>3000</v>
      </c>
      <c r="J52" s="20" t="n">
        <f aca="false">'Fuel &amp; Inputs'!$C$14</f>
        <v>3500</v>
      </c>
      <c r="K52" s="20" t="n">
        <f aca="false">I52+J52</f>
        <v>6500</v>
      </c>
      <c r="L52" s="20" t="n">
        <f aca="false">MROUND(K52+H52,100)</f>
        <v>6500</v>
      </c>
      <c r="M52" s="22" t="s">
        <v>1410</v>
      </c>
    </row>
    <row r="53" customFormat="false" ht="23.25" hidden="false" customHeight="true" outlineLevel="0" collapsed="false">
      <c r="A53" s="23" t="n">
        <v>44</v>
      </c>
      <c r="B53" s="24" t="s">
        <v>1406</v>
      </c>
      <c r="C53" s="34" t="s">
        <v>1411</v>
      </c>
      <c r="D53" s="34" t="s">
        <v>1412</v>
      </c>
      <c r="E53" s="34" t="s">
        <v>1413</v>
      </c>
      <c r="F53" s="25" t="n">
        <v>0</v>
      </c>
      <c r="G53" s="39" t="n">
        <v>2</v>
      </c>
      <c r="H53" s="26" t="n">
        <f aca="false">MROUND(F53*G53*IF(ISNUMBER(SEARCH("Diesel",D53)),'Fuel &amp; Inputs'!$C$4,IF(ISNUMBER(SEARCH("Petrol",D53)),'Fuel &amp; Inputs'!$C$5,0)),10)</f>
        <v>0</v>
      </c>
      <c r="I53" s="27" t="n">
        <v>4500</v>
      </c>
      <c r="J53" s="26" t="n">
        <f aca="false">'Fuel &amp; Inputs'!$C$14</f>
        <v>3500</v>
      </c>
      <c r="K53" s="26" t="n">
        <f aca="false">I53+J53</f>
        <v>8000</v>
      </c>
      <c r="L53" s="26" t="n">
        <f aca="false">MROUND(K53+H53,100)</f>
        <v>8000</v>
      </c>
      <c r="M53" s="28" t="s">
        <v>1410</v>
      </c>
    </row>
    <row r="54" customFormat="false" ht="23.25" hidden="false" customHeight="true" outlineLevel="0" collapsed="false">
      <c r="A54" s="17" t="n">
        <v>45</v>
      </c>
      <c r="B54" s="18" t="s">
        <v>1406</v>
      </c>
      <c r="C54" s="32" t="s">
        <v>1414</v>
      </c>
      <c r="D54" s="32" t="s">
        <v>1415</v>
      </c>
      <c r="E54" s="32" t="s">
        <v>1416</v>
      </c>
      <c r="F54" s="19" t="n">
        <v>0</v>
      </c>
      <c r="G54" s="38" t="n">
        <v>2</v>
      </c>
      <c r="H54" s="20" t="n">
        <f aca="false">MROUND(F54*G54*IF(ISNUMBER(SEARCH("Diesel",D54)),'Fuel &amp; Inputs'!$C$4,IF(ISNUMBER(SEARCH("Petrol",D54)),'Fuel &amp; Inputs'!$C$5,0)),10)</f>
        <v>0</v>
      </c>
      <c r="I54" s="21" t="n">
        <v>7000</v>
      </c>
      <c r="J54" s="20" t="n">
        <f aca="false">'Fuel &amp; Inputs'!$C$14</f>
        <v>3500</v>
      </c>
      <c r="K54" s="20" t="n">
        <f aca="false">I54+J54</f>
        <v>10500</v>
      </c>
      <c r="L54" s="20" t="n">
        <f aca="false">MROUND(K54+H54,100)</f>
        <v>10500</v>
      </c>
      <c r="M54" s="22" t="s">
        <v>1359</v>
      </c>
    </row>
    <row r="55" customFormat="false" ht="15" hidden="false" customHeight="true" outlineLevel="0" collapsed="false">
      <c r="A55" s="23" t="n">
        <v>46</v>
      </c>
      <c r="B55" s="24" t="s">
        <v>1417</v>
      </c>
      <c r="C55" s="34" t="s">
        <v>1418</v>
      </c>
      <c r="D55" s="34" t="s">
        <v>1259</v>
      </c>
      <c r="E55" s="34" t="s">
        <v>1419</v>
      </c>
      <c r="F55" s="25" t="n">
        <v>1.2</v>
      </c>
      <c r="G55" s="39" t="n">
        <v>2</v>
      </c>
      <c r="H55" s="26" t="n">
        <f aca="false">MROUND(F55*G55*IF(ISNUMBER(SEARCH("Diesel",D55)),'Fuel &amp; Inputs'!$C$4,IF(ISNUMBER(SEARCH("Petrol",D55)),'Fuel &amp; Inputs'!$C$5,0)),10)</f>
        <v>990</v>
      </c>
      <c r="I55" s="27" t="n">
        <v>5500</v>
      </c>
      <c r="J55" s="26" t="n">
        <f aca="false">'Fuel &amp; Inputs'!$C$14</f>
        <v>3500</v>
      </c>
      <c r="K55" s="26" t="n">
        <f aca="false">I55+J55</f>
        <v>9000</v>
      </c>
      <c r="L55" s="26" t="n">
        <f aca="false">MROUND(K55+H55,100)</f>
        <v>10000</v>
      </c>
      <c r="M55" s="28" t="s">
        <v>1420</v>
      </c>
    </row>
    <row r="56" customFormat="false" ht="23.25" hidden="false" customHeight="true" outlineLevel="0" collapsed="false">
      <c r="A56" s="17" t="n">
        <v>47</v>
      </c>
      <c r="B56" s="18" t="s">
        <v>1421</v>
      </c>
      <c r="C56" s="32" t="s">
        <v>1422</v>
      </c>
      <c r="D56" s="32" t="s">
        <v>1423</v>
      </c>
      <c r="E56" s="32" t="s">
        <v>1424</v>
      </c>
      <c r="F56" s="19" t="n">
        <v>1.2</v>
      </c>
      <c r="G56" s="38" t="n">
        <v>4</v>
      </c>
      <c r="H56" s="20" t="n">
        <f aca="false">MROUND(F56*G56*IF(ISNUMBER(SEARCH("Diesel",D56)),'Fuel &amp; Inputs'!$C$4,IF(ISNUMBER(SEARCH("Petrol",D56)),'Fuel &amp; Inputs'!$C$5,0)),10)</f>
        <v>1990</v>
      </c>
      <c r="I56" s="21" t="n">
        <v>2500</v>
      </c>
      <c r="J56" s="20" t="n">
        <f aca="false">'Fuel &amp; Inputs'!$C$14</f>
        <v>3500</v>
      </c>
      <c r="K56" s="20" t="n">
        <f aca="false">I56+J56</f>
        <v>6000</v>
      </c>
      <c r="L56" s="20" t="n">
        <f aca="false">MROUND(K56+H56,100)</f>
        <v>8000</v>
      </c>
      <c r="M56" s="22" t="s">
        <v>1425</v>
      </c>
    </row>
    <row r="57" customFormat="false" ht="15" hidden="false" customHeight="true" outlineLevel="0" collapsed="false">
      <c r="A57" s="23" t="n">
        <v>48</v>
      </c>
      <c r="B57" s="24" t="s">
        <v>1426</v>
      </c>
      <c r="C57" s="34" t="s">
        <v>1427</v>
      </c>
      <c r="D57" s="34" t="s">
        <v>1259</v>
      </c>
      <c r="E57" s="34" t="s">
        <v>1428</v>
      </c>
      <c r="F57" s="25" t="n">
        <v>1</v>
      </c>
      <c r="G57" s="39" t="n">
        <v>4</v>
      </c>
      <c r="H57" s="26" t="n">
        <f aca="false">MROUND(F57*G57*IF(ISNUMBER(SEARCH("Diesel",D57)),'Fuel &amp; Inputs'!$C$4,IF(ISNUMBER(SEARCH("Petrol",D57)),'Fuel &amp; Inputs'!$C$5,0)),10)</f>
        <v>1660</v>
      </c>
      <c r="I57" s="27" t="n">
        <v>3500</v>
      </c>
      <c r="J57" s="26" t="n">
        <f aca="false">'Fuel &amp; Inputs'!$C$14</f>
        <v>3500</v>
      </c>
      <c r="K57" s="26" t="n">
        <f aca="false">I57+J57</f>
        <v>7000</v>
      </c>
      <c r="L57" s="26" t="n">
        <f aca="false">MROUND(K57+H57,100)</f>
        <v>8700</v>
      </c>
      <c r="M57" s="28" t="s">
        <v>1429</v>
      </c>
    </row>
    <row r="58" customFormat="false" ht="23.25" hidden="false" customHeight="true" outlineLevel="0" collapsed="false">
      <c r="A58" s="17" t="n">
        <v>49</v>
      </c>
      <c r="B58" s="18" t="s">
        <v>1430</v>
      </c>
      <c r="C58" s="32" t="s">
        <v>1431</v>
      </c>
      <c r="D58" s="32" t="s">
        <v>1263</v>
      </c>
      <c r="E58" s="32" t="s">
        <v>1432</v>
      </c>
      <c r="F58" s="19" t="n">
        <v>1.5</v>
      </c>
      <c r="G58" s="38" t="n">
        <v>4</v>
      </c>
      <c r="H58" s="20" t="n">
        <f aca="false">MROUND(F58*G58*IF(ISNUMBER(SEARCH("Diesel",D58)),'Fuel &amp; Inputs'!$C$4,IF(ISNUMBER(SEARCH("Petrol",D58)),'Fuel &amp; Inputs'!$C$5,0)),10)</f>
        <v>2290</v>
      </c>
      <c r="I58" s="21" t="n">
        <v>6000</v>
      </c>
      <c r="J58" s="20" t="n">
        <f aca="false">'Fuel &amp; Inputs'!$C$14</f>
        <v>3500</v>
      </c>
      <c r="K58" s="20" t="n">
        <f aca="false">I58+J58</f>
        <v>9500</v>
      </c>
      <c r="L58" s="20" t="n">
        <f aca="false">MROUND(K58+H58,100)</f>
        <v>11800</v>
      </c>
      <c r="M58" s="22" t="s">
        <v>1359</v>
      </c>
    </row>
    <row r="59" customFormat="false" ht="15" hidden="false" customHeight="true" outlineLevel="0" collapsed="false">
      <c r="A59" s="23" t="n">
        <v>50</v>
      </c>
      <c r="B59" s="24" t="s">
        <v>1433</v>
      </c>
      <c r="C59" s="34" t="s">
        <v>1434</v>
      </c>
      <c r="D59" s="34" t="s">
        <v>1263</v>
      </c>
      <c r="E59" s="34" t="s">
        <v>1435</v>
      </c>
      <c r="F59" s="25" t="n">
        <v>1.8</v>
      </c>
      <c r="G59" s="39" t="n">
        <v>4</v>
      </c>
      <c r="H59" s="26" t="n">
        <f aca="false">MROUND(F59*G59*IF(ISNUMBER(SEARCH("Diesel",D59)),'Fuel &amp; Inputs'!$C$4,IF(ISNUMBER(SEARCH("Petrol",D59)),'Fuel &amp; Inputs'!$C$5,0)),10)</f>
        <v>2750</v>
      </c>
      <c r="I59" s="27" t="n">
        <v>6500</v>
      </c>
      <c r="J59" s="26" t="n">
        <f aca="false">'Fuel &amp; Inputs'!$C$14</f>
        <v>3500</v>
      </c>
      <c r="K59" s="26" t="n">
        <f aca="false">I59+J59</f>
        <v>10000</v>
      </c>
      <c r="L59" s="26" t="n">
        <f aca="false">MROUND(K59+H59,100)</f>
        <v>12800</v>
      </c>
      <c r="M59" s="28" t="s">
        <v>1436</v>
      </c>
    </row>
    <row r="60" customFormat="false" ht="15" hidden="false" customHeight="true" outlineLevel="0" collapsed="false">
      <c r="A60" s="31" t="s">
        <v>1437</v>
      </c>
      <c r="B60" s="31"/>
      <c r="C60" s="31"/>
      <c r="D60" s="31"/>
      <c r="E60" s="31"/>
      <c r="F60" s="31"/>
      <c r="G60" s="31"/>
      <c r="H60" s="31"/>
      <c r="I60" s="31"/>
      <c r="J60" s="31"/>
      <c r="K60" s="31"/>
      <c r="L60" s="31"/>
      <c r="M60" s="31"/>
    </row>
    <row r="61" customFormat="false" ht="25.5" hidden="false" customHeight="true" outlineLevel="0" collapsed="false">
      <c r="A61" s="16" t="s">
        <v>52</v>
      </c>
      <c r="B61" s="16" t="s">
        <v>1245</v>
      </c>
      <c r="C61" s="16" t="s">
        <v>1246</v>
      </c>
      <c r="D61" s="16" t="s">
        <v>1247</v>
      </c>
      <c r="E61" s="16" t="s">
        <v>1248</v>
      </c>
      <c r="F61" s="16" t="s">
        <v>1249</v>
      </c>
      <c r="G61" s="16" t="s">
        <v>1250</v>
      </c>
      <c r="H61" s="16" t="s">
        <v>1251</v>
      </c>
      <c r="I61" s="16" t="s">
        <v>1252</v>
      </c>
      <c r="J61" s="16" t="s">
        <v>1253</v>
      </c>
      <c r="K61" s="16" t="s">
        <v>1254</v>
      </c>
      <c r="L61" s="16" t="s">
        <v>1255</v>
      </c>
      <c r="M61" s="16" t="s">
        <v>1256</v>
      </c>
    </row>
    <row r="62" customFormat="false" ht="23.25" hidden="false" customHeight="true" outlineLevel="0" collapsed="false">
      <c r="A62" s="17" t="n">
        <v>51</v>
      </c>
      <c r="B62" s="18" t="s">
        <v>1438</v>
      </c>
      <c r="C62" s="32" t="s">
        <v>1439</v>
      </c>
      <c r="D62" s="32" t="s">
        <v>1440</v>
      </c>
      <c r="E62" s="32" t="s">
        <v>1441</v>
      </c>
      <c r="F62" s="19" t="n">
        <v>0.9</v>
      </c>
      <c r="G62" s="38" t="n">
        <v>6</v>
      </c>
      <c r="H62" s="20" t="n">
        <f aca="false">MROUND(F62*G62*IF(ISNUMBER(SEARCH("Diesel",D62)),'Fuel &amp; Inputs'!$C$4,IF(ISNUMBER(SEARCH("Petrol",D62)),'Fuel &amp; Inputs'!$C$5,0)),10)</f>
        <v>2240</v>
      </c>
      <c r="I62" s="21" t="n">
        <v>1800</v>
      </c>
      <c r="J62" s="20" t="n">
        <f aca="false">'Fuel &amp; Inputs'!$C$14</f>
        <v>3500</v>
      </c>
      <c r="K62" s="20" t="n">
        <f aca="false">I62+J62</f>
        <v>5300</v>
      </c>
      <c r="L62" s="20" t="n">
        <f aca="false">MROUND(K62+H62,100)</f>
        <v>7500</v>
      </c>
      <c r="M62" s="22" t="s">
        <v>1442</v>
      </c>
    </row>
    <row r="63" customFormat="false" ht="23.25" hidden="false" customHeight="true" outlineLevel="0" collapsed="false">
      <c r="A63" s="23" t="n">
        <v>52</v>
      </c>
      <c r="B63" s="24" t="s">
        <v>1438</v>
      </c>
      <c r="C63" s="34" t="s">
        <v>1443</v>
      </c>
      <c r="D63" s="34" t="s">
        <v>1444</v>
      </c>
      <c r="E63" s="34" t="s">
        <v>1445</v>
      </c>
      <c r="F63" s="25" t="n">
        <v>1.2</v>
      </c>
      <c r="G63" s="39" t="n">
        <v>6</v>
      </c>
      <c r="H63" s="26" t="n">
        <f aca="false">MROUND(F63*G63*IF(ISNUMBER(SEARCH("Diesel",D63)),'Fuel &amp; Inputs'!$C$4,IF(ISNUMBER(SEARCH("Petrol",D63)),'Fuel &amp; Inputs'!$C$5,0)),10)</f>
        <v>2980</v>
      </c>
      <c r="I63" s="27" t="n">
        <v>2600</v>
      </c>
      <c r="J63" s="26" t="n">
        <f aca="false">'Fuel &amp; Inputs'!$C$14</f>
        <v>3500</v>
      </c>
      <c r="K63" s="26" t="n">
        <f aca="false">I63+J63</f>
        <v>6100</v>
      </c>
      <c r="L63" s="26" t="n">
        <f aca="false">MROUND(K63+H63,100)</f>
        <v>9100</v>
      </c>
      <c r="M63" s="28" t="s">
        <v>1335</v>
      </c>
    </row>
    <row r="64" customFormat="false" ht="15" hidden="false" customHeight="true" outlineLevel="0" collapsed="false">
      <c r="A64" s="17" t="n">
        <v>53</v>
      </c>
      <c r="B64" s="18" t="s">
        <v>1438</v>
      </c>
      <c r="C64" s="32" t="s">
        <v>1446</v>
      </c>
      <c r="D64" s="32" t="s">
        <v>1263</v>
      </c>
      <c r="E64" s="32" t="s">
        <v>1447</v>
      </c>
      <c r="F64" s="19" t="n">
        <v>1.6</v>
      </c>
      <c r="G64" s="38" t="n">
        <v>6</v>
      </c>
      <c r="H64" s="20" t="n">
        <f aca="false">MROUND(F64*G64*IF(ISNUMBER(SEARCH("Diesel",D64)),'Fuel &amp; Inputs'!$C$4,IF(ISNUMBER(SEARCH("Petrol",D64)),'Fuel &amp; Inputs'!$C$5,0)),10)</f>
        <v>3670</v>
      </c>
      <c r="I64" s="21" t="n">
        <v>4300</v>
      </c>
      <c r="J64" s="20" t="n">
        <f aca="false">'Fuel &amp; Inputs'!$C$14</f>
        <v>3500</v>
      </c>
      <c r="K64" s="20" t="n">
        <f aca="false">I64+J64</f>
        <v>7800</v>
      </c>
      <c r="L64" s="20" t="n">
        <f aca="false">MROUND(K64+H64,100)</f>
        <v>11500</v>
      </c>
      <c r="M64" s="22" t="s">
        <v>1335</v>
      </c>
    </row>
    <row r="65" customFormat="false" ht="15" hidden="false" customHeight="true" outlineLevel="0" collapsed="false">
      <c r="A65" s="23" t="n">
        <v>54</v>
      </c>
      <c r="B65" s="24" t="s">
        <v>1438</v>
      </c>
      <c r="C65" s="34" t="s">
        <v>1448</v>
      </c>
      <c r="D65" s="34" t="s">
        <v>1263</v>
      </c>
      <c r="E65" s="34" t="s">
        <v>1449</v>
      </c>
      <c r="F65" s="25" t="n">
        <v>3</v>
      </c>
      <c r="G65" s="39" t="n">
        <v>6</v>
      </c>
      <c r="H65" s="26" t="n">
        <f aca="false">MROUND(F65*G65*IF(ISNUMBER(SEARCH("Diesel",D65)),'Fuel &amp; Inputs'!$C$4,IF(ISNUMBER(SEARCH("Petrol",D65)),'Fuel &amp; Inputs'!$C$5,0)),10)</f>
        <v>6880</v>
      </c>
      <c r="I65" s="27" t="n">
        <v>6500</v>
      </c>
      <c r="J65" s="26" t="n">
        <f aca="false">'Fuel &amp; Inputs'!$C$14</f>
        <v>3500</v>
      </c>
      <c r="K65" s="26" t="n">
        <f aca="false">I65+J65</f>
        <v>10000</v>
      </c>
      <c r="L65" s="26" t="n">
        <f aca="false">MROUND(K65+H65,100)</f>
        <v>16900</v>
      </c>
      <c r="M65" s="28" t="s">
        <v>1450</v>
      </c>
    </row>
    <row r="66" customFormat="false" ht="15" hidden="false" customHeight="true" outlineLevel="0" collapsed="false">
      <c r="A66" s="17" t="n">
        <v>55</v>
      </c>
      <c r="B66" s="18" t="s">
        <v>1451</v>
      </c>
      <c r="C66" s="32" t="s">
        <v>1452</v>
      </c>
      <c r="D66" s="32" t="s">
        <v>1263</v>
      </c>
      <c r="E66" s="32" t="s">
        <v>1453</v>
      </c>
      <c r="F66" s="19" t="n">
        <v>1.4</v>
      </c>
      <c r="G66" s="38" t="n">
        <v>6</v>
      </c>
      <c r="H66" s="20" t="n">
        <f aca="false">MROUND(F66*G66*IF(ISNUMBER(SEARCH("Diesel",D66)),'Fuel &amp; Inputs'!$C$4,IF(ISNUMBER(SEARCH("Petrol",D66)),'Fuel &amp; Inputs'!$C$5,0)),10)</f>
        <v>3210</v>
      </c>
      <c r="I66" s="21" t="n">
        <v>3700</v>
      </c>
      <c r="J66" s="20" t="n">
        <f aca="false">'Fuel &amp; Inputs'!$C$14</f>
        <v>3500</v>
      </c>
      <c r="K66" s="20" t="n">
        <f aca="false">I66+J66</f>
        <v>7200</v>
      </c>
      <c r="L66" s="20" t="n">
        <f aca="false">MROUND(K66+H66,100)</f>
        <v>10400</v>
      </c>
      <c r="M66" s="22" t="s">
        <v>1335</v>
      </c>
    </row>
    <row r="67" customFormat="false" ht="15" hidden="false" customHeight="true" outlineLevel="0" collapsed="false">
      <c r="A67" s="23" t="n">
        <v>56</v>
      </c>
      <c r="B67" s="24" t="s">
        <v>1454</v>
      </c>
      <c r="C67" s="34" t="s">
        <v>1455</v>
      </c>
      <c r="D67" s="34" t="s">
        <v>1456</v>
      </c>
      <c r="E67" s="34" t="s">
        <v>1457</v>
      </c>
      <c r="F67" s="25" t="n">
        <v>0</v>
      </c>
      <c r="G67" s="39" t="n">
        <v>8</v>
      </c>
      <c r="H67" s="26" t="n">
        <f aca="false">MROUND(F67*G67*IF(ISNUMBER(SEARCH("Diesel",D67)),'Fuel &amp; Inputs'!$C$4,IF(ISNUMBER(SEARCH("Petrol",D67)),'Fuel &amp; Inputs'!$C$5,0)),10)</f>
        <v>0</v>
      </c>
      <c r="I67" s="27" t="n">
        <v>800</v>
      </c>
      <c r="J67" s="27" t="n">
        <v>0</v>
      </c>
      <c r="K67" s="26" t="n">
        <f aca="false">I67+J67</f>
        <v>800</v>
      </c>
      <c r="L67" s="26" t="n">
        <f aca="false">MROUND(K67+H67,100)</f>
        <v>800</v>
      </c>
      <c r="M67" s="28" t="s">
        <v>1335</v>
      </c>
    </row>
    <row r="68" customFormat="false" ht="15" hidden="false" customHeight="true" outlineLevel="0" collapsed="false">
      <c r="A68" s="17" t="n">
        <v>57</v>
      </c>
      <c r="B68" s="18" t="s">
        <v>1454</v>
      </c>
      <c r="C68" s="32" t="s">
        <v>1458</v>
      </c>
      <c r="D68" s="32" t="s">
        <v>1459</v>
      </c>
      <c r="E68" s="32" t="s">
        <v>1460</v>
      </c>
      <c r="F68" s="19" t="n">
        <v>0</v>
      </c>
      <c r="G68" s="38" t="n">
        <v>8</v>
      </c>
      <c r="H68" s="20" t="n">
        <f aca="false">MROUND(F68*G68*IF(ISNUMBER(SEARCH("Diesel",D68)),'Fuel &amp; Inputs'!$C$4,IF(ISNUMBER(SEARCH("Petrol",D68)),'Fuel &amp; Inputs'!$C$5,0)),10)</f>
        <v>0</v>
      </c>
      <c r="I68" s="21" t="n">
        <v>1300</v>
      </c>
      <c r="J68" s="21" t="n">
        <v>0</v>
      </c>
      <c r="K68" s="20" t="n">
        <f aca="false">I68+J68</f>
        <v>1300</v>
      </c>
      <c r="L68" s="20" t="n">
        <f aca="false">MROUND(K68+H68,100)</f>
        <v>1300</v>
      </c>
      <c r="M68" s="22" t="s">
        <v>1335</v>
      </c>
    </row>
    <row r="69" customFormat="false" ht="15" hidden="false" customHeight="true" outlineLevel="0" collapsed="false">
      <c r="A69" s="23" t="n">
        <v>58</v>
      </c>
      <c r="B69" s="24" t="s">
        <v>1454</v>
      </c>
      <c r="C69" s="34" t="s">
        <v>1461</v>
      </c>
      <c r="D69" s="34" t="s">
        <v>1349</v>
      </c>
      <c r="E69" s="34" t="s">
        <v>1462</v>
      </c>
      <c r="F69" s="25" t="n">
        <v>0</v>
      </c>
      <c r="G69" s="39" t="n">
        <v>8</v>
      </c>
      <c r="H69" s="26" t="n">
        <f aca="false">MROUND(F69*G69*IF(ISNUMBER(SEARCH("Diesel",D69)),'Fuel &amp; Inputs'!$C$4,IF(ISNUMBER(SEARCH("Petrol",D69)),'Fuel &amp; Inputs'!$C$5,0)),10)</f>
        <v>0</v>
      </c>
      <c r="I69" s="27" t="n">
        <v>2100</v>
      </c>
      <c r="J69" s="27" t="n">
        <v>0</v>
      </c>
      <c r="K69" s="26" t="n">
        <f aca="false">I69+J69</f>
        <v>2100</v>
      </c>
      <c r="L69" s="26" t="n">
        <f aca="false">MROUND(K69+H69,100)</f>
        <v>2100</v>
      </c>
      <c r="M69" s="28" t="s">
        <v>1335</v>
      </c>
    </row>
    <row r="70" customFormat="false" ht="15" hidden="false" customHeight="true" outlineLevel="0" collapsed="false">
      <c r="A70" s="17" t="n">
        <v>59</v>
      </c>
      <c r="B70" s="18" t="s">
        <v>1454</v>
      </c>
      <c r="C70" s="32" t="s">
        <v>1463</v>
      </c>
      <c r="D70" s="32" t="s">
        <v>1464</v>
      </c>
      <c r="E70" s="32" t="s">
        <v>1465</v>
      </c>
      <c r="F70" s="19" t="n">
        <v>0</v>
      </c>
      <c r="G70" s="38" t="n">
        <v>8</v>
      </c>
      <c r="H70" s="20" t="n">
        <f aca="false">MROUND(F70*G70*IF(ISNUMBER(SEARCH("Diesel",D70)),'Fuel &amp; Inputs'!$C$4,IF(ISNUMBER(SEARCH("Petrol",D70)),'Fuel &amp; Inputs'!$C$5,0)),10)</f>
        <v>0</v>
      </c>
      <c r="I70" s="21" t="n">
        <v>3300</v>
      </c>
      <c r="J70" s="21" t="n">
        <v>0</v>
      </c>
      <c r="K70" s="20" t="n">
        <f aca="false">I70+J70</f>
        <v>3300</v>
      </c>
      <c r="L70" s="20" t="n">
        <f aca="false">MROUND(K70+H70,100)</f>
        <v>3300</v>
      </c>
      <c r="M70" s="22" t="s">
        <v>1335</v>
      </c>
    </row>
    <row r="71" customFormat="false" ht="15" hidden="false" customHeight="true" outlineLevel="0" collapsed="false">
      <c r="A71" s="23" t="n">
        <v>60</v>
      </c>
      <c r="B71" s="24" t="s">
        <v>1454</v>
      </c>
      <c r="C71" s="34" t="s">
        <v>1466</v>
      </c>
      <c r="D71" s="34" t="s">
        <v>1467</v>
      </c>
      <c r="E71" s="34" t="s">
        <v>1468</v>
      </c>
      <c r="F71" s="25" t="n">
        <v>0</v>
      </c>
      <c r="G71" s="39" t="n">
        <v>8</v>
      </c>
      <c r="H71" s="26" t="n">
        <f aca="false">MROUND(F71*G71*IF(ISNUMBER(SEARCH("Diesel",D71)),'Fuel &amp; Inputs'!$C$4,IF(ISNUMBER(SEARCH("Petrol",D71)),'Fuel &amp; Inputs'!$C$5,0)),10)</f>
        <v>0</v>
      </c>
      <c r="I71" s="27" t="n">
        <v>6000</v>
      </c>
      <c r="J71" s="26" t="n">
        <f aca="false">'Fuel &amp; Inputs'!$C$14</f>
        <v>3500</v>
      </c>
      <c r="K71" s="26" t="n">
        <f aca="false">I71+J71</f>
        <v>9500</v>
      </c>
      <c r="L71" s="26" t="n">
        <f aca="false">MROUND(K71+H71,100)</f>
        <v>9500</v>
      </c>
      <c r="M71" s="28" t="s">
        <v>1335</v>
      </c>
    </row>
    <row r="72" customFormat="false" ht="15" hidden="false" customHeight="true" outlineLevel="0" collapsed="false">
      <c r="A72" s="17" t="n">
        <v>61</v>
      </c>
      <c r="B72" s="18" t="s">
        <v>1469</v>
      </c>
      <c r="C72" s="32" t="s">
        <v>1470</v>
      </c>
      <c r="D72" s="32" t="s">
        <v>1471</v>
      </c>
      <c r="E72" s="32" t="s">
        <v>1472</v>
      </c>
      <c r="F72" s="19" t="n">
        <v>0</v>
      </c>
      <c r="G72" s="38" t="n">
        <v>4</v>
      </c>
      <c r="H72" s="20" t="n">
        <f aca="false">MROUND(F72*G72*IF(ISNUMBER(SEARCH("Diesel",D72)),'Fuel &amp; Inputs'!$C$4,IF(ISNUMBER(SEARCH("Petrol",D72)),'Fuel &amp; Inputs'!$C$5,0)),10)</f>
        <v>0</v>
      </c>
      <c r="I72" s="21" t="n">
        <v>1500</v>
      </c>
      <c r="J72" s="21" t="n">
        <v>0</v>
      </c>
      <c r="K72" s="20" t="n">
        <f aca="false">I72+J72</f>
        <v>1500</v>
      </c>
      <c r="L72" s="20" t="n">
        <f aca="false">MROUND(K72+H72,100)</f>
        <v>1500</v>
      </c>
      <c r="M72" s="22" t="s">
        <v>1359</v>
      </c>
    </row>
    <row r="73" customFormat="false" ht="15" hidden="false" customHeight="true" outlineLevel="0" collapsed="false">
      <c r="A73" s="23" t="n">
        <v>62</v>
      </c>
      <c r="B73" s="24" t="s">
        <v>1469</v>
      </c>
      <c r="C73" s="34" t="s">
        <v>1473</v>
      </c>
      <c r="D73" s="34" t="s">
        <v>1259</v>
      </c>
      <c r="E73" s="34" t="s">
        <v>1474</v>
      </c>
      <c r="F73" s="25" t="n">
        <v>0.9</v>
      </c>
      <c r="G73" s="39" t="n">
        <v>4</v>
      </c>
      <c r="H73" s="26" t="n">
        <f aca="false">MROUND(F73*G73*IF(ISNUMBER(SEARCH("Diesel",D73)),'Fuel &amp; Inputs'!$C$4,IF(ISNUMBER(SEARCH("Petrol",D73)),'Fuel &amp; Inputs'!$C$5,0)),10)</f>
        <v>1490</v>
      </c>
      <c r="I73" s="27" t="n">
        <v>3000</v>
      </c>
      <c r="J73" s="26" t="n">
        <f aca="false">'Fuel &amp; Inputs'!$C$14</f>
        <v>3500</v>
      </c>
      <c r="K73" s="26" t="n">
        <f aca="false">I73+J73</f>
        <v>6500</v>
      </c>
      <c r="L73" s="26" t="n">
        <f aca="false">MROUND(K73+H73,100)</f>
        <v>8000</v>
      </c>
      <c r="M73" s="28" t="s">
        <v>1359</v>
      </c>
    </row>
    <row r="74" customFormat="false" ht="15" hidden="false" customHeight="true" outlineLevel="0" collapsed="false">
      <c r="A74" s="17" t="n">
        <v>63</v>
      </c>
      <c r="B74" s="18" t="s">
        <v>1469</v>
      </c>
      <c r="C74" s="32" t="s">
        <v>1475</v>
      </c>
      <c r="D74" s="32" t="s">
        <v>1263</v>
      </c>
      <c r="E74" s="32" t="s">
        <v>1476</v>
      </c>
      <c r="F74" s="19" t="n">
        <v>1.5</v>
      </c>
      <c r="G74" s="38" t="n">
        <v>4</v>
      </c>
      <c r="H74" s="20" t="n">
        <f aca="false">MROUND(F74*G74*IF(ISNUMBER(SEARCH("Diesel",D74)),'Fuel &amp; Inputs'!$C$4,IF(ISNUMBER(SEARCH("Petrol",D74)),'Fuel &amp; Inputs'!$C$5,0)),10)</f>
        <v>2290</v>
      </c>
      <c r="I74" s="21" t="n">
        <v>5000</v>
      </c>
      <c r="J74" s="20" t="n">
        <f aca="false">'Fuel &amp; Inputs'!$C$14</f>
        <v>3500</v>
      </c>
      <c r="K74" s="20" t="n">
        <f aca="false">I74+J74</f>
        <v>8500</v>
      </c>
      <c r="L74" s="20" t="n">
        <f aca="false">MROUND(K74+H74,100)</f>
        <v>10800</v>
      </c>
      <c r="M74" s="22" t="s">
        <v>1359</v>
      </c>
    </row>
    <row r="75" customFormat="false" ht="15" hidden="false" customHeight="true" outlineLevel="0" collapsed="false">
      <c r="A75" s="23" t="n">
        <v>64</v>
      </c>
      <c r="B75" s="24" t="s">
        <v>1469</v>
      </c>
      <c r="C75" s="34" t="s">
        <v>1477</v>
      </c>
      <c r="D75" s="34" t="s">
        <v>1478</v>
      </c>
      <c r="E75" s="34" t="s">
        <v>1479</v>
      </c>
      <c r="F75" s="25" t="n">
        <v>0</v>
      </c>
      <c r="G75" s="39" t="n">
        <v>2</v>
      </c>
      <c r="H75" s="26" t="n">
        <f aca="false">MROUND(F75*G75*IF(ISNUMBER(SEARCH("Diesel",D75)),'Fuel &amp; Inputs'!$C$4,IF(ISNUMBER(SEARCH("Petrol",D75)),'Fuel &amp; Inputs'!$C$5,0)),10)</f>
        <v>0</v>
      </c>
      <c r="I75" s="27" t="n">
        <v>1500</v>
      </c>
      <c r="J75" s="27" t="n">
        <v>0</v>
      </c>
      <c r="K75" s="26" t="n">
        <f aca="false">I75+J75</f>
        <v>1500</v>
      </c>
      <c r="L75" s="26" t="n">
        <f aca="false">MROUND(K75+H75,100)</f>
        <v>1500</v>
      </c>
      <c r="M75" s="28" t="s">
        <v>1480</v>
      </c>
    </row>
    <row r="76" customFormat="false" ht="15" hidden="false" customHeight="true" outlineLevel="0" collapsed="false">
      <c r="A76" s="17" t="n">
        <v>65</v>
      </c>
      <c r="B76" s="18" t="s">
        <v>1469</v>
      </c>
      <c r="C76" s="32" t="s">
        <v>1481</v>
      </c>
      <c r="D76" s="32" t="s">
        <v>1482</v>
      </c>
      <c r="E76" s="32" t="s">
        <v>1483</v>
      </c>
      <c r="F76" s="19" t="n">
        <v>0</v>
      </c>
      <c r="G76" s="38" t="n">
        <v>8</v>
      </c>
      <c r="H76" s="20" t="n">
        <f aca="false">MROUND(F76*G76*IF(ISNUMBER(SEARCH("Diesel",D76)),'Fuel &amp; Inputs'!$C$4,IF(ISNUMBER(SEARCH("Petrol",D76)),'Fuel &amp; Inputs'!$C$5,0)),10)</f>
        <v>0</v>
      </c>
      <c r="I76" s="21" t="n">
        <v>1200</v>
      </c>
      <c r="J76" s="21" t="n">
        <v>0</v>
      </c>
      <c r="K76" s="20" t="n">
        <f aca="false">I76+J76</f>
        <v>1200</v>
      </c>
      <c r="L76" s="20" t="n">
        <f aca="false">MROUND(K76+H76,100)</f>
        <v>1200</v>
      </c>
      <c r="M76" s="22" t="s">
        <v>1359</v>
      </c>
    </row>
    <row r="77" customFormat="false" ht="23.25" hidden="false" customHeight="true" outlineLevel="0" collapsed="false">
      <c r="A77" s="23" t="n">
        <v>66</v>
      </c>
      <c r="B77" s="24" t="s">
        <v>1484</v>
      </c>
      <c r="C77" s="34" t="s">
        <v>1485</v>
      </c>
      <c r="D77" s="34" t="s">
        <v>1263</v>
      </c>
      <c r="E77" s="34" t="s">
        <v>1486</v>
      </c>
      <c r="F77" s="25" t="n">
        <v>0.8</v>
      </c>
      <c r="G77" s="39" t="n">
        <v>12</v>
      </c>
      <c r="H77" s="26" t="n">
        <f aca="false">MROUND(F77*G77*IF(ISNUMBER(SEARCH("Diesel",D77)),'Fuel &amp; Inputs'!$C$4,IF(ISNUMBER(SEARCH("Petrol",D77)),'Fuel &amp; Inputs'!$C$5,0)),10)</f>
        <v>3670</v>
      </c>
      <c r="I77" s="27" t="n">
        <v>6000</v>
      </c>
      <c r="J77" s="26" t="n">
        <f aca="false">'Fuel &amp; Inputs'!$C$14</f>
        <v>3500</v>
      </c>
      <c r="K77" s="26" t="n">
        <f aca="false">I77+J77</f>
        <v>9500</v>
      </c>
      <c r="L77" s="26" t="n">
        <f aca="false">MROUND(K77+H77,100)</f>
        <v>13200</v>
      </c>
      <c r="M77" s="28" t="s">
        <v>1335</v>
      </c>
    </row>
    <row r="78" customFormat="false" ht="15" hidden="false" customHeight="true" outlineLevel="0" collapsed="false">
      <c r="A78" s="17" t="n">
        <v>67</v>
      </c>
      <c r="B78" s="18" t="s">
        <v>1484</v>
      </c>
      <c r="C78" s="32" t="s">
        <v>1487</v>
      </c>
      <c r="D78" s="32" t="s">
        <v>1263</v>
      </c>
      <c r="E78" s="32" t="s">
        <v>1488</v>
      </c>
      <c r="F78" s="19" t="n">
        <v>2</v>
      </c>
      <c r="G78" s="38" t="n">
        <v>12</v>
      </c>
      <c r="H78" s="20" t="n">
        <f aca="false">MROUND(F78*G78*IF(ISNUMBER(SEARCH("Diesel",D78)),'Fuel &amp; Inputs'!$C$4,IF(ISNUMBER(SEARCH("Petrol",D78)),'Fuel &amp; Inputs'!$C$5,0)),10)</f>
        <v>9170</v>
      </c>
      <c r="I78" s="21" t="n">
        <v>8000</v>
      </c>
      <c r="J78" s="20" t="n">
        <f aca="false">'Fuel &amp; Inputs'!$C$14</f>
        <v>3500</v>
      </c>
      <c r="K78" s="20" t="n">
        <f aca="false">I78+J78</f>
        <v>11500</v>
      </c>
      <c r="L78" s="20" t="n">
        <f aca="false">MROUND(K78+H78,100)</f>
        <v>20700</v>
      </c>
      <c r="M78" s="22" t="s">
        <v>1335</v>
      </c>
    </row>
    <row r="79" customFormat="false" ht="15" hidden="false" customHeight="true" outlineLevel="0" collapsed="false">
      <c r="A79" s="23" t="n">
        <v>68</v>
      </c>
      <c r="B79" s="24" t="s">
        <v>1484</v>
      </c>
      <c r="C79" s="34" t="s">
        <v>1489</v>
      </c>
      <c r="D79" s="34" t="s">
        <v>1490</v>
      </c>
      <c r="E79" s="34" t="s">
        <v>1491</v>
      </c>
      <c r="F79" s="25" t="n">
        <v>0</v>
      </c>
      <c r="G79" s="39" t="n">
        <v>12</v>
      </c>
      <c r="H79" s="26" t="n">
        <f aca="false">MROUND(F79*G79*IF(ISNUMBER(SEARCH("Diesel",D79)),'Fuel &amp; Inputs'!$C$4,IF(ISNUMBER(SEARCH("Petrol",D79)),'Fuel &amp; Inputs'!$C$5,0)),10)</f>
        <v>0</v>
      </c>
      <c r="I79" s="27" t="n">
        <v>600</v>
      </c>
      <c r="J79" s="27" t="n">
        <v>0</v>
      </c>
      <c r="K79" s="26" t="n">
        <f aca="false">I79+J79</f>
        <v>600</v>
      </c>
      <c r="L79" s="26" t="n">
        <f aca="false">MROUND(K79+H79,100)</f>
        <v>600</v>
      </c>
      <c r="M79" s="28" t="s">
        <v>1359</v>
      </c>
    </row>
    <row r="80" customFormat="false" ht="15" hidden="false" customHeight="true" outlineLevel="0" collapsed="false">
      <c r="A80" s="31" t="s">
        <v>1492</v>
      </c>
      <c r="B80" s="31"/>
      <c r="C80" s="31"/>
      <c r="D80" s="31"/>
      <c r="E80" s="31"/>
      <c r="F80" s="31"/>
      <c r="G80" s="31"/>
      <c r="H80" s="31"/>
      <c r="I80" s="31"/>
      <c r="J80" s="31"/>
      <c r="K80" s="31"/>
      <c r="L80" s="31"/>
      <c r="M80" s="31"/>
    </row>
    <row r="81" customFormat="false" ht="25.5" hidden="false" customHeight="true" outlineLevel="0" collapsed="false">
      <c r="A81" s="16" t="s">
        <v>52</v>
      </c>
      <c r="B81" s="16" t="s">
        <v>1245</v>
      </c>
      <c r="C81" s="16" t="s">
        <v>1246</v>
      </c>
      <c r="D81" s="16" t="s">
        <v>1247</v>
      </c>
      <c r="E81" s="16" t="s">
        <v>1248</v>
      </c>
      <c r="F81" s="16" t="s">
        <v>1249</v>
      </c>
      <c r="G81" s="16" t="s">
        <v>1250</v>
      </c>
      <c r="H81" s="16" t="s">
        <v>1251</v>
      </c>
      <c r="I81" s="16" t="s">
        <v>1252</v>
      </c>
      <c r="J81" s="16" t="s">
        <v>1253</v>
      </c>
      <c r="K81" s="16" t="s">
        <v>1254</v>
      </c>
      <c r="L81" s="16" t="s">
        <v>1255</v>
      </c>
      <c r="M81" s="16" t="s">
        <v>1256</v>
      </c>
    </row>
    <row r="82" customFormat="false" ht="15" hidden="false" customHeight="true" outlineLevel="0" collapsed="false">
      <c r="A82" s="17" t="n">
        <v>69</v>
      </c>
      <c r="B82" s="18" t="s">
        <v>1493</v>
      </c>
      <c r="C82" s="32" t="s">
        <v>1494</v>
      </c>
      <c r="D82" s="32" t="s">
        <v>1495</v>
      </c>
      <c r="E82" s="32" t="s">
        <v>1496</v>
      </c>
      <c r="F82" s="19" t="n">
        <v>0</v>
      </c>
      <c r="G82" s="38" t="n">
        <v>4</v>
      </c>
      <c r="H82" s="20" t="n">
        <f aca="false">MROUND(F82*G82*IF(ISNUMBER(SEARCH("Diesel",D82)),'Fuel &amp; Inputs'!$C$4,IF(ISNUMBER(SEARCH("Petrol",D82)),'Fuel &amp; Inputs'!$C$5,0)),10)</f>
        <v>0</v>
      </c>
      <c r="I82" s="21" t="n">
        <v>800</v>
      </c>
      <c r="J82" s="21" t="n">
        <v>0</v>
      </c>
      <c r="K82" s="20" t="n">
        <f aca="false">I82+J82</f>
        <v>800</v>
      </c>
      <c r="L82" s="20" t="n">
        <f aca="false">MROUND(K82+H82,100)</f>
        <v>800</v>
      </c>
      <c r="M82" s="22" t="s">
        <v>1335</v>
      </c>
    </row>
    <row r="83" customFormat="false" ht="15" hidden="false" customHeight="true" outlineLevel="0" collapsed="false">
      <c r="A83" s="23" t="n">
        <v>70</v>
      </c>
      <c r="B83" s="24" t="s">
        <v>1493</v>
      </c>
      <c r="C83" s="34" t="s">
        <v>1497</v>
      </c>
      <c r="D83" s="34" t="s">
        <v>1498</v>
      </c>
      <c r="E83" s="34" t="s">
        <v>1499</v>
      </c>
      <c r="F83" s="25" t="n">
        <v>0</v>
      </c>
      <c r="G83" s="39" t="n">
        <v>4</v>
      </c>
      <c r="H83" s="26" t="n">
        <f aca="false">MROUND(F83*G83*IF(ISNUMBER(SEARCH("Diesel",D83)),'Fuel &amp; Inputs'!$C$4,IF(ISNUMBER(SEARCH("Petrol",D83)),'Fuel &amp; Inputs'!$C$5,0)),10)</f>
        <v>0</v>
      </c>
      <c r="I83" s="27" t="n">
        <v>1100</v>
      </c>
      <c r="J83" s="27" t="n">
        <v>0</v>
      </c>
      <c r="K83" s="26" t="n">
        <f aca="false">I83+J83</f>
        <v>1100</v>
      </c>
      <c r="L83" s="26" t="n">
        <f aca="false">MROUND(K83+H83,100)</f>
        <v>1100</v>
      </c>
      <c r="M83" s="28" t="s">
        <v>1335</v>
      </c>
    </row>
    <row r="84" customFormat="false" ht="15" hidden="false" customHeight="true" outlineLevel="0" collapsed="false">
      <c r="A84" s="17" t="n">
        <v>71</v>
      </c>
      <c r="B84" s="18" t="s">
        <v>1500</v>
      </c>
      <c r="C84" s="32" t="s">
        <v>1501</v>
      </c>
      <c r="D84" s="32" t="s">
        <v>1502</v>
      </c>
      <c r="E84" s="32" t="s">
        <v>1503</v>
      </c>
      <c r="F84" s="19" t="n">
        <v>0</v>
      </c>
      <c r="G84" s="38" t="n">
        <v>4</v>
      </c>
      <c r="H84" s="20" t="n">
        <f aca="false">MROUND(F84*G84*IF(ISNUMBER(SEARCH("Diesel",D84)),'Fuel &amp; Inputs'!$C$4,IF(ISNUMBER(SEARCH("Petrol",D84)),'Fuel &amp; Inputs'!$C$5,0)),10)</f>
        <v>0</v>
      </c>
      <c r="I84" s="21" t="n">
        <v>550</v>
      </c>
      <c r="J84" s="21" t="n">
        <v>0</v>
      </c>
      <c r="K84" s="20" t="n">
        <f aca="false">I84+J84</f>
        <v>550</v>
      </c>
      <c r="L84" s="20" t="n">
        <f aca="false">MROUND(K84+H84,100)</f>
        <v>600</v>
      </c>
      <c r="M84" s="22" t="s">
        <v>1335</v>
      </c>
    </row>
    <row r="85" customFormat="false" ht="15" hidden="false" customHeight="true" outlineLevel="0" collapsed="false">
      <c r="A85" s="23" t="n">
        <v>72</v>
      </c>
      <c r="B85" s="24" t="s">
        <v>1500</v>
      </c>
      <c r="C85" s="34" t="s">
        <v>1504</v>
      </c>
      <c r="D85" s="34" t="s">
        <v>1349</v>
      </c>
      <c r="E85" s="34" t="s">
        <v>1505</v>
      </c>
      <c r="F85" s="25" t="n">
        <v>0</v>
      </c>
      <c r="G85" s="39" t="n">
        <v>4</v>
      </c>
      <c r="H85" s="26" t="n">
        <f aca="false">MROUND(F85*G85*IF(ISNUMBER(SEARCH("Diesel",D85)),'Fuel &amp; Inputs'!$C$4,IF(ISNUMBER(SEARCH("Petrol",D85)),'Fuel &amp; Inputs'!$C$5,0)),10)</f>
        <v>0</v>
      </c>
      <c r="I85" s="27" t="n">
        <v>950</v>
      </c>
      <c r="J85" s="27" t="n">
        <v>0</v>
      </c>
      <c r="K85" s="26" t="n">
        <f aca="false">I85+J85</f>
        <v>950</v>
      </c>
      <c r="L85" s="26" t="n">
        <f aca="false">MROUND(K85+H85,100)</f>
        <v>1000</v>
      </c>
      <c r="M85" s="28" t="s">
        <v>1335</v>
      </c>
    </row>
    <row r="86" customFormat="false" ht="15" hidden="false" customHeight="true" outlineLevel="0" collapsed="false">
      <c r="A86" s="17" t="n">
        <v>73</v>
      </c>
      <c r="B86" s="18" t="s">
        <v>1506</v>
      </c>
      <c r="C86" s="32" t="s">
        <v>1507</v>
      </c>
      <c r="D86" s="32" t="s">
        <v>1508</v>
      </c>
      <c r="E86" s="32" t="s">
        <v>1509</v>
      </c>
      <c r="F86" s="19" t="n">
        <v>0</v>
      </c>
      <c r="G86" s="38" t="n">
        <v>4</v>
      </c>
      <c r="H86" s="20" t="n">
        <f aca="false">MROUND(F86*G86*IF(ISNUMBER(SEARCH("Diesel",D86)),'Fuel &amp; Inputs'!$C$4,IF(ISNUMBER(SEARCH("Petrol",D86)),'Fuel &amp; Inputs'!$C$5,0)),10)</f>
        <v>0</v>
      </c>
      <c r="I86" s="21" t="n">
        <v>450</v>
      </c>
      <c r="J86" s="21" t="n">
        <v>0</v>
      </c>
      <c r="K86" s="20" t="n">
        <f aca="false">I86+J86</f>
        <v>450</v>
      </c>
      <c r="L86" s="20" t="n">
        <f aca="false">MROUND(K86+H86,100)</f>
        <v>500</v>
      </c>
      <c r="M86" s="22" t="s">
        <v>1510</v>
      </c>
    </row>
    <row r="87" customFormat="false" ht="15" hidden="false" customHeight="true" outlineLevel="0" collapsed="false">
      <c r="A87" s="23" t="n">
        <v>74</v>
      </c>
      <c r="B87" s="24" t="s">
        <v>1511</v>
      </c>
      <c r="C87" s="34" t="s">
        <v>1512</v>
      </c>
      <c r="D87" s="34" t="s">
        <v>1459</v>
      </c>
      <c r="E87" s="34" t="s">
        <v>1513</v>
      </c>
      <c r="F87" s="25" t="n">
        <v>0</v>
      </c>
      <c r="G87" s="39" t="n">
        <v>4</v>
      </c>
      <c r="H87" s="26" t="n">
        <f aca="false">MROUND(F87*G87*IF(ISNUMBER(SEARCH("Diesel",D87)),'Fuel &amp; Inputs'!$C$4,IF(ISNUMBER(SEARCH("Petrol",D87)),'Fuel &amp; Inputs'!$C$5,0)),10)</f>
        <v>0</v>
      </c>
      <c r="I87" s="27" t="n">
        <v>4000</v>
      </c>
      <c r="J87" s="26" t="n">
        <f aca="false">'Fuel &amp; Inputs'!$C$14</f>
        <v>3500</v>
      </c>
      <c r="K87" s="26" t="n">
        <f aca="false">I87+J87</f>
        <v>7500</v>
      </c>
      <c r="L87" s="26" t="n">
        <f aca="false">MROUND(K87+H87,100)</f>
        <v>7500</v>
      </c>
      <c r="M87" s="28" t="s">
        <v>1514</v>
      </c>
    </row>
    <row r="88" customFormat="false" ht="15" hidden="false" customHeight="true" outlineLevel="0" collapsed="false">
      <c r="A88" s="17" t="n">
        <v>75</v>
      </c>
      <c r="B88" s="18" t="s">
        <v>1515</v>
      </c>
      <c r="C88" s="32" t="s">
        <v>1516</v>
      </c>
      <c r="D88" s="32" t="s">
        <v>1490</v>
      </c>
      <c r="E88" s="32" t="s">
        <v>1517</v>
      </c>
      <c r="F88" s="19" t="n">
        <v>0</v>
      </c>
      <c r="G88" s="38" t="n">
        <v>4</v>
      </c>
      <c r="H88" s="20" t="n">
        <f aca="false">MROUND(F88*G88*IF(ISNUMBER(SEARCH("Diesel",D88)),'Fuel &amp; Inputs'!$C$4,IF(ISNUMBER(SEARCH("Petrol",D88)),'Fuel &amp; Inputs'!$C$5,0)),10)</f>
        <v>0</v>
      </c>
      <c r="I88" s="21" t="n">
        <v>3500</v>
      </c>
      <c r="J88" s="20" t="n">
        <f aca="false">'Fuel &amp; Inputs'!$C$14</f>
        <v>3500</v>
      </c>
      <c r="K88" s="20" t="n">
        <f aca="false">I88+J88</f>
        <v>7000</v>
      </c>
      <c r="L88" s="20" t="n">
        <f aca="false">MROUND(K88+H88,100)</f>
        <v>7000</v>
      </c>
      <c r="M88" s="22" t="s">
        <v>1518</v>
      </c>
    </row>
    <row r="89" customFormat="false" ht="15" hidden="false" customHeight="true" outlineLevel="0" collapsed="false">
      <c r="A89" s="23" t="n">
        <v>76</v>
      </c>
      <c r="B89" s="24" t="s">
        <v>1519</v>
      </c>
      <c r="C89" s="34" t="s">
        <v>1520</v>
      </c>
      <c r="D89" s="34" t="s">
        <v>1490</v>
      </c>
      <c r="E89" s="34" t="s">
        <v>1521</v>
      </c>
      <c r="F89" s="25" t="n">
        <v>0</v>
      </c>
      <c r="G89" s="39" t="n">
        <v>8</v>
      </c>
      <c r="H89" s="26" t="n">
        <f aca="false">MROUND(F89*G89*IF(ISNUMBER(SEARCH("Diesel",D89)),'Fuel &amp; Inputs'!$C$4,IF(ISNUMBER(SEARCH("Petrol",D89)),'Fuel &amp; Inputs'!$C$5,0)),10)</f>
        <v>0</v>
      </c>
      <c r="I89" s="27" t="n">
        <v>500</v>
      </c>
      <c r="J89" s="27" t="n">
        <v>0</v>
      </c>
      <c r="K89" s="26" t="n">
        <f aca="false">I89+J89</f>
        <v>500</v>
      </c>
      <c r="L89" s="26" t="n">
        <f aca="false">MROUND(K89+H89,100)</f>
        <v>500</v>
      </c>
      <c r="M89" s="28" t="s">
        <v>1522</v>
      </c>
    </row>
    <row r="91" customFormat="false" ht="15" hidden="false" customHeight="true" outlineLevel="0" collapsed="false">
      <c r="B91" s="11" t="s">
        <v>1523</v>
      </c>
    </row>
  </sheetData>
  <mergeCells count="5">
    <mergeCell ref="A4:M4"/>
    <mergeCell ref="A26:M26"/>
    <mergeCell ref="A46:M46"/>
    <mergeCell ref="A60:M60"/>
    <mergeCell ref="A80:M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2"/>
    <col collapsed="false" customWidth="true" hidden="false" outlineLevel="0" max="3" min="3" style="1" width="22"/>
    <col collapsed="false" customWidth="true" hidden="false" outlineLevel="0" max="5" min="4" style="1" width="16"/>
    <col collapsed="false" customWidth="true" hidden="false" outlineLevel="0" max="6" min="6" style="1" width="14"/>
    <col collapsed="false" customWidth="true" hidden="false" outlineLevel="0" max="7" min="7" style="1" width="52"/>
    <col collapsed="false" customWidth="true" hidden="false" outlineLevel="0" max="8" min="8" style="1" width="14"/>
  </cols>
  <sheetData>
    <row r="1" customFormat="false" ht="17.25" hidden="false" customHeight="true" outlineLevel="0" collapsed="false">
      <c r="A1" s="7" t="s">
        <v>1524</v>
      </c>
    </row>
    <row r="2" customFormat="false" ht="15" hidden="false" customHeight="true" outlineLevel="0" collapsed="false">
      <c r="A2" s="11" t="s">
        <v>1525</v>
      </c>
    </row>
    <row r="4" customFormat="false" ht="15" hidden="false" customHeight="true" outlineLevel="0" collapsed="false">
      <c r="A4" s="8" t="s">
        <v>1526</v>
      </c>
    </row>
    <row r="5" customFormat="false" ht="15" hidden="false" customHeight="true" outlineLevel="0" collapsed="false">
      <c r="A5" s="9" t="s">
        <v>1527</v>
      </c>
    </row>
    <row r="6" customFormat="false" ht="15" hidden="false" customHeight="true" outlineLevel="0" collapsed="false">
      <c r="A6" s="9" t="s">
        <v>1528</v>
      </c>
    </row>
    <row r="7" customFormat="false" ht="15" hidden="false" customHeight="true" outlineLevel="0" collapsed="false">
      <c r="A7" s="9" t="s">
        <v>1529</v>
      </c>
    </row>
    <row r="8" customFormat="false" ht="15" hidden="false" customHeight="true" outlineLevel="0" collapsed="false">
      <c r="A8" s="9" t="s">
        <v>1530</v>
      </c>
    </row>
    <row r="10" customFormat="false" ht="15" hidden="false" customHeight="true" outlineLevel="0" collapsed="false">
      <c r="A10" s="8" t="s">
        <v>1531</v>
      </c>
    </row>
    <row r="11" customFormat="false" ht="15" hidden="false" customHeight="true" outlineLevel="0" collapsed="false">
      <c r="A11" s="16" t="s">
        <v>53</v>
      </c>
      <c r="B11" s="16" t="s">
        <v>1532</v>
      </c>
      <c r="C11" s="16" t="s">
        <v>1533</v>
      </c>
      <c r="D11" s="16" t="s">
        <v>1534</v>
      </c>
      <c r="E11" s="16" t="s">
        <v>1535</v>
      </c>
      <c r="F11" s="16" t="s">
        <v>1536</v>
      </c>
      <c r="G11" s="16" t="s">
        <v>1537</v>
      </c>
      <c r="H11" s="16" t="s">
        <v>1538</v>
      </c>
    </row>
    <row r="12" customFormat="false" ht="15" hidden="false" customHeight="true" outlineLevel="0" collapsed="false">
      <c r="A12" s="32" t="s">
        <v>68</v>
      </c>
      <c r="B12" s="40" t="n">
        <f aca="false">'Fleet Price Sheet'!G5</f>
        <v>4150</v>
      </c>
      <c r="C12" s="21" t="n">
        <v>2500</v>
      </c>
      <c r="D12" s="21" t="n">
        <v>3500</v>
      </c>
      <c r="E12" s="21" t="n">
        <v>6050</v>
      </c>
      <c r="F12" s="41" t="n">
        <f aca="false">(B12-C12)/C12</f>
        <v>0.66</v>
      </c>
      <c r="G12" s="41" t="n">
        <f aca="false">(E12-B12)/E12</f>
        <v>0.31404958677686</v>
      </c>
      <c r="H12" s="17" t="str">
        <f aca="false">IF(B12&gt;E12*0.88,"UPPER",IF(B12&lt;C12*1.1,"LOWER","MID-MARKET"))</f>
        <v>MID-MARKET</v>
      </c>
    </row>
    <row r="13" customFormat="false" ht="15" hidden="false" customHeight="true" outlineLevel="0" collapsed="false">
      <c r="A13" s="34" t="s">
        <v>70</v>
      </c>
      <c r="B13" s="42" t="n">
        <f aca="false">'Fleet Price Sheet'!G6</f>
        <v>8450</v>
      </c>
      <c r="C13" s="27" t="n">
        <v>5000</v>
      </c>
      <c r="D13" s="27" t="n">
        <v>8500</v>
      </c>
      <c r="E13" s="27" t="n">
        <v>15760</v>
      </c>
      <c r="F13" s="43" t="n">
        <f aca="false">(B13-C13)/C13</f>
        <v>0.69</v>
      </c>
      <c r="G13" s="43" t="n">
        <f aca="false">(E13-B13)/E13</f>
        <v>0.463832487309645</v>
      </c>
      <c r="H13" s="23" t="str">
        <f aca="false">IF(B13&gt;E13*0.88,"UPPER",IF(B13&lt;C13*1.1,"LOWER","MID-MARKET"))</f>
        <v>MID-MARKET</v>
      </c>
    </row>
    <row r="14" customFormat="false" ht="15" hidden="false" customHeight="true" outlineLevel="0" collapsed="false">
      <c r="A14" s="32" t="s">
        <v>72</v>
      </c>
      <c r="B14" s="40" t="n">
        <f aca="false">'Fleet Price Sheet'!G7</f>
        <v>4850</v>
      </c>
      <c r="C14" s="21" t="n">
        <v>3500</v>
      </c>
      <c r="D14" s="21" t="n">
        <v>4500</v>
      </c>
      <c r="E14" s="21" t="n">
        <v>5500</v>
      </c>
      <c r="F14" s="41" t="n">
        <f aca="false">(B14-C14)/C14</f>
        <v>0.385714285714286</v>
      </c>
      <c r="G14" s="41" t="n">
        <f aca="false">(E14-B14)/E14</f>
        <v>0.118181818181818</v>
      </c>
      <c r="H14" s="17" t="str">
        <f aca="false">IF(B14&gt;E14*0.88,"UPPER",IF(B14&lt;C14*1.1,"LOWER","MID-MARKET"))</f>
        <v>UPPER</v>
      </c>
    </row>
    <row r="15" customFormat="false" ht="15" hidden="false" customHeight="true" outlineLevel="0" collapsed="false">
      <c r="A15" s="34" t="s">
        <v>74</v>
      </c>
      <c r="B15" s="42" t="n">
        <f aca="false">'Fleet Price Sheet'!G8</f>
        <v>5300</v>
      </c>
      <c r="C15" s="27" t="n">
        <v>4500</v>
      </c>
      <c r="D15" s="27" t="n">
        <v>5200</v>
      </c>
      <c r="E15" s="27" t="n">
        <v>6000</v>
      </c>
      <c r="F15" s="43" t="n">
        <f aca="false">(B15-C15)/C15</f>
        <v>0.177777777777778</v>
      </c>
      <c r="G15" s="43" t="n">
        <f aca="false">(E15-B15)/E15</f>
        <v>0.116666666666667</v>
      </c>
      <c r="H15" s="23" t="str">
        <f aca="false">IF(B15&gt;E15*0.88,"UPPER",IF(B15&lt;C15*1.1,"LOWER","MID-MARKET"))</f>
        <v>UPPER</v>
      </c>
    </row>
    <row r="16" customFormat="false" ht="15" hidden="false" customHeight="true" outlineLevel="0" collapsed="false">
      <c r="A16" s="32" t="s">
        <v>76</v>
      </c>
      <c r="B16" s="40" t="n">
        <f aca="false">'Fleet Price Sheet'!G9</f>
        <v>4600</v>
      </c>
      <c r="C16" s="21" t="n">
        <v>2500</v>
      </c>
      <c r="D16" s="21" t="n">
        <v>3500</v>
      </c>
      <c r="E16" s="21" t="n">
        <v>5230</v>
      </c>
      <c r="F16" s="41" t="n">
        <f aca="false">(B16-C16)/C16</f>
        <v>0.84</v>
      </c>
      <c r="G16" s="41" t="n">
        <f aca="false">(E16-B16)/E16</f>
        <v>0.120458891013384</v>
      </c>
      <c r="H16" s="17" t="str">
        <f aca="false">IF(B16&gt;E16*0.88,"UPPER",IF(B16&lt;C16*1.1,"LOWER","MID-MARKET"))</f>
        <v>MID-MARKET</v>
      </c>
    </row>
    <row r="17" customFormat="false" ht="15" hidden="false" customHeight="true" outlineLevel="0" collapsed="false">
      <c r="A17" s="34" t="s">
        <v>78</v>
      </c>
      <c r="B17" s="42" t="n">
        <f aca="false">'Fleet Price Sheet'!G10</f>
        <v>3900</v>
      </c>
      <c r="C17" s="27" t="n">
        <v>3000</v>
      </c>
      <c r="D17" s="27" t="n">
        <v>4000</v>
      </c>
      <c r="E17" s="27" t="n">
        <v>5000</v>
      </c>
      <c r="F17" s="43" t="n">
        <f aca="false">(B17-C17)/C17</f>
        <v>0.3</v>
      </c>
      <c r="G17" s="43" t="n">
        <f aca="false">(E17-B17)/E17</f>
        <v>0.22</v>
      </c>
      <c r="H17" s="23" t="str">
        <f aca="false">IF(B17&gt;E17*0.88,"UPPER",IF(B17&lt;C17*1.1,"LOWER","MID-MARKET"))</f>
        <v>MID-MARKET</v>
      </c>
    </row>
    <row r="18" customFormat="false" ht="15" hidden="false" customHeight="true" outlineLevel="0" collapsed="false">
      <c r="A18" s="32" t="s">
        <v>80</v>
      </c>
      <c r="B18" s="40" t="n">
        <f aca="false">'Fleet Price Sheet'!G11</f>
        <v>3950</v>
      </c>
      <c r="C18" s="21" t="n">
        <v>3000</v>
      </c>
      <c r="D18" s="21" t="n">
        <v>3800</v>
      </c>
      <c r="E18" s="21" t="n">
        <v>4500</v>
      </c>
      <c r="F18" s="41" t="n">
        <f aca="false">(B18-C18)/C18</f>
        <v>0.316666666666667</v>
      </c>
      <c r="G18" s="41" t="n">
        <f aca="false">(E18-B18)/E18</f>
        <v>0.122222222222222</v>
      </c>
      <c r="H18" s="17" t="str">
        <f aca="false">IF(B18&gt;E18*0.88,"UPPER",IF(B18&lt;C18*1.1,"LOWER","MID-MARKET"))</f>
        <v>MID-MARKET</v>
      </c>
    </row>
    <row r="19" customFormat="false" ht="15" hidden="false" customHeight="true" outlineLevel="0" collapsed="false">
      <c r="A19" s="34" t="s">
        <v>82</v>
      </c>
      <c r="B19" s="42" t="n">
        <f aca="false">'Fleet Price Sheet'!G12</f>
        <v>9650</v>
      </c>
      <c r="C19" s="27" t="n">
        <v>7000</v>
      </c>
      <c r="D19" s="27" t="n">
        <v>8500</v>
      </c>
      <c r="E19" s="27" t="n">
        <v>11000</v>
      </c>
      <c r="F19" s="43" t="n">
        <f aca="false">(B19-C19)/C19</f>
        <v>0.378571428571429</v>
      </c>
      <c r="G19" s="43" t="n">
        <f aca="false">(E19-B19)/E19</f>
        <v>0.122727272727273</v>
      </c>
      <c r="H19" s="23" t="str">
        <f aca="false">IF(B19&gt;E19*0.88,"UPPER",IF(B19&lt;C19*1.1,"LOWER","MID-MARKET"))</f>
        <v>MID-MARKET</v>
      </c>
    </row>
    <row r="20" customFormat="false" ht="15" hidden="false" customHeight="true" outlineLevel="0" collapsed="false">
      <c r="A20" s="32" t="s">
        <v>84</v>
      </c>
      <c r="B20" s="40" t="n">
        <f aca="false">'Fleet Price Sheet'!G13</f>
        <v>2700</v>
      </c>
      <c r="C20" s="21" t="n">
        <v>2000</v>
      </c>
      <c r="D20" s="21" t="n">
        <v>2500</v>
      </c>
      <c r="E20" s="21" t="n">
        <v>3060</v>
      </c>
      <c r="F20" s="41" t="n">
        <f aca="false">(B20-C20)/C20</f>
        <v>0.35</v>
      </c>
      <c r="G20" s="41" t="n">
        <f aca="false">(E20-B20)/E20</f>
        <v>0.117647058823529</v>
      </c>
      <c r="H20" s="17" t="str">
        <f aca="false">IF(B20&gt;E20*0.88,"UPPER",IF(B20&lt;C20*1.1,"LOWER","MID-MARKET"))</f>
        <v>UPPER</v>
      </c>
    </row>
    <row r="21" customFormat="false" ht="15" hidden="false" customHeight="true" outlineLevel="0" collapsed="false">
      <c r="A21" s="34" t="s">
        <v>86</v>
      </c>
      <c r="B21" s="42" t="n">
        <f aca="false">'Fleet Price Sheet'!G14</f>
        <v>8050</v>
      </c>
      <c r="C21" s="27" t="n">
        <v>7000</v>
      </c>
      <c r="D21" s="27" t="n">
        <v>8500</v>
      </c>
      <c r="E21" s="27" t="n">
        <v>10000</v>
      </c>
      <c r="F21" s="43" t="n">
        <f aca="false">(B21-C21)/C21</f>
        <v>0.15</v>
      </c>
      <c r="G21" s="43" t="n">
        <f aca="false">(E21-B21)/E21</f>
        <v>0.195</v>
      </c>
      <c r="H21" s="23" t="str">
        <f aca="false">IF(B21&gt;E21*0.88,"UPPER",IF(B21&lt;C21*1.1,"LOWER","MID-MARKET"))</f>
        <v>MID-MARKET</v>
      </c>
    </row>
    <row r="22" customFormat="false" ht="15" hidden="false" customHeight="true" outlineLevel="0" collapsed="false">
      <c r="A22" s="32" t="s">
        <v>88</v>
      </c>
      <c r="B22" s="40" t="n">
        <f aca="false">'Fleet Price Sheet'!G15</f>
        <v>3500</v>
      </c>
      <c r="C22" s="21" t="n">
        <v>2500</v>
      </c>
      <c r="D22" s="21" t="n">
        <v>3200</v>
      </c>
      <c r="E22" s="21" t="n">
        <v>4000</v>
      </c>
      <c r="F22" s="41" t="n">
        <f aca="false">(B22-C22)/C22</f>
        <v>0.4</v>
      </c>
      <c r="G22" s="41" t="n">
        <f aca="false">(E22-B22)/E22</f>
        <v>0.125</v>
      </c>
      <c r="H22" s="17" t="str">
        <f aca="false">IF(B22&gt;E22*0.88,"UPPER",IF(B22&lt;C22*1.1,"LOWER","MID-MARKET"))</f>
        <v>MID-MARKET</v>
      </c>
    </row>
    <row r="23" customFormat="false" ht="15" hidden="false" customHeight="true" outlineLevel="0" collapsed="false">
      <c r="A23" s="34" t="s">
        <v>90</v>
      </c>
      <c r="B23" s="42" t="n">
        <f aca="false">'Fleet Price Sheet'!G16</f>
        <v>8800</v>
      </c>
      <c r="C23" s="27" t="n">
        <v>8000</v>
      </c>
      <c r="D23" s="27" t="n">
        <v>9500</v>
      </c>
      <c r="E23" s="27" t="n">
        <v>11660</v>
      </c>
      <c r="F23" s="43" t="n">
        <f aca="false">(B23-C23)/C23</f>
        <v>0.1</v>
      </c>
      <c r="G23" s="43" t="n">
        <f aca="false">(E23-B23)/E23</f>
        <v>0.245283018867925</v>
      </c>
      <c r="H23" s="23" t="str">
        <f aca="false">IF(B23&gt;E23*0.88,"UPPER",IF(B23&lt;C23*1.1,"LOWER","MID-MARKET"))</f>
        <v>MID-MARKET</v>
      </c>
    </row>
    <row r="24" customFormat="false" ht="15" hidden="false" customHeight="true" outlineLevel="0" collapsed="false">
      <c r="A24" s="32" t="s">
        <v>92</v>
      </c>
      <c r="B24" s="40" t="n">
        <f aca="false">'Fleet Price Sheet'!G17</f>
        <v>5000</v>
      </c>
      <c r="C24" s="21" t="n">
        <v>4000</v>
      </c>
      <c r="D24" s="21" t="n">
        <v>5000</v>
      </c>
      <c r="E24" s="21" t="n">
        <v>6610</v>
      </c>
      <c r="F24" s="41" t="n">
        <f aca="false">(B24-C24)/C24</f>
        <v>0.25</v>
      </c>
      <c r="G24" s="41" t="n">
        <f aca="false">(E24-B24)/E24</f>
        <v>0.24357034795764</v>
      </c>
      <c r="H24" s="17" t="str">
        <f aca="false">IF(B24&gt;E24*0.88,"UPPER",IF(B24&lt;C24*1.1,"LOWER","MID-MARKET"))</f>
        <v>MID-MARKET</v>
      </c>
    </row>
    <row r="25" customFormat="false" ht="15" hidden="false" customHeight="true" outlineLevel="0" collapsed="false">
      <c r="A25" s="34" t="s">
        <v>94</v>
      </c>
      <c r="B25" s="42" t="n">
        <f aca="false">'Fleet Price Sheet'!G18</f>
        <v>4850</v>
      </c>
      <c r="C25" s="27" t="n">
        <v>3500</v>
      </c>
      <c r="D25" s="27" t="n">
        <v>4500</v>
      </c>
      <c r="E25" s="27" t="n">
        <v>5500</v>
      </c>
      <c r="F25" s="43" t="n">
        <f aca="false">(B25-C25)/C25</f>
        <v>0.385714285714286</v>
      </c>
      <c r="G25" s="43" t="n">
        <f aca="false">(E25-B25)/E25</f>
        <v>0.118181818181818</v>
      </c>
      <c r="H25" s="23" t="str">
        <f aca="false">IF(B25&gt;E25*0.88,"UPPER",IF(B25&lt;C25*1.1,"LOWER","MID-MARKET"))</f>
        <v>UPPER</v>
      </c>
    </row>
    <row r="26" customFormat="false" ht="15" hidden="false" customHeight="true" outlineLevel="0" collapsed="false">
      <c r="A26" s="32" t="s">
        <v>96</v>
      </c>
      <c r="B26" s="40" t="n">
        <f aca="false">'Fleet Price Sheet'!G19</f>
        <v>9350</v>
      </c>
      <c r="C26" s="21" t="n">
        <v>8500</v>
      </c>
      <c r="D26" s="21" t="n">
        <v>10000</v>
      </c>
      <c r="E26" s="21" t="n">
        <v>11000</v>
      </c>
      <c r="F26" s="41" t="n">
        <f aca="false">(B26-C26)/C26</f>
        <v>0.1</v>
      </c>
      <c r="G26" s="41" t="n">
        <f aca="false">(E26-B26)/E26</f>
        <v>0.15</v>
      </c>
      <c r="H26" s="17" t="str">
        <f aca="false">IF(B26&gt;E26*0.88,"UPPER",IF(B26&lt;C26*1.1,"LOWER","MID-MARKET"))</f>
        <v>MID-MARKET</v>
      </c>
    </row>
    <row r="27" customFormat="false" ht="15" hidden="false" customHeight="true" outlineLevel="0" collapsed="false">
      <c r="A27" s="34" t="s">
        <v>98</v>
      </c>
      <c r="B27" s="42" t="n">
        <f aca="false">'Fleet Price Sheet'!G20</f>
        <v>1750</v>
      </c>
      <c r="C27" s="27" t="n">
        <v>1200</v>
      </c>
      <c r="D27" s="27" t="n">
        <v>1500</v>
      </c>
      <c r="E27" s="27" t="n">
        <v>2000</v>
      </c>
      <c r="F27" s="43" t="n">
        <f aca="false">(B27-C27)/C27</f>
        <v>0.458333333333333</v>
      </c>
      <c r="G27" s="43" t="n">
        <f aca="false">(E27-B27)/E27</f>
        <v>0.125</v>
      </c>
      <c r="H27" s="23" t="str">
        <f aca="false">IF(B27&gt;E27*0.88,"UPPER",IF(B27&lt;C27*1.1,"LOWER","MID-MARKET"))</f>
        <v>MID-MARKET</v>
      </c>
    </row>
    <row r="28" customFormat="false" ht="15" hidden="false" customHeight="true" outlineLevel="0" collapsed="false">
      <c r="A28" s="32" t="s">
        <v>100</v>
      </c>
      <c r="B28" s="40" t="n">
        <f aca="false">'Fleet Price Sheet'!G21</f>
        <v>1600</v>
      </c>
      <c r="C28" s="21" t="n">
        <v>950</v>
      </c>
      <c r="D28" s="21" t="n">
        <v>1300</v>
      </c>
      <c r="E28" s="21" t="n">
        <v>1800</v>
      </c>
      <c r="F28" s="41" t="n">
        <f aca="false">(B28-C28)/C28</f>
        <v>0.68421052631579</v>
      </c>
      <c r="G28" s="41" t="n">
        <f aca="false">(E28-B28)/E28</f>
        <v>0.111111111111111</v>
      </c>
      <c r="H28" s="17" t="str">
        <f aca="false">IF(B28&gt;E28*0.88,"UPPER",IF(B28&lt;C28*1.1,"LOWER","MID-MARKET"))</f>
        <v>UPPER</v>
      </c>
    </row>
    <row r="29" customFormat="false" ht="15" hidden="false" customHeight="true" outlineLevel="0" collapsed="false">
      <c r="A29" s="34" t="s">
        <v>102</v>
      </c>
      <c r="B29" s="42" t="n">
        <f aca="false">'Fleet Price Sheet'!G22</f>
        <v>1400</v>
      </c>
      <c r="C29" s="27" t="n">
        <v>900</v>
      </c>
      <c r="D29" s="27" t="n">
        <v>1200</v>
      </c>
      <c r="E29" s="27" t="n">
        <v>1600</v>
      </c>
      <c r="F29" s="43" t="n">
        <f aca="false">(B29-C29)/C29</f>
        <v>0.555555555555556</v>
      </c>
      <c r="G29" s="43" t="n">
        <f aca="false">(E29-B29)/E29</f>
        <v>0.125</v>
      </c>
      <c r="H29" s="23" t="str">
        <f aca="false">IF(B29&gt;E29*0.88,"UPPER",IF(B29&lt;C29*1.1,"LOWER","MID-MARKET"))</f>
        <v>MID-MARKET</v>
      </c>
    </row>
    <row r="30" customFormat="false" ht="15" hidden="false" customHeight="true" outlineLevel="0" collapsed="false">
      <c r="A30" s="32" t="s">
        <v>104</v>
      </c>
      <c r="B30" s="40" t="n">
        <f aca="false">'Fleet Price Sheet'!G23</f>
        <v>1150</v>
      </c>
      <c r="C30" s="21" t="n">
        <v>700</v>
      </c>
      <c r="D30" s="21" t="n">
        <v>1000</v>
      </c>
      <c r="E30" s="21" t="n">
        <v>1300</v>
      </c>
      <c r="F30" s="41" t="n">
        <f aca="false">(B30-C30)/C30</f>
        <v>0.642857142857143</v>
      </c>
      <c r="G30" s="41" t="n">
        <f aca="false">(E30-B30)/E30</f>
        <v>0.115384615384615</v>
      </c>
      <c r="H30" s="17" t="str">
        <f aca="false">IF(B30&gt;E30*0.88,"UPPER",IF(B30&lt;C30*1.1,"LOWER","MID-MARKET"))</f>
        <v>UPPER</v>
      </c>
    </row>
    <row r="31" customFormat="false" ht="15" hidden="false" customHeight="true" outlineLevel="0" collapsed="false">
      <c r="A31" s="34" t="s">
        <v>106</v>
      </c>
      <c r="B31" s="42" t="n">
        <f aca="false">'Fleet Price Sheet'!G24</f>
        <v>3250</v>
      </c>
      <c r="C31" s="27" t="n">
        <v>2000</v>
      </c>
      <c r="D31" s="27" t="n">
        <v>2800</v>
      </c>
      <c r="E31" s="27" t="n">
        <v>3700</v>
      </c>
      <c r="F31" s="43" t="n">
        <f aca="false">(B31-C31)/C31</f>
        <v>0.625</v>
      </c>
      <c r="G31" s="43" t="n">
        <f aca="false">(E31-B31)/E31</f>
        <v>0.121621621621622</v>
      </c>
      <c r="H31" s="23" t="str">
        <f aca="false">IF(B31&gt;E31*0.88,"UPPER",IF(B31&lt;C31*1.1,"LOWER","MID-MARKET"))</f>
        <v>MID-MARKET</v>
      </c>
    </row>
    <row r="32" customFormat="false" ht="15" hidden="false" customHeight="true" outlineLevel="0" collapsed="false">
      <c r="A32" s="32" t="s">
        <v>108</v>
      </c>
      <c r="B32" s="40" t="n">
        <f aca="false">'Fleet Price Sheet'!G25</f>
        <v>1300</v>
      </c>
      <c r="C32" s="21" t="n">
        <v>1200</v>
      </c>
      <c r="D32" s="21" t="n">
        <v>1700</v>
      </c>
      <c r="E32" s="21" t="n">
        <v>2200</v>
      </c>
      <c r="F32" s="41" t="n">
        <f aca="false">(B32-C32)/C32</f>
        <v>0.0833333333333333</v>
      </c>
      <c r="G32" s="41" t="n">
        <f aca="false">(E32-B32)/E32</f>
        <v>0.409090909090909</v>
      </c>
      <c r="H32" s="17" t="str">
        <f aca="false">IF(B32&gt;E32*0.88,"UPPER",IF(B32&lt;C32*1.1,"LOWER","MID-MARKET"))</f>
        <v>LOWER</v>
      </c>
    </row>
    <row r="33" customFormat="false" ht="15" hidden="false" customHeight="true" outlineLevel="0" collapsed="false">
      <c r="A33" s="34" t="s">
        <v>110</v>
      </c>
      <c r="B33" s="42" t="n">
        <f aca="false">'Fleet Price Sheet'!G26</f>
        <v>2200</v>
      </c>
      <c r="C33" s="27" t="n">
        <v>2000</v>
      </c>
      <c r="D33" s="27" t="n">
        <v>2600</v>
      </c>
      <c r="E33" s="27" t="n">
        <v>3200</v>
      </c>
      <c r="F33" s="43" t="n">
        <f aca="false">(B33-C33)/C33</f>
        <v>0.1</v>
      </c>
      <c r="G33" s="43" t="n">
        <f aca="false">(E33-B33)/E33</f>
        <v>0.3125</v>
      </c>
      <c r="H33" s="23" t="str">
        <f aca="false">IF(B33&gt;E33*0.88,"UPPER",IF(B33&lt;C33*1.1,"LOWER","MID-MARKET"))</f>
        <v>MID-MARKET</v>
      </c>
    </row>
    <row r="34" customFormat="false" ht="15" hidden="false" customHeight="true" outlineLevel="0" collapsed="false">
      <c r="A34" s="32" t="s">
        <v>112</v>
      </c>
      <c r="B34" s="40" t="n">
        <f aca="false">'Fleet Price Sheet'!G27</f>
        <v>2450</v>
      </c>
      <c r="C34" s="21" t="n">
        <v>1500</v>
      </c>
      <c r="D34" s="21" t="n">
        <v>2200</v>
      </c>
      <c r="E34" s="21" t="n">
        <v>2800</v>
      </c>
      <c r="F34" s="41" t="n">
        <f aca="false">(B34-C34)/C34</f>
        <v>0.633333333333333</v>
      </c>
      <c r="G34" s="41" t="n">
        <f aca="false">(E34-B34)/E34</f>
        <v>0.125</v>
      </c>
      <c r="H34" s="17" t="str">
        <f aca="false">IF(B34&gt;E34*0.88,"UPPER",IF(B34&lt;C34*1.1,"LOWER","MID-MARKET"))</f>
        <v>MID-MARKET</v>
      </c>
    </row>
    <row r="35" customFormat="false" ht="15" hidden="false" customHeight="true" outlineLevel="0" collapsed="false">
      <c r="A35" s="34" t="s">
        <v>114</v>
      </c>
      <c r="B35" s="42" t="n">
        <f aca="false">'Fleet Price Sheet'!G28</f>
        <v>9550</v>
      </c>
      <c r="C35" s="27" t="n">
        <v>5500</v>
      </c>
      <c r="D35" s="27" t="n">
        <v>7500</v>
      </c>
      <c r="E35" s="27" t="n">
        <v>12100</v>
      </c>
      <c r="F35" s="43" t="n">
        <f aca="false">(B35-C35)/C35</f>
        <v>0.736363636363636</v>
      </c>
      <c r="G35" s="43" t="n">
        <f aca="false">(E35-B35)/E35</f>
        <v>0.210743801652893</v>
      </c>
      <c r="H35" s="23" t="str">
        <f aca="false">IF(B35&gt;E35*0.88,"UPPER",IF(B35&lt;C35*1.1,"LOWER","MID-MARKET"))</f>
        <v>MID-MARKET</v>
      </c>
    </row>
    <row r="36" customFormat="false" ht="15" hidden="false" customHeight="true" outlineLevel="0" collapsed="false">
      <c r="A36" s="32" t="s">
        <v>116</v>
      </c>
      <c r="B36" s="40" t="n">
        <f aca="false">'Fleet Price Sheet'!G29</f>
        <v>2950</v>
      </c>
      <c r="C36" s="21" t="n">
        <v>1800</v>
      </c>
      <c r="D36" s="21" t="n">
        <v>2300</v>
      </c>
      <c r="E36" s="21" t="n">
        <v>4940</v>
      </c>
      <c r="F36" s="41" t="n">
        <f aca="false">(B36-C36)/C36</f>
        <v>0.638888888888889</v>
      </c>
      <c r="G36" s="41" t="n">
        <f aca="false">(E36-B36)/E36</f>
        <v>0.402834008097166</v>
      </c>
      <c r="H36" s="17" t="str">
        <f aca="false">IF(B36&gt;E36*0.88,"UPPER",IF(B36&lt;C36*1.1,"LOWER","MID-MARKET"))</f>
        <v>MID-MARKET</v>
      </c>
    </row>
    <row r="37" customFormat="false" ht="15" hidden="false" customHeight="true" outlineLevel="0" collapsed="false">
      <c r="A37" s="34" t="s">
        <v>118</v>
      </c>
      <c r="B37" s="42" t="n">
        <f aca="false">'Fleet Price Sheet'!G30</f>
        <v>2100</v>
      </c>
      <c r="C37" s="27" t="n">
        <v>1200</v>
      </c>
      <c r="D37" s="27" t="n">
        <v>1800</v>
      </c>
      <c r="E37" s="27" t="n">
        <v>2400</v>
      </c>
      <c r="F37" s="43" t="n">
        <f aca="false">(B37-C37)/C37</f>
        <v>0.75</v>
      </c>
      <c r="G37" s="43" t="n">
        <f aca="false">(E37-B37)/E37</f>
        <v>0.125</v>
      </c>
      <c r="H37" s="23" t="str">
        <f aca="false">IF(B37&gt;E37*0.88,"UPPER",IF(B37&lt;C37*1.1,"LOWER","MID-MARKET"))</f>
        <v>MID-MARKET</v>
      </c>
    </row>
    <row r="38" customFormat="false" ht="15" hidden="false" customHeight="true" outlineLevel="0" collapsed="false">
      <c r="A38" s="32" t="s">
        <v>120</v>
      </c>
      <c r="B38" s="40" t="n">
        <f aca="false">'Fleet Price Sheet'!G31</f>
        <v>500</v>
      </c>
      <c r="C38" s="21" t="n">
        <v>250</v>
      </c>
      <c r="D38" s="21" t="n">
        <v>350</v>
      </c>
      <c r="E38" s="21" t="n">
        <v>550</v>
      </c>
      <c r="F38" s="41" t="n">
        <f aca="false">(B38-C38)/C38</f>
        <v>1</v>
      </c>
      <c r="G38" s="41" t="n">
        <f aca="false">(E38-B38)/E38</f>
        <v>0.0909090909090909</v>
      </c>
      <c r="H38" s="17" t="str">
        <f aca="false">IF(B38&gt;E38*0.88,"UPPER",IF(B38&lt;C38*1.1,"LOWER","MID-MARKET"))</f>
        <v>UPPER</v>
      </c>
    </row>
    <row r="39" customFormat="false" ht="15" hidden="false" customHeight="true" outlineLevel="0" collapsed="false">
      <c r="A39" s="34" t="s">
        <v>122</v>
      </c>
      <c r="B39" s="42" t="n">
        <f aca="false">'Fleet Price Sheet'!G32</f>
        <v>1750</v>
      </c>
      <c r="C39" s="27" t="n">
        <v>1200</v>
      </c>
      <c r="D39" s="27" t="n">
        <v>1600</v>
      </c>
      <c r="E39" s="27" t="n">
        <v>2000</v>
      </c>
      <c r="F39" s="43" t="n">
        <f aca="false">(B39-C39)/C39</f>
        <v>0.458333333333333</v>
      </c>
      <c r="G39" s="43" t="n">
        <f aca="false">(E39-B39)/E39</f>
        <v>0.125</v>
      </c>
      <c r="H39" s="23" t="str">
        <f aca="false">IF(B39&gt;E39*0.88,"UPPER",IF(B39&lt;C39*1.1,"LOWER","MID-MARKET"))</f>
        <v>MID-MARKET</v>
      </c>
    </row>
    <row r="40" customFormat="false" ht="15" hidden="false" customHeight="true" outlineLevel="0" collapsed="false">
      <c r="A40" s="32" t="s">
        <v>124</v>
      </c>
      <c r="B40" s="40" t="n">
        <f aca="false">'Fleet Price Sheet'!G33</f>
        <v>3050</v>
      </c>
      <c r="C40" s="21" t="n">
        <v>2000</v>
      </c>
      <c r="D40" s="21" t="n">
        <v>3000</v>
      </c>
      <c r="E40" s="21" t="n">
        <v>3800</v>
      </c>
      <c r="F40" s="41" t="n">
        <f aca="false">(B40-C40)/C40</f>
        <v>0.525</v>
      </c>
      <c r="G40" s="41" t="n">
        <f aca="false">(E40-B40)/E40</f>
        <v>0.197368421052632</v>
      </c>
      <c r="H40" s="17" t="str">
        <f aca="false">IF(B40&gt;E40*0.88,"UPPER",IF(B40&lt;C40*1.1,"LOWER","MID-MARKET"))</f>
        <v>MID-MARKET</v>
      </c>
    </row>
    <row r="42" customFormat="false" ht="15" hidden="false" customHeight="true" outlineLevel="0" collapsed="false">
      <c r="A42" s="8" t="s">
        <v>1539</v>
      </c>
    </row>
    <row r="43" customFormat="false" ht="21.75" hidden="false" customHeight="true" outlineLevel="0" collapsed="false">
      <c r="A43" s="16" t="s">
        <v>1540</v>
      </c>
      <c r="B43" s="16" t="s">
        <v>1541</v>
      </c>
      <c r="C43" s="16" t="s">
        <v>1542</v>
      </c>
      <c r="D43" s="16" t="s">
        <v>1543</v>
      </c>
      <c r="E43" s="16" t="s">
        <v>1544</v>
      </c>
      <c r="F43" s="16" t="s">
        <v>1545</v>
      </c>
      <c r="G43" s="16" t="s">
        <v>1546</v>
      </c>
    </row>
    <row r="44" customFormat="false" ht="21.75" hidden="false" customHeight="true" outlineLevel="0" collapsed="false">
      <c r="A44" s="32" t="s">
        <v>1547</v>
      </c>
      <c r="B44" s="21" t="n">
        <v>4000</v>
      </c>
      <c r="C44" s="32" t="s">
        <v>1548</v>
      </c>
      <c r="D44" s="44"/>
      <c r="E44" s="44"/>
      <c r="F44" s="44"/>
      <c r="G44" s="22" t="s">
        <v>1549</v>
      </c>
    </row>
    <row r="45" customFormat="false" ht="15" hidden="false" customHeight="true" outlineLevel="0" collapsed="false">
      <c r="A45" s="34" t="s">
        <v>1550</v>
      </c>
      <c r="B45" s="27" t="n">
        <v>6000</v>
      </c>
      <c r="C45" s="34" t="s">
        <v>1548</v>
      </c>
      <c r="D45" s="45"/>
      <c r="E45" s="45"/>
      <c r="F45" s="45"/>
      <c r="G45" s="28" t="s">
        <v>1551</v>
      </c>
    </row>
    <row r="46" customFormat="false" ht="15" hidden="false" customHeight="true" outlineLevel="0" collapsed="false">
      <c r="A46" s="32" t="s">
        <v>1552</v>
      </c>
      <c r="B46" s="21" t="n">
        <v>8000</v>
      </c>
      <c r="C46" s="32" t="s">
        <v>1548</v>
      </c>
      <c r="D46" s="44"/>
      <c r="E46" s="44"/>
      <c r="F46" s="44"/>
      <c r="G46" s="22" t="s">
        <v>1553</v>
      </c>
    </row>
    <row r="47" customFormat="false" ht="15" hidden="false" customHeight="true" outlineLevel="0" collapsed="false">
      <c r="A47" s="34" t="s">
        <v>1554</v>
      </c>
      <c r="B47" s="27" t="n">
        <v>11000</v>
      </c>
      <c r="C47" s="34" t="s">
        <v>1548</v>
      </c>
      <c r="D47" s="45"/>
      <c r="E47" s="45"/>
      <c r="F47" s="45"/>
      <c r="G47" s="28" t="s">
        <v>1555</v>
      </c>
    </row>
    <row r="48" customFormat="false" ht="21.75" hidden="false" customHeight="true" outlineLevel="0" collapsed="false">
      <c r="A48" s="32" t="s">
        <v>1556</v>
      </c>
      <c r="B48" s="21" t="n">
        <v>6000</v>
      </c>
      <c r="C48" s="32" t="s">
        <v>1548</v>
      </c>
      <c r="D48" s="44"/>
      <c r="E48" s="44"/>
      <c r="F48" s="44"/>
      <c r="G48" s="22" t="s">
        <v>1557</v>
      </c>
    </row>
    <row r="49" customFormat="false" ht="15" hidden="false" customHeight="true" outlineLevel="0" collapsed="false">
      <c r="A49" s="34" t="s">
        <v>1558</v>
      </c>
      <c r="B49" s="27" t="n">
        <v>3500</v>
      </c>
      <c r="C49" s="34" t="s">
        <v>1548</v>
      </c>
      <c r="D49" s="45"/>
      <c r="E49" s="45"/>
      <c r="F49" s="45"/>
      <c r="G49" s="28" t="s">
        <v>1559</v>
      </c>
    </row>
    <row r="50" customFormat="false" ht="15" hidden="false" customHeight="true" outlineLevel="0" collapsed="false">
      <c r="A50" s="32" t="s">
        <v>1560</v>
      </c>
      <c r="B50" s="21" t="n">
        <v>10000</v>
      </c>
      <c r="C50" s="32" t="s">
        <v>1548</v>
      </c>
      <c r="D50" s="44"/>
      <c r="E50" s="44"/>
      <c r="F50" s="44"/>
      <c r="G50" s="22" t="s">
        <v>1561</v>
      </c>
    </row>
    <row r="51" customFormat="false" ht="15" hidden="false" customHeight="true" outlineLevel="0" collapsed="false">
      <c r="A51" s="34" t="s">
        <v>1562</v>
      </c>
      <c r="B51" s="27" t="n">
        <v>4000</v>
      </c>
      <c r="C51" s="34" t="s">
        <v>1548</v>
      </c>
      <c r="D51" s="45"/>
      <c r="E51" s="45"/>
      <c r="F51" s="45"/>
      <c r="G51" s="28" t="s">
        <v>1563</v>
      </c>
    </row>
    <row r="52" customFormat="false" ht="15" hidden="false" customHeight="true" outlineLevel="0" collapsed="false">
      <c r="A52" s="32" t="s">
        <v>1564</v>
      </c>
      <c r="B52" s="21" t="n">
        <v>3000</v>
      </c>
      <c r="C52" s="32" t="s">
        <v>1548</v>
      </c>
      <c r="D52" s="44"/>
      <c r="E52" s="44"/>
      <c r="F52" s="44"/>
      <c r="G52" s="22" t="s">
        <v>1565</v>
      </c>
    </row>
    <row r="53" customFormat="false" ht="15" hidden="false" customHeight="true" outlineLevel="0" collapsed="false">
      <c r="A53" s="34" t="s">
        <v>1566</v>
      </c>
      <c r="B53" s="27" t="n">
        <v>5500</v>
      </c>
      <c r="C53" s="34" t="s">
        <v>1548</v>
      </c>
      <c r="D53" s="45"/>
      <c r="E53" s="45"/>
      <c r="F53" s="45"/>
      <c r="G53" s="28" t="s">
        <v>1567</v>
      </c>
    </row>
    <row r="54" customFormat="false" ht="15" hidden="false" customHeight="true" outlineLevel="0" collapsed="false">
      <c r="A54" s="32" t="s">
        <v>1568</v>
      </c>
      <c r="B54" s="21" t="n">
        <v>6000</v>
      </c>
      <c r="C54" s="32" t="s">
        <v>1548</v>
      </c>
      <c r="D54" s="44"/>
      <c r="E54" s="44"/>
      <c r="F54" s="44"/>
      <c r="G54" s="22" t="s">
        <v>1569</v>
      </c>
    </row>
    <row r="55" customFormat="false" ht="15" hidden="false" customHeight="true" outlineLevel="0" collapsed="false">
      <c r="A55" s="34" t="s">
        <v>1570</v>
      </c>
      <c r="B55" s="27" t="n">
        <v>5000</v>
      </c>
      <c r="C55" s="34" t="s">
        <v>1548</v>
      </c>
      <c r="D55" s="45"/>
      <c r="E55" s="45"/>
      <c r="F55" s="45"/>
      <c r="G55" s="28" t="s">
        <v>1571</v>
      </c>
    </row>
    <row r="56" customFormat="false" ht="15" hidden="false" customHeight="true" outlineLevel="0" collapsed="false">
      <c r="A56" s="32" t="s">
        <v>1572</v>
      </c>
      <c r="B56" s="21" t="n">
        <v>250</v>
      </c>
      <c r="C56" s="32" t="s">
        <v>1548</v>
      </c>
      <c r="D56" s="44"/>
      <c r="E56" s="44"/>
      <c r="F56" s="44"/>
      <c r="G56" s="22" t="s">
        <v>1573</v>
      </c>
    </row>
    <row r="57" customFormat="false" ht="15" hidden="false" customHeight="true" outlineLevel="0" collapsed="false">
      <c r="A57" s="34" t="s">
        <v>1574</v>
      </c>
      <c r="B57" s="46" t="s">
        <v>1575</v>
      </c>
      <c r="C57" s="34" t="s">
        <v>1576</v>
      </c>
      <c r="D57" s="45"/>
      <c r="E57" s="45"/>
      <c r="F57" s="45"/>
      <c r="G57" s="28" t="s">
        <v>1577</v>
      </c>
    </row>
    <row r="58" customFormat="false" ht="23.25" hidden="false" customHeight="true" outlineLevel="0" collapsed="false">
      <c r="A58" s="32" t="s">
        <v>1578</v>
      </c>
      <c r="B58" s="47" t="s">
        <v>1575</v>
      </c>
      <c r="C58" s="32" t="s">
        <v>1579</v>
      </c>
      <c r="D58" s="44"/>
      <c r="E58" s="44"/>
      <c r="F58" s="44"/>
      <c r="G58" s="22" t="s">
        <v>1580</v>
      </c>
    </row>
    <row r="60" customFormat="false" ht="15" hidden="false" customHeight="true" outlineLevel="0" collapsed="false">
      <c r="A60" s="8" t="s">
        <v>1581</v>
      </c>
    </row>
    <row r="61" customFormat="false" ht="45.75" hidden="false" customHeight="true" outlineLevel="0" collapsed="false">
      <c r="A61" s="6" t="s">
        <v>1582</v>
      </c>
    </row>
    <row r="62" customFormat="false" ht="57" hidden="false" customHeight="true" outlineLevel="0" collapsed="false">
      <c r="A62" s="6" t="s">
        <v>1583</v>
      </c>
    </row>
    <row r="63" customFormat="false" ht="90.75" hidden="false" customHeight="true" outlineLevel="0" collapsed="false">
      <c r="A63" s="6" t="s">
        <v>1584</v>
      </c>
    </row>
    <row r="64" customFormat="false" ht="90.75" hidden="false" customHeight="true" outlineLevel="0" collapsed="false">
      <c r="A64" s="6" t="s">
        <v>1585</v>
      </c>
    </row>
    <row r="65" customFormat="false" ht="57" hidden="false" customHeight="true" outlineLevel="0" collapsed="false">
      <c r="A65" s="6" t="s">
        <v>1586</v>
      </c>
    </row>
    <row r="66" customFormat="false" ht="57" hidden="false" customHeight="true" outlineLevel="0" collapsed="false">
      <c r="A66" s="6" t="s">
        <v>1587</v>
      </c>
    </row>
    <row r="67" customFormat="false" ht="45.75" hidden="false" customHeight="true" outlineLevel="0" collapsed="false">
      <c r="A67"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2026-07-04T09:29:24Z</dcterms:created>
  <dc:creator>openpyxl</dc:creator>
  <dc:description/>
  <dc:language>en-US</dc:language>
  <cp:lastModifiedBy/>
  <dcterms:modified xsi:type="dcterms:W3CDTF">2026-07-04T10:25:19Z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